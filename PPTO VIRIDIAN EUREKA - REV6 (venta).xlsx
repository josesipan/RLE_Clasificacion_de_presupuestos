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ose project\"/>
    </mc:Choice>
  </mc:AlternateContent>
  <xr:revisionPtr revIDLastSave="0" documentId="13_ncr:1_{97086713-022C-42C2-AB30-E14375BE8937}" xr6:coauthVersionLast="47" xr6:coauthVersionMax="47" xr10:uidLastSave="{00000000-0000-0000-0000-000000000000}"/>
  <bookViews>
    <workbookView xWindow="28680" yWindow="-10920" windowWidth="29040" windowHeight="17520" tabRatio="796" xr2:uid="{00000000-000D-0000-FFFF-FFFF00000000}"/>
  </bookViews>
  <sheets>
    <sheet name="OP" sheetId="4" r:id="rId1"/>
    <sheet name="EST" sheetId="5" r:id="rId2"/>
    <sheet name="ARQ" sheetId="6" r:id="rId3"/>
    <sheet name="IIEE" sheetId="7" r:id="rId4"/>
    <sheet name="IISS" sheetId="8" r:id="rId5"/>
    <sheet name="CCDÉBILES" sheetId="10" r:id="rId6"/>
    <sheet name="ACI" sheetId="9" r:id="rId7"/>
    <sheet name="IIMM" sheetId="11" r:id="rId8"/>
    <sheet name="GAS" sheetId="12" r:id="rId9"/>
    <sheet name="ASCENSOR" sheetId="13" r:id="rId10"/>
    <sheet name="AUTOMATIZACIÓN" sheetId="14" r:id="rId11"/>
    <sheet name="GG" sheetId="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_">#REF!</definedName>
    <definedName name="____">#REF!</definedName>
    <definedName name="______">#REF!</definedName>
    <definedName name="________">#REF!</definedName>
    <definedName name="__________">#REF!</definedName>
    <definedName name="_________________________A1">#REF!</definedName>
    <definedName name="_________________________A2">#REF!</definedName>
    <definedName name="_________________________A3">#REF!</definedName>
    <definedName name="_________________________A4">#REF!</definedName>
    <definedName name="_________________________A5">#REF!</definedName>
    <definedName name="_________________________n1">#REF!</definedName>
    <definedName name="_________________________n2">#REF!</definedName>
    <definedName name="_________________________S1">#REF!</definedName>
    <definedName name="_______________________A1">#REF!</definedName>
    <definedName name="_______________________A2">#REF!</definedName>
    <definedName name="_______________________A3">#REF!</definedName>
    <definedName name="_______________________A4">#REF!</definedName>
    <definedName name="_______________________A5">#REF!</definedName>
    <definedName name="_______________________n1">#REF!</definedName>
    <definedName name="_______________________n2">#REF!</definedName>
    <definedName name="_______________________S1">#REF!</definedName>
    <definedName name="_____________________A1">#REF!</definedName>
    <definedName name="_____________________A2">#REF!</definedName>
    <definedName name="_____________________A3">#REF!</definedName>
    <definedName name="_____________________A4">#REF!</definedName>
    <definedName name="_____________________A5">#REF!</definedName>
    <definedName name="_____________________n1">#REF!</definedName>
    <definedName name="_____________________n2">#REF!</definedName>
    <definedName name="_____________________S1">#REF!</definedName>
    <definedName name="___________________A1">#REF!</definedName>
    <definedName name="___________________A2">#REF!</definedName>
    <definedName name="___________________A3">#REF!</definedName>
    <definedName name="___________________A4">#REF!</definedName>
    <definedName name="___________________A5">#REF!</definedName>
    <definedName name="___________________n1">#REF!</definedName>
    <definedName name="___________________n2">#REF!</definedName>
    <definedName name="___________________S1">#REF!</definedName>
    <definedName name="_________________A1">#REF!</definedName>
    <definedName name="_________________A2">#REF!</definedName>
    <definedName name="_________________A3">#REF!</definedName>
    <definedName name="_________________A4">#REF!</definedName>
    <definedName name="_________________A5">#REF!</definedName>
    <definedName name="_________________n1">#REF!</definedName>
    <definedName name="_________________n2">#REF!</definedName>
    <definedName name="_________________S1">#REF!</definedName>
    <definedName name="_______________A1">#REF!</definedName>
    <definedName name="_______________A2">#REF!</definedName>
    <definedName name="_______________A3">#REF!</definedName>
    <definedName name="_______________A4">#REF!</definedName>
    <definedName name="_______________A5">#REF!</definedName>
    <definedName name="_______________F">#REF!</definedName>
    <definedName name="_______________n1">#REF!</definedName>
    <definedName name="_______________n2">#REF!</definedName>
    <definedName name="_______________S1">#REF!</definedName>
    <definedName name="______________F">#REF!</definedName>
    <definedName name="_____________A1">#REF!</definedName>
    <definedName name="_____________A2">#REF!</definedName>
    <definedName name="_____________A3">#REF!</definedName>
    <definedName name="_____________A4">#REF!</definedName>
    <definedName name="_____________A5">#REF!</definedName>
    <definedName name="_____________F">#REF!</definedName>
    <definedName name="_____________n1">#REF!</definedName>
    <definedName name="_____________n2">#REF!</definedName>
    <definedName name="_____________R">#REF!</definedName>
    <definedName name="_____________S1">#REF!</definedName>
    <definedName name="____________A1">#REF!</definedName>
    <definedName name="____________A2">#REF!</definedName>
    <definedName name="____________A3">#REF!</definedName>
    <definedName name="____________A4">#REF!</definedName>
    <definedName name="____________A5">#REF!</definedName>
    <definedName name="____________F">#REF!</definedName>
    <definedName name="____________n1">#REF!</definedName>
    <definedName name="____________n2">#REF!</definedName>
    <definedName name="____________R">#REF!</definedName>
    <definedName name="____________S1">#REF!</definedName>
    <definedName name="___________A1">#REF!</definedName>
    <definedName name="___________A2">#REF!</definedName>
    <definedName name="___________A3">#REF!</definedName>
    <definedName name="___________A4">#REF!</definedName>
    <definedName name="___________A5">#REF!</definedName>
    <definedName name="___________AA68936">#REF!</definedName>
    <definedName name="___________AA69375">#REF!</definedName>
    <definedName name="___________AA70517">#REF!</definedName>
    <definedName name="___________AA80220">#REF!</definedName>
    <definedName name="___________AA90088">#REF!</definedName>
    <definedName name="___________AA999999">#REF!</definedName>
    <definedName name="___________ACC53">#REF!</definedName>
    <definedName name="___________ACC54">#REF!</definedName>
    <definedName name="___________ACC56">#REF!</definedName>
    <definedName name="___________BUT38">#REF!</definedName>
    <definedName name="___________BUT78">#REF!</definedName>
    <definedName name="___________col2">#REF!</definedName>
    <definedName name="___________col3">#REF!</definedName>
    <definedName name="___________col4">#REF!</definedName>
    <definedName name="___________col5">#REF!</definedName>
    <definedName name="___________col6">#REF!</definedName>
    <definedName name="___________F">#REF!</definedName>
    <definedName name="___________n1">#REF!</definedName>
    <definedName name="___________n2">#REF!</definedName>
    <definedName name="___________pla1">#REF!</definedName>
    <definedName name="___________pla2">#REF!</definedName>
    <definedName name="___________pla3">#REF!</definedName>
    <definedName name="___________pla4">#REF!</definedName>
    <definedName name="___________pla5">#REF!</definedName>
    <definedName name="___________pla6">#REF!</definedName>
    <definedName name="___________R">#REF!</definedName>
    <definedName name="___________S1">#REF!</definedName>
    <definedName name="___________TCA704">#REF!</definedName>
    <definedName name="___________TOR10">#REF!</definedName>
    <definedName name="___________TOR14">#REF!</definedName>
    <definedName name="___________TR4">#REF!</definedName>
    <definedName name="__________AA68936">#REF!</definedName>
    <definedName name="__________AA69375">#REF!</definedName>
    <definedName name="__________AA70517">#REF!</definedName>
    <definedName name="__________AA80220">#REF!</definedName>
    <definedName name="__________AA90088">#REF!</definedName>
    <definedName name="__________AA999999">#REF!</definedName>
    <definedName name="__________ACC53">#REF!</definedName>
    <definedName name="__________ACC54">#REF!</definedName>
    <definedName name="__________ACC56">#REF!</definedName>
    <definedName name="__________BUT38">#REF!</definedName>
    <definedName name="__________BUT78">#REF!</definedName>
    <definedName name="__________col2">#REF!</definedName>
    <definedName name="__________col3">#REF!</definedName>
    <definedName name="__________col4">#REF!</definedName>
    <definedName name="__________col5">#REF!</definedName>
    <definedName name="__________col6">#REF!</definedName>
    <definedName name="__________DEP1">#REF!</definedName>
    <definedName name="__________DEP101">#REF!</definedName>
    <definedName name="__________DEP102">#REF!</definedName>
    <definedName name="__________DEP103">#REF!</definedName>
    <definedName name="__________dep104">#REF!</definedName>
    <definedName name="__________dep105">#REF!</definedName>
    <definedName name="__________DEP106">#REF!</definedName>
    <definedName name="__________DEP107">#REF!</definedName>
    <definedName name="__________DEP108">#REF!</definedName>
    <definedName name="__________DEP2">#REF!</definedName>
    <definedName name="__________F">#REF!</definedName>
    <definedName name="__________pla1">#REF!</definedName>
    <definedName name="__________pla2">#REF!</definedName>
    <definedName name="__________pla3">#REF!</definedName>
    <definedName name="__________pla4">#REF!</definedName>
    <definedName name="__________pla5">#REF!</definedName>
    <definedName name="__________pla6">#REF!</definedName>
    <definedName name="__________R">#REF!</definedName>
    <definedName name="__________TCA704">#REF!</definedName>
    <definedName name="__________TOR10">#REF!</definedName>
    <definedName name="__________TOR14">#REF!</definedName>
    <definedName name="__________TR4">#REF!</definedName>
    <definedName name="_________A1">#REF!</definedName>
    <definedName name="_________A2">#REF!</definedName>
    <definedName name="_________A3">#REF!</definedName>
    <definedName name="_________A4">#REF!</definedName>
    <definedName name="_________A5">#REF!</definedName>
    <definedName name="_________AA68936">#REF!</definedName>
    <definedName name="_________AA69375">#REF!</definedName>
    <definedName name="_________AA70517">#REF!</definedName>
    <definedName name="_________AA80220">#REF!</definedName>
    <definedName name="_________AA90088">#REF!</definedName>
    <definedName name="_________AA999999">#REF!</definedName>
    <definedName name="_________ACC53">#REF!</definedName>
    <definedName name="_________ACC54">#REF!</definedName>
    <definedName name="_________ACC56">#REF!</definedName>
    <definedName name="_________BUT38">#REF!</definedName>
    <definedName name="_________BUT78">#REF!</definedName>
    <definedName name="_________col2">#REF!</definedName>
    <definedName name="_________col3">#REF!</definedName>
    <definedName name="_________col4">#REF!</definedName>
    <definedName name="_________col5">#REF!</definedName>
    <definedName name="_________col6">#REF!</definedName>
    <definedName name="_________DEP1">#REF!</definedName>
    <definedName name="_________DEP101">#REF!</definedName>
    <definedName name="_________DEP102">#REF!</definedName>
    <definedName name="_________DEP103">#REF!</definedName>
    <definedName name="_________dep104">#REF!</definedName>
    <definedName name="_________dep105">#REF!</definedName>
    <definedName name="_________DEP106">#REF!</definedName>
    <definedName name="_________DEP107">#REF!</definedName>
    <definedName name="_________DEP108">#REF!</definedName>
    <definedName name="_________DEP2">#REF!</definedName>
    <definedName name="_________F">#REF!</definedName>
    <definedName name="_________n1">#REF!</definedName>
    <definedName name="_________n2">#REF!</definedName>
    <definedName name="_________pla1">#REF!</definedName>
    <definedName name="_________pla2">#REF!</definedName>
    <definedName name="_________pla3">#REF!</definedName>
    <definedName name="_________pla4">#REF!</definedName>
    <definedName name="_________pla5">#REF!</definedName>
    <definedName name="_________pla6">#REF!</definedName>
    <definedName name="_________R">#REF!</definedName>
    <definedName name="_________S1">#REF!</definedName>
    <definedName name="_________TCA704">#REF!</definedName>
    <definedName name="_________TOR10">#REF!</definedName>
    <definedName name="_________TOR14">#REF!</definedName>
    <definedName name="_________TR4">#REF!</definedName>
    <definedName name="________A1">#REF!</definedName>
    <definedName name="________A2">#REF!</definedName>
    <definedName name="________A3">#REF!</definedName>
    <definedName name="________A4">#REF!</definedName>
    <definedName name="________A5">#REF!</definedName>
    <definedName name="________AA68936">#REF!</definedName>
    <definedName name="________AA69375">#REF!</definedName>
    <definedName name="________AA70517">#REF!</definedName>
    <definedName name="________AA80220">#REF!</definedName>
    <definedName name="________AA90088">#REF!</definedName>
    <definedName name="________AA999999">#REF!</definedName>
    <definedName name="________ACC53">#REF!</definedName>
    <definedName name="________ACC54">#REF!</definedName>
    <definedName name="________ACC56">#REF!</definedName>
    <definedName name="________ai2">#REF!</definedName>
    <definedName name="________BUT38">#REF!</definedName>
    <definedName name="________BUT78">#REF!</definedName>
    <definedName name="________col2">#REF!</definedName>
    <definedName name="________col3">#REF!</definedName>
    <definedName name="________col4">#REF!</definedName>
    <definedName name="________col5">#REF!</definedName>
    <definedName name="________col6">#REF!</definedName>
    <definedName name="________DEP1">#REF!</definedName>
    <definedName name="________DEP101">#REF!</definedName>
    <definedName name="________DEP102">#REF!</definedName>
    <definedName name="________DEP103">#REF!</definedName>
    <definedName name="________dep104">#REF!</definedName>
    <definedName name="________dep105">#REF!</definedName>
    <definedName name="________DEP106">#REF!</definedName>
    <definedName name="________DEP107">#REF!</definedName>
    <definedName name="________DEP108">#REF!</definedName>
    <definedName name="________DEP2">#REF!</definedName>
    <definedName name="________dlp3">#REF!</definedName>
    <definedName name="________ex2">#REF!</definedName>
    <definedName name="________F">#REF!</definedName>
    <definedName name="________flu1">#REF!</definedName>
    <definedName name="________gp2">#REF!</definedName>
    <definedName name="________gyp3">#REF!</definedName>
    <definedName name="________IAR3">[1]IARyPD!#REF!</definedName>
    <definedName name="________ir6">#REF!</definedName>
    <definedName name="________ird2">#REF!</definedName>
    <definedName name="________me2">#REF!</definedName>
    <definedName name="________n1">#REF!</definedName>
    <definedName name="________n2">#REF!</definedName>
    <definedName name="________pla1">#REF!</definedName>
    <definedName name="________pla2">#REF!</definedName>
    <definedName name="________pla3">#REF!</definedName>
    <definedName name="________pla4">#REF!</definedName>
    <definedName name="________pla5">#REF!</definedName>
    <definedName name="________pla6">#REF!</definedName>
    <definedName name="________R">#REF!</definedName>
    <definedName name="________S1">#REF!</definedName>
    <definedName name="________TCA704">#REF!</definedName>
    <definedName name="________TOR10">#REF!</definedName>
    <definedName name="________TOR14">#REF!</definedName>
    <definedName name="________TR4">#REF!</definedName>
    <definedName name="_______A1">#REF!</definedName>
    <definedName name="_______A2">#REF!</definedName>
    <definedName name="_______A3">#REF!</definedName>
    <definedName name="_______A4">#REF!</definedName>
    <definedName name="_______A5">#REF!</definedName>
    <definedName name="_______AA68936">#REF!</definedName>
    <definedName name="_______AA69375">#REF!</definedName>
    <definedName name="_______AA70517">#REF!</definedName>
    <definedName name="_______AA80220">#REF!</definedName>
    <definedName name="_______AA90088">#REF!</definedName>
    <definedName name="_______AA999999">#REF!</definedName>
    <definedName name="_______ACC53">#REF!</definedName>
    <definedName name="_______ACC54">#REF!</definedName>
    <definedName name="_______ACC56">#REF!</definedName>
    <definedName name="_______ai2">#REF!</definedName>
    <definedName name="_______BUT38">#REF!</definedName>
    <definedName name="_______BUT78">#REF!</definedName>
    <definedName name="_______col2">#REF!</definedName>
    <definedName name="_______col3">#REF!</definedName>
    <definedName name="_______col4">#REF!</definedName>
    <definedName name="_______col5">#REF!</definedName>
    <definedName name="_______col6">#REF!</definedName>
    <definedName name="_______DEP1">#REF!</definedName>
    <definedName name="_______DEP101">#REF!</definedName>
    <definedName name="_______DEP102">#REF!</definedName>
    <definedName name="_______DEP103">#REF!</definedName>
    <definedName name="_______dep104">#REF!</definedName>
    <definedName name="_______dep105">#REF!</definedName>
    <definedName name="_______DEP106">#REF!</definedName>
    <definedName name="_______DEP107">#REF!</definedName>
    <definedName name="_______DEP108">#REF!</definedName>
    <definedName name="_______DEP2">#REF!</definedName>
    <definedName name="_______dlp3">#REF!</definedName>
    <definedName name="_______ex2">#REF!</definedName>
    <definedName name="_______F">#REF!</definedName>
    <definedName name="_______flu1">#REF!</definedName>
    <definedName name="_______gp2">#REF!</definedName>
    <definedName name="_______gyp3">#REF!</definedName>
    <definedName name="_______IAR3">[1]IARyPD!#REF!</definedName>
    <definedName name="_______ir6">#REF!</definedName>
    <definedName name="_______ird2">#REF!</definedName>
    <definedName name="_______me2">#REF!</definedName>
    <definedName name="_______n1">#REF!</definedName>
    <definedName name="_______n2">#REF!</definedName>
    <definedName name="_______pla1">#REF!</definedName>
    <definedName name="_______pla2">#REF!</definedName>
    <definedName name="_______pla3">#REF!</definedName>
    <definedName name="_______pla4">#REF!</definedName>
    <definedName name="_______pla5">#REF!</definedName>
    <definedName name="_______pla6">#REF!</definedName>
    <definedName name="_______R">#REF!</definedName>
    <definedName name="_______S1">#REF!</definedName>
    <definedName name="_______TCA704">#REF!</definedName>
    <definedName name="_______TOR10">#REF!</definedName>
    <definedName name="_______TOR14">#REF!</definedName>
    <definedName name="_______TR4">#REF!</definedName>
    <definedName name="______A1">#REF!</definedName>
    <definedName name="______A2">#REF!</definedName>
    <definedName name="______A3">#REF!</definedName>
    <definedName name="______A4">#REF!</definedName>
    <definedName name="______A5">#REF!</definedName>
    <definedName name="______AA68936">#REF!</definedName>
    <definedName name="______AA69375">#REF!</definedName>
    <definedName name="______AA70517">#REF!</definedName>
    <definedName name="______AA80220">#REF!</definedName>
    <definedName name="______AA90088">#REF!</definedName>
    <definedName name="______AA999999">#REF!</definedName>
    <definedName name="______ACC53">#REF!</definedName>
    <definedName name="______ACC54">#REF!</definedName>
    <definedName name="______ACC56">#REF!</definedName>
    <definedName name="______ai2">#REF!</definedName>
    <definedName name="______BUT38">#REF!</definedName>
    <definedName name="______BUT78">#REF!</definedName>
    <definedName name="______col2">#REF!</definedName>
    <definedName name="______col3">#REF!</definedName>
    <definedName name="______col4">#REF!</definedName>
    <definedName name="______col5">#REF!</definedName>
    <definedName name="______col6">#REF!</definedName>
    <definedName name="______DEP1">#REF!</definedName>
    <definedName name="______DEP101">#REF!</definedName>
    <definedName name="______DEP102">#REF!</definedName>
    <definedName name="______DEP103">#REF!</definedName>
    <definedName name="______dep104">#REF!</definedName>
    <definedName name="______dep105">#REF!</definedName>
    <definedName name="______DEP106">#REF!</definedName>
    <definedName name="______DEP107">#REF!</definedName>
    <definedName name="______DEP108">#REF!</definedName>
    <definedName name="______DEP2">#REF!</definedName>
    <definedName name="______dlp3">#REF!</definedName>
    <definedName name="______ex2">#REF!</definedName>
    <definedName name="______F">#REF!</definedName>
    <definedName name="______flu1">#REF!</definedName>
    <definedName name="______gp2">#REF!</definedName>
    <definedName name="______gyp3">#REF!</definedName>
    <definedName name="______IAR3">[1]IARyPD!#REF!</definedName>
    <definedName name="______ir6">#REF!</definedName>
    <definedName name="______ird2">#REF!</definedName>
    <definedName name="______me2">#REF!</definedName>
    <definedName name="______MES1">#REF!</definedName>
    <definedName name="______n1">#REF!</definedName>
    <definedName name="______n2">#REF!</definedName>
    <definedName name="______pla1">#REF!</definedName>
    <definedName name="______pla2">#REF!</definedName>
    <definedName name="______pla3">#REF!</definedName>
    <definedName name="______pla4">#REF!</definedName>
    <definedName name="______pla5">#REF!</definedName>
    <definedName name="______pla6">#REF!</definedName>
    <definedName name="______R">#REF!</definedName>
    <definedName name="______S1">#REF!</definedName>
    <definedName name="______TCA704">#REF!</definedName>
    <definedName name="______TOR10">#REF!</definedName>
    <definedName name="______TOR14">#REF!</definedName>
    <definedName name="______TR4">#REF!</definedName>
    <definedName name="_____A1">#REF!</definedName>
    <definedName name="_____A2">#REF!</definedName>
    <definedName name="_____A3">#REF!</definedName>
    <definedName name="_____A4">#REF!</definedName>
    <definedName name="_____A5">#REF!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i2">#REF!</definedName>
    <definedName name="_____BUT38">#REF!</definedName>
    <definedName name="_____BUT78">#REF!</definedName>
    <definedName name="_____col2">#REF!</definedName>
    <definedName name="_____col3">#REF!</definedName>
    <definedName name="_____col4">#REF!</definedName>
    <definedName name="_____col5">#REF!</definedName>
    <definedName name="_____col6">#REF!</definedName>
    <definedName name="_____DEP1">#REF!</definedName>
    <definedName name="_____DEP101">#REF!</definedName>
    <definedName name="_____DEP102">#REF!</definedName>
    <definedName name="_____DEP103">#REF!</definedName>
    <definedName name="_____dep104">#REF!</definedName>
    <definedName name="_____dep105">#REF!</definedName>
    <definedName name="_____DEP106">#REF!</definedName>
    <definedName name="_____DEP107">#REF!</definedName>
    <definedName name="_____DEP108">#REF!</definedName>
    <definedName name="_____DEP2">#REF!</definedName>
    <definedName name="_____dlp3">#REF!</definedName>
    <definedName name="_____ex2">#REF!</definedName>
    <definedName name="_____F">#REF!</definedName>
    <definedName name="_____flu1">#REF!</definedName>
    <definedName name="_____gp2">#REF!</definedName>
    <definedName name="_____gyp3">#REF!</definedName>
    <definedName name="_____IAR3">[1]IARyPD!#REF!</definedName>
    <definedName name="_____ir6">#REF!</definedName>
    <definedName name="_____ird2">#REF!</definedName>
    <definedName name="_____me2">#REF!</definedName>
    <definedName name="_____MES1">#REF!</definedName>
    <definedName name="_____n1">#REF!</definedName>
    <definedName name="_____n2">#REF!</definedName>
    <definedName name="_____pla1">#REF!</definedName>
    <definedName name="_____pla2">#REF!</definedName>
    <definedName name="_____pla3">#REF!</definedName>
    <definedName name="_____pla4">#REF!</definedName>
    <definedName name="_____pla5">#REF!</definedName>
    <definedName name="_____pla6">#REF!</definedName>
    <definedName name="_____R">#REF!</definedName>
    <definedName name="_____S1">#REF!</definedName>
    <definedName name="_____TCA704">#REF!</definedName>
    <definedName name="_____TOR10">#REF!</definedName>
    <definedName name="_____TOR14">#REF!</definedName>
    <definedName name="_____TR4">#REF!</definedName>
    <definedName name="____A1">#REF!</definedName>
    <definedName name="____A2">#REF!</definedName>
    <definedName name="____A3">#REF!</definedName>
    <definedName name="____A4">#REF!</definedName>
    <definedName name="____A5">#REF!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CC53">#REF!</definedName>
    <definedName name="____ACC54">#REF!</definedName>
    <definedName name="____ACC56">#REF!</definedName>
    <definedName name="____ai2">#REF!</definedName>
    <definedName name="____BUT38">#REF!</definedName>
    <definedName name="____BUT78">#REF!</definedName>
    <definedName name="____col2">#REF!</definedName>
    <definedName name="____col3">#REF!</definedName>
    <definedName name="____col4">#REF!</definedName>
    <definedName name="____col5">#REF!</definedName>
    <definedName name="____col6">#REF!</definedName>
    <definedName name="____DEP1">#REF!</definedName>
    <definedName name="____DEP101">#REF!</definedName>
    <definedName name="____DEP102">#REF!</definedName>
    <definedName name="____DEP103">#REF!</definedName>
    <definedName name="____dep104">#REF!</definedName>
    <definedName name="____dep105">#REF!</definedName>
    <definedName name="____DEP106">#REF!</definedName>
    <definedName name="____DEP107">#REF!</definedName>
    <definedName name="____DEP108">#REF!</definedName>
    <definedName name="____DEP2">#REF!</definedName>
    <definedName name="____dlp3">#REF!</definedName>
    <definedName name="____ex2">#REF!</definedName>
    <definedName name="____F">#REF!</definedName>
    <definedName name="____flu1">#REF!</definedName>
    <definedName name="____gp2">#REF!</definedName>
    <definedName name="____gyp3">#REF!</definedName>
    <definedName name="____IAR3">[1]IARyPD!#REF!</definedName>
    <definedName name="____ir6">#REF!</definedName>
    <definedName name="____ird2">#REF!</definedName>
    <definedName name="____me2">#REF!</definedName>
    <definedName name="____MES1">#REF!</definedName>
    <definedName name="____n1">#REF!</definedName>
    <definedName name="____n2">#REF!</definedName>
    <definedName name="____pla1">#REF!</definedName>
    <definedName name="____pla2">#REF!</definedName>
    <definedName name="____pla3">#REF!</definedName>
    <definedName name="____pla4">#REF!</definedName>
    <definedName name="____pla5">#REF!</definedName>
    <definedName name="____pla6">#REF!</definedName>
    <definedName name="____R">#REF!</definedName>
    <definedName name="____S1">#REF!</definedName>
    <definedName name="____TCA704">#REF!</definedName>
    <definedName name="____TOR10">#REF!</definedName>
    <definedName name="____TOR14">#REF!</definedName>
    <definedName name="____TR4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CC53">#REF!</definedName>
    <definedName name="___ACC54">#REF!</definedName>
    <definedName name="___ACC56">#REF!</definedName>
    <definedName name="___ai2">#REF!</definedName>
    <definedName name="___BUT38">#REF!</definedName>
    <definedName name="___BUT78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DEP1">#REF!</definedName>
    <definedName name="___DEP101">#REF!</definedName>
    <definedName name="___DEP102">#REF!</definedName>
    <definedName name="___DEP103">#REF!</definedName>
    <definedName name="___dep104">#REF!</definedName>
    <definedName name="___dep105">#REF!</definedName>
    <definedName name="___DEP106">#REF!</definedName>
    <definedName name="___DEP107">#REF!</definedName>
    <definedName name="___DEP108">#REF!</definedName>
    <definedName name="___DEP2">#REF!</definedName>
    <definedName name="___dlp3">#REF!</definedName>
    <definedName name="___ex2">#REF!</definedName>
    <definedName name="___F">#REF!</definedName>
    <definedName name="___flu1">#REF!</definedName>
    <definedName name="___gp2">#REF!</definedName>
    <definedName name="___gyp3">#REF!</definedName>
    <definedName name="___IAR3">[1]IARyPD!#REF!</definedName>
    <definedName name="___ir6">#REF!</definedName>
    <definedName name="___ird2">#REF!</definedName>
    <definedName name="___me2">#REF!</definedName>
    <definedName name="___MES1">#REF!</definedName>
    <definedName name="___pla1">#REF!</definedName>
    <definedName name="___pla2">#REF!</definedName>
    <definedName name="___pla3">#REF!</definedName>
    <definedName name="___pla4">#REF!</definedName>
    <definedName name="___pla5">#REF!</definedName>
    <definedName name="___pla6">#REF!</definedName>
    <definedName name="___R">#REF!</definedName>
    <definedName name="___TCA704">#REF!</definedName>
    <definedName name="___TOR10">#REF!</definedName>
    <definedName name="___TOR14">#REF!</definedName>
    <definedName name="___TR4">#REF!</definedName>
    <definedName name="__123Graph_XGRA1">#REF!</definedName>
    <definedName name="__123Graph_XGRA2">#REF!</definedName>
    <definedName name="__A1">#REF!</definedName>
    <definedName name="__A2">#REF!</definedName>
    <definedName name="__A3">#REF!</definedName>
    <definedName name="__A4">#REF!</definedName>
    <definedName name="__A5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CC53">#REF!</definedName>
    <definedName name="__ACC54">#REF!</definedName>
    <definedName name="__ACC56">#REF!</definedName>
    <definedName name="__ai2">#REF!</definedName>
    <definedName name="__BUT38">#REF!</definedName>
    <definedName name="__BUT78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DEP1">#REF!</definedName>
    <definedName name="__DEP101">#REF!</definedName>
    <definedName name="__DEP102">#REF!</definedName>
    <definedName name="__DEP103">#REF!</definedName>
    <definedName name="__dep104">#REF!</definedName>
    <definedName name="__dep105">#REF!</definedName>
    <definedName name="__DEP106">#REF!</definedName>
    <definedName name="__DEP107">#REF!</definedName>
    <definedName name="__DEP108">#REF!</definedName>
    <definedName name="__DEP2">#REF!</definedName>
    <definedName name="__dlp3">#REF!</definedName>
    <definedName name="__ex2">#REF!</definedName>
    <definedName name="__F">#REF!</definedName>
    <definedName name="__flu1">#REF!</definedName>
    <definedName name="__gp2">#REF!</definedName>
    <definedName name="__gyp3">#REF!</definedName>
    <definedName name="__IAR3">[1]IARyPD!#REF!</definedName>
    <definedName name="__ir6">#REF!</definedName>
    <definedName name="__ird2">#REF!</definedName>
    <definedName name="__me2">#REF!</definedName>
    <definedName name="__MES1">#REF!</definedName>
    <definedName name="__n1">#REF!</definedName>
    <definedName name="__n2">#REF!</definedName>
    <definedName name="__pla1">#REF!</definedName>
    <definedName name="__pla2">#REF!</definedName>
    <definedName name="__pla3">#REF!</definedName>
    <definedName name="__pla4">#REF!</definedName>
    <definedName name="__pla5">#REF!</definedName>
    <definedName name="__pla6">#REF!</definedName>
    <definedName name="__R">#REF!</definedName>
    <definedName name="__S1">#REF!</definedName>
    <definedName name="__TCA704">#REF!</definedName>
    <definedName name="__TOR10">#REF!</definedName>
    <definedName name="__TOR14">#REF!</definedName>
    <definedName name="__TR4">#REF!</definedName>
    <definedName name="_020037">#REF!</definedName>
    <definedName name="_020488">#REF!</definedName>
    <definedName name="_75_0_0_F">#REF!</definedName>
    <definedName name="_76_0_0_F">#REF!</definedName>
    <definedName name="_77_0_0_F">#REF!</definedName>
    <definedName name="_8_0_0_F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i2">#REF!</definedName>
    <definedName name="_AtRisk_SimSetting_AutomaticallyGenerateReports">FALSE</definedName>
    <definedName name="_AtRisk_SimSetting_AutomaticResultsDisplayMode">1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UT38">#REF!</definedName>
    <definedName name="_BUT78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DEP1">#REF!</definedName>
    <definedName name="_DEP101">#REF!</definedName>
    <definedName name="_DEP102">#REF!</definedName>
    <definedName name="_DEP103">#REF!</definedName>
    <definedName name="_dep104">#REF!</definedName>
    <definedName name="_dep105">#REF!</definedName>
    <definedName name="_DEP106">#REF!</definedName>
    <definedName name="_DEP107">#REF!</definedName>
    <definedName name="_DEP108">#REF!</definedName>
    <definedName name="_DEP2">#REF!</definedName>
    <definedName name="_dlp3">#REF!</definedName>
    <definedName name="_ex2">#REF!</definedName>
    <definedName name="_F">#REF!</definedName>
    <definedName name="_F1">#REF!</definedName>
    <definedName name="_Fill">#REF!</definedName>
    <definedName name="_xlnm._FilterDatabase" localSheetId="2" hidden="1">ARQ!$A$6:$I$539</definedName>
    <definedName name="_xlnm._FilterDatabase" localSheetId="1" hidden="1">EST!$A$6:$I$191</definedName>
    <definedName name="_xlnm._FilterDatabase" localSheetId="3" hidden="1">IIEE!$B$6:$I$222</definedName>
    <definedName name="_flu1">#REF!</definedName>
    <definedName name="_gp2">#REF!</definedName>
    <definedName name="_gyp3">#REF!</definedName>
    <definedName name="_IAR3">[1]IARyPD!#REF!</definedName>
    <definedName name="_ir6">#REF!</definedName>
    <definedName name="_ird2">#REF!</definedName>
    <definedName name="_Key1">#REF!</definedName>
    <definedName name="_Key2">#REF!</definedName>
    <definedName name="_me2">#REF!</definedName>
    <definedName name="_MES1">#REF!</definedName>
    <definedName name="_MES2">#REF!</definedName>
    <definedName name="_MES3">#REF!</definedName>
    <definedName name="_MET1">#REF!</definedName>
    <definedName name="_MET2">#REF!</definedName>
    <definedName name="_n1">#REF!</definedName>
    <definedName name="_n2">#REF!</definedName>
    <definedName name="_Order1">255</definedName>
    <definedName name="_Order2">255</definedName>
    <definedName name="_Parse_Out">#REF!</definedName>
    <definedName name="_pla1">#REF!</definedName>
    <definedName name="_pla2">#REF!</definedName>
    <definedName name="_pla3">#REF!</definedName>
    <definedName name="_pla4">#REF!</definedName>
    <definedName name="_pla5">#REF!</definedName>
    <definedName name="_pla6">#REF!</definedName>
    <definedName name="_R">#REF!</definedName>
    <definedName name="_Regression_Int">1</definedName>
    <definedName name="_S1">#REF!</definedName>
    <definedName name="_Sort">#REF!</definedName>
    <definedName name="_TCA704">#REF!</definedName>
    <definedName name="_TOR10">#REF!</definedName>
    <definedName name="_TOR14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A">'[2]Encofrado BVR Unispan'!$C$10</definedName>
    <definedName name="A_001">[3]puni!$H$51</definedName>
    <definedName name="A_002">[3]puni!$H$97</definedName>
    <definedName name="A_003">[3]puni!$H$143</definedName>
    <definedName name="A_004">[3]puni!$H$189</definedName>
    <definedName name="A_005">[3]puni!$H$235</definedName>
    <definedName name="A_006">[3]puni!$H$281</definedName>
    <definedName name="A_007">[3]puni!$H$327</definedName>
    <definedName name="A_008">[3]puni!$H$373</definedName>
    <definedName name="A_009">[3]puni!$H$425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512">[4]puni!$H$143</definedName>
    <definedName name="A_6">#REF!</definedName>
    <definedName name="A_7">#REF!</definedName>
    <definedName name="A_8">#REF!</definedName>
    <definedName name="A_9">#REF!</definedName>
    <definedName name="A_IMPRESIÓN_IM">#REF!</definedName>
    <definedName name="AA">#REF!</definedName>
    <definedName name="AAA">#REF!</definedName>
    <definedName name="aaaa">#REF!</definedName>
    <definedName name="aaaaaaaaaaaaaaaaaaaaaaaa">#REF!</definedName>
    <definedName name="aB">#REF!</definedName>
    <definedName name="ABC">#REF!</definedName>
    <definedName name="ABCDE">#REF!</definedName>
    <definedName name="ABRAZ">#REF!</definedName>
    <definedName name="ac">#REF!</definedName>
    <definedName name="ACCESORIOS">#REF!</definedName>
    <definedName name="ACE">[5]A!$D$38</definedName>
    <definedName name="ACER.">#REF!</definedName>
    <definedName name="acero">#REF!</definedName>
    <definedName name="acero.">'[6]Losa Aligerada 1 Sent (JVH)'!$AM$5:$AM$12</definedName>
    <definedName name="ACOM_CC">#REF!</definedName>
    <definedName name="ACOM_SC">#REF!</definedName>
    <definedName name="ACTINT">#REF!</definedName>
    <definedName name="ADV">#REF!</definedName>
    <definedName name="AE">#REF!</definedName>
    <definedName name="AFI">#REF!</definedName>
    <definedName name="afirmado">#REF!</definedName>
    <definedName name="AFN">#REF!</definedName>
    <definedName name="AFNIT">#REF!</definedName>
    <definedName name="AFP">#REF!</definedName>
    <definedName name="AFPYN">#REF!</definedName>
    <definedName name="Agua">#REF!</definedName>
    <definedName name="alambre">#REF!</definedName>
    <definedName name="ALIMENTADOR">#REF!</definedName>
    <definedName name="Alizadora">#REF!</definedName>
    <definedName name="Almacén_sótano">#REF!</definedName>
    <definedName name="Amb">[7]DATOS!$B$5:$B$37</definedName>
    <definedName name="AMI">#REF!</definedName>
    <definedName name="AN">#REF!</definedName>
    <definedName name="ANAC">#REF!</definedName>
    <definedName name="anexo1_2">{#N/A,#N/A,FALSE,"Aging Summary";#N/A,#N/A,FALSE,"Ratio Analysis";#N/A,#N/A,FALSE,"Test 120 Day Accts";#N/A,#N/A,FALSE,"Tickmarks"}</definedName>
    <definedName name="Ant_1">'[8]Avance financiero'!$F$13</definedName>
    <definedName name="Ant_10">'[8]Avance financiero'!$F$22</definedName>
    <definedName name="Ant_2">'[8]Avance financiero'!$F$14</definedName>
    <definedName name="Ant_3">'[8]Avance financiero'!$F$15</definedName>
    <definedName name="Ant_4">'[8]Avance financiero'!$F$16</definedName>
    <definedName name="Ant_5">'[8]Avance financiero'!$F$17</definedName>
    <definedName name="Ant_6">'[8]Avance financiero'!$F$18</definedName>
    <definedName name="Ant_7">'[8]Avance financiero'!$F$19</definedName>
    <definedName name="Ant_8">'[8]Avance financiero'!$F$20</definedName>
    <definedName name="Ant_9">'[8]Avance financiero'!$F$21</definedName>
    <definedName name="APERTURA_VANO_VENTANA__tab._Mader">#REF!</definedName>
    <definedName name="apisonadora">#REF!</definedName>
    <definedName name="APROVA">#REF!</definedName>
    <definedName name="ApuEstructuras">#REF!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S">[9]WEEKBASE!$A$14:$B$19</definedName>
    <definedName name="ARENA">[5]A!$D$55:$D$56</definedName>
    <definedName name="arenag">#REF!</definedName>
    <definedName name="ares">#REF!</definedName>
    <definedName name="ARMADOS">#REF!</definedName>
    <definedName name="Arquitectura">#REF!</definedName>
    <definedName name="ARTEFACTOS">#REF!</definedName>
    <definedName name="AS2DocOpenMode">"AS2DocumentEdit"</definedName>
    <definedName name="ASAS">#REF!</definedName>
    <definedName name="asdes">#REF!</definedName>
    <definedName name="asdf">#REF!</definedName>
    <definedName name="asdfgh">#REF!</definedName>
    <definedName name="ASF">#REF!</definedName>
    <definedName name="autoforma2">#REF!</definedName>
    <definedName name="AVD">('[10]METRADOS ESTRUCTURAS B-1'!$A:$I,'[10]METRADOS ESTRUCTURAS B-1'!$1:$9)</definedName>
    <definedName name="Ay">#REF!</definedName>
    <definedName name="azot">#REF!</definedName>
    <definedName name="B">#REF!</definedName>
    <definedName name="B1_Dpto_1_1">#REF!</definedName>
    <definedName name="B1_Dpto_2_1">#REF!</definedName>
    <definedName name="B1_Dpto_3_1">#REF!</definedName>
    <definedName name="B1_Dpto_4_1">#REF!</definedName>
    <definedName name="B2_Dpto_1_1">#REF!</definedName>
    <definedName name="B2_Dpto_2_1">#REF!</definedName>
    <definedName name="B2_Dpto_3_1">#REF!</definedName>
    <definedName name="B2_Dpto_4_1">#REF!</definedName>
    <definedName name="BA">#REF!</definedName>
    <definedName name="BAJADA">#REF!</definedName>
    <definedName name="BALANC">#REF!</definedName>
    <definedName name="Base">#REF!</definedName>
    <definedName name="bbbb">#REF!</definedName>
    <definedName name="bitumen">#REF!</definedName>
    <definedName name="BO_ACERO">[5]A!$D$37</definedName>
    <definedName name="BO_ARENA">[5]A!$D$21</definedName>
    <definedName name="BO_CEMENTO">[5]A!$D$27</definedName>
    <definedName name="BO_FORMALETA">[5]A!$D$33</definedName>
    <definedName name="BO_GRAVA">[5]A!$D$24</definedName>
    <definedName name="BO_OTROS">[5]A!$D$30</definedName>
    <definedName name="BO_SUMINISTRO">[5]A!$D$41</definedName>
    <definedName name="bomba">#REF!</definedName>
    <definedName name="bridas">#REF!</definedName>
    <definedName name="BUEY">#REF!</definedName>
    <definedName name="buhbvuh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CA">#REF!</definedName>
    <definedName name="Caja_y_Bancos">#REF!</definedName>
    <definedName name="camion">#REF!</definedName>
    <definedName name="CANALETA">#REF!</definedName>
    <definedName name="CANT.">[11]BASES!$B$4:$B$12</definedName>
    <definedName name="Capital">#REF!</definedName>
    <definedName name="CAPU">#REF!</definedName>
    <definedName name="cargaretroexcavadora">#REF!</definedName>
    <definedName name="Cargas_del_Personal">#REF!</definedName>
    <definedName name="Cargas_diferidas">#REF!</definedName>
    <definedName name="Cargas_Diversas_de_Gestión">#REF!</definedName>
    <definedName name="Cargas_Excepcionales">#REF!</definedName>
    <definedName name="Cargas_financieras">#REF!</definedName>
    <definedName name="Cargas_imputables_a_cuentas_de_costos">#REF!</definedName>
    <definedName name="CARP">#REF!</definedName>
    <definedName name="CARPINT">#REF!</definedName>
    <definedName name="casa01">#REF!</definedName>
    <definedName name="casa02">#REF!</definedName>
    <definedName name="casa03">#REF!</definedName>
    <definedName name="casa04">#REF!</definedName>
    <definedName name="Casa6x15x3pisos">#REF!</definedName>
    <definedName name="casa8x15x2pisos">#REF!</definedName>
    <definedName name="casa8x15x3pisos">#REF!</definedName>
    <definedName name="cccccccccccccccc">#REF!</definedName>
    <definedName name="CCDXXXSP">#REF!</definedName>
    <definedName name="CCX">#REF!</definedName>
    <definedName name="CCXC">#REF!</definedName>
    <definedName name="cd">'[12]VALORIZACIÓN 10'!$G$831</definedName>
    <definedName name="CDSHOP">[13]N°1!$F$1302</definedName>
    <definedName name="CDV">#REF!</definedName>
    <definedName name="CDXXV">#REF!</definedName>
    <definedName name="CEMENTO">[5]A!$D$61:$D$62</definedName>
    <definedName name="cemento1">#REF!</definedName>
    <definedName name="CENTROS">#REF!</definedName>
    <definedName name="CERRADURAS">#REF!</definedName>
    <definedName name="Cert_1">[8]N°1!$K$1189</definedName>
    <definedName name="Cert_10">[8]N°10!$K$1189</definedName>
    <definedName name="Cert_2">[8]N°2!$K$1189</definedName>
    <definedName name="Cert_3">[8]N°3!$K$1189</definedName>
    <definedName name="Cert_4">[8]N°4!$K$1189</definedName>
    <definedName name="Cert_5">[8]N°5!$K$1189</definedName>
    <definedName name="Cert_6">[8]N°6!$K$1189</definedName>
    <definedName name="Cert_7">[8]N°7!$K$1189</definedName>
    <definedName name="Cert_8">[8]N°8!$K$1189</definedName>
    <definedName name="Cert_9">[8]N°9!$K$1189</definedName>
    <definedName name="cfc100t1">#REF!</definedName>
    <definedName name="cfc2101l">#REF!</definedName>
    <definedName name="cfc2101p">#REF!</definedName>
    <definedName name="cfc210t1">#REF!</definedName>
    <definedName name="cfc210tv">#REF!</definedName>
    <definedName name="cfc245t1">#REF!</definedName>
    <definedName name="cfc245t1f">#REF!</definedName>
    <definedName name="cfc245tv">#REF!</definedName>
    <definedName name="CL">'[2]Encofrado BVR Unispan'!$C$9</definedName>
    <definedName name="clavos">#REF!</definedName>
    <definedName name="Clientes">#REF!</definedName>
    <definedName name="CLOSETS">#REF!</definedName>
    <definedName name="CNI">#REF!</definedName>
    <definedName name="COCINAS">#REF!</definedName>
    <definedName name="Codigo">#REF!</definedName>
    <definedName name="Col">#REF!</definedName>
    <definedName name="Columnas_sótano">#REF!</definedName>
    <definedName name="Columnas_tienda">#REF!</definedName>
    <definedName name="COMAS">#REF!</definedName>
    <definedName name="COMPE">#REF!</definedName>
    <definedName name="COMPI">#REF!</definedName>
    <definedName name="Compresora">#REF!</definedName>
    <definedName name="COMUNES">#REF!</definedName>
    <definedName name="CONDUC">#REF!</definedName>
    <definedName name="confilm">#REF!</definedName>
    <definedName name="CONTRATISTA">#REF!</definedName>
    <definedName name="CONTRATO">#REF!</definedName>
    <definedName name="COPIA">#REF!</definedName>
    <definedName name="COPY">#REF!</definedName>
    <definedName name="COPY2">#REF!</definedName>
    <definedName name="COPY3">#REF!</definedName>
    <definedName name="cortadora">#REF!</definedName>
    <definedName name="corte">#REF!</definedName>
    <definedName name="Costo_de_Ventas">#REF!</definedName>
    <definedName name="COSTO_POSESION">#REF!</definedName>
    <definedName name="COSTO_POSESION1">#REF!</definedName>
    <definedName name="Cp">#REF!</definedName>
    <definedName name="cretex">#REF!</definedName>
    <definedName name="ctad">#REF!</definedName>
    <definedName name="CTS">#REF!</definedName>
    <definedName name="cuadro1">#REF!</definedName>
    <definedName name="Cuentas_por_cobrar_diversas">#REF!</definedName>
    <definedName name="Cuentas_por_pagar_diversas">#REF!</definedName>
    <definedName name="Curador">#REF!</definedName>
    <definedName name="CXCC">#REF!</definedName>
    <definedName name="CXPC">#REF!</definedName>
    <definedName name="D">#REF!</definedName>
    <definedName name="DA">#REF!</definedName>
    <definedName name="DALP">#REF!</definedName>
    <definedName name="dalp2">#REF!</definedName>
    <definedName name="DALPLAZO">#REF!</definedName>
    <definedName name="DATA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o">#REF!</definedName>
    <definedName name="DD">#REF!</definedName>
    <definedName name="ddddd">#REF!</definedName>
    <definedName name="debd">#REF!</definedName>
    <definedName name="dedo">#REF!</definedName>
    <definedName name="DEP101P8">#REF!</definedName>
    <definedName name="DEP101SP">#REF!</definedName>
    <definedName name="DEP101UP">#REF!</definedName>
    <definedName name="DEP102SP">#REF!</definedName>
    <definedName name="DEP102UP">#REF!</definedName>
    <definedName name="DEP1032P">#REF!</definedName>
    <definedName name="DEP103SP">#REF!</definedName>
    <definedName name="DEP104SP">#REF!</definedName>
    <definedName name="dep104up">#REF!</definedName>
    <definedName name="DEP105UP">#REF!</definedName>
    <definedName name="DEP106SP">#REF!</definedName>
    <definedName name="dep106up">#REF!</definedName>
    <definedName name="DEP107SP">#REF!</definedName>
    <definedName name="DEP108SP">#REF!</definedName>
    <definedName name="dep108up">#REF!</definedName>
    <definedName name="DESCRIPCION">#REF!</definedName>
    <definedName name="DF">#REF!</definedName>
    <definedName name="dgfrdyhre">#REF!</definedName>
    <definedName name="DH">#REF!</definedName>
    <definedName name="diam.">#REF!</definedName>
    <definedName name="diam2">#REF!</definedName>
    <definedName name="Diciembre">#REF!</definedName>
    <definedName name="disco">#REF!</definedName>
    <definedName name="disolvente">#REF!</definedName>
    <definedName name="DNT">#REF!</definedName>
    <definedName name="DNTI">#REF!</definedName>
    <definedName name="DOA">#REF!</definedName>
    <definedName name="dobladora">#REF!</definedName>
    <definedName name="dolar">#REF!</definedName>
    <definedName name="DÓLAR">#REF!</definedName>
    <definedName name="dpto2">#REF!</definedName>
    <definedName name="dptp">#REF!</definedName>
    <definedName name="DSD">#REF!</definedName>
    <definedName name="DT">#REF!</definedName>
    <definedName name="dta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A">#REF!</definedName>
    <definedName name="EDIFICIO">#REF!</definedName>
    <definedName name="edificio10x5">#REF!</definedName>
    <definedName name="EdificioA">'[14]Edificio A'!$1:$1048576</definedName>
    <definedName name="EdificioB">'[14]Edificio B'!$1:$1048576</definedName>
    <definedName name="EE">#REF!</definedName>
    <definedName name="eeeee">#REF!</definedName>
    <definedName name="eeeeeeee">'[15]OBRA CIVIL'!$A$8:$IV$8</definedName>
    <definedName name="EEEEEEEEEEEEEEEEEEEEEEEEEEEEEEEEEEEEEEEEEEEEEEEEEEEEEEEEEEEEEEEEEEEEEEEEEEEEEEEEEEEEEEEEEEEEEEEEEEEEEEEEEEEEEEEEEEEEEEEEEEEEEEEEEEEEEEEEEEEEEEEEEEE">#REF!</definedName>
    <definedName name="Elemento">[16]Búsqueda!$N$4:$AB$4</definedName>
    <definedName name="ELEMENTS">[9]WEEKBASE!$A$38:$B$42</definedName>
    <definedName name="empa">'[17]formula '!$T$12:$U$17</definedName>
    <definedName name="EMPALMEVERTICAL">[18]Hoja2!$F$6:$G$14</definedName>
    <definedName name="EMPVINC">#REF!</definedName>
    <definedName name="EMPVINC2">#REF!</definedName>
    <definedName name="eq">#REF!</definedName>
    <definedName name="EQUIP">#REF!</definedName>
    <definedName name="Equipo">#REF!</definedName>
    <definedName name="equipocorte">#REF!</definedName>
    <definedName name="ESC">#REF!</definedName>
    <definedName name="ESC_1">#REF!</definedName>
    <definedName name="ESC_2">#REF!</definedName>
    <definedName name="ESC_3">#REF!</definedName>
    <definedName name="ESC_4">#REF!</definedName>
    <definedName name="ESC_5">#REF!</definedName>
    <definedName name="ESPEJOS">#REF!</definedName>
    <definedName name="Estac_aéreo1">#REF!</definedName>
    <definedName name="Estac_aéreo2">#REF!</definedName>
    <definedName name="ESTACION">#REF!</definedName>
    <definedName name="Estimating_Click">#REF!</definedName>
    <definedName name="Estimating_Click_PDBT">#REF!</definedName>
    <definedName name="Estructura">#REF!</definedName>
    <definedName name="estudio7">#REF!</definedName>
    <definedName name="et">#REF!</definedName>
    <definedName name="ewgyre">#REF!</definedName>
    <definedName name="EX">#REF!</definedName>
    <definedName name="Excel_BuiltIn_Print_Area">#REF!</definedName>
    <definedName name="Excel_BuiltIn_Print_Area_1">#REF!</definedName>
    <definedName name="Excel_BuiltIn_Print_Titles_3">('[19]RESUMEN DE METRADO'!$A$1:$D$65294,'[19]RESUMEN DE METRADO'!$A$1:$IU$11)</definedName>
    <definedName name="Excel_BuiltIn_Print_Titles_3_1">('[19]RESUMEN DE METRADO'!$A$1:$D$71,'[19]RESUMEN DE METRADO'!$A$1:$IU$11)</definedName>
    <definedName name="exist">#REF!</definedName>
    <definedName name="existen">#REF!</definedName>
    <definedName name="EXISTENCIAS">#REF!</definedName>
    <definedName name="EXTER.">#REF!</definedName>
    <definedName name="FA">#REF!</definedName>
    <definedName name="factor">[20]PU!$F$13</definedName>
    <definedName name="FBV">#REF!</definedName>
    <definedName name="fd">#REF!</definedName>
    <definedName name="fdg">'[15]ESTRUCTURA DE HORMIGON'!$A$1:$IV$7</definedName>
    <definedName name="FE">#REF!</definedName>
    <definedName name="Fecha">#REF!</definedName>
    <definedName name="FFFFFFFFFFFFFFFF">#REF!</definedName>
    <definedName name="FFFFFFFFFFFFFFFFFFFFFFFFFFFFFFFFFFFFFFFFFFFFFFFFFFFFFFFFFFFFFFFFFF">#REF!</definedName>
    <definedName name="fghjhj">#REF!</definedName>
    <definedName name="fliso">#REF!</definedName>
    <definedName name="flu">#REF!</definedName>
    <definedName name="FLUJO1">#REF!</definedName>
    <definedName name="FLUJO2">#REF!</definedName>
    <definedName name="FM">#REF!</definedName>
    <definedName name="FN">#REF!</definedName>
    <definedName name="FORMALETA">[5]A!$D$67:$D$68</definedName>
    <definedName name="FRENTES">[21]Datos!$B$8:$C$37</definedName>
    <definedName name="FSD">#REF!</definedName>
    <definedName name="G">#REF!</definedName>
    <definedName name="G1000PP">#REF!</definedName>
    <definedName name="G11300SP">#REF!</definedName>
    <definedName name="G11625M">#REF!</definedName>
    <definedName name="G11950CP">#REF!</definedName>
    <definedName name="G1325M">#REF!</definedName>
    <definedName name="G1650SP">#REF!</definedName>
    <definedName name="G2000PP">#REF!</definedName>
    <definedName name="G21300SP">#REF!</definedName>
    <definedName name="G21625M">#REF!</definedName>
    <definedName name="G21950CP">#REF!</definedName>
    <definedName name="G2325M">#REF!</definedName>
    <definedName name="G2650SP">#REF!</definedName>
    <definedName name="G2975M">#REF!</definedName>
    <definedName name="G3000PP">#REF!</definedName>
    <definedName name="G31300SP">#REF!</definedName>
    <definedName name="G31625M">#REF!</definedName>
    <definedName name="G31950CP">#REF!</definedName>
    <definedName name="G3325M">#REF!</definedName>
    <definedName name="G3650SP">#REF!</definedName>
    <definedName name="Ganancias_Diferidas">#REF!</definedName>
    <definedName name="Gastos_de_administración">#REF!</definedName>
    <definedName name="Gastos_de_Inversión">#REF!</definedName>
    <definedName name="Gastos_financieros">#REF!</definedName>
    <definedName name="GDV">#REF!</definedName>
    <definedName name="GenDetail">#REF!</definedName>
    <definedName name="GES">#REF!</definedName>
    <definedName name="GG">#REF!</definedName>
    <definedName name="GGen">#REF!</definedName>
    <definedName name="GGESHOP">[13]N°1!$F$1304</definedName>
    <definedName name="GGG">#REF!</definedName>
    <definedName name="gggg">#REF!</definedName>
    <definedName name="GGGGGG">#REF!</definedName>
    <definedName name="GI">#REF!</definedName>
    <definedName name="GPXA">#REF!</definedName>
    <definedName name="Gradas_sobre_relleno__concreto">#REF!</definedName>
    <definedName name="grafico">#REF!</definedName>
    <definedName name="Grasa">#REF!</definedName>
    <definedName name="GRAVA">[5]A!$D$58:$D$59</definedName>
    <definedName name="GRIFERIA">#REF!</definedName>
    <definedName name="GU">#REF!</definedName>
    <definedName name="GUADALUPE.">#REF!</definedName>
    <definedName name="GVBLSADKGKGDSAK">#REF!</definedName>
    <definedName name="GYP">#REF!</definedName>
    <definedName name="H">#REF!</definedName>
    <definedName name="habd">#REF!</definedName>
    <definedName name="hfhrt">#REF!</definedName>
    <definedName name="HHC">#REF!</definedName>
    <definedName name="HHME">#REF!</definedName>
    <definedName name="HHT">#REF!</definedName>
    <definedName name="hijbijb">#REF!</definedName>
    <definedName name="HOA">#REF!</definedName>
    <definedName name="hola">"$"</definedName>
    <definedName name="HOLYDAYS">[22]CALENDARIO!$J$2:$K$180</definedName>
    <definedName name="Hormigon">#REF!</definedName>
    <definedName name="HT">#REF!</definedName>
    <definedName name="HTA">#REF!</definedName>
    <definedName name="I">#REF!</definedName>
    <definedName name="iarypd">#REF!</definedName>
    <definedName name="ICNI">#REF!</definedName>
    <definedName name="IGV">#REF!</definedName>
    <definedName name="IIMMXX">#REF!</definedName>
    <definedName name="ILNI">#REF!</definedName>
    <definedName name="imp">#REF!</definedName>
    <definedName name="Imprimir_área_IM">#REF!</definedName>
    <definedName name="imye">#REF!</definedName>
    <definedName name="imye5">#REF!</definedName>
    <definedName name="INDICE">#REF!</definedName>
    <definedName name="Ingresos_excepcionales">#REF!</definedName>
    <definedName name="Ingresos_Financieros">#REF!</definedName>
    <definedName name="INI_CEMENTO">[5]A!$D$25</definedName>
    <definedName name="INI_CONCRETOS">[5]A!$D$34</definedName>
    <definedName name="INI_FORMALETA">[5]A!$D$31</definedName>
    <definedName name="INI_GRAVA">[5]A!$D$22</definedName>
    <definedName name="INI_OTROS">[5]A!$D$28</definedName>
    <definedName name="INICIO">#REF!</definedName>
    <definedName name="Inmuebles_Maquinaria_y_Equipo">#REF!</definedName>
    <definedName name="INSUMOS">[23]Insumos!$A$6:$C$61</definedName>
    <definedName name="insumos1">[24]Insumos!$A$6:$C$24</definedName>
    <definedName name="inverpem2">#REF!</definedName>
    <definedName name="inverperm2">#REF!</definedName>
    <definedName name="Inversiones_en_Valores">#REF!</definedName>
    <definedName name="IR">#REF!</definedName>
    <definedName name="IRPD3">#REF!</definedName>
    <definedName name="J">#REF!</definedName>
    <definedName name="K">#REF!</definedName>
    <definedName name="kj">#REF!</definedName>
    <definedName name="kjp">#REF!</definedName>
    <definedName name="laca">#REF!</definedName>
    <definedName name="ladrillokk">#REF!</definedName>
    <definedName name="LEVELS">[9]WEEKBASE!$A$45:$B$47</definedName>
    <definedName name="LICITACION">#REF!</definedName>
    <definedName name="LISTA">#REF!</definedName>
    <definedName name="LISTADO">#REF!</definedName>
    <definedName name="lk">#REF!</definedName>
    <definedName name="lllllllllllllllllll">#REF!</definedName>
    <definedName name="LM2SOTANO">#REF!</definedName>
    <definedName name="LM3SOTANO">#REF!</definedName>
    <definedName name="LRP">#REF!</definedName>
    <definedName name="lu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M_70">#REF!</definedName>
    <definedName name="LUPE.">#REF!</definedName>
    <definedName name="M">'[2]Encofrado BVR Unispan'!$C$7</definedName>
    <definedName name="M_EDIFICIOS">[25]Sheet3!$A$1:$B$24</definedName>
    <definedName name="ma">#REF!</definedName>
    <definedName name="Madera">#REF!</definedName>
    <definedName name="MARCOSMADERA">#REF!</definedName>
    <definedName name="MARCOSMETALICOS">#REF!</definedName>
    <definedName name="martillo">#REF!</definedName>
    <definedName name="martillohilti">#REF!</definedName>
    <definedName name="MASTER">#REF!</definedName>
    <definedName name="MAT">#REF!</definedName>
    <definedName name="mater">#REF!</definedName>
    <definedName name="mater1">#REF!</definedName>
    <definedName name="materiales">[26]Joe_Materiales!$B$15:$B$1751</definedName>
    <definedName name="MAVC">#REF!</definedName>
    <definedName name="mcasa02">#REF!</definedName>
    <definedName name="MDC">#REF!</definedName>
    <definedName name="MDDH">#REF!</definedName>
    <definedName name="MDM">#REF!</definedName>
    <definedName name="Mes">#REF!</definedName>
    <definedName name="MET">#REF!</definedName>
    <definedName name="METRADO">#REF!</definedName>
    <definedName name="mezcladora">#REF!</definedName>
    <definedName name="MGG">#REF!</definedName>
    <definedName name="mirko">#REF!</definedName>
    <definedName name="MIT">#REF!</definedName>
    <definedName name="mmmmmmmmmmmmmm">#REF!</definedName>
    <definedName name="MNI">#REF!</definedName>
    <definedName name="MNP">#REF!</definedName>
    <definedName name="MOBRA">#REF!</definedName>
    <definedName name="mohamad">#REF!</definedName>
    <definedName name="MONEXT">#REF!</definedName>
    <definedName name="MONTAJE">#REF!</definedName>
    <definedName name="MONTO">#REF!</definedName>
    <definedName name="Muros">[27]Muros!$AL$4:$AS$37</definedName>
    <definedName name="N">#REF!</definedName>
    <definedName name="N._FUND.">[11]BASES!$C$4:$C$12</definedName>
    <definedName name="Nivel">#REF!</definedName>
    <definedName name="NO">#REF!</definedName>
    <definedName name="nombreproyecto">#REF!</definedName>
    <definedName name="NroPresup">#REF!</definedName>
    <definedName name="NU">#REF!</definedName>
    <definedName name="NUEVA">#REF!</definedName>
    <definedName name="OBRA">#REF!</definedName>
    <definedName name="Obras">#REF!</definedName>
    <definedName name="OCXC">#REF!</definedName>
    <definedName name="OCXP">#REF!</definedName>
    <definedName name="Of">#REF!</definedName>
    <definedName name="oooo">#REF!</definedName>
    <definedName name="ooooooooooooo">#REF!</definedName>
    <definedName name="Op">#REF!</definedName>
    <definedName name="otract">#REF!</definedName>
    <definedName name="OTRO">#REF!</definedName>
    <definedName name="OTROING">#REF!</definedName>
    <definedName name="OTROS">[5]A!$D$64:$D$65</definedName>
    <definedName name="P_EQUIP">[5]A!$D$91:$D$93</definedName>
    <definedName name="P_FORPU">[5]A!$D$87:$D$89</definedName>
    <definedName name="P_MACRO">[5]A!$D$83:$D$85</definedName>
    <definedName name="P_RESUMEN">[5]A!$D$78:$D$80</definedName>
    <definedName name="P10C1">#REF!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G">#REF!</definedName>
    <definedName name="Página1">#REF!</definedName>
    <definedName name="Página2">#REF!</definedName>
    <definedName name="Página3">#REF!</definedName>
    <definedName name="PalisadeReportWorkbookCreatedBy">"AtRisk"</definedName>
    <definedName name="PARTEX">#REF!</definedName>
    <definedName name="PARTIDA">#REF!</definedName>
    <definedName name="Partidas">[28]Original!$A$4:$H$134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C">#REF!</definedName>
    <definedName name="PAT_M">#REF!</definedName>
    <definedName name="PATRIM">#REF!</definedName>
    <definedName name="PAZ">#REF!</definedName>
    <definedName name="pdlt2">#REF!</definedName>
    <definedName name="pepe">[4]puni!$H$281</definedName>
    <definedName name="PER">#REF!</definedName>
    <definedName name="Perímetro_sótano">#REF!</definedName>
    <definedName name="Perímetro_tienda">#REF!</definedName>
    <definedName name="periodo">#REF!</definedName>
    <definedName name="PESO">#REF!</definedName>
    <definedName name="PESO_COLUMNAS">#REF!</definedName>
    <definedName name="PESOS">#REF!</definedName>
    <definedName name="piedrag">#REF!</definedName>
    <definedName name="PISO_2">#REF!</definedName>
    <definedName name="PISO_5">#REF!</definedName>
    <definedName name="PISO_6">#REF!</definedName>
    <definedName name="PISO_7">#REF!</definedName>
    <definedName name="PISO_8">#REF!</definedName>
    <definedName name="PISO_9">#REF!</definedName>
    <definedName name="plac7pis1">#REF!</definedName>
    <definedName name="Placa">'[27]dATOS '!$C$115:$P$227</definedName>
    <definedName name="placa7pis2">#REF!</definedName>
    <definedName name="PLAZO">#REF!</definedName>
    <definedName name="por">#REF!</definedName>
    <definedName name="PORTALINEA">#REF!</definedName>
    <definedName name="POSTES">#REF!</definedName>
    <definedName name="pppppppp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Estac">#REF!</definedName>
    <definedName name="PRECIOS_A">#REF!</definedName>
    <definedName name="PRECIOS_UNIT">#REF!</definedName>
    <definedName name="presupuesto">#REF!</definedName>
    <definedName name="producto">#REF!</definedName>
    <definedName name="PROPIETARIO">#REF!</definedName>
    <definedName name="PROY_INTERNO">#REF!</definedName>
    <definedName name="prueba">[16]Búsqueda!$Y$22,[16]Búsqueda!$W$19</definedName>
    <definedName name="pruebaprueba">[16]Búsqueda!$Y$22,[16]Búsqueda!$W$19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TG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[5]A!$D$11:$D$53</definedName>
    <definedName name="PUDetallado">'[29]Ppto con Detalle'!$A$39:$M$3151</definedName>
    <definedName name="PUERTASALUMINIO">#REF!</definedName>
    <definedName name="punta">#REF!</definedName>
    <definedName name="pvc">#REF!</definedName>
    <definedName name="qrr">#REF!</definedName>
    <definedName name="Quimilac">#REF!</definedName>
    <definedName name="Quimisolven">#REF!</definedName>
    <definedName name="qwet">#REF!</definedName>
    <definedName name="rArea">#REF!</definedName>
    <definedName name="RBAH">#REF!</definedName>
    <definedName name="rDestinos">#REF!</definedName>
    <definedName name="RECURSOS">#REF!</definedName>
    <definedName name="ree">[30]presupuesto!$Q$3</definedName>
    <definedName name="REI">#REF!</definedName>
    <definedName name="RELACION">#REF!</definedName>
    <definedName name="Relpar">#REF!</definedName>
    <definedName name="REM">#REF!</definedName>
    <definedName name="rend">#REF!</definedName>
    <definedName name="REPORTE">[5]A!$D$9</definedName>
    <definedName name="res">#REF!</definedName>
    <definedName name="Resultado_del_Ejercicio">#REF!</definedName>
    <definedName name="Resultados_Acumulados">#REF!</definedName>
    <definedName name="Resumen">#REF!</definedName>
    <definedName name="resursos">#REF!</definedName>
    <definedName name="Ret_1">'[8]Avance financiero'!$D$13</definedName>
    <definedName name="Ret_10">'[8]Avance financiero'!$D$22</definedName>
    <definedName name="Ret_2">'[8]Avance financiero'!$D$14</definedName>
    <definedName name="Ret_3">'[8]Avance financiero'!$D$15</definedName>
    <definedName name="Ret_4">'[8]Avance financiero'!$D$16</definedName>
    <definedName name="Ret_5">'[8]Avance financiero'!$D$17</definedName>
    <definedName name="Ret_6">'[8]Avance financiero'!$D$18</definedName>
    <definedName name="Ret_7">'[8]Avance financiero'!$D$19</definedName>
    <definedName name="Ret_8">'[8]Avance financiero'!$D$20</definedName>
    <definedName name="Ret_9">'[8]Avance financiero'!$D$21</definedName>
    <definedName name="REVISAR">#REF!</definedName>
    <definedName name="REVISAR1">#REF!</definedName>
    <definedName name="RGRAL">#REF!</definedName>
    <definedName name="RI">#REF!</definedName>
    <definedName name="RI_A">#REF!</definedName>
    <definedName name="RI_S">#REF!</definedName>
    <definedName name="RINA">#REF!</definedName>
    <definedName name="RiskAfterRecalcMacro">""</definedName>
    <definedName name="RiskAfterSimMacro">""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5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Mapa">#REF!</definedName>
    <definedName name="rMateriales">#REF!</definedName>
    <definedName name="rObra">#REF!</definedName>
    <definedName name="rObras">#REF!</definedName>
    <definedName name="rodillo">#REF!</definedName>
    <definedName name="RPHA">#REF!</definedName>
    <definedName name="rResursos">#REF!</definedName>
    <definedName name="RRRRRRRRRRRRRRRRRRRRRRRRRRRRRRRRRRRRRR">#REF!</definedName>
    <definedName name="rUnMedida">#REF!</definedName>
    <definedName name="RV">#REF!</definedName>
    <definedName name="RV_A">#REF!</definedName>
    <definedName name="RV_S">#REF!</definedName>
    <definedName name="s">#REF!</definedName>
    <definedName name="SAL">[5]A!$D$52</definedName>
    <definedName name="SBH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DSDSD">#REF!</definedName>
    <definedName name="sellador">#REF!</definedName>
    <definedName name="Services2">#REF!</definedName>
    <definedName name="Services2_1">#REF!</definedName>
    <definedName name="Services2_2">#REF!</definedName>
    <definedName name="Services2_3">#REF!</definedName>
    <definedName name="Services2_4">#REF!</definedName>
    <definedName name="Services2_5">#REF!</definedName>
    <definedName name="Servicios_prestados_por_terceros">#REF!</definedName>
    <definedName name="SF000PP">#REF!</definedName>
    <definedName name="SF1300SP">#REF!</definedName>
    <definedName name="SF1625M">#REF!</definedName>
    <definedName name="SF1950CP">#REF!</definedName>
    <definedName name="SF325M">#REF!</definedName>
    <definedName name="SF650SP">#REF!</definedName>
    <definedName name="sheet6">#REF!</definedName>
    <definedName name="sheet6_1">#REF!</definedName>
    <definedName name="sika1">#REF!</definedName>
    <definedName name="sikapiso40">#REF!</definedName>
    <definedName name="SISTEMA1">#REF!</definedName>
    <definedName name="SISTEMA2">#REF!</definedName>
    <definedName name="SM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BREPRS">#REF!</definedName>
    <definedName name="Sol">#REF!</definedName>
    <definedName name="SOLES">#REF!</definedName>
    <definedName name="sot">#REF!</definedName>
    <definedName name="ss">#REF!</definedName>
    <definedName name="SSS">#REF!</definedName>
    <definedName name="ssssssss">#REF!</definedName>
    <definedName name="ssssssssss">'[15]INSTALACION ELECTRICA'!$A$1:$IV$9</definedName>
    <definedName name="STAFF">[9]WEEKBASE!$J$2:$K$26</definedName>
    <definedName name="STB">#REF!</definedName>
    <definedName name="SUBCON">#REF!</definedName>
    <definedName name="SUM_DEP">#REF!</definedName>
    <definedName name="SUMINISTRO">[5]A!$D$73</definedName>
    <definedName name="Superestructura">#REF!</definedName>
    <definedName name="SUPERVISION">#REF!</definedName>
    <definedName name="surflex">#REF!</definedName>
    <definedName name="T">'[2]Encofrado BVR Unispan'!$C$8</definedName>
    <definedName name="ta">#REF!</definedName>
    <definedName name="TABLA">#REF!</definedName>
    <definedName name="Tarrajeo">#REF!</definedName>
    <definedName name="TASKS">[9]WEEKBASE!$A$21:$B$36</definedName>
    <definedName name="TC">#REF!</definedName>
    <definedName name="TD">#REF!</definedName>
    <definedName name="tecnopor">#REF!</definedName>
    <definedName name="TelefonoMovil">#REF!</definedName>
    <definedName name="Teodolito">#REF!</definedName>
    <definedName name="TERMINO">#REF!</definedName>
    <definedName name="test">#REF!</definedName>
    <definedName name="test_1">#REF!</definedName>
    <definedName name="test_2">#REF!</definedName>
    <definedName name="test_3">#REF!</definedName>
    <definedName name="test_4">#REF!</definedName>
    <definedName name="test_5">#REF!</definedName>
    <definedName name="TextRefCopy14">#REF!</definedName>
    <definedName name="TextRefCopy15">#REF!</definedName>
    <definedName name="TextRefCopy17">#REF!</definedName>
    <definedName name="TextRefCopy19">#REF!</definedName>
    <definedName name="TextRefCopy2">[31]Conciliaciones!#REF!</definedName>
    <definedName name="TextRefCopy20">#REF!</definedName>
    <definedName name="TextRefCopy21">'[32]Rev. de Gastos'!#REF!</definedName>
    <definedName name="TextRefCopy22">#REF!</definedName>
    <definedName name="TextRefCopy23">#REF!</definedName>
    <definedName name="TextRefCopy25">#REF!</definedName>
    <definedName name="TextRefCopy26">#REF!</definedName>
    <definedName name="TextRefCopy27">#REF!</definedName>
    <definedName name="TextRefCopy3">[31]Conciliaciones!#REF!</definedName>
    <definedName name="TextRefCopy31">'[32]Rev. de Gastos'!#REF!</definedName>
    <definedName name="TextRefCopy32">'[32]Rev. de Gastos'!#REF!</definedName>
    <definedName name="TextRefCopy33">'[33]Rev. 7 deb{4}  '!#REF!</definedName>
    <definedName name="TextRefCopy34">#REF!</definedName>
    <definedName name="TextRefCopy35">'[32]Rev. de Gastos'!#REF!</definedName>
    <definedName name="TextRefCopy39">'[33]Base selecc.{2} '!$B$31</definedName>
    <definedName name="TextRefCopy41">'[32]Rev. de Gastos'!#REF!</definedName>
    <definedName name="TextRefCopy5">#REF!</definedName>
    <definedName name="TextRefCopy51">'[32]Rev. de Gastos'!#REF!</definedName>
    <definedName name="TextRefCopy53">'[32]Rev. de Gastos'!#REF!</definedName>
    <definedName name="TextRefCopy54">'[32]Rev. de Gastos'!#REF!</definedName>
    <definedName name="TextRefCopy55">'[32]Rev. de Gastos'!#REF!</definedName>
    <definedName name="TextRefCopy57">'[32]Rev. de Gastos'!#REF!</definedName>
    <definedName name="TextRefCopy6">[34]ResumenConcBanc!#REF!</definedName>
    <definedName name="TextRefCopy65">[31]Conciliaciones!#REF!</definedName>
    <definedName name="TextRefCopy66">#REF!</definedName>
    <definedName name="TextRefCopy67">[31]Conciliaciones!#REF!</definedName>
    <definedName name="TextRefCopy68">[31]Conciliaciones!#REF!</definedName>
    <definedName name="TextRefCopy69">[31]Conciliaciones!#REF!</definedName>
    <definedName name="TextRefCopy7">[34]ResumenConcBanc!#REF!</definedName>
    <definedName name="TextRefCopy70">[31]Conciliaciones!#REF!</definedName>
    <definedName name="TextRefCopy71">[31]Conciliaciones!#REF!</definedName>
    <definedName name="TextRefCopy72">[31]Conciliaciones!#REF!</definedName>
    <definedName name="TextRefCopy74">#REF!</definedName>
    <definedName name="TextRefCopy76">[31]Conciliaciones!#REF!</definedName>
    <definedName name="TextRefCopy78">[31]Conciliaciones!#REF!</definedName>
    <definedName name="TextRefCopy79">[31]Conciliaciones!#REF!</definedName>
    <definedName name="TextRefCopy82">#REF!</definedName>
    <definedName name="TextRefCopy83">#REF!</definedName>
    <definedName name="TextRefCopy84">[31]Conciliaciones!#REF!</definedName>
    <definedName name="TextRefCopy85">#REF!</definedName>
    <definedName name="TextRefCopyRangeCount">4</definedName>
    <definedName name="TGA">#REF!</definedName>
    <definedName name="TIPCAMB">#REF!</definedName>
    <definedName name="Titulos">#REF!</definedName>
    <definedName name="TO_MAT">[5]A!$D$42</definedName>
    <definedName name="TOTAL">[35]A:B!$C$1:$U$156</definedName>
    <definedName name="TR4P">#REF!</definedName>
    <definedName name="traslape">'[36]formula '!$I$16:$K$21</definedName>
    <definedName name="Tributos">#REF!</definedName>
    <definedName name="Tributos_por_pagar">#REF!</definedName>
    <definedName name="triplay">#REF!</definedName>
    <definedName name="TT">#REF!</definedName>
    <definedName name="uf">#REF!</definedName>
    <definedName name="ultimito">#REF!</definedName>
    <definedName name="UND.">#REF!</definedName>
    <definedName name="uss">#REF!</definedName>
    <definedName name="UT">'[37]RES F1'!$D$42</definedName>
    <definedName name="UTI">#REF!</definedName>
    <definedName name="UTILSHOP">[13]N°1!$F$1306</definedName>
    <definedName name="UUU">'[38]Presup. Estimado'!$A$8</definedName>
    <definedName name="uuuuuuuuuu">#REF!</definedName>
    <definedName name="UXA">#REF!</definedName>
    <definedName name="v">#REF!</definedName>
    <definedName name="VALNEG">#REF!</definedName>
    <definedName name="VALOR_UF">#REF!</definedName>
    <definedName name="vanessa">#REF!</definedName>
    <definedName name="VANITORIOS">#REF!</definedName>
    <definedName name="VANOS">#REF!</definedName>
    <definedName name="VENTANAS">#REF!</definedName>
    <definedName name="Ventas">#REF!</definedName>
    <definedName name="VI">#REF!</definedName>
    <definedName name="vibradora">#REF!</definedName>
    <definedName name="vigas">#REF!</definedName>
    <definedName name="VIGAS11PISO">#REF!</definedName>
    <definedName name="VIGAS1PISO">#REF!</definedName>
    <definedName name="VIGAS1SOTANO">#REF!</definedName>
    <definedName name="VIGAS2PISO">#REF!</definedName>
    <definedName name="VIGAS2SOTANO">#REF!</definedName>
    <definedName name="VIGAS3A10PISO">#REF!</definedName>
    <definedName name="VIGAS3SOTANO">#REF!</definedName>
    <definedName name="VIGASCTOASC">#REF!</definedName>
    <definedName name="VNI">#REF!</definedName>
    <definedName name="VNIM">#REF!</definedName>
    <definedName name="VOL.">[11]BASES!$L$4:$L$12</definedName>
    <definedName name="VOL._TOT.">[11]BASES!$M$4:$M$12</definedName>
    <definedName name="vvvt">#REF!</definedName>
    <definedName name="vvvvvvvvvvvvvvvvvv">#REF!</definedName>
    <definedName name="WDQDQW">#REF!</definedName>
    <definedName name="wed">#REF!</definedName>
    <definedName name="WEEK">[22]CALENDARIO!$A$2:$C$8</definedName>
    <definedName name="WK">[9]WEEKBASE!$E$2:$F$619</definedName>
    <definedName name="wrn.Aging._.and._.Trend._.Analysis.">{#N/A,#N/A,FALSE,"Aging Summary";#N/A,#N/A,FALSE,"Ratio Analysis";#N/A,#N/A,FALSE,"Test 120 Day Accts";#N/A,#N/A,FALSE,"Tickmarks"}</definedName>
    <definedName name="wrn.all.">#REF!</definedName>
    <definedName name="wrn.all._1">#REF!</definedName>
    <definedName name="wrn.all._2">#REF!</definedName>
    <definedName name="wrn.all._3">#REF!</definedName>
    <definedName name="wrn.all._4">#REF!</definedName>
    <definedName name="wrn.all._5">#REF!</definedName>
    <definedName name="wrn.COST_SHEETS.">#REF!</definedName>
    <definedName name="wrn.COST_SHEETS._1">#REF!</definedName>
    <definedName name="wrn.COST_SHEETS._2">#REF!</definedName>
    <definedName name="wrn.COST_SHEETS._3">#REF!</definedName>
    <definedName name="wrn.COST_SHEETS._4">#REF!</definedName>
    <definedName name="wrn.COST_SHEETS._5">#REF!</definedName>
    <definedName name="wrn.precios.">#REF!</definedName>
    <definedName name="WW.">#REF!</definedName>
    <definedName name="www">#REF!</definedName>
    <definedName name="wwww">#REF!</definedName>
    <definedName name="wwwww">#REF!</definedName>
    <definedName name="wwwwwwwwwwwwwww">#REF!</definedName>
    <definedName name="X">#REF!</definedName>
    <definedName name="xcvb">#REF!</definedName>
    <definedName name="xxxxxxxxxx">#REF!</definedName>
    <definedName name="Y">#REF!</definedName>
    <definedName name="yrg">#REF!</definedName>
    <definedName name="yt">#REF!</definedName>
    <definedName name="yute">#REF!</definedName>
    <definedName name="zapata">'[36]formula '!$E$16:$G$21</definedName>
    <definedName name="ZETA">#REF!</definedName>
    <definedName name="ZZ">#REF!</definedName>
    <definedName name="zzzz">#REF!</definedName>
    <definedName name="zzzzzzzzzzzz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K7" i="4"/>
  <c r="L7" i="4"/>
  <c r="M7" i="4"/>
  <c r="N7" i="4"/>
  <c r="O7" i="4"/>
  <c r="P7" i="4"/>
  <c r="Q7" i="4"/>
  <c r="I7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9" i="4"/>
  <c r="G7" i="4" l="1"/>
  <c r="C27" i="3" l="1"/>
  <c r="G27" i="3" s="1"/>
  <c r="I7" i="13" l="1"/>
  <c r="G7" i="13"/>
  <c r="C19" i="3" l="1"/>
  <c r="G19" i="3" l="1"/>
  <c r="G46" i="3" l="1"/>
  <c r="G44" i="3"/>
  <c r="C26" i="3"/>
  <c r="G26" i="3" s="1"/>
  <c r="C25" i="3"/>
  <c r="G25" i="3" s="1"/>
  <c r="C24" i="3"/>
  <c r="G24" i="3" s="1"/>
  <c r="C23" i="3"/>
  <c r="G23" i="3" s="1"/>
  <c r="C22" i="3"/>
  <c r="G22" i="3" s="1"/>
  <c r="C21" i="3"/>
  <c r="G21" i="3" s="1"/>
  <c r="C20" i="3"/>
  <c r="G20" i="3" s="1"/>
  <c r="C18" i="3"/>
  <c r="G18" i="3" s="1"/>
  <c r="C17" i="3"/>
  <c r="G17" i="3" s="1"/>
  <c r="C16" i="3"/>
  <c r="G16" i="3" s="1"/>
  <c r="C15" i="3"/>
  <c r="G15" i="3" s="1"/>
  <c r="C14" i="3"/>
  <c r="G14" i="3" s="1"/>
  <c r="C13" i="3"/>
  <c r="G13" i="3" s="1"/>
  <c r="C12" i="3"/>
  <c r="G12" i="3" s="1"/>
  <c r="C11" i="3"/>
  <c r="C33" i="3" s="1"/>
  <c r="G33" i="3" s="1"/>
  <c r="C31" i="3" l="1"/>
  <c r="G31" i="3" s="1"/>
  <c r="C34" i="3"/>
  <c r="G34" i="3" s="1"/>
  <c r="C39" i="3"/>
  <c r="G39" i="3" s="1"/>
  <c r="C32" i="3"/>
  <c r="G32" i="3" s="1"/>
  <c r="C35" i="3"/>
  <c r="G35" i="3" s="1"/>
  <c r="C40" i="3"/>
  <c r="G40" i="3" s="1"/>
  <c r="C45" i="3"/>
  <c r="G45" i="3" s="1"/>
  <c r="G47" i="3" s="1"/>
  <c r="C55" i="3"/>
  <c r="G55" i="3" s="1"/>
  <c r="G56" i="3" s="1"/>
  <c r="G11" i="3"/>
  <c r="G28" i="3" s="1"/>
  <c r="G36" i="3" l="1"/>
  <c r="G41" i="3"/>
  <c r="G59" i="3" l="1"/>
  <c r="H27" i="3" l="1"/>
  <c r="H19" i="3"/>
  <c r="H36" i="3"/>
  <c r="H54" i="3"/>
  <c r="H21" i="3"/>
  <c r="H32" i="3"/>
  <c r="H34" i="3"/>
  <c r="H13" i="3"/>
  <c r="H16" i="3"/>
  <c r="H14" i="3"/>
  <c r="H24" i="3"/>
  <c r="H15" i="3"/>
  <c r="H22" i="3"/>
  <c r="H23" i="3"/>
  <c r="H12" i="3"/>
  <c r="H40" i="3"/>
  <c r="H17" i="3"/>
  <c r="H46" i="3"/>
  <c r="H11" i="3"/>
  <c r="H35" i="3"/>
  <c r="H18" i="3"/>
  <c r="H25" i="3"/>
  <c r="H50" i="3"/>
  <c r="H28" i="3"/>
  <c r="H20" i="3"/>
  <c r="H39" i="3"/>
  <c r="H44" i="3"/>
  <c r="H51" i="3"/>
  <c r="H55" i="3"/>
  <c r="H26" i="3"/>
  <c r="H52" i="3"/>
  <c r="H45" i="3"/>
  <c r="H31" i="3"/>
  <c r="H33" i="3"/>
  <c r="H53" i="3"/>
  <c r="H41" i="3" l="1"/>
  <c r="H47" i="3"/>
  <c r="H56" i="3"/>
  <c r="H59" i="3" l="1"/>
  <c r="F53" i="3" l="1"/>
  <c r="F51" i="3"/>
  <c r="F50" i="3"/>
  <c r="F52" i="3"/>
  <c r="F54" i="3"/>
</calcChain>
</file>

<file path=xl/sharedStrings.xml><?xml version="1.0" encoding="utf-8"?>
<sst xmlns="http://schemas.openxmlformats.org/spreadsheetml/2006/main" count="4178" uniqueCount="2181">
  <si>
    <t>Und.</t>
  </si>
  <si>
    <t>INSTALACIONES SANITARIAS</t>
  </si>
  <si>
    <t>Item</t>
  </si>
  <si>
    <t>Descripción</t>
  </si>
  <si>
    <t>Metrado</t>
  </si>
  <si>
    <t>Precio (S/.)</t>
  </si>
  <si>
    <t>Parcial (S/.)</t>
  </si>
  <si>
    <t>Precio (U$)</t>
  </si>
  <si>
    <t>Parcial (U$)</t>
  </si>
  <si>
    <t>01</t>
  </si>
  <si>
    <t>OBRAS PRELIMINARES Y PROVISIONALES</t>
  </si>
  <si>
    <t>01.01</t>
  </si>
  <si>
    <t>AGUA Y ENERGIA PARA LA OBRA</t>
  </si>
  <si>
    <t>01.01.01</t>
  </si>
  <si>
    <t xml:space="preserve">    INSTALACION PROVISIONAL DE AGUA Y DESAGÜE</t>
  </si>
  <si>
    <t>glb</t>
  </si>
  <si>
    <t>01.01.02</t>
  </si>
  <si>
    <t xml:space="preserve">    INSTALACION PROVISIONAL DE ENERGÍA Y TELEFONÍA</t>
  </si>
  <si>
    <t>01.01.03</t>
  </si>
  <si>
    <t xml:space="preserve">    CONSUMO DE AGUA</t>
  </si>
  <si>
    <t>mes</t>
  </si>
  <si>
    <t>01.01.04</t>
  </si>
  <si>
    <t xml:space="preserve">    CONSUMO DE ENERGÍA</t>
  </si>
  <si>
    <t>01.01.05</t>
  </si>
  <si>
    <t xml:space="preserve">    CONSUMO DE TELÉFONO E INTERNET</t>
  </si>
  <si>
    <t>01.02</t>
  </si>
  <si>
    <t>OBRAS PRELIMINARES</t>
  </si>
  <si>
    <t>01.02.01</t>
  </si>
  <si>
    <t xml:space="preserve">    CERCO PERIMETRICO (01 CAMBIO DE MALLA Y DESMONTAJE)</t>
  </si>
  <si>
    <t>m</t>
  </si>
  <si>
    <t>01.02.02</t>
  </si>
  <si>
    <t>01.02.03</t>
  </si>
  <si>
    <t xml:space="preserve">    SUMINISTRO E INSTALACIÓN DE MALLA RASCHEL EN MURO PERIMETRAL VECINO</t>
  </si>
  <si>
    <t>01.02.04</t>
  </si>
  <si>
    <t xml:space="preserve">    ESCUADRAS METALICAS - ALQUILER</t>
  </si>
  <si>
    <t>01.02.05</t>
  </si>
  <si>
    <t>01.02.07</t>
  </si>
  <si>
    <t xml:space="preserve">    ALMACEN DE OBRA </t>
  </si>
  <si>
    <t>01.02.08</t>
  </si>
  <si>
    <t xml:space="preserve">    OFICINA STAFF</t>
  </si>
  <si>
    <t>01.02.09</t>
  </si>
  <si>
    <t xml:space="preserve">    VESTUARIO PERSONAL OBRERO</t>
  </si>
  <si>
    <t>01.02.10</t>
  </si>
  <si>
    <t xml:space="preserve">    BAÑOS PORTATILES INICIO DE OBRA</t>
  </si>
  <si>
    <t>01.02.11</t>
  </si>
  <si>
    <t xml:space="preserve">    CASETA DE GUARDIANIA</t>
  </si>
  <si>
    <t>01.02.12</t>
  </si>
  <si>
    <t>01.02.13</t>
  </si>
  <si>
    <t xml:space="preserve">    ESCALERA DE ACCESO A SOTANOS</t>
  </si>
  <si>
    <t>01.02.14</t>
  </si>
  <si>
    <t xml:space="preserve">    ESCALERA DE ACCESO A SOTANOS (MONTAJE Y DESMONTAJE)</t>
  </si>
  <si>
    <t>01.02.15</t>
  </si>
  <si>
    <t xml:space="preserve">    POZO A TIERRA</t>
  </si>
  <si>
    <t>und</t>
  </si>
  <si>
    <t xml:space="preserve">    BAÑOS PERMANENTES DE OBRA</t>
  </si>
  <si>
    <t>01.03</t>
  </si>
  <si>
    <t>TRABAJOS PRELIMINARES¿</t>
  </si>
  <si>
    <t>01.03.01</t>
  </si>
  <si>
    <t xml:space="preserve">    MOVILIZACION Y DESMOVILIZACION DE EQUIPOS</t>
  </si>
  <si>
    <t>vje</t>
  </si>
  <si>
    <t>01.03.02</t>
  </si>
  <si>
    <t xml:space="preserve">    MOVILIZACION Y DESMOVILIZACION DE EQUIPOS (ENCOFRADO)</t>
  </si>
  <si>
    <t>01.04</t>
  </si>
  <si>
    <t>TRANSPORTE VERTICAL Y HORIZONTAL</t>
  </si>
  <si>
    <t>01.04.01</t>
  </si>
  <si>
    <t xml:space="preserve">    ZAPATA</t>
  </si>
  <si>
    <t>01.04.02</t>
  </si>
  <si>
    <t xml:space="preserve">    MONTAJE Y DESMONTAJE  DE GRUA</t>
  </si>
  <si>
    <t>01.04.03</t>
  </si>
  <si>
    <t xml:space="preserve">    TRANSPORTE VERTICAL CON GRUA </t>
  </si>
  <si>
    <t>01.04.04</t>
  </si>
  <si>
    <t>01.04.05</t>
  </si>
  <si>
    <t xml:space="preserve">    ACARREO HORIZONTAL</t>
  </si>
  <si>
    <t>01.05</t>
  </si>
  <si>
    <t>TRAZOS, NIVELES Y REPLANTEO</t>
  </si>
  <si>
    <t>01.05.01</t>
  </si>
  <si>
    <t xml:space="preserve">    TRAZO Y REPLANTEO TOPOGRAFICO</t>
  </si>
  <si>
    <t>01.05.02</t>
  </si>
  <si>
    <t xml:space="preserve">    TRAZO Y REPLANTEO TOPOGRAFICO- ALBAÑILERIA</t>
  </si>
  <si>
    <t>01.06</t>
  </si>
  <si>
    <t>LIMPIEZA</t>
  </si>
  <si>
    <t>01.06.01</t>
  </si>
  <si>
    <t>m2</t>
  </si>
  <si>
    <t>01.06.02</t>
  </si>
  <si>
    <t xml:space="preserve">    LIMPIEZA FINAL TORRE (1 gruesa + 2 finas)</t>
  </si>
  <si>
    <t>01.06.03</t>
  </si>
  <si>
    <t xml:space="preserve">    ELIMINACIÓN PERMANENTE DE DESMONTE</t>
  </si>
  <si>
    <t>01.06.04</t>
  </si>
  <si>
    <t>01.07</t>
  </si>
  <si>
    <t>CALIDAD</t>
  </si>
  <si>
    <t>01.07.01</t>
  </si>
  <si>
    <t xml:space="preserve">    ENSAYO DE PROBETAS DE CONCRETO</t>
  </si>
  <si>
    <t>01.07.02</t>
  </si>
  <si>
    <t xml:space="preserve">    ENSAYO DE DENSIDAD DE CAMPO</t>
  </si>
  <si>
    <t>01.07.03</t>
  </si>
  <si>
    <t xml:space="preserve">    PROTECCIONES  DE PISOS</t>
  </si>
  <si>
    <t>01.08</t>
  </si>
  <si>
    <t>VIGILANCIA</t>
  </si>
  <si>
    <t>01.08.01</t>
  </si>
  <si>
    <t xml:space="preserve">    GUARDIANIA</t>
  </si>
  <si>
    <t>01.09</t>
  </si>
  <si>
    <t>ELABORACION E IMPLEMENTACION DEL PLAN SSOMA</t>
  </si>
  <si>
    <t>01.09.01</t>
  </si>
  <si>
    <t xml:space="preserve">    MALLA ANTICAIDA</t>
  </si>
  <si>
    <t>01.09.02</t>
  </si>
  <si>
    <t>01.09.03</t>
  </si>
  <si>
    <t xml:space="preserve">    EXAMENES MEDICOS</t>
  </si>
  <si>
    <t>01.09.04</t>
  </si>
  <si>
    <t xml:space="preserve">    EQUIPOS DE PROTECCION INDIVIDUAL (EPI)</t>
  </si>
  <si>
    <t>01.09.05</t>
  </si>
  <si>
    <t xml:space="preserve">    EQUIPOS DE PROTECCION COLECTIVA (EPC)</t>
  </si>
  <si>
    <t>01.09.06</t>
  </si>
  <si>
    <t xml:space="preserve">    SEÑALIZACION TEMPORAL DE SEGURIDAD</t>
  </si>
  <si>
    <t>01.09.07</t>
  </si>
  <si>
    <t xml:space="preserve">    RECURSOS PARA RESPUESTA ANTE EMERGENCIAS</t>
  </si>
  <si>
    <t>01.09.08</t>
  </si>
  <si>
    <t>01.09.09</t>
  </si>
  <si>
    <t xml:space="preserve">    MONITOREO AMBIENTAL</t>
  </si>
  <si>
    <t>01.09.10</t>
  </si>
  <si>
    <t>01.09.11</t>
  </si>
  <si>
    <t xml:space="preserve">    SEÑALEROS VIGIAS TRANSITO CASCO (2 AYUDANTES)</t>
  </si>
  <si>
    <t>01.09.12</t>
  </si>
  <si>
    <t xml:space="preserve">    INSPECCION NOTARIAL A VECINOS (INICIO DE OBRA)</t>
  </si>
  <si>
    <t>01.09.14</t>
  </si>
  <si>
    <t xml:space="preserve">    PROTECCIÓN A VECINOS</t>
  </si>
  <si>
    <t>01.09.13</t>
  </si>
  <si>
    <t xml:space="preserve">    ENTREGA DE DEPARTAMENTOS</t>
  </si>
  <si>
    <t>ESTRUCTURAS</t>
  </si>
  <si>
    <t>MOVIMIENTO DE TIERRA</t>
  </si>
  <si>
    <t xml:space="preserve">    TRABAJOS PRELIMINARES</t>
  </si>
  <si>
    <t>01.01.01.01</t>
  </si>
  <si>
    <t xml:space="preserve">        MOVILIZACIÓN DE EQUIPOS</t>
  </si>
  <si>
    <t>01.01.01.02</t>
  </si>
  <si>
    <t>01.01.01.03</t>
  </si>
  <si>
    <t xml:space="preserve">        CONTROL DE POLVOS</t>
  </si>
  <si>
    <t>01.01.01.04</t>
  </si>
  <si>
    <t xml:space="preserve">        ALQUILER DE EXCAVADORA (TRASLADO DE ENCOFRADO)</t>
  </si>
  <si>
    <t>01.01.02.01</t>
  </si>
  <si>
    <t>m3</t>
  </si>
  <si>
    <t>01.01.03.01</t>
  </si>
  <si>
    <t>01.01.03.02</t>
  </si>
  <si>
    <t xml:space="preserve">    RELLENOS</t>
  </si>
  <si>
    <t xml:space="preserve">        RELLENO LOCALIZADO CON MATERIAL PROPIO (ZAPATAS,CIMIENTOS DE MUROS, CTO DE BOMBAS Y CISTERNAS)</t>
  </si>
  <si>
    <t xml:space="preserve">        NIVELACION, CONFORMACION Y COMPATACION DE SUB RASANTE, AL 90% DEL PM</t>
  </si>
  <si>
    <t xml:space="preserve">        BASE DE AFIRMADO COMPACTADO AL 95% PROCTOR MODIFICADO E=20 CM</t>
  </si>
  <si>
    <t>MUROS ANCLADOS</t>
  </si>
  <si>
    <t>01.02.01.01</t>
  </si>
  <si>
    <t>01.02.01.02</t>
  </si>
  <si>
    <t>01.02.01.03</t>
  </si>
  <si>
    <t xml:space="preserve">        ACERO F'Y=4200 KG/CM2 GRADO 60</t>
  </si>
  <si>
    <t>kg</t>
  </si>
  <si>
    <t>01.02.01.04</t>
  </si>
  <si>
    <t>01.02.01.05</t>
  </si>
  <si>
    <t xml:space="preserve">        CURADO DE ELEMENTOS DE CONCRETO</t>
  </si>
  <si>
    <t>01.02.02.01</t>
  </si>
  <si>
    <t>01.02.02.02</t>
  </si>
  <si>
    <t>01.02.02.03</t>
  </si>
  <si>
    <t>ml</t>
  </si>
  <si>
    <t>01.02.02.04</t>
  </si>
  <si>
    <t>01.02.02.05</t>
  </si>
  <si>
    <t>01.02.02.06</t>
  </si>
  <si>
    <t>01.02.02.07</t>
  </si>
  <si>
    <t>01.02.02.08</t>
  </si>
  <si>
    <t>01.02.02.09</t>
  </si>
  <si>
    <t>01.02.03.01</t>
  </si>
  <si>
    <t>01.02.03.02</t>
  </si>
  <si>
    <t xml:space="preserve">        ENCOFRADO Y DESENCOFRADO DE CIMIENTO CORRIDO</t>
  </si>
  <si>
    <t>01.02.03.03</t>
  </si>
  <si>
    <t>01.02.03.04</t>
  </si>
  <si>
    <t>01.02.03.05</t>
  </si>
  <si>
    <t xml:space="preserve">        PERFILADO PARA CIMIENTO</t>
  </si>
  <si>
    <t>CONCRETO SIMPLE</t>
  </si>
  <si>
    <t xml:space="preserve">    SOLADOS</t>
  </si>
  <si>
    <t>01.03.01.01</t>
  </si>
  <si>
    <t xml:space="preserve">    SUB ZAPATAS</t>
  </si>
  <si>
    <t>01.03.02.01</t>
  </si>
  <si>
    <t xml:space="preserve">        CONCRETO f'c=175 kg/cm2 PARA FALSA ZAPATA</t>
  </si>
  <si>
    <t>01.03.02.02</t>
  </si>
  <si>
    <t xml:space="preserve">        ENCOFRADO Y DESENCOFRADO - FALSA ZAPATAS</t>
  </si>
  <si>
    <t>CIMENTACIÓN CENTRAL</t>
  </si>
  <si>
    <t>01.04.01.01</t>
  </si>
  <si>
    <t>01.04.01.02</t>
  </si>
  <si>
    <t xml:space="preserve">        ENCOFRADO Y DESENCOFRADO - ZAPATAS</t>
  </si>
  <si>
    <t>01.04.01.03</t>
  </si>
  <si>
    <t>01.04.01.04</t>
  </si>
  <si>
    <t>01.05.03</t>
  </si>
  <si>
    <t xml:space="preserve">    ACERO F'Y=4200 KG/CM2 GRADO 60</t>
  </si>
  <si>
    <t>01.05.04</t>
  </si>
  <si>
    <t xml:space="preserve">    CURADO DE ELEMENTOS DE CONCRETO</t>
  </si>
  <si>
    <t>CISTERNA</t>
  </si>
  <si>
    <t xml:space="preserve">    CONCRETO PARA LOSA DE PISO DE CISTERNA f'c=280 kg/cm2</t>
  </si>
  <si>
    <t xml:space="preserve">    CONCRETO PARA MUROS DE CISTERNA f'c=280 kg/cm2</t>
  </si>
  <si>
    <t>01.06.05</t>
  </si>
  <si>
    <t>01.06.06</t>
  </si>
  <si>
    <t xml:space="preserve">    ENCOFRADO Y DESENCOFRADO PARA MUROS  EN CISTERNA</t>
  </si>
  <si>
    <t>01.06.07</t>
  </si>
  <si>
    <t xml:space="preserve">    WATER STOP DE 9"</t>
  </si>
  <si>
    <t>CAMARA DE BOMBEO</t>
  </si>
  <si>
    <t xml:space="preserve">    CONCRETO F'C=280 KG/CM2 - POZO SUMIDERO</t>
  </si>
  <si>
    <t xml:space="preserve">    ENCOFRADO Y DESENCOFRADO</t>
  </si>
  <si>
    <t>01.07.04</t>
  </si>
  <si>
    <t>LOSA SOBRE TERRENO</t>
  </si>
  <si>
    <t xml:space="preserve">    CONCRETO F'C=210 KG/CM2 - LOSA DE PISO</t>
  </si>
  <si>
    <t>01.08.02</t>
  </si>
  <si>
    <t xml:space="preserve">    ENCOFRADO Y DESENCOFRADO - LOSA DE PISO</t>
  </si>
  <si>
    <t>01.08.04</t>
  </si>
  <si>
    <t>01.08.05</t>
  </si>
  <si>
    <t>01.08.06</t>
  </si>
  <si>
    <t xml:space="preserve">    JUNTAS DE AISLAMIENTO</t>
  </si>
  <si>
    <t>01.08.07</t>
  </si>
  <si>
    <t xml:space="preserve">    JUNTA DE CONSTRUCCION / e= 6mm / prof= 37.5mm</t>
  </si>
  <si>
    <t>01.08.08</t>
  </si>
  <si>
    <t xml:space="preserve">    JUNTA DE BORDE o PERIMETRAL</t>
  </si>
  <si>
    <t>01.08.09</t>
  </si>
  <si>
    <t xml:space="preserve">    ACABADO DE LOSA APOYADA CONTRA TERRENO</t>
  </si>
  <si>
    <t>01.09.01.01</t>
  </si>
  <si>
    <t xml:space="preserve">        CONCRETO F'C=210 KG/CM2 - VERTICALES</t>
  </si>
  <si>
    <t>01.09.01.02</t>
  </si>
  <si>
    <t xml:space="preserve">        ENCOFRADO Y DESENCOFRADO - VERTICALES</t>
  </si>
  <si>
    <t>01.09.01.03</t>
  </si>
  <si>
    <t>01.09.01.04</t>
  </si>
  <si>
    <t>01.09.01.05</t>
  </si>
  <si>
    <t xml:space="preserve">    VIGAS</t>
  </si>
  <si>
    <t>01.09.02.01</t>
  </si>
  <si>
    <t xml:space="preserve">        CONCRETO F'C=210 KG/CM2 - VIGAS</t>
  </si>
  <si>
    <t>01.09.02.02</t>
  </si>
  <si>
    <t xml:space="preserve">        ENCOFRADO Y DESENCOFRADO - VIGAS ALTURA SIMPLE</t>
  </si>
  <si>
    <t>01.09.02.03</t>
  </si>
  <si>
    <t>01.09.02.04</t>
  </si>
  <si>
    <t>01.09.02.05</t>
  </si>
  <si>
    <t>01.09.03.01</t>
  </si>
  <si>
    <t xml:space="preserve">        CONCRETO F'C=210 KG/CM2 - LOSA MACIZA</t>
  </si>
  <si>
    <t>01.09.03.02</t>
  </si>
  <si>
    <t>01.09.03.03</t>
  </si>
  <si>
    <t>01.09.03.04</t>
  </si>
  <si>
    <t>01.09.03.05</t>
  </si>
  <si>
    <t>01.09.03.06</t>
  </si>
  <si>
    <t xml:space="preserve">        ACABADO EN LOSA EN CONCRETO FRESCO</t>
  </si>
  <si>
    <t xml:space="preserve">    ESCALERA</t>
  </si>
  <si>
    <t>01.09.04.01</t>
  </si>
  <si>
    <t>01.09.04.02</t>
  </si>
  <si>
    <t>01.09.04.03</t>
  </si>
  <si>
    <t>01.09.04.04</t>
  </si>
  <si>
    <t>01.10</t>
  </si>
  <si>
    <t>01.10.01</t>
  </si>
  <si>
    <t>01.10.01.01</t>
  </si>
  <si>
    <t>01.10.01.02</t>
  </si>
  <si>
    <t>01.10.01.03</t>
  </si>
  <si>
    <t>01.10.01.04</t>
  </si>
  <si>
    <t>01.10.02</t>
  </si>
  <si>
    <t>01.10.02.01</t>
  </si>
  <si>
    <t>01.10.02.02</t>
  </si>
  <si>
    <t>01.10.02.03</t>
  </si>
  <si>
    <t>01.10.02.04</t>
  </si>
  <si>
    <t>01.10.03</t>
  </si>
  <si>
    <t>01.10.03.01</t>
  </si>
  <si>
    <t>01.10.03.02</t>
  </si>
  <si>
    <t>01.10.03.03</t>
  </si>
  <si>
    <t xml:space="preserve">        ENCOFRADO Y DESENCOFRADO - PRELOSA MACIZA</t>
  </si>
  <si>
    <t xml:space="preserve">        ACERO CORRUGADO FY= 4200 kg/cm2 GRADO 60</t>
  </si>
  <si>
    <t xml:space="preserve">        CURADO DE CONCRETO CON ADITIVO</t>
  </si>
  <si>
    <t xml:space="preserve">    LOSA DE CONCRETO EN DUCTOS IIEE, IISS, DYA</t>
  </si>
  <si>
    <t xml:space="preserve">    ANDAMIOS</t>
  </si>
  <si>
    <t>ARQUITECTURA</t>
  </si>
  <si>
    <t>01.01.01.05</t>
  </si>
  <si>
    <t>01.01.01.06</t>
  </si>
  <si>
    <t>01.01.01.07</t>
  </si>
  <si>
    <t>01.01.01.08</t>
  </si>
  <si>
    <t>01.01.02.02</t>
  </si>
  <si>
    <t>01.01.02.03</t>
  </si>
  <si>
    <t>01.01.02.04</t>
  </si>
  <si>
    <t>01.01.02.05</t>
  </si>
  <si>
    <t>01.01.02.06</t>
  </si>
  <si>
    <t>01.01.02.07</t>
  </si>
  <si>
    <t>01.01.02.08</t>
  </si>
  <si>
    <t>01.01.03.03</t>
  </si>
  <si>
    <t>01.04.02.01</t>
  </si>
  <si>
    <t>01.04.02.02</t>
  </si>
  <si>
    <t>01.04.02.03</t>
  </si>
  <si>
    <t>01.04.03.01</t>
  </si>
  <si>
    <t>01.05.01.01</t>
  </si>
  <si>
    <t>01.05.01.02</t>
  </si>
  <si>
    <t>01.05.01.03</t>
  </si>
  <si>
    <t>01.05.01.04</t>
  </si>
  <si>
    <t>01.05.02.01</t>
  </si>
  <si>
    <t>01.05.02.02</t>
  </si>
  <si>
    <t>01.05.02.03</t>
  </si>
  <si>
    <t>01.05.02.04</t>
  </si>
  <si>
    <t>01.05.02.05</t>
  </si>
  <si>
    <t>01.05.02.06</t>
  </si>
  <si>
    <t>OTROS</t>
  </si>
  <si>
    <t>PUERTAS</t>
  </si>
  <si>
    <t xml:space="preserve">    PUERTA CORTAFUEGO</t>
  </si>
  <si>
    <t xml:space="preserve">    OTROS</t>
  </si>
  <si>
    <t>GLB</t>
  </si>
  <si>
    <t>INSTALACIONES ELECTRICAS</t>
  </si>
  <si>
    <t xml:space="preserve">    SALIDAS</t>
  </si>
  <si>
    <t>pto</t>
  </si>
  <si>
    <t>01.01.01.09</t>
  </si>
  <si>
    <t>01.01.01.10</t>
  </si>
  <si>
    <t>01.01.01.11</t>
  </si>
  <si>
    <t>01.01.01.12</t>
  </si>
  <si>
    <t>01.01.01.13</t>
  </si>
  <si>
    <t>01.01.01.14</t>
  </si>
  <si>
    <t>01.01.01.15</t>
  </si>
  <si>
    <t>01.01.01.16</t>
  </si>
  <si>
    <t>01.01.01.17</t>
  </si>
  <si>
    <t>01.01.01.18</t>
  </si>
  <si>
    <t>01.01.01.19</t>
  </si>
  <si>
    <t>01.01.01.20</t>
  </si>
  <si>
    <t>01.01.01.21</t>
  </si>
  <si>
    <t>01.01.01.22</t>
  </si>
  <si>
    <t>01.01.01.23</t>
  </si>
  <si>
    <t>01.01.01.24</t>
  </si>
  <si>
    <t>01.01.01.25</t>
  </si>
  <si>
    <t>01.01.01.26</t>
  </si>
  <si>
    <t>01.02.06</t>
  </si>
  <si>
    <t>01.03.01.02</t>
  </si>
  <si>
    <t>01.03.01.03</t>
  </si>
  <si>
    <t>01.03.01.04</t>
  </si>
  <si>
    <t>01.03.01.05</t>
  </si>
  <si>
    <t>01.03.01.06</t>
  </si>
  <si>
    <t>01.03.01.07</t>
  </si>
  <si>
    <t>01.03.01.08</t>
  </si>
  <si>
    <t>01.03.01.09</t>
  </si>
  <si>
    <t>01.03.01.10</t>
  </si>
  <si>
    <t>01.03.03</t>
  </si>
  <si>
    <t>01.03.03.01</t>
  </si>
  <si>
    <t>01.03.03.02</t>
  </si>
  <si>
    <t>01.03.03.03</t>
  </si>
  <si>
    <t>01.04.06</t>
  </si>
  <si>
    <t>01.04.07</t>
  </si>
  <si>
    <t>01.04.08</t>
  </si>
  <si>
    <t>01.04.09</t>
  </si>
  <si>
    <t>01.04.10</t>
  </si>
  <si>
    <t>01.04.11</t>
  </si>
  <si>
    <t>01.04.12</t>
  </si>
  <si>
    <t>01.05.02.07</t>
  </si>
  <si>
    <t>01.05.02.08</t>
  </si>
  <si>
    <t>01.05.02.09</t>
  </si>
  <si>
    <t>01.05.02.10</t>
  </si>
  <si>
    <t>COMUNICACIONES</t>
  </si>
  <si>
    <t>01.06.01.01</t>
  </si>
  <si>
    <t>01.06.01.02</t>
  </si>
  <si>
    <t>01.06.01.03</t>
  </si>
  <si>
    <t xml:space="preserve">        SALIDA PARA DATA</t>
  </si>
  <si>
    <t xml:space="preserve">        SALIDA PARA TV CABLE</t>
  </si>
  <si>
    <t>01.06.02.01</t>
  </si>
  <si>
    <t>01.06.02.02</t>
  </si>
  <si>
    <t>01.06.02.03</t>
  </si>
  <si>
    <t>01.06.02.04</t>
  </si>
  <si>
    <t xml:space="preserve">        SALIDA PARA CCTV</t>
  </si>
  <si>
    <t xml:space="preserve">    TUBERIAS</t>
  </si>
  <si>
    <t>01.06.03.01</t>
  </si>
  <si>
    <t xml:space="preserve">    PRUEBAS ELECTRICAS</t>
  </si>
  <si>
    <t>01.01.06</t>
  </si>
  <si>
    <t>01.01.07</t>
  </si>
  <si>
    <t>01.01.08</t>
  </si>
  <si>
    <t>01.01.09</t>
  </si>
  <si>
    <t>01.01.10</t>
  </si>
  <si>
    <t>01.01.11</t>
  </si>
  <si>
    <t>01.01.12</t>
  </si>
  <si>
    <t xml:space="preserve">    VALVULAS</t>
  </si>
  <si>
    <t>01.01.13</t>
  </si>
  <si>
    <t>01.01.14</t>
  </si>
  <si>
    <t xml:space="preserve">        INSTALACION DE LAVADERO DE COCINA</t>
  </si>
  <si>
    <t xml:space="preserve">        INSTALACION DE DUCHA</t>
  </si>
  <si>
    <t xml:space="preserve">        INSTALACION DE INODORO</t>
  </si>
  <si>
    <t>SISTEMA DE AGUA FRIA</t>
  </si>
  <si>
    <t>01.02.03.06</t>
  </si>
  <si>
    <t>01.02.04.01</t>
  </si>
  <si>
    <t>01.02.04.02</t>
  </si>
  <si>
    <t>01.02.04.03</t>
  </si>
  <si>
    <t>01.02.04.04</t>
  </si>
  <si>
    <t xml:space="preserve">    SALIDAS DE AGUA FRIA</t>
  </si>
  <si>
    <t>01.02.05.01</t>
  </si>
  <si>
    <t>01.02.05.02</t>
  </si>
  <si>
    <t>01.02.06.01</t>
  </si>
  <si>
    <t>01.02.06.02</t>
  </si>
  <si>
    <t>01.02.06.03</t>
  </si>
  <si>
    <t>01.02.06.04</t>
  </si>
  <si>
    <t>SISTEMA DE AGUA CALIENTE</t>
  </si>
  <si>
    <t>01.03.04</t>
  </si>
  <si>
    <t>01.03.04.01</t>
  </si>
  <si>
    <t>01.03.04.02</t>
  </si>
  <si>
    <t>01.03.05</t>
  </si>
  <si>
    <t>01.03.05.01</t>
  </si>
  <si>
    <t>PARTIDAS ADICIONALES</t>
  </si>
  <si>
    <t>01.04.01.05</t>
  </si>
  <si>
    <t>01.04.01.06</t>
  </si>
  <si>
    <t>01.04.01.07</t>
  </si>
  <si>
    <t>01.04.01.08</t>
  </si>
  <si>
    <t>01.04.01.09</t>
  </si>
  <si>
    <t>01.04.01.10</t>
  </si>
  <si>
    <t>01.04.04.01</t>
  </si>
  <si>
    <t>01.04.04.02</t>
  </si>
  <si>
    <t>01.04.05.01</t>
  </si>
  <si>
    <t>01.04.05.02</t>
  </si>
  <si>
    <t>01.04.05.03</t>
  </si>
  <si>
    <t>01.04.05.04</t>
  </si>
  <si>
    <t>01.04.06.01</t>
  </si>
  <si>
    <t>01.04.06.02</t>
  </si>
  <si>
    <t>01.04.07.01</t>
  </si>
  <si>
    <t>01.04.08.01</t>
  </si>
  <si>
    <t xml:space="preserve">    SALIDAS DE AGUA CALIENTE</t>
  </si>
  <si>
    <t>INSTALACIONES CORRIENTES DEBILES</t>
  </si>
  <si>
    <t>ASCENSORES</t>
  </si>
  <si>
    <t>Ascensores POWERTECH</t>
  </si>
  <si>
    <t>SISTEMA CONTRA INCENDIOS - EXTINCIÓN</t>
  </si>
  <si>
    <t>SISTEMA ACI</t>
  </si>
  <si>
    <t>GAS</t>
  </si>
  <si>
    <t>INSTALACIONES MECÁNICAS</t>
  </si>
  <si>
    <t>Proyecto: ECO BASADRE</t>
  </si>
  <si>
    <t>Cliente: FUNDAMENTA</t>
  </si>
  <si>
    <t>Ubicación: Av. JORGE BASADRE GROHAM 1310, SAN ISIDRO</t>
  </si>
  <si>
    <t xml:space="preserve">ANALISIS DE GASTOS GENERALES                                                                          </t>
  </si>
  <si>
    <t>Número de Meses</t>
  </si>
  <si>
    <t>Cantidad</t>
  </si>
  <si>
    <t>Un.</t>
  </si>
  <si>
    <t>Valor Unitario Soles</t>
  </si>
  <si>
    <t>Total Soles</t>
  </si>
  <si>
    <t>Incidencia</t>
  </si>
  <si>
    <t>Mano de Obra</t>
  </si>
  <si>
    <t>GENERAL</t>
  </si>
  <si>
    <t>Oficina Central</t>
  </si>
  <si>
    <t>HMES</t>
  </si>
  <si>
    <t>Jefe de Proyectos</t>
  </si>
  <si>
    <t>Profesional Residente</t>
  </si>
  <si>
    <t>Ingeniero de Campo 1</t>
  </si>
  <si>
    <t>Ingeniero asistente de Campo</t>
  </si>
  <si>
    <t>Ingeniero de instalaciones</t>
  </si>
  <si>
    <t>Arquitecto de acabados</t>
  </si>
  <si>
    <t xml:space="preserve">Administrador de Obra </t>
  </si>
  <si>
    <t>Ingeniero de Oficina Técnica</t>
  </si>
  <si>
    <t>Ingeniero asistente de OT</t>
  </si>
  <si>
    <t>Coordinador BIM</t>
  </si>
  <si>
    <t xml:space="preserve">Ingeniero de Calidad </t>
  </si>
  <si>
    <t>Prevencionísta 1</t>
  </si>
  <si>
    <t>Almacenero 1</t>
  </si>
  <si>
    <t>Sub Total</t>
  </si>
  <si>
    <t>Consumos de Obra</t>
  </si>
  <si>
    <t>Combustibles</t>
  </si>
  <si>
    <t xml:space="preserve">Teléfonos </t>
  </si>
  <si>
    <t>Copias de planos</t>
  </si>
  <si>
    <t>Artículos de escritorio</t>
  </si>
  <si>
    <t>Caja Chica</t>
  </si>
  <si>
    <t>Equipos</t>
  </si>
  <si>
    <t>Equipos de computo</t>
  </si>
  <si>
    <t>Varios Seguridad</t>
  </si>
  <si>
    <t>Varios</t>
  </si>
  <si>
    <t>Post venta</t>
  </si>
  <si>
    <t>Hmes</t>
  </si>
  <si>
    <t>Financiamiento</t>
  </si>
  <si>
    <t>Fianza Garantía (0%)</t>
  </si>
  <si>
    <t>Seguro CAR</t>
  </si>
  <si>
    <t>Sencico (0.2% monto facturado)</t>
  </si>
  <si>
    <t>Gasto Social</t>
  </si>
  <si>
    <t>TOTAL GASTOS GENERALES</t>
  </si>
  <si>
    <t>ACERO</t>
  </si>
  <si>
    <t>Arquitecto asistente de acabados 1</t>
  </si>
  <si>
    <t>Arquitecto asistente de acabados 2</t>
  </si>
  <si>
    <t>Seguros sctr (staff)</t>
  </si>
  <si>
    <t>Examenes medicos ocupacionales (staff)</t>
  </si>
  <si>
    <t xml:space="preserve">    VENTANAS</t>
  </si>
  <si>
    <t xml:space="preserve">    MAMPARAS</t>
  </si>
  <si>
    <t xml:space="preserve">    ESPEJOS</t>
  </si>
  <si>
    <t>01.02.01.06</t>
  </si>
  <si>
    <t>01.04.03.02</t>
  </si>
  <si>
    <t>01.10.01.05</t>
  </si>
  <si>
    <t>01.11</t>
  </si>
  <si>
    <t>01.11.01</t>
  </si>
  <si>
    <t>01.11.01.01</t>
  </si>
  <si>
    <t>01.11.01.02</t>
  </si>
  <si>
    <t>01.11.01.03</t>
  </si>
  <si>
    <t>01.11.01.04</t>
  </si>
  <si>
    <t>01.11.01.05</t>
  </si>
  <si>
    <t>01.11.01.06</t>
  </si>
  <si>
    <t>01.11.01.07</t>
  </si>
  <si>
    <t>01.11.02</t>
  </si>
  <si>
    <t>01.11.02.01</t>
  </si>
  <si>
    <t>01.11.02.02</t>
  </si>
  <si>
    <t>01.11.02.03</t>
  </si>
  <si>
    <t>01.11.02.04</t>
  </si>
  <si>
    <t>01.11.02.05</t>
  </si>
  <si>
    <t>01.11.03</t>
  </si>
  <si>
    <t>01.11.03.01</t>
  </si>
  <si>
    <t>01.11.03.02</t>
  </si>
  <si>
    <t>01.11.03.03</t>
  </si>
  <si>
    <t>01.11.04</t>
  </si>
  <si>
    <t>01.11.04.01</t>
  </si>
  <si>
    <t>01.11.04.02</t>
  </si>
  <si>
    <t>01.12</t>
  </si>
  <si>
    <t>01.12.01</t>
  </si>
  <si>
    <t>01.12.02</t>
  </si>
  <si>
    <t>01.12.03</t>
  </si>
  <si>
    <t>01.13</t>
  </si>
  <si>
    <t>01.13.01</t>
  </si>
  <si>
    <t>01.13.02</t>
  </si>
  <si>
    <t>01.13.03</t>
  </si>
  <si>
    <t>01.13.04</t>
  </si>
  <si>
    <t>01.13.05</t>
  </si>
  <si>
    <t>01.13.06</t>
  </si>
  <si>
    <t>01.13.07</t>
  </si>
  <si>
    <t>01.14</t>
  </si>
  <si>
    <t>01.14.01</t>
  </si>
  <si>
    <t>01.14.01.01</t>
  </si>
  <si>
    <t>01.14.01.02</t>
  </si>
  <si>
    <t>01.14.01.03</t>
  </si>
  <si>
    <t>01.14.01.04</t>
  </si>
  <si>
    <t>01.14.01.05</t>
  </si>
  <si>
    <t>01.14.01.06</t>
  </si>
  <si>
    <t>01.14.01.07</t>
  </si>
  <si>
    <t>01.14.01.08</t>
  </si>
  <si>
    <t>01.14.01.09</t>
  </si>
  <si>
    <t>01.14.01.10</t>
  </si>
  <si>
    <t>01.14.01.11</t>
  </si>
  <si>
    <t>01.14.01.12</t>
  </si>
  <si>
    <t>01.14.01.13</t>
  </si>
  <si>
    <t>01.14.01.14</t>
  </si>
  <si>
    <t>01.14.01.15</t>
  </si>
  <si>
    <t>01.14.02</t>
  </si>
  <si>
    <t>01.14.02.01</t>
  </si>
  <si>
    <t>01.14.02.02</t>
  </si>
  <si>
    <t>01.14.02.03</t>
  </si>
  <si>
    <t>01.14.02.04</t>
  </si>
  <si>
    <t>01.14.02.05</t>
  </si>
  <si>
    <t>01.14.02.06</t>
  </si>
  <si>
    <t>01.14.02.07</t>
  </si>
  <si>
    <t>01.14.02.08</t>
  </si>
  <si>
    <t>01.14.03</t>
  </si>
  <si>
    <t>01.14.03.01</t>
  </si>
  <si>
    <t>01.14.03.02</t>
  </si>
  <si>
    <t>01.15</t>
  </si>
  <si>
    <t>01.15.01</t>
  </si>
  <si>
    <t>01.15.02</t>
  </si>
  <si>
    <t>01.15.03</t>
  </si>
  <si>
    <t>01.16</t>
  </si>
  <si>
    <t>01.16.01</t>
  </si>
  <si>
    <t>01.16.02</t>
  </si>
  <si>
    <t>01.16.03</t>
  </si>
  <si>
    <t>01.16.04</t>
  </si>
  <si>
    <t>01.16.05</t>
  </si>
  <si>
    <t>01.16.06</t>
  </si>
  <si>
    <t>01.16.07</t>
  </si>
  <si>
    <t>01.16.08</t>
  </si>
  <si>
    <t>01.16.09</t>
  </si>
  <si>
    <t>01.17</t>
  </si>
  <si>
    <t>01.17.01</t>
  </si>
  <si>
    <t>01.18</t>
  </si>
  <si>
    <t>01.19</t>
  </si>
  <si>
    <t>01.19.01</t>
  </si>
  <si>
    <t>01.19.02</t>
  </si>
  <si>
    <t>01.19.03</t>
  </si>
  <si>
    <t>01.19.04</t>
  </si>
  <si>
    <t>01.19.05</t>
  </si>
  <si>
    <t>01.20</t>
  </si>
  <si>
    <t>01.20.01</t>
  </si>
  <si>
    <t>01.20.02</t>
  </si>
  <si>
    <t>01.21</t>
  </si>
  <si>
    <t>01.21.01</t>
  </si>
  <si>
    <t>01.21.02</t>
  </si>
  <si>
    <t xml:space="preserve">    EXCAVACION</t>
  </si>
  <si>
    <t xml:space="preserve">        EXCAVACION Y ELIMINACIÓN MASIVA (INCL. ELIMINACION / CISTERNA + CTO DE BOMBAS)</t>
  </si>
  <si>
    <t xml:space="preserve">        EXCAVACION DE FALSA ZAPATA, FALSA ZAPATA ESCALONADA, REJILLA DE DESAGUE, ZAPATA, CIMIENTO CORRIDO, VIGA DE CIMENTACION</t>
  </si>
  <si>
    <t xml:space="preserve">        SOLADO DE 2" PARA ZAPATAS, LOSA CISTERNAS, VIGAS DE CIMENTACIÓN (CONCRETO f'c= 100 kg/cm2)</t>
  </si>
  <si>
    <t>01.03.06</t>
  </si>
  <si>
    <t>01.03.07</t>
  </si>
  <si>
    <t xml:space="preserve">    CIMIENTOS DE MURO ANCLADO</t>
  </si>
  <si>
    <t xml:space="preserve">        CONCRETO F'C=280 kg/cm2 TI H57  S 4-6” - CIMIENTO CORRIDO</t>
  </si>
  <si>
    <t xml:space="preserve">    ZAPATAS</t>
  </si>
  <si>
    <t xml:space="preserve">        CONCRETO F'C=280 kg/cm2 TI H57  S 3” - ZAPATAS</t>
  </si>
  <si>
    <t>01.04.02.04</t>
  </si>
  <si>
    <t xml:space="preserve">    VIGAS DE CIMENTACIÓN</t>
  </si>
  <si>
    <t>01.04.03.03</t>
  </si>
  <si>
    <t>01.04.03.04</t>
  </si>
  <si>
    <t>01.04.03.05</t>
  </si>
  <si>
    <t xml:space="preserve">        POLIESTIRENO EXPANDIDO 4"</t>
  </si>
  <si>
    <t xml:space="preserve">    ENCOFRADO Y DESENCOFRADO - MUROS PANTALLA</t>
  </si>
  <si>
    <t xml:space="preserve">    ENCOFRADO Y DESENCOFRADO DE COSTADOS DE MUROS</t>
  </si>
  <si>
    <t xml:space="preserve">    CONCRETO F'C=350 kg/cm2 H57 S 4"-6" PARA MURO PANTALLA</t>
  </si>
  <si>
    <t>01.05.05</t>
  </si>
  <si>
    <t xml:space="preserve">    PICADO DE CACHIMBAS</t>
  </si>
  <si>
    <t>01.05.06</t>
  </si>
  <si>
    <t xml:space="preserve">    JUNTA DE TECNOPOR EN MURO ANCLADO PARA SOPORTE DE LOSA (INCLUYE EL TECNOPOR)</t>
  </si>
  <si>
    <t>01.05.07</t>
  </si>
  <si>
    <t xml:space="preserve">    PICADO EN MUROS ANCLADO DE CAJUELAS DE APOYO A FUTURA LOSA</t>
  </si>
  <si>
    <t>01.05.08</t>
  </si>
  <si>
    <t xml:space="preserve">    PUENTE DE ADHERENCIA ENTRE LOSA Y VIGA</t>
  </si>
  <si>
    <t>01.05.09</t>
  </si>
  <si>
    <t xml:space="preserve">    TECNOPOR EN MURO ANCLADO PARA SOPORTE DE VIGA (INCLUYE TECNOPOR)</t>
  </si>
  <si>
    <t>01.05.10</t>
  </si>
  <si>
    <t xml:space="preserve">    PICADO DE MURO ANCLADO DE CAJUELAS DE APOYO FUTURA VIGA</t>
  </si>
  <si>
    <t>01.05.11</t>
  </si>
  <si>
    <t xml:space="preserve">    PUENTE DE ADHERENCIA VIGA CON MURO</t>
  </si>
  <si>
    <t>01.05.12</t>
  </si>
  <si>
    <t>01.05.13</t>
  </si>
  <si>
    <t xml:space="preserve">    SISTEMA POSTENSADO TEMPORAL PARA MURO PANTALLA</t>
  </si>
  <si>
    <t>01.05.14</t>
  </si>
  <si>
    <t xml:space="preserve">    PASES PARA ANCLAJE DE MURO ANCLADO</t>
  </si>
  <si>
    <t>01.05.15</t>
  </si>
  <si>
    <t xml:space="preserve">    RESANE EN ZONA DE ANCLAJE DE MURO PANTALLA (DESPUÉS DEL DESTENSADO)</t>
  </si>
  <si>
    <t>01.05.16</t>
  </si>
  <si>
    <t xml:space="preserve">    DESQUINCHADO Y PAÑETEO  DE BANQUETA PARA MURO PANTALLA</t>
  </si>
  <si>
    <t>01.05.17</t>
  </si>
  <si>
    <t xml:space="preserve">    RELLENO Y NIVELACION PARA EMPALME DE ACERO</t>
  </si>
  <si>
    <t>01.05.18</t>
  </si>
  <si>
    <t xml:space="preserve">    ESCARIFICADO PARA UNIONES DE MUROS</t>
  </si>
  <si>
    <t xml:space="preserve">    ENCOFRADO Y DESENCOFRADO DE LOSA DE PISO DE CISTERNA</t>
  </si>
  <si>
    <t xml:space="preserve">    ACERO F'Y=4200 KG/CM2 GRADO 60  CISTERNA</t>
  </si>
  <si>
    <t>CANALETA</t>
  </si>
  <si>
    <t>01.08.03</t>
  </si>
  <si>
    <t>CONCRETO ARMADO</t>
  </si>
  <si>
    <t xml:space="preserve">    MUROS INTERNOS</t>
  </si>
  <si>
    <t xml:space="preserve">    PLACAS</t>
  </si>
  <si>
    <t xml:space="preserve">        CONCRETO F'C=280 KG/CM2 - VERTICALES</t>
  </si>
  <si>
    <t xml:space="preserve">        CONCRETO F'C=350 KG/CM2 - VERTICALES</t>
  </si>
  <si>
    <t>01.09.02.06</t>
  </si>
  <si>
    <t xml:space="preserve">    COLUMNAS</t>
  </si>
  <si>
    <t xml:space="preserve">    CORTES DE LOSA</t>
  </si>
  <si>
    <t>01.09.05.01</t>
  </si>
  <si>
    <t xml:space="preserve">        ACERO F'Y=4200 KG/CM2 GRADO 60 - INFERIOR</t>
  </si>
  <si>
    <t xml:space="preserve">    PRELOSA ALIGERADA 20cm</t>
  </si>
  <si>
    <t>01.09.06.01</t>
  </si>
  <si>
    <t>01.09.06.02</t>
  </si>
  <si>
    <t xml:space="preserve">        SUMINISTRO DE PRELOSA ALIGERADA DE 20CM</t>
  </si>
  <si>
    <t>01.09.06.03</t>
  </si>
  <si>
    <t xml:space="preserve">        ACERO F'Y=4200 KG/CM2 GRADO 60 SUPERIOR</t>
  </si>
  <si>
    <t>01.09.06.04</t>
  </si>
  <si>
    <t xml:space="preserve">        ACERO F'Y=4200 KG/CM2 GRADO 60 INFERIOR</t>
  </si>
  <si>
    <t>01.09.06.05</t>
  </si>
  <si>
    <t xml:space="preserve">        ACERO F'Y=4200 KG/CM2 GRADO 60 COSTURA</t>
  </si>
  <si>
    <t>01.09.06.06</t>
  </si>
  <si>
    <t xml:space="preserve">        CONCRETO F'C=210 KG/CM2 - LOSA  ALIGERADA</t>
  </si>
  <si>
    <t>01.09.06.07</t>
  </si>
  <si>
    <t>01.09.06.08</t>
  </si>
  <si>
    <t>01.09.06.09</t>
  </si>
  <si>
    <t xml:space="preserve">        INSTALACIÓN DE PRELOSAS</t>
  </si>
  <si>
    <t>01.09.06.10</t>
  </si>
  <si>
    <t xml:space="preserve">        SELLADO DE JUNTAS DE PRELOSAS</t>
  </si>
  <si>
    <t xml:space="preserve">    PRELOSA LOSA MACIZA 20cm</t>
  </si>
  <si>
    <t>01.09.07.01</t>
  </si>
  <si>
    <t>01.09.07.02</t>
  </si>
  <si>
    <t xml:space="preserve">        SUMINISTRO DE PRELOSA MACIZA</t>
  </si>
  <si>
    <t>01.09.07.03</t>
  </si>
  <si>
    <t>01.09.07.04</t>
  </si>
  <si>
    <t>01.09.07.05</t>
  </si>
  <si>
    <t>01.09.07.06</t>
  </si>
  <si>
    <t>01.09.07.07</t>
  </si>
  <si>
    <t>01.09.07.08</t>
  </si>
  <si>
    <t>01.09.07.09</t>
  </si>
  <si>
    <t>01.09.07.10</t>
  </si>
  <si>
    <t>01.09.08.01</t>
  </si>
  <si>
    <t xml:space="preserve">        ESCALERA 1</t>
  </si>
  <si>
    <t>01.09.08.01.01</t>
  </si>
  <si>
    <t xml:space="preserve">            ENCOFRADO Y DESENCOFRADO- ESCALERAS</t>
  </si>
  <si>
    <t>01.09.08.01.02</t>
  </si>
  <si>
    <t xml:space="preserve">            ACERO F'Y=4200 KG/CM2 GRADO 60</t>
  </si>
  <si>
    <t>01.09.08.01.03</t>
  </si>
  <si>
    <t xml:space="preserve">            CONCRETO F'C=210 KG/CM2 - ESCALERAS</t>
  </si>
  <si>
    <t>01.09.08.01.04</t>
  </si>
  <si>
    <t xml:space="preserve">            CURADO DE ELEMENTOS DE CONCRETO</t>
  </si>
  <si>
    <t>01.09.08.02</t>
  </si>
  <si>
    <t xml:space="preserve">        ESCALERA 2</t>
  </si>
  <si>
    <t>01.09.08.02.01</t>
  </si>
  <si>
    <t>01.09.08.02.02</t>
  </si>
  <si>
    <t>01.09.08.02.03</t>
  </si>
  <si>
    <t>01.09.08.02.04</t>
  </si>
  <si>
    <t xml:space="preserve">    COLUMNETAS</t>
  </si>
  <si>
    <t>01.09.09.01</t>
  </si>
  <si>
    <t xml:space="preserve">        ENCOFRADO Y DESENCOFRADO</t>
  </si>
  <si>
    <t>01.09.09.02</t>
  </si>
  <si>
    <t>01.09.09.03</t>
  </si>
  <si>
    <t xml:space="preserve">        CONCRETO F'C=210 KG/CM2</t>
  </si>
  <si>
    <t>01.09.09.04</t>
  </si>
  <si>
    <t xml:space="preserve">    VIGAS DE AMARRE</t>
  </si>
  <si>
    <t>01.09.10.01</t>
  </si>
  <si>
    <t>01.09.10.02</t>
  </si>
  <si>
    <t>01.09.10.03</t>
  </si>
  <si>
    <t>01.09.10.04</t>
  </si>
  <si>
    <t xml:space="preserve">    SARDINEL</t>
  </si>
  <si>
    <t>01.09.11.01</t>
  </si>
  <si>
    <t>01.09.11.02</t>
  </si>
  <si>
    <t>01.09.11.03</t>
  </si>
  <si>
    <t>01.09.11.04</t>
  </si>
  <si>
    <t xml:space="preserve">    BANCAS DE CONCRETO</t>
  </si>
  <si>
    <t>01.09.12.01</t>
  </si>
  <si>
    <t>01.09.12.02</t>
  </si>
  <si>
    <t>01.09.12.03</t>
  </si>
  <si>
    <t>01.09.12.04</t>
  </si>
  <si>
    <t xml:space="preserve">    RELLENO LIVIANO EN TECHO</t>
  </si>
  <si>
    <t>01.09.13.01</t>
  </si>
  <si>
    <t>01.09.13.02</t>
  </si>
  <si>
    <t>01.09.13.03</t>
  </si>
  <si>
    <t xml:space="preserve">        RELLENO CON LADRILLO DE TECHO 0.30x0.30x0.15 m</t>
  </si>
  <si>
    <t>01.09.13.04</t>
  </si>
  <si>
    <t>01.09.13.05</t>
  </si>
  <si>
    <t xml:space="preserve">    BASE PARA BOMBAS</t>
  </si>
  <si>
    <t>01.09.14.01</t>
  </si>
  <si>
    <t>01.09.14.02</t>
  </si>
  <si>
    <t>01.09.14.03</t>
  </si>
  <si>
    <t>01.09.14.04</t>
  </si>
  <si>
    <t>01.09.15</t>
  </si>
  <si>
    <t xml:space="preserve">    LOSA FLOTANTE (ANTIVIBRATORIA)</t>
  </si>
  <si>
    <t>01.09.15.01</t>
  </si>
  <si>
    <t>01.09.15.02</t>
  </si>
  <si>
    <t>01.09.15.03</t>
  </si>
  <si>
    <t xml:space="preserve">        NEOPRENE SHORE 60</t>
  </si>
  <si>
    <t>01.09.15.04</t>
  </si>
  <si>
    <t>01.09.15.05</t>
  </si>
  <si>
    <t>01.09.16</t>
  </si>
  <si>
    <t>01.09.16.01</t>
  </si>
  <si>
    <t xml:space="preserve">        CONCRETO PREMEZCLADO F'C=210KG/CM2</t>
  </si>
  <si>
    <t>01.09.16.02</t>
  </si>
  <si>
    <t>01.09.16.03</t>
  </si>
  <si>
    <t>01.09.16.04</t>
  </si>
  <si>
    <t>01.09.17</t>
  </si>
  <si>
    <t>CONCRETO</t>
  </si>
  <si>
    <t>ENCOFRADO</t>
  </si>
  <si>
    <t>Proyecto</t>
  </si>
  <si>
    <t>: CONSTRUCCION VIVIENDA MULTIFAMILIAR VIRIDIAN</t>
  </si>
  <si>
    <t>Propietario</t>
  </si>
  <si>
    <t>: INMOBILIARIA EUREKA SAC</t>
  </si>
  <si>
    <t>Ubicación</t>
  </si>
  <si>
    <t>: CALLE GERANIOS N° 244 Y 248, URB JARDÍN - LINCE - LIMA</t>
  </si>
  <si>
    <t>Fecha :</t>
  </si>
  <si>
    <t>PRESUPUESTO OBRAS PROVISIONALES</t>
  </si>
  <si>
    <t xml:space="preserve">    ESCUADRAS METALICAS - MONTAJE Y ENTABLONADO</t>
  </si>
  <si>
    <t xml:space="preserve">    ESCUADRAS METALICAS - DESMONTAJE</t>
  </si>
  <si>
    <t xml:space="preserve">    COMEDOR DE OBREROS</t>
  </si>
  <si>
    <t xml:space="preserve">    CHUTE</t>
  </si>
  <si>
    <t xml:space="preserve">    LIMPIEZA PERMANENTE EN OBRA</t>
  </si>
  <si>
    <t xml:space="preserve">    ENCAPSULADO TORRE</t>
  </si>
  <si>
    <t xml:space="preserve">    MONITOR DE SEGURIDAD</t>
  </si>
  <si>
    <t>PRESUPUESTO ESTRUCTURAS</t>
  </si>
  <si>
    <t>PRESUPUESTO ARQUITECTURA</t>
  </si>
  <si>
    <t>ALBAÑILERIA Y TABIQUERIA LIVIANA</t>
  </si>
  <si>
    <t xml:space="preserve">    MUROS DE ALBAÑILERIA</t>
  </si>
  <si>
    <t xml:space="preserve">        PLACA SILICO CALCAREO P- 7</t>
  </si>
  <si>
    <t xml:space="preserve">        PLACA SILICO CALCAREO P- 10</t>
  </si>
  <si>
    <t xml:space="preserve">        PLACA SILICO CALCAREO P- 10 RF</t>
  </si>
  <si>
    <t xml:space="preserve">        PLACA SILICO CALCAREO P- 12</t>
  </si>
  <si>
    <t xml:space="preserve">        PLACA SILICO CALCAREO P- 12 RF</t>
  </si>
  <si>
    <t xml:space="preserve">        PLACA SILICO CALCAREO P-14</t>
  </si>
  <si>
    <t xml:space="preserve">        PLACA SILICO CALCAREO P-14 RF</t>
  </si>
  <si>
    <t xml:space="preserve">        SARDINEL DE 0.10M (AZOTEA)</t>
  </si>
  <si>
    <t xml:space="preserve">        SARDINEL PARA JARDINERA 0.60 M</t>
  </si>
  <si>
    <t xml:space="preserve">        SARDINEL PARA JARDINERA 0.45 M</t>
  </si>
  <si>
    <t xml:space="preserve">        SARDINEL DE DUCHAS</t>
  </si>
  <si>
    <t xml:space="preserve">        SELLOS CORTAFUEGO RF 120</t>
  </si>
  <si>
    <t xml:space="preserve">        SOBREMURO EN SSHH</t>
  </si>
  <si>
    <t xml:space="preserve">        SOBREMURO EN KITCHENETTE Y CTO LAVADO</t>
  </si>
  <si>
    <t xml:space="preserve">        PLACA SILICO CALCAREO P-20</t>
  </si>
  <si>
    <t xml:space="preserve">        TABIQUE P-20 - MEDIDOR</t>
  </si>
  <si>
    <t xml:space="preserve">        TABIQUE P-15 - CERCO H=6.00M</t>
  </si>
  <si>
    <t xml:space="preserve">        TABIQUE P-15RF - CERCO H=6.00M</t>
  </si>
  <si>
    <t xml:space="preserve">        SARDINEL DE 0.18M (1ER PISO Y AZOTEA)</t>
  </si>
  <si>
    <t xml:space="preserve">        SARDINEL DE 0.30M (1ER PISO) A=0.25M</t>
  </si>
  <si>
    <t xml:space="preserve">        DINTEL EN SOTANOS</t>
  </si>
  <si>
    <t xml:space="preserve">        DINTEL DE CONCRETO EN DUCTOS DE INSTALACIONES Y ESCALERAS</t>
  </si>
  <si>
    <t xml:space="preserve">        DINTEL DE CONCRETO EN PUERTAS DE INGRESO PRINCIPAL A DPTOS</t>
  </si>
  <si>
    <t xml:space="preserve">        DINTEL DE CONCRETO EN PUERTAS, VENTANAS Y MAMPARAS INTERIORES</t>
  </si>
  <si>
    <t xml:space="preserve">        SELLO CORTAFUEGO EN JUNTAS DE 1 CARA</t>
  </si>
  <si>
    <t xml:space="preserve">        SELLO CORTAFUEGO EN JUNTAS DE 2 CARA</t>
  </si>
  <si>
    <t xml:space="preserve">    TABIQUERIA DE DRYWALL</t>
  </si>
  <si>
    <t xml:space="preserve">        FALSO CIELO RASO EN PLACA DRYWALL MASILLADO Y PINTADO ANTIHONGO LAVANDERIAS</t>
  </si>
  <si>
    <t xml:space="preserve">        PLANCHA SUPERBOARD CON RESISTENCIA A LA HUMEDAD RH PARA EXTERIORES CON ACABADO PINTADO COLOR BLANCO. - BALCONES</t>
  </si>
  <si>
    <t xml:space="preserve">        PLANCHA SUPERBOARD CON RESISTENCIA A LA HUMEDAD RH PARA EXTERIORES CON ACABADO PINTADO COLOR BLANCO OSTRA. - BALCONES</t>
  </si>
  <si>
    <t xml:space="preserve">        PLANCHA SUPERBOARD CON RESISTENCIA A LA HUMEDAD RH PARA EXTERIORES CON ACABADO PINTADO COLOR RAL 7022 GRIS SOMBRA. - BALCONES</t>
  </si>
  <si>
    <t xml:space="preserve">        FALSO CIELO RASO RF EN PLACA DRYWALL MASILLADO Y PINTADO EN ESCALERA 1ER PISO</t>
  </si>
  <si>
    <t xml:space="preserve">        FALSO CIELORRASO EN GYM</t>
  </si>
  <si>
    <t>REVOQUES, ENLUCIDOS, CIELO RASO Y FACHADA</t>
  </si>
  <si>
    <t xml:space="preserve">    REVOQUES Y ENLUCIDOS</t>
  </si>
  <si>
    <t xml:space="preserve">        TARRAJEO DE PLACAS (PISO 1 A AZOTEA)</t>
  </si>
  <si>
    <t xml:space="preserve">        TARRAJEO DE VIGAS (PISO 1 A AZOTEA)</t>
  </si>
  <si>
    <t>01.02.01.07</t>
  </si>
  <si>
    <t xml:space="preserve">        TARRAJEO IMPERMEABILIZADO EN JARDINERAS</t>
  </si>
  <si>
    <t>01.02.01.08</t>
  </si>
  <si>
    <t xml:space="preserve">        TARRAJEO IMPERMEABILIZADO - PAREDES DE CISTERNA</t>
  </si>
  <si>
    <t>01.02.01.09</t>
  </si>
  <si>
    <t xml:space="preserve">        SOLAQUEO Y LIMPIEZA DE CAJA DE ASCENSOR</t>
  </si>
  <si>
    <t>01.02.01.10</t>
  </si>
  <si>
    <t>01.02.01.11</t>
  </si>
  <si>
    <t>01.02.01.12</t>
  </si>
  <si>
    <t>01.02.01.13</t>
  </si>
  <si>
    <t>01.02.01.14</t>
  </si>
  <si>
    <t>01.02.01.15</t>
  </si>
  <si>
    <t>01.02.01.16</t>
  </si>
  <si>
    <t>01.02.01.17</t>
  </si>
  <si>
    <t>01.02.01.18</t>
  </si>
  <si>
    <t xml:space="preserve">        BRUÑAS EN ESCALERA DE EMERGENCIA</t>
  </si>
  <si>
    <t>01.02.01.19</t>
  </si>
  <si>
    <t xml:space="preserve">        BRUÑA ENTRE CIELO RASO Y MURO</t>
  </si>
  <si>
    <t>01.02.01.20</t>
  </si>
  <si>
    <t>01.02.01.21</t>
  </si>
  <si>
    <t>01.02.01.22</t>
  </si>
  <si>
    <t>01.02.01.23</t>
  </si>
  <si>
    <t xml:space="preserve">        VESTIDURA DE DERRAME DE DE ESCALERA</t>
  </si>
  <si>
    <t>01.02.01.24</t>
  </si>
  <si>
    <t xml:space="preserve">        TARRAJEO FONDO DE ESCALERA PISO 1 A AZOTEA</t>
  </si>
  <si>
    <t>01.02.01.25</t>
  </si>
  <si>
    <t xml:space="preserve">        SOLAQUEADO DE FONDO DE ESCALERA SOTANOS</t>
  </si>
  <si>
    <t>01.02.01.26</t>
  </si>
  <si>
    <t>01.02.01.27</t>
  </si>
  <si>
    <t>01.02.01.28</t>
  </si>
  <si>
    <t xml:space="preserve">        BOLEADO EN INTERIOR DE JARDINERAS</t>
  </si>
  <si>
    <t>01.02.01.29</t>
  </si>
  <si>
    <t xml:space="preserve">        TARRAJEO DE CIELO RASO IMPERMEABILIZADO DE CISTERNA</t>
  </si>
  <si>
    <t>01.02.01.30</t>
  </si>
  <si>
    <t>01.02.01.31</t>
  </si>
  <si>
    <t xml:space="preserve">        TARRAJEADO DE MUROS EXTERIORES (FACHADA INTERNA)BALCON</t>
  </si>
  <si>
    <t xml:space="preserve">        TARRAJEO DE FRISO BORDE DE LOSA EN BALCON - FACHADA INTERNA</t>
  </si>
  <si>
    <t xml:space="preserve">        TARRAJEO DE FRISO BORDE DE LOSA EN BALCON - FACHADA FRONTAL</t>
  </si>
  <si>
    <t xml:space="preserve">        TARRAJEO EN MUROS DE AREAS NO TECHADAS EN AZOTEA Y PARAPETO DE TECHO</t>
  </si>
  <si>
    <t xml:space="preserve">        TARRAJEO DE CIELORRASO EN PISOS SUPERIORES</t>
  </si>
  <si>
    <t xml:space="preserve">    FACHADA EXTERIOR</t>
  </si>
  <si>
    <t xml:space="preserve">        ACABADO 1 : ACABADO MICROCEMENTO TEXTURIZADO COLOR RAL 9018 PAPYRUS WHITE(SEGÚN PLANOS DE ELEVACIÓN)</t>
  </si>
  <si>
    <t xml:space="preserve">        ACABADO 2: ACABADO LADRILLO ROCOCHO (SEGÚN PLANOS DE ELEVACIÓN)</t>
  </si>
  <si>
    <t xml:space="preserve">        ACABADO 3: ACABADO PINTURA COLOR RAL 7022 GRIS SOMBRA(SEGÚN PLANOS DE ELEVACIÓN)</t>
  </si>
  <si>
    <t xml:space="preserve">        ACABADO 4: ACABADO PINTURA EXTERIOR (SEGÚN PLANOS DE ELEVACIÓN)</t>
  </si>
  <si>
    <t xml:space="preserve">        MOLDURA ETSA MODELO MIAMI - COLOR RAL 9003</t>
  </si>
  <si>
    <t xml:space="preserve">        COLUMNETA WPC SEGUN DETALLES DE BALCONES Y TERRAZAS</t>
  </si>
  <si>
    <t xml:space="preserve">        FACHADA DEL PISO 1, ENCHAPADO EN PORCELANATO CAPRI FROST 0.60X0.60CELIMA CON JUNTA DE SEPARACIÓN DE 3MM,  PROVEEDOR CASSINELLI</t>
  </si>
  <si>
    <t xml:space="preserve">        ACABADO PINTURA COLOR RAL 7022 GRIS SOMBRA - FRISO EN LOSA DE BALCON</t>
  </si>
  <si>
    <t xml:space="preserve">        ACABADO CAL NIEVE - FACHADA LADO VECINO</t>
  </si>
  <si>
    <t xml:space="preserve">    FACHADA INTERIOR</t>
  </si>
  <si>
    <t xml:space="preserve">        ACABADO MICROCEMENTO  EN MURO COLINDANTE A VECINOS (SEGÚN PLANOS DE DETALLE)</t>
  </si>
  <si>
    <t xml:space="preserve">        PINTURA EXTERIOR AMERICAN COLORS  BLANCO OSTRA  EN DPTOS.</t>
  </si>
  <si>
    <t xml:space="preserve">        PINTURA EXTERIOR AMERICAN COLORS  BLANCO OSTRA  EN DPTOS. FRISO DE BORDE DE LOSA BALCON</t>
  </si>
  <si>
    <t>PISOS</t>
  </si>
  <si>
    <t xml:space="preserve">    DE CEMENTO</t>
  </si>
  <si>
    <t xml:space="preserve">        ACABADO DE PISO CEMENTO BARRIDO EN ESTACIONAMIENTOS DE AUTOS Y DEPOSITOS.</t>
  </si>
  <si>
    <t xml:space="preserve">        ACABADO DE PISO CEMENTO BRUÑADO EN RAMPAS VEHICULARES @0.125M</t>
  </si>
  <si>
    <t xml:space="preserve">        PISO DE CEMENTO PULIDO DE 2" IMPERMEABILIZADO EN CISTERNAS CTO DE BOMBAS, JARDINERAS Y JARDINES.</t>
  </si>
  <si>
    <t xml:space="preserve">        PISO DE CEMENTO PULIDO EN HALLS DE ASCENSORES DE SÓTANOS , ESTACIONAMIENTOS PARA BICICLETAS Y CLOSETS</t>
  </si>
  <si>
    <t xml:space="preserve">        PISO DE CEMENTO PULIDO EN ESTACIONAMIENTOS PARA BICICLETAS.</t>
  </si>
  <si>
    <t xml:space="preserve">        PISO DE CEMENTO SEMIPULIDO EN ESCALERA EVACUACION 01, 02</t>
  </si>
  <si>
    <t xml:space="preserve">        BOTALLANTA, LADO DE RAMPA VEHICULAR</t>
  </si>
  <si>
    <t xml:space="preserve">        PISO CEMENTO PULIDO - DEPOSITO COMUN DEL 1ER PISO</t>
  </si>
  <si>
    <t xml:space="preserve">        PISO CEMENTO SEMIPULIDO - VESTIBULO</t>
  </si>
  <si>
    <t xml:space="preserve">        PISO CORREDOR TECNICO EN AZOTEA</t>
  </si>
  <si>
    <t xml:space="preserve">    CERÁMICOS, PORCELANATOS Y LAMINADOS</t>
  </si>
  <si>
    <t xml:space="preserve">        MATERIAL: CERAMICO AMBIENTES: TERRAZA PRIVADA CERÁMICO GALA ESMALTADO ALTAMIRA NATURAL RÚSTICO 60X60 CM. PROVEEDOR DECORCENTER</t>
  </si>
  <si>
    <t xml:space="preserve">        INSTALACIÓN (MANO DE OBRA, PEGAMENTO, CRUCETAS, FRAGUA, Y HERRAMIENTAS MANUALES)</t>
  </si>
  <si>
    <t>01.03.02.03</t>
  </si>
  <si>
    <t xml:space="preserve">        MATERIAL: PORCELANATO ANTIDESLIZANTE  AMBIENTES: PISO INGRESO PEATONAL</t>
  </si>
  <si>
    <t>01.03.02.04</t>
  </si>
  <si>
    <t>01.03.02.05</t>
  </si>
  <si>
    <t xml:space="preserve">        MATERIAL: PORCELANATO SEGIN PLANO DE DETALLES  AMBIENTES: LOBBY</t>
  </si>
  <si>
    <t>01.03.02.06</t>
  </si>
  <si>
    <t>01.03.02.07</t>
  </si>
  <si>
    <t xml:space="preserve">        MATERIAL: PORCELANATO  AMBIENTES: HALL DE ASCENSORES Y PASADIZOS NIVEL 1</t>
  </si>
  <si>
    <t>01.03.02.08</t>
  </si>
  <si>
    <t>01.03.02.09</t>
  </si>
  <si>
    <t xml:space="preserve">        MATERIAL: CERAMICO AMBIENTES: TERRAZA COMUN PISO 1.</t>
  </si>
  <si>
    <t>01.03.02.10</t>
  </si>
  <si>
    <t>01.03.02.11</t>
  </si>
  <si>
    <t>01.03.02.12</t>
  </si>
  <si>
    <t>01.03.02.13</t>
  </si>
  <si>
    <t xml:space="preserve">        MATERIAL: PORCELANATO AMBIENTES: PISO DE KITCHENETTES Y LAVANDERÍAS PORCELANATO RECTIFICADO MARMO ARGENTO BRILLANTE 60X60 CM. PROVEEDOR CELIMA-CASSINELLI.</t>
  </si>
  <si>
    <t>01.03.02.14</t>
  </si>
  <si>
    <t>01.03.02.15</t>
  </si>
  <si>
    <t xml:space="preserve">        MATERIAL: CERAMICO AMBIENTES: PISO DE SH PRINCIPAL Y SECUNDARIOS. CERÁMICO LARICE II, 30X60CM, COLOR GRIS. PROVEEDOR CELIMA-CASSINELLI.</t>
  </si>
  <si>
    <t>01.03.02.16</t>
  </si>
  <si>
    <t>01.03.02.17</t>
  </si>
  <si>
    <t xml:space="preserve">        MATERIAL: GRES PORCELÁNICO MADERATO CASTAÑO BEIGE MATE - 19X118 CM, JUNTA 3MM AMBIENTES: ACABADO DE BANCAS</t>
  </si>
  <si>
    <t>01.03.02.18</t>
  </si>
  <si>
    <t>01.03.02.19</t>
  </si>
  <si>
    <t xml:space="preserve">        MATERIAL:CERÁMICO PLANSO DE DETALLES AMBIENTES: PISO DE BALCONES DPTOS CERÁMICO GALA ESMALTADO ALTAMIRA NATURAL RÚSTICO 60X60 CM. PROVEEDOR DECORCENTER</t>
  </si>
  <si>
    <t>01.03.02.20</t>
  </si>
  <si>
    <t>01.03.02.21</t>
  </si>
  <si>
    <t xml:space="preserve">        MATERIAL: PORCELANATO  SEGUN CUADRO DE ACABADOS AMBIENTES: HALL DE ASCENSORES Y PASADIZOS NIVEL 2 AL 23</t>
  </si>
  <si>
    <t>01.03.02.22</t>
  </si>
  <si>
    <t>01.03.02.23</t>
  </si>
  <si>
    <t>01.03.02.24</t>
  </si>
  <si>
    <t>01.03.02.25</t>
  </si>
  <si>
    <t xml:space="preserve">        MATERIAL: GRES PORCELANICO NUEZ MADERATO TABLON 19X118 CELIMA , CON JUNTA DE SEPARACION DE 3MM AMBIENTES: SUM BAR</t>
  </si>
  <si>
    <t>01.03.02.26</t>
  </si>
  <si>
    <t>01.03.02.27</t>
  </si>
  <si>
    <t xml:space="preserve">        MATERIAL:  EL PISO GRESS MARMOLIZADO CALACATA 60X60CM 1.44M2 ORANGE, PROMARTAMBIENTES: SUM GOURMET</t>
  </si>
  <si>
    <t>01.03.02.28</t>
  </si>
  <si>
    <t>01.03.02.29</t>
  </si>
  <si>
    <t xml:space="preserve">        MATERIAL: PORCELANATO AMBIENTES: PISO HALL DE ASCENSORES AZOTEA SEGUN CUADRO DE ACABADOS</t>
  </si>
  <si>
    <t>01.03.02.30</t>
  </si>
  <si>
    <t>01.03.02.31</t>
  </si>
  <si>
    <t xml:space="preserve">        MATERIAL: GRES PORCELANICO NUEZ MADERATO TABLON 19X118 CELIMA , CON JUNTA DE SEPARACION DE 3MM  AMBIENTES: CO-WORKING</t>
  </si>
  <si>
    <t>01.03.02.32</t>
  </si>
  <si>
    <t>01.03.02.33</t>
  </si>
  <si>
    <t xml:space="preserve">        MATERIAL: GRES PORCELANICO NUEZ MADERATO TABLON 19X118 CELIMA , CON JUNTA DE SEPARACION DE 3MM AMBIENTES: ZONA DE NIÑOS</t>
  </si>
  <si>
    <t>01.03.02.34</t>
  </si>
  <si>
    <t xml:space="preserve">        INSTALACIÓN (MANO DE OBRA Y HERRAMIENTAS MANUALES)</t>
  </si>
  <si>
    <t>01.03.02.35</t>
  </si>
  <si>
    <t xml:space="preserve">        MATERIAL: PISO DE  CAUCHO SEGUN PLANO DE DETALLES AMBIENTES: GIMNASIO</t>
  </si>
  <si>
    <t>01.03.02.36</t>
  </si>
  <si>
    <t>01.03.02.37</t>
  </si>
  <si>
    <t>01.03.02.38</t>
  </si>
  <si>
    <t>01.03.02.39</t>
  </si>
  <si>
    <t xml:space="preserve">        MATERIAL: GRES PORCELANICO NUEZ MADERATO TABLON 19X118 CELIMA , CON JUNTA DE SEPARACION DE 3MM AMBIENTES: ZONA DE PARRILLAS 1 Y 2</t>
  </si>
  <si>
    <t>01.03.02.40</t>
  </si>
  <si>
    <t>01.03.02.41</t>
  </si>
  <si>
    <t xml:space="preserve">        MATERIAL: TECHO VERDE (PAISAJISMO 1ER PISO Y AZOTEA)</t>
  </si>
  <si>
    <t>01.03.02.42</t>
  </si>
  <si>
    <t xml:space="preserve">        INSTALACIÓN (MANO DE OBRA, ADITIVOS Y HERRAMIENTAS MANUALES)</t>
  </si>
  <si>
    <t>01.03.02.43</t>
  </si>
  <si>
    <t xml:space="preserve">        MATERIAL: CERAMICO BLANCO AMBIENTES: TECHO TECNICO</t>
  </si>
  <si>
    <t>01.03.02.44</t>
  </si>
  <si>
    <t>01.03.02.45</t>
  </si>
  <si>
    <t xml:space="preserve">        MATERIAL: PISO  PISO SPC PREMIUM AQUASTEP ROBLE HABAN, FORMATO 1230 CM X 18 CM; ESPESOR 5MM INCLUYE IXPE 1MM. PROVEEDOR BALEXPO  AMBIENTES: PISOS DE SALA, COMEDOR, DORMITORIOS Y PASADIZOS DE DPTOS.</t>
  </si>
  <si>
    <t>01.03.02.46</t>
  </si>
  <si>
    <t>01.03.02.47</t>
  </si>
  <si>
    <t xml:space="preserve">        MATERIAL: TAPAJUNTA DE PVC AMBIENTES: INGRESO HABITACIONES</t>
  </si>
  <si>
    <t>01.03.02.48</t>
  </si>
  <si>
    <t xml:space="preserve">        MATERIAL: TAPAJUNTA DE ALUMINIO AMBIENTES: KITCHENETTES, BAÑOS Y MAMPARAS</t>
  </si>
  <si>
    <t>01.03.02.49</t>
  </si>
  <si>
    <t xml:space="preserve">        MATERIAL: TAPAJUNTA MOLDURA T DE ALUMINIO MATE RANURADO LISTÓN 3MM  - EN MAMPARAS</t>
  </si>
  <si>
    <t>01.03.02.50</t>
  </si>
  <si>
    <t xml:space="preserve">        INSTALACIÓN (MANO DE OBRA Y HERRAMIENTAS MANUALES) DE TAPAJUNTAS</t>
  </si>
  <si>
    <t>01.03.02.51</t>
  </si>
  <si>
    <t xml:space="preserve">        PISO CERAMICO TERRE GRIS PLATEADO MATE - 60X60CM CELIMA -CASSINELLI - SS.HH DISCAPACITADOS</t>
  </si>
  <si>
    <t>01.03.02.52</t>
  </si>
  <si>
    <t xml:space="preserve">        PISO CERÁMICO PIANO BLANCO BRILLANTE 60X60 CM  (PROVEEDOR: CELIMA) (JUNTA MÍN. E=5MM)  - EN CTO DE ACOPIO</t>
  </si>
  <si>
    <t>01.03.02.53</t>
  </si>
  <si>
    <t xml:space="preserve">        PISO CERÁMICO PIANO BLANCO BRILLANTE- 60X60CM (PROVEEDOR:CELIMA) - DEPOSITO COMUN DEL 1ER PISO</t>
  </si>
  <si>
    <t>01.03.02.54</t>
  </si>
  <si>
    <t xml:space="preserve">        PISO CERÁMICO VITA HUESO MATE 60X60CM. CELIMA CASSINELLI REPRESENTAR FRAGUA 5MM - DEPOSITO COMUN Y ESCALERA  DE AZOTEA</t>
  </si>
  <si>
    <t xml:space="preserve">        PISO CERÁMICO VITA HUESO MATE 60X60CM. CELIMA CASSINELLI REPRESENTAR FRAGUA 5MM - CORREDOR TECNICO EN AZOTEA</t>
  </si>
  <si>
    <t xml:space="preserve">        PISO  CERÁMICO TERRE MARFIL MATE 0.60X0.60M CELIMA- CASSINELLI. - EN ASCENSOR</t>
  </si>
  <si>
    <t xml:space="preserve">        PISO GRES PORCELANICO NUEZ MADERATO TABLON 19X118CM. CELIMA, JUNTA E=3MM - PET ZONE</t>
  </si>
  <si>
    <t xml:space="preserve">        PISO BALDOSAS NEGRAS DE CAUCHO 0.50X0.50M DE E=6MM - TERRAZA DE GYM</t>
  </si>
  <si>
    <t xml:space="preserve">        PISO CERÁMICO GALA ESMALTADO ALTAMIRA NATURAL RÚSTICO 60X60CM. (PROVEEDOR: DECORCENTER) - ALERO DE FACHADA PRINCIPAL</t>
  </si>
  <si>
    <t xml:space="preserve">        NIVELACIÓN DE PISO PARA RECIBIR ENCHAPE O LAMINADO</t>
  </si>
  <si>
    <t>ZOCALOS</t>
  </si>
  <si>
    <t xml:space="preserve">    CERÁMICOS Y PORCELANATOS</t>
  </si>
  <si>
    <t xml:space="preserve">        MATERIAL: PORCELANATO AMBIENTES: KITCHENETTES Y LAVANDERÍAS</t>
  </si>
  <si>
    <t xml:space="preserve">        MATERIAL: CERAMICO  AMBIENTES:PARED EN SH. PRINCIPALES, SECUNDARIOS DE DEPARTAMENTOS, SH. COMUN (DISCAPACITADOS) CERÁMICO LARICE II, 30X60CM, COLOR GRIS. PROVEEDOR CELIMA-CASSINELLI.</t>
  </si>
  <si>
    <t xml:space="preserve">        MATERIAL: PORCELANATO AMBIENTES: PET ZONE</t>
  </si>
  <si>
    <t xml:space="preserve">        MATERIAL: PORCELANATO AMBIENTES: COCINA DE SUM AZOTEA</t>
  </si>
  <si>
    <t xml:space="preserve">        MATERIAL : LADRILLO REFRACTARIO  AMBIENTES: PARRILLAS</t>
  </si>
  <si>
    <t>01.04.01.11</t>
  </si>
  <si>
    <t xml:space="preserve">        MATERIAL : CERAMICO GRIS PLATA DE 0.60X0.60M MATE CELIMA AMBIENTES: PARRILLAS</t>
  </si>
  <si>
    <t>01.04.01.12</t>
  </si>
  <si>
    <t>01.04.01.13</t>
  </si>
  <si>
    <t xml:space="preserve">        ZOCALO CERÁMICO BIANCO LUCIDO 30X60 CM, BRILLANTE CON BORDES RECTIFICADOS - CELIMA, CASSINELLI - FONDO DE DUCHA EN SS.HH DE DPTOS</t>
  </si>
  <si>
    <t>01.04.01.14</t>
  </si>
  <si>
    <t xml:space="preserve">        MICROCEMENTO CON BRUÑAS ÍDEM VISTA 3D, - LOBBY</t>
  </si>
  <si>
    <t>01.04.01.15</t>
  </si>
  <si>
    <t xml:space="preserve">        MELAMINE GARDEN OAK 18MM, PROVEEDOR HISPANOS. DE ACUERDO A VISTA 3D - LOBBY</t>
  </si>
  <si>
    <t>01.04.01.16</t>
  </si>
  <si>
    <t xml:space="preserve">        ZOCALO CERÁMICO PIANO BLANCO BRILLANTE 60 X 60 CM H:2.10M (PROVEEDOR: CELIMA) (JUNTA MÍN. E=5MM) - CTO DE ACOPIO</t>
  </si>
  <si>
    <t>01.04.01.17</t>
  </si>
  <si>
    <t xml:space="preserve">        ZOCALO SUM - GRANITO NEGRO GALAXY - PIERINELLI</t>
  </si>
  <si>
    <t>01.04.01.18</t>
  </si>
  <si>
    <t xml:space="preserve">        COWORKING - MICROCEMENTO GRIS SIMILAR A VISTA 3D Y SEGUN MUESTRA APROBADA POR INMOBILIARIA</t>
  </si>
  <si>
    <t>01.04.01.19</t>
  </si>
  <si>
    <t xml:space="preserve">        COWORKING - PANEL DE MDF SIMILIAR A PROPUESTA DE DISEÑO, COLOR MUESTRA APROBADO POR INMOBILIARIA</t>
  </si>
  <si>
    <t>01.04.01.20</t>
  </si>
  <si>
    <t xml:space="preserve">        ZONA NIÑOS - PANEL DE MDF SIMILIAR A PROPUESTA DE DISEÑO, COLOR MUESTRA APROBADO POR INMOBILIARIA</t>
  </si>
  <si>
    <t>01.04.01.21</t>
  </si>
  <si>
    <t xml:space="preserve">        MICROCEMENTO NEGRO SIMILAR A VISTA 3D, SEGUN MUESTRA APROBADA POR INMOBILIARIA - EN PARRILLA 01, 02</t>
  </si>
  <si>
    <t>01.04.01.22</t>
  </si>
  <si>
    <t xml:space="preserve">        ZOCALO CERAMICO VITA HUESO MATE 0.60X0.60, CELIMA CASSINELLI, FRAGUA 5MMIMPERMEABILIZAR AL RAS DE SARDINEL. - SARDINEL DE TARRAZA COMUN DEL 1ER PISO</t>
  </si>
  <si>
    <t>CONTRAZOCALOS</t>
  </si>
  <si>
    <t xml:space="preserve">        CEMENTO PULIDO H=0.10, ESCALERAS, CLOSETS, DEPOSITOS, CUARTO DE BOMBAS, ESTACIONAMIENTOS AUTOS Y BICICLETAS, HALL DE ASCENSORES EN SÓTANOS.</t>
  </si>
  <si>
    <t xml:space="preserve">        CEMENTO PULIDO ENRASADO CON BRUÑA SUPERIOR H=0.10 (CIRCULACION VEHICULAR)</t>
  </si>
  <si>
    <t xml:space="preserve">        CEMENTO PULIDO H=0.10, ESCALERAS</t>
  </si>
  <si>
    <t xml:space="preserve">        CONTRAZOCALO SANITARIO DE CEMENTO PULIDO H=10CM - CTO ACOPIO</t>
  </si>
  <si>
    <t>01.05.01.05</t>
  </si>
  <si>
    <t xml:space="preserve">        CEMENTO PULIDO H=0.10, VESTIBULO</t>
  </si>
  <si>
    <t>01.05.01.06</t>
  </si>
  <si>
    <t xml:space="preserve">        CZ CORREDOR TECNICO AZOTEA</t>
  </si>
  <si>
    <t xml:space="preserve">        MATERIAL: PORCELANATO  AMBIENTES: KITCHENETTES Y LAVANDERÍAS</t>
  </si>
  <si>
    <t xml:space="preserve">        MATERIAL: CERÁMICO  AMBIENTES: BALCONES DEPARTAMENTOS</t>
  </si>
  <si>
    <t xml:space="preserve">        MATERIAL: PORCELANATO  AMBIENTES: INGRESO PEATONAL</t>
  </si>
  <si>
    <t xml:space="preserve">        MATERIAL: PORCELANATO  AMBIENTES: LOBBY, HALL DE ASCENSORES Y PASADIZO PISO 1</t>
  </si>
  <si>
    <t xml:space="preserve">        MATERIAL: PVC ROBLE HANVANA, H: 8CM AMBIENTES: PET ZONE</t>
  </si>
  <si>
    <t>01.05.02.11</t>
  </si>
  <si>
    <t>01.05.02.12</t>
  </si>
  <si>
    <t>01.05.02.13</t>
  </si>
  <si>
    <t xml:space="preserve">        MATERIAL: PORCELANATO  AMBIENTES: HALL DE ASCENSORES Y PASADIZO DESDE NIVEL 2 A LA AZOTEA</t>
  </si>
  <si>
    <t>01.05.02.14</t>
  </si>
  <si>
    <t>01.05.02.15</t>
  </si>
  <si>
    <t xml:space="preserve">        MATERIAL: PORCELANATO  AMBIENTES: TERRAZA GIMNASIO</t>
  </si>
  <si>
    <t>01.05.02.16</t>
  </si>
  <si>
    <t>01.05.02.17</t>
  </si>
  <si>
    <t>01.05.02.18</t>
  </si>
  <si>
    <t>01.05.02.19</t>
  </si>
  <si>
    <t xml:space="preserve">        MATERIAL: GRES PORCELANICO NUEZ MADERATO TABLON 19X118 CELIMA , CON JUNTA DE SEPARACION DE 3MM AMBIENTES: SARDINEL TERRAZA AREA DE PARRILLAS EN AZOTEA</t>
  </si>
  <si>
    <t>01.05.02.20</t>
  </si>
  <si>
    <t>01.05.02.21</t>
  </si>
  <si>
    <t>01.05.02.22</t>
  </si>
  <si>
    <t>01.05.02.23</t>
  </si>
  <si>
    <t xml:space="preserve">        MATERIAL : CONTRAZOCALO DE PVC ALTURA: 8 CM AMBIENTES: PISOS DE SALA, COMEDOR, DORMITORIOS, PASADIZOS DE DPTOS.</t>
  </si>
  <si>
    <t>01.05.02.24</t>
  </si>
  <si>
    <t xml:space="preserve">        MATERIAL : CONTRAZOCALO DE PVC ALTURA: 10 CM AMBIENTES: BASE MUEBLE DE KITCHENETTES DE DPTOS.</t>
  </si>
  <si>
    <t>01.05.02.25</t>
  </si>
  <si>
    <t>01.05.02.26</t>
  </si>
  <si>
    <t xml:space="preserve">        MATERIAL : GRES PORCELANICO NUEZ MADERATO TABLON 19X118 CELIMA H:8CM AMBIENTES: SALA DE NIÑOS</t>
  </si>
  <si>
    <t>01.05.02.27</t>
  </si>
  <si>
    <t>01.05.02.28</t>
  </si>
  <si>
    <t xml:space="preserve">        CZ GRES PORCELANICO NUEZ MADERATO TABLON 19X118CM - CELIMA, CON JUNTA E=3MM - COWORKING</t>
  </si>
  <si>
    <t xml:space="preserve">        CERAMICO VITA HUESO MATE 0.60X0.60,H=0.10M Y H=0.18M CELIMA CASSINELLI REPRESENTAR FRAGUA 5MMM - GIMNASIO</t>
  </si>
  <si>
    <t xml:space="preserve">        CZ CERÁMICO PIANO BLANCO BRILLANTE, H=0.10M - DEPOSITO COMUN 1ER PISO</t>
  </si>
  <si>
    <t xml:space="preserve">        CZ GRES PORCELANICO NUEZ MADERATO TABLON 19X118CM - CELIMA, CON JUNTA E=3MM - SUM BAR</t>
  </si>
  <si>
    <t xml:space="preserve">        CONTRAZOCALO GRES PORCELANICO MARMOLIZADO 60X60CM, ALTURA 0.10M- ORANGE, PROMART. - SUM GOURMET</t>
  </si>
  <si>
    <t xml:space="preserve">        CZ CERÁMICO TERRE MARFIL MATE 60X60CM CELIMA. CASSINELLI REPRESENTAR FRAGUA 5MM - DEPOSITO COMÚN AZOTEA</t>
  </si>
  <si>
    <t xml:space="preserve">        CZ CERÁMICO TERRE MARFIL MATE 60X60CM CELIMA. CASSINELLI REPRESENTAR FRAGUA 5MM - CORREDOR TECNICO AZOTEA</t>
  </si>
  <si>
    <t>ENCHAPES</t>
  </si>
  <si>
    <t xml:space="preserve">    CERAMICO</t>
  </si>
  <si>
    <t xml:space="preserve">        PISO CERAMICO CELIMA CEMENTO GRIS 0.45mx0.45m. FRAGUA 3mm</t>
  </si>
  <si>
    <t xml:space="preserve">        POZA PET ZONE</t>
  </si>
  <si>
    <t xml:space="preserve">    PIEDRAS Y TABLEROS</t>
  </si>
  <si>
    <t xml:space="preserve">        MATERIAL: TABLERO DE CUARZO BLANCO POLAR 1.5CM. PROVEEDOR PIERINELLI. AMBIENTES: TABLERO DE KITCHENETTES</t>
  </si>
  <si>
    <t xml:space="preserve">        MATERIAL: TABLERO DE PIEDRA SINTERIZADABLANCO ,SEGÚN DETALLE DE PLANOS. AMBIENTES: TABLERO AREA COMUN: SUM (COCINAS)</t>
  </si>
  <si>
    <t xml:space="preserve">        MATERIAL: GRANITO NEGRO GALAXY , CON ROMPEGOTAS AL BORDE, (SEGUN DISEÑO DE DETALLES) AMBIENTES: TABLERO AREA COMUN: PARRILLAS</t>
  </si>
  <si>
    <t xml:space="preserve">        MATERIAL: SEGÚN DETALLE DE PLANOS AMBIENTES: TABLERO EN MUEBLE COUNTER DE LOBBY</t>
  </si>
  <si>
    <t xml:space="preserve">        WALL PANEL DARK WOOD MARRÓN - 12X290 CM.CASSINELLI</t>
  </si>
  <si>
    <t>REVESTIMIENTO DE BANCAS Y JARDINERAS</t>
  </si>
  <si>
    <t xml:space="preserve">    ACABADO DE BANCAS Y JARDINERAS</t>
  </si>
  <si>
    <t>COBERTURA</t>
  </si>
  <si>
    <t xml:space="preserve">    SOBRE PARAPETO DE TECHO TECNICO, LADRILLO PASTELERO ASENTADO CON MEZCLA.</t>
  </si>
  <si>
    <t xml:space="preserve">    SOL Y SOMBRA METÁLICO RECUBRIMIENTO DE POLICARBONATO</t>
  </si>
  <si>
    <t xml:space="preserve">        PCF-01 METÁLICA CORTAFUEGO, RF-90, 1.00*2.10 CON ACCESORIOS DE INSTALACION CERTIFICADAS.CON CIERRAPUERTA Y BARRA ANTIPANICO.</t>
  </si>
  <si>
    <t xml:space="preserve">        PCF-02 METÁLICA CORTAFUEGO, RF-90, CORTAFUEGO, 1.00*2.10 CON ACCESORIOS DE INSTALACION CERTIFICADAS.CON CIERRAPUERTA Y BARRA ANTIPANICO.</t>
  </si>
  <si>
    <t xml:space="preserve">        PCF-03 METÁLICA CORTAFUEGO, RF-90, 1.00*2.10 CON ACCESORIOS DE INSTALACION CERTIFICADAS</t>
  </si>
  <si>
    <t xml:space="preserve">        PCF-04 METÁLICA CORTAFUEGO, RF-90, 1.00*2.10 CON ACCESORIOS DE INSTALACION CERTIFICADAS. CUARTO DE ACOPIO</t>
  </si>
  <si>
    <t xml:space="preserve">        PCF-05 METÁLICA CORTAFUEGO, RF-90, 0.90*2.10 CON ACCESORIOS DE INSTALACION CERTIFICADAS INGRESO DPTOS 1ER PISO</t>
  </si>
  <si>
    <t>01.09.01.06</t>
  </si>
  <si>
    <t xml:space="preserve">        PCF-06 METÁLICA CORTAFUEGO, RF-90, 1.97*2.00 CON ACCESORIOS DE INSTALACION CERTIFICADAS. (MONTANTES IIEE)</t>
  </si>
  <si>
    <t>01.09.01.07</t>
  </si>
  <si>
    <t xml:space="preserve">        PCF-07 METÁLICA CORTAFUEGO, RF-90, 2.53*2.00 CON ACCESORIOS DE INSTALACION CERTIFICADAS (MONTANTES GAS /IISS)</t>
  </si>
  <si>
    <t>01.09.01.08</t>
  </si>
  <si>
    <t xml:space="preserve">        PCF-08 METÁLICA CORTAFUEGO, RF-90, 0.90*2.10 , CON ACCESORIOS DE INSTALACION CERTIFICADAS (DEP. 1ER PISO)</t>
  </si>
  <si>
    <t>01.09.01.09</t>
  </si>
  <si>
    <t xml:space="preserve">        BOMBILLOS CON LLAVE, BARRA ANTIPANICO</t>
  </si>
  <si>
    <t xml:space="preserve">    PUERTA DE MADERA - PUERTAS DE MELAMINE - PUERTAS DE MDF</t>
  </si>
  <si>
    <t xml:space="preserve">        PV-01 (0.90X2.10M) INGRESO DEPAS: PUERTA SENEGAL HDF 3MM PET TEKA MIX 42X850X2070MM, RELLENO TABLERO AGLOMERADO TUBULAR HR REFILADO. PROVEEDOR ARES.</t>
  </si>
  <si>
    <t xml:space="preserve">        PV-02 (0.80X2.10M) INTERIOR HAB: PUERTA RIGA HDF 3MM PET BLANCO MIX 40X750X2070MM, RELLENO HONEY COMB REFILADO</t>
  </si>
  <si>
    <t xml:space="preserve">        PV-03 (0.70X2.10M) INTERIOR SSHH: PUERTA RIGA HDF 3MM PET BLANCO MIX 40X750X2070MM, RELLENO HONEY COMB REFILADO</t>
  </si>
  <si>
    <t xml:space="preserve">        PV-04 (1.45X2.10M) LAVANDERIA</t>
  </si>
  <si>
    <t xml:space="preserve">        PV-05 (1.67X2.10M) LAVANDERIA</t>
  </si>
  <si>
    <t xml:space="preserve">        PV-06 (0.80X2.10M) LAVANDERIA</t>
  </si>
  <si>
    <t>01.09.02.07</t>
  </si>
  <si>
    <t xml:space="preserve">        PV-07 (1.23X2.10M) LAVANDERIA</t>
  </si>
  <si>
    <t>01.09.02.08</t>
  </si>
  <si>
    <t xml:space="preserve">        PS-01 SEGÚN DISEÑO EN PLANOS</t>
  </si>
  <si>
    <t>01.09.02.09</t>
  </si>
  <si>
    <t xml:space="preserve">        PS-02 SEGÚN DISEÑO EN PLANOS</t>
  </si>
  <si>
    <t>01.09.02.10</t>
  </si>
  <si>
    <t xml:space="preserve">        PS-03  SEGÚN DISEÑO EN PLANOS</t>
  </si>
  <si>
    <t>01.09.02.11</t>
  </si>
  <si>
    <t xml:space="preserve">        PS-04  SEGÚN DISEÑO EN PLANOS</t>
  </si>
  <si>
    <t>01.09.02.12</t>
  </si>
  <si>
    <t xml:space="preserve">        PS-05  SEGÚN DISEÑO EN PLANOS</t>
  </si>
  <si>
    <t>01.09.02.13</t>
  </si>
  <si>
    <t xml:space="preserve">        PS-06 SEGÚN DISEÑO EN PLANOS</t>
  </si>
  <si>
    <t>01.09.02.14</t>
  </si>
  <si>
    <t xml:space="preserve">        PP-01 SEGÚN DISEÑO EN PLANOS</t>
  </si>
  <si>
    <t>01.09.02.15</t>
  </si>
  <si>
    <t xml:space="preserve">        PP-02 SEGÚN DISEÑO EN PLANOS</t>
  </si>
  <si>
    <t>01.09.02.16</t>
  </si>
  <si>
    <t xml:space="preserve">        PP-03 SEGÚN DISEÑO EN PLANOS (METÁLICA)</t>
  </si>
  <si>
    <t>01.09.02.17</t>
  </si>
  <si>
    <t xml:space="preserve">        PP-04 SEGÚN DISEÑO EN PLANOS</t>
  </si>
  <si>
    <t>01.09.02.18</t>
  </si>
  <si>
    <t xml:space="preserve">        PP-05 SEGÚN DISEÑO EN PLANOS</t>
  </si>
  <si>
    <t>01.09.02.19</t>
  </si>
  <si>
    <t xml:space="preserve">        TAPACANTOS Y TAPAS PARA PUERTAS PRINCIPALES E INTERIORES</t>
  </si>
  <si>
    <t xml:space="preserve">    PUERTAS DE VIDRIO</t>
  </si>
  <si>
    <t xml:space="preserve">        PZ-01 TERRAZA COMUN</t>
  </si>
  <si>
    <t xml:space="preserve">        PVV-01 TERRAZA PRIVADA</t>
  </si>
  <si>
    <t xml:space="preserve">    PUERTAS Y REJAS INGRESO VEHICULAR</t>
  </si>
  <si>
    <t xml:space="preserve">        INV.01 (3.25 X3.10) SECCIONABLE INGRESO Y SALIDA A ESTACIONAMIENTOS SOTANOS, CON LAMAS HORIZONTALES PARA VENTILACIÓN (INCLUYE CONTROLES)</t>
  </si>
  <si>
    <t xml:space="preserve">    CERRAJERIA Y ACCESORIOS</t>
  </si>
  <si>
    <t xml:space="preserve">        TOPE DE PUERTAS</t>
  </si>
  <si>
    <t>CARPINTERIA METALICA</t>
  </si>
  <si>
    <t xml:space="preserve">    BARANDAS Y PASAMANOS</t>
  </si>
  <si>
    <t xml:space="preserve">        BARANDA DE FE CON PASAMANOS DE Ø 2" PARANTES DE TUBO DE FE Ø 2" Y TRAVESAÑOS DE TUBO DE Ø 1" (ESCALERA DE EMERGENCIA)</t>
  </si>
  <si>
    <t xml:space="preserve">        PASAMANOS DE FE Ø2" CON TUBO DE ANCLAJE A MURO DE FE Ø1/2" (ESCALERA DE EMERGENCIA)</t>
  </si>
  <si>
    <t>01.10.01.06</t>
  </si>
  <si>
    <t xml:space="preserve">        BARANDA METALICA TUBO DE FIERRO GALVANIZADO, COLOR NEGRO, ALTURA 1.10M. VER IMAGEN DE DISEÑO REFERENCIAL. / FACHADA INTERIOR.</t>
  </si>
  <si>
    <t>01.10.01.07</t>
  </si>
  <si>
    <t xml:space="preserve">        PASAMANOS DE FE Ø2" CON TUBO DE ANCLAJE A MURO DE FE Ø1/2" (AREA DE BICICLETAS SOT.5)</t>
  </si>
  <si>
    <t>01.10.01.08</t>
  </si>
  <si>
    <t xml:space="preserve">        BARANDA DE FE Ø2" H=0.90 (AREA DE BICICLETAS SOT.5)</t>
  </si>
  <si>
    <t>01.10.01.09</t>
  </si>
  <si>
    <t xml:space="preserve">        BARANDA METÁLICA EN PASARELA - TECHO</t>
  </si>
  <si>
    <t>01.10.01.10</t>
  </si>
  <si>
    <t xml:space="preserve">        PASAMANO EN RAMPA PEATONAL DEL 1ER PISO - LADO ESCALERA 01</t>
  </si>
  <si>
    <t xml:space="preserve">    REJAS Y REJILLAS</t>
  </si>
  <si>
    <t xml:space="preserve">        REJILLA DE DRENAJE EN INGRESO A SOTANOS, RAMPA SOTANOS, SEGÚN DISEÑO.</t>
  </si>
  <si>
    <t xml:space="preserve">        REJILLA METALICA SANITARIA EN CUARTO DE BOMBAS (CISTERNA DOMESTICA) 0.40X2.50M</t>
  </si>
  <si>
    <t xml:space="preserve">        REJILLA METALICA SANITARIA EN CUARTO DE BOMBAS (CISTERNA ACI) 0.30X2.98M</t>
  </si>
  <si>
    <t xml:space="preserve">        REJILLA METALICA EN CUARTO DE BOMBAS (ZONA DE TABLERO ELECTRICO) 0.30X1.80M</t>
  </si>
  <si>
    <t>01.10.02.05</t>
  </si>
  <si>
    <t xml:space="preserve">        REJILLA METALICA POZO SUMIDERO 0.90X1.10M</t>
  </si>
  <si>
    <t>01.10.02.06</t>
  </si>
  <si>
    <t xml:space="preserve">        CAJA DE REGISTRO DESAGÜE 0.50X0.80M</t>
  </si>
  <si>
    <t>01.10.02.07</t>
  </si>
  <si>
    <t xml:space="preserve">        REJILLAS DE PVC PARA VENTILACION</t>
  </si>
  <si>
    <t>01.10.02.08</t>
  </si>
  <si>
    <t xml:space="preserve">        REJILLA DE INYECCIÓN DE AIRE A CTO DE BOMBAS - 1ER PISO (0.45X0.69M.)</t>
  </si>
  <si>
    <t>01.10.02.09</t>
  </si>
  <si>
    <t xml:space="preserve">        REJILLA DE INYECCIÓN DE AIRE A SÓTANOS - 1ER PISO (2.20X0.69M.)</t>
  </si>
  <si>
    <t>01.10.02.10</t>
  </si>
  <si>
    <t xml:space="preserve">        REJILLA PARA VENTILACIÓN INFERIOR DE MONTANTE DE GAS 10"X10" - JARDIN EXTERIOR</t>
  </si>
  <si>
    <t>01.10.02.11</t>
  </si>
  <si>
    <t xml:space="preserve">        REJILLA DE EXTRACCIÓN DE AIRE 1.90X0.47M EN DUCTO DE MONOXIDO DE SOTANOS - 1ER PISO EJE D-I</t>
  </si>
  <si>
    <t>01.10.02.12</t>
  </si>
  <si>
    <t xml:space="preserve">        MALLA ANTICAIDA EN DUCTO DE GAS</t>
  </si>
  <si>
    <t>01.10.02.13</t>
  </si>
  <si>
    <t xml:space="preserve">        REFUERZOS METÁLICOS TIPO ESCUADRAS CIEGAS - PARA VANITORIO DE BAÑOS</t>
  </si>
  <si>
    <t xml:space="preserve">    ESCALERAS METALICAS</t>
  </si>
  <si>
    <t xml:space="preserve">        ESCALERA DE GATO DE FE EN CUARTO DE BOMBAS (PARA CISTERNA ACI Y CISTERNA DOMESTICA) INC. CANOPLAS</t>
  </si>
  <si>
    <t xml:space="preserve">        ESCALERA DE GATO CON CANASTILLA DE PROTECCION EN AZOTEA</t>
  </si>
  <si>
    <t xml:space="preserve">        PASARELA METÁLICA EN TECHO</t>
  </si>
  <si>
    <t>CARPINTERIA ALUMINIO, VIDRIOS, CRISTALES Y SIMILARES</t>
  </si>
  <si>
    <t xml:space="preserve">        VV-01 SEGUN DISEÑO EN PLANOS</t>
  </si>
  <si>
    <t xml:space="preserve">        VV-02 SEGUN DISEÑO EN PLANOS</t>
  </si>
  <si>
    <t xml:space="preserve">        VV-03 SEGUN DISEÑO EN PLANOS</t>
  </si>
  <si>
    <t xml:space="preserve">        VV-04 SEGUN DISEÑO EN PLANOS</t>
  </si>
  <si>
    <t xml:space="preserve">        VV-05 SEGUN DISEÑO EN PLANOS</t>
  </si>
  <si>
    <t xml:space="preserve">        VV-06 SEGUN DISEÑO EN PLANOS</t>
  </si>
  <si>
    <t xml:space="preserve">        VV-07 SEGUN DISEÑO EN PLANOS</t>
  </si>
  <si>
    <t>01.11.01.08</t>
  </si>
  <si>
    <t xml:space="preserve">        VV-08 SEGUN DISEÑO EN PLANOS</t>
  </si>
  <si>
    <t>01.11.01.09</t>
  </si>
  <si>
    <t xml:space="preserve">        VV-09 SEGUN DISEÑO EN PLANOS</t>
  </si>
  <si>
    <t>01.11.01.10</t>
  </si>
  <si>
    <t xml:space="preserve">        VV-10 SEGUN DISEÑO EN PLANOS</t>
  </si>
  <si>
    <t>01.11.01.11</t>
  </si>
  <si>
    <t xml:space="preserve">        VZ 01  SEGUN DISEÑO EN PLANOS</t>
  </si>
  <si>
    <t>01.11.01.12</t>
  </si>
  <si>
    <t xml:space="preserve">        VZ 02 SEGUN DISEÑO EN PLANOS</t>
  </si>
  <si>
    <t>01.11.01.13</t>
  </si>
  <si>
    <t xml:space="preserve">        VZ 03 VENTANA DE REGISTRO 80X80 CISTERNAS</t>
  </si>
  <si>
    <t>01.11.01.14</t>
  </si>
  <si>
    <t xml:space="preserve">        VT-CDH VENTANA DE EXTRACCION</t>
  </si>
  <si>
    <t>01.11.01.15</t>
  </si>
  <si>
    <t xml:space="preserve">        VENTANA DE INSPECCION DE DRYWALL A=0.25</t>
  </si>
  <si>
    <t>01.11.01.16</t>
  </si>
  <si>
    <t xml:space="preserve">        VENTANA DE INSPECCION DE DRYWALL A=0.30</t>
  </si>
  <si>
    <t>01.11.01.17</t>
  </si>
  <si>
    <t xml:space="preserve">        VENTANA DE INSPECCION DE DRYWALL A=0.40</t>
  </si>
  <si>
    <t>01.11.01.18</t>
  </si>
  <si>
    <t xml:space="preserve">        VENTANA DE INSPECCION DE DRYWALL A=0.60</t>
  </si>
  <si>
    <t xml:space="preserve">        MV-01 SEGUN DISEÑO EN PLANOS</t>
  </si>
  <si>
    <t xml:space="preserve">        MV-02 SEGUN DISEÑO EN PLANOS</t>
  </si>
  <si>
    <t xml:space="preserve">        MV-03 SEGUN DISEÑO EN PLANOS</t>
  </si>
  <si>
    <t xml:space="preserve">        MV-04 SEGUN DISEÑO EN PLANOS</t>
  </si>
  <si>
    <t xml:space="preserve">        MV-05 SEGUN DISEÑO EN PLANOS</t>
  </si>
  <si>
    <t>01.11.02.06</t>
  </si>
  <si>
    <t xml:space="preserve">        MV-06 SEGUN DISEÑO EN PLANOS</t>
  </si>
  <si>
    <t>01.11.02.07</t>
  </si>
  <si>
    <t xml:space="preserve">        MV-07 SEGUN DISEÑO EN PLANOS</t>
  </si>
  <si>
    <t>01.11.02.08</t>
  </si>
  <si>
    <t xml:space="preserve">        MV-08 SEGUN DISEÑO EN PLANOS</t>
  </si>
  <si>
    <t>01.11.02.09</t>
  </si>
  <si>
    <t xml:space="preserve">        MV-09 SEGUN DISEÑO EN PLANOS</t>
  </si>
  <si>
    <t>01.11.02.10</t>
  </si>
  <si>
    <t xml:space="preserve">        MV-10 SEGUN DISEÑO EN PLANOS</t>
  </si>
  <si>
    <t>01.11.02.11</t>
  </si>
  <si>
    <t xml:space="preserve">        MV-11 SEGUN DISEÑO EN PLANOS</t>
  </si>
  <si>
    <t>01.11.02.12</t>
  </si>
  <si>
    <t xml:space="preserve">        MZ-01 SEGUN DISEÑO EN PLANOS</t>
  </si>
  <si>
    <t>01.11.02.13</t>
  </si>
  <si>
    <t xml:space="preserve">        MZ-02  SEGUN DISEÑO EN PLANOS</t>
  </si>
  <si>
    <t>01.11.02.14</t>
  </si>
  <si>
    <t xml:space="preserve">        MZ-03  SEGUN DISEÑO EN PLANOS</t>
  </si>
  <si>
    <t>01.11.02.15</t>
  </si>
  <si>
    <t xml:space="preserve">        MZ-04  SEGUN DISEÑO EN PLANOS</t>
  </si>
  <si>
    <t>01.11.02.16</t>
  </si>
  <si>
    <t xml:space="preserve">        MZ-05  SEGUN DISEÑO EN PLANOS</t>
  </si>
  <si>
    <t>01.11.02.17</t>
  </si>
  <si>
    <t xml:space="preserve">        MZ-06  SEGUN DISEÑO EN PLANOS</t>
  </si>
  <si>
    <t>01.11.02.18</t>
  </si>
  <si>
    <t xml:space="preserve">        MZ-07  SEGUN DISEÑO EN PLANOS</t>
  </si>
  <si>
    <t>01.11.02.19</t>
  </si>
  <si>
    <t xml:space="preserve">        MZ-08  SEGUN DISEÑO EN PLANOS</t>
  </si>
  <si>
    <t>01.11.02.20</t>
  </si>
  <si>
    <t xml:space="preserve">        MZ-09  SEGUN DISEÑO EN PLANOS</t>
  </si>
  <si>
    <t>01.11.02.21</t>
  </si>
  <si>
    <t xml:space="preserve">        MZ-10  SEGUN DISEÑO EN PLANOS</t>
  </si>
  <si>
    <t>01.11.02.22</t>
  </si>
  <si>
    <t xml:space="preserve">        MZ-11   SEGUN DISEÑO EN PLANOS</t>
  </si>
  <si>
    <t>01.11.02.23</t>
  </si>
  <si>
    <t xml:space="preserve">        MZ-12  SEGUN DISEÑO EN PLANOS</t>
  </si>
  <si>
    <t>01.11.02.24</t>
  </si>
  <si>
    <t xml:space="preserve">        MZ-13   SEGUN DISEÑO EN PLANOS</t>
  </si>
  <si>
    <t xml:space="preserve">    CELOSIA</t>
  </si>
  <si>
    <t xml:space="preserve">        CELOSIA HORIZONTAL EN CERRAMIENTO PERIMETRAL. DE ALUMINIO H=3M</t>
  </si>
  <si>
    <t xml:space="preserve">        CELOSIA DE ALUMINIO EN TERRAZAS PISO 1 H=1.50M.</t>
  </si>
  <si>
    <t xml:space="preserve">        CELOSIA DE ALUMINIO EN TERRAZAS AZOTEA H=1.92M</t>
  </si>
  <si>
    <t>01.11.03.04</t>
  </si>
  <si>
    <t xml:space="preserve">        CELOSIA DE ALUMINIO COLOR NEGRO DE MEDIDOERES ELECTRICO 4.94X1.28M - 1ER PISO BANCO DE MEDIDORES</t>
  </si>
  <si>
    <t xml:space="preserve">        ESPEJO BISELADO DE 1" EN BAÑOS DE DEPARTAMENTOS Y BAÑOS COMUNES</t>
  </si>
  <si>
    <t xml:space="preserve">        ESPEJO EN SSHH DISCAPACITADOS CON INCLINACIÓN SEGUN RNE</t>
  </si>
  <si>
    <t>PINTURA LATEX</t>
  </si>
  <si>
    <t xml:space="preserve">    PINTURA LATEX EN CIELORRASO, SOBRE EMPASTADO</t>
  </si>
  <si>
    <t xml:space="preserve">    PINTURA LATEX 2 MANOS EN MUROS INTERIORES SOBRE EMPASTADO EN DEPARTAMENTOS</t>
  </si>
  <si>
    <t xml:space="preserve">    PINTURA LATEX 2 MANOS EN MUROS EXTERIORES SOBRE EMPASTADO EN AREAS COMUNES</t>
  </si>
  <si>
    <t>01.12.04</t>
  </si>
  <si>
    <t xml:space="preserve">    EMPASTADO Y PINTADO CON LATEX COLOR BLANCO DURALATEX CPP (SH PRINCIPAL, SH SECUNDARIO, SH VISITA, SH COMUN, SH SERVICIO)</t>
  </si>
  <si>
    <t>01.12.05</t>
  </si>
  <si>
    <t xml:space="preserve">    PINTURA ANTIHONGOS EN LAVANDERIAS Y CLOSET DE LAVADO.</t>
  </si>
  <si>
    <t>01.12.06</t>
  </si>
  <si>
    <t xml:space="preserve">    PINTURA INTERIOR EN AREA COMUN</t>
  </si>
  <si>
    <t>01.12.07</t>
  </si>
  <si>
    <t xml:space="preserve">    PINTURA INTERIOR EN ESCALERA EMERGENCIA</t>
  </si>
  <si>
    <t>01.12.08</t>
  </si>
  <si>
    <t xml:space="preserve">    PINTURA LATEX 2 MANOS EN CIELORRASO EN DEPARTAMENTOS</t>
  </si>
  <si>
    <t>01.12.09</t>
  </si>
  <si>
    <t xml:space="preserve">    PINTURA LATEX EN CIELORRASO, SOBRE EMPASTADO - SS.HH Y LAVANDERIAS</t>
  </si>
  <si>
    <t>01.12.10</t>
  </si>
  <si>
    <t xml:space="preserve">    PINTURA LATEX EN CIELORRASO, SOBRE EMPASTADO - BALCON</t>
  </si>
  <si>
    <t>01.12.11</t>
  </si>
  <si>
    <t>01.12.12</t>
  </si>
  <si>
    <t>01.12.13</t>
  </si>
  <si>
    <t xml:space="preserve">    PINTURA EN MUROS DE ESTACIONAMIENTO DE BICICLETAS</t>
  </si>
  <si>
    <t>01.12.14</t>
  </si>
  <si>
    <t xml:space="preserve">    ACABADO MICROCEMENTO TEXTURIZADO COLOR RAL 9018 PAPYRUS WHITE- ALERO DE FACHADA PRINCIPAL</t>
  </si>
  <si>
    <t>01.12.15</t>
  </si>
  <si>
    <t xml:space="preserve">    PINTURA EN FONDO DE ESCALERAS - SOTANOS</t>
  </si>
  <si>
    <t xml:space="preserve">    PINTURA EN FONDO DE ESCALERAS - SUPERIOR</t>
  </si>
  <si>
    <t>PINTURA ALTO TRAFICO</t>
  </si>
  <si>
    <t xml:space="preserve">    PINTURA DE ALTO TRAFICO SEÑALIZACIÓN CON FLECHAS EN CARRILES DE CIRCULACION VEHICULAR</t>
  </si>
  <si>
    <t xml:space="preserve">    PINTURA DE ALTO TRAFICO NUMERACIÓN DE ESTACIONAMIENTOS EN PISOS</t>
  </si>
  <si>
    <t xml:space="preserve">    PINTURA DE ALTO TRAFICO DE ESTACIONAMIENTOS (CEBRA)</t>
  </si>
  <si>
    <t xml:space="preserve">    PINTURA DE ALTO TRAFICO NUMERACIÓN DE ESTACIONAMIENTOS EN PISOS DE BICICLETAS</t>
  </si>
  <si>
    <t xml:space="preserve">    PINTURA DE ALTO TRAFICO DEMARCACIÓN EN DIVISION DE ESTACIONAMIENTO AUTOS</t>
  </si>
  <si>
    <t xml:space="preserve">    PINTURA DE ALTO TRAFICO DEMARCACIÓN EN DIVISION DE ESTACIONAMIENTO BICICLETAS</t>
  </si>
  <si>
    <t xml:space="preserve">    PINTURA DE ALTO TRAFICO NUMERACIÓN DE ESTACIONAMIENTOS EN PARED</t>
  </si>
  <si>
    <t>APARATOS Y ACCESORIOS SANITARIOS</t>
  </si>
  <si>
    <t xml:space="preserve">    APARATOS SANITARIOS</t>
  </si>
  <si>
    <t xml:space="preserve">        INODORO SH DEPARTAMENTOS INODORO BUZIOS BLANCO, ONE PIECE CON SISTEMA DE DOBLE DESCARGA. PROVEEDOR ITALGRIF- CASSINELLI. PRESENTA CERTIFICADO DE AHORRO DE AGUA DE SEDAPAL</t>
  </si>
  <si>
    <t xml:space="preserve">        ACCESORIOS DE INSTALACIÓN (ANILLO DE CERA, TUBO DE ABASTO)</t>
  </si>
  <si>
    <t xml:space="preserve">        LAVADERO VANITORIO SH DEPARTAMENTOS VANITORIO 70CM KLIPEN CON MUEBLE COLOR CENIZA KING 2 PUERTAS, OVALIN DE LOZA BLANCA. PROVEEDOR DECORCENTER</t>
  </si>
  <si>
    <t xml:space="preserve">        ACCESORIOS DE INSTALACIÓN(INCLUYE PERNOS DE ANCLAJE, TUBO DE ABASTO, TRAMPA Y DESAGUE CROMADO).</t>
  </si>
  <si>
    <t xml:space="preserve">        LAVADERO DE ROPA  LAVADERO AMAZONAS, ANCHO 460MM, FONDO 385MM, PROFUNDIDAD 295MM, CAPACIDAD DE AGUA 28 LITROS. PROVEEDOR TREBOL-CASSINELLI.</t>
  </si>
  <si>
    <t xml:space="preserve">        ACCESORIOS DE INSTALACIÓN(INCLUYE PERNOS DE ANCLAJE, TRAMPA Y DESAGUE).</t>
  </si>
  <si>
    <t xml:space="preserve">        LAVATORIO: PARA DISCAPACITADOS TREBOL</t>
  </si>
  <si>
    <t xml:space="preserve">        ACCESORIOS DE INSTALACIÓN(INCLUYE UÑAS DE ANCLAJE, TARUGOS, TUBO DE ABASTO, TRAMPA Y DESAGUE)</t>
  </si>
  <si>
    <t xml:space="preserve">        URINARIO CON FLUXÓMETRO</t>
  </si>
  <si>
    <t xml:space="preserve">        ACCESORIOS DE INSTALACIÓN(INCLUYE UÑAS DE ANCLAJE, TARUGOS, ENTRE OTROS)</t>
  </si>
  <si>
    <t xml:space="preserve">        LAVAMOPAS</t>
  </si>
  <si>
    <t xml:space="preserve">        ACCESORIOS DE INSTALACIÓN(INCLUYE UÑAS DE ANCLAJE, TARUGOS, TRAMPA Y DESAGUE)</t>
  </si>
  <si>
    <t xml:space="preserve">        LAVADERO (KITCHENETTE) LAVATRASTOS KLIPEN MANHATTAN(SIMPLE) DE 425X425X170MM, ACABADO SANITADO. PROVEEDOR DECORCENTER</t>
  </si>
  <si>
    <t xml:space="preserve">        ACCESORIOS DE INSTALACIÓN(INCLUYE TUBO DE ABASTO, SISTEMA DE ANCLAJE Y FIJACIÓN).</t>
  </si>
  <si>
    <t xml:space="preserve">        LAVATRASTOS KLIPEN MANHATTAN(SIMPLE) DE 425X425X170MM, ACABADO SANITADO. PROVEEDOR DECORCENTER - LAVADERO DE SUM</t>
  </si>
  <si>
    <t>01.14.01.16</t>
  </si>
  <si>
    <t xml:space="preserve">        LAVATRASTOS KLIPEN MNHATTAN (SIMPLE) ACABADO SATINADO, 425X425X170MM. - DECORCENTER - LAVADERO DE PARRILLA</t>
  </si>
  <si>
    <t xml:space="preserve">    GRIFERIAS</t>
  </si>
  <si>
    <t xml:space="preserve">        MEZCLADORA MONOCOMANDO PARA LAVADERO ( KITCHENETTE) MEZCLADORA MONOCOMANDO BAR CON PICO GIRATORIO, LÍNEA TAHITÍ CROMADA. PROVEEDOR ITALGRIF- CASSINELLI. PRESENTA CERTIFICADO DE AHORRO DE AGUA DE SEDAPAL</t>
  </si>
  <si>
    <t xml:space="preserve">        MEZCLADORA MONOCOMANDO PARA LAVADERO ( PARRILLA, SUM)MEZCLADORA MONOCOMANDO BAR CON PICO GIRATORIO, LÍNEA TAHITÍ CROMADA. PROVEEDOR ITALGRIF- CASSINELLI. PRESENTA CERTIFICADO DE AHORRO DE AGUA DE SEDAPAL</t>
  </si>
  <si>
    <t xml:space="preserve">        MEZCLADORA MONOCOMANDO PARA LAVATORIO (SH PRINCIPAL Y SECUNDARIO)  PARA VANITORIO: MEZCLADORA MONOCOMANDO MUEBLE BAJO, LÍNEA TAHITÍ CROMADA. PROVEEDOR ITALGRIF- CASSINELLI. PRESENTA CERTIFICADO DE AHORRO DE AGUA DE SEDAPAL</t>
  </si>
  <si>
    <t xml:space="preserve">        DUCHA: MEZCLADORA MONOCOMANDO , (SH PRINCIPAL Y SECUNDARIO)  PARA DUCHA: MEZCLADORA DUCHA MONOCOMANDO, LÍNEA TAHITÍ CON SALIDA TECNO CROMDA. PROVEEDOR ITALGRIF- CASSINELLI. PRESENTA CERTIFICADO DE AHORRO DE AGUA DE SEDAPAL</t>
  </si>
  <si>
    <t xml:space="preserve">        MEZCLADORA MONOCOMANDO PARA LAVATORIO (LAVANDERIA) MEZCLADORA DE LAVADERO A LA PARED, CON PICO GIRATORIO DE 18MM CROMADO, COLECCIÓN VALLARTA. PROVEEDOR ITALGRIF- CASSINELLI</t>
  </si>
  <si>
    <t xml:space="preserve">        DUCHA TELEFONO BUZIOS CON SOPORTE REGULABLE Y TUBO FLEXIBLE PET ZONE</t>
  </si>
  <si>
    <t xml:space="preserve">        GRIFERÍA PARA LAVATORIO DISCAPACITADOS TREBOL</t>
  </si>
  <si>
    <t xml:space="preserve">        GRIFO JARDIN ESTÁNDAR DE 1/2" MANIJA T CROMO GRANALLADO ( CUARTO DE ACOPIO Y JARDINERAS)</t>
  </si>
  <si>
    <t xml:space="preserve">    ACCESORIOS SANITARIOS</t>
  </si>
  <si>
    <t xml:space="preserve">        BARRA DE SEGURIDAD EN "L" ACERO INOXIDABLE PARA LAVATORIO DISCAPACITADOS, SSHH PISO 1 Y AZOTEA</t>
  </si>
  <si>
    <t xml:space="preserve">        BARRA DE SEGURIDAD ACERO INOXIDABLE , PARA URINARIO DE DISCAPACITADOS, SSHH PISO 1 Y AZOTEA</t>
  </si>
  <si>
    <t>01.14.03.03</t>
  </si>
  <si>
    <t xml:space="preserve">        INSTALACION DE BARRAS DE SEGURIDAD EN SSHH DISCAPACITADOS PISO 1 Y AZOTEA</t>
  </si>
  <si>
    <t>MUEBLES</t>
  </si>
  <si>
    <t xml:space="preserve">    CLOSETS</t>
  </si>
  <si>
    <t>01.15.01.01</t>
  </si>
  <si>
    <t xml:space="preserve">        CLOSET, DORMITORIO PRINCIPAL DPTO 101 (SEGUN PLANO DETALLE)  MATERIAL E INSTALACIÓN DE MARCO DE MELAMINE BLANCO NORMAL CON MALETERO DEL MISMO MATERIAL CON CANTO DELGADO Y PUERTAS CORREDIZAS CON MELAMINE BLANCO. INCLUYE TUBO COLGADOR DE ALUMINIO MATE</t>
  </si>
  <si>
    <t>01.15.01.02</t>
  </si>
  <si>
    <t xml:space="preserve">        CLOSET, DORMITORIO PRINCIPAL DPTOS 102 (SEGUN PLANO DETALLE)  MATERIAL E INSTALACIÓN DE MARCO DE MELAMINE BLANCO NORMAL CON MALETERO DEL MISMO MATERIAL CON CANTO DELGADO Y PUERTAS CORREDIZAS CON MELAMINE BLANCO. INCLUYE TUBO COLGADOR DE ALUMINIO MAT</t>
  </si>
  <si>
    <t>01.15.01.03</t>
  </si>
  <si>
    <t xml:space="preserve">        CLOSET, DORMITORIO PRINCIPAL DPTOS X01 MATERIAL E INSTALACIÓN DE MARCO DE MELAMINE BLANCO NORMAL CON MALETERO DEL MISMO MATERIAL CON CANTO DELGADO Y PUERTAS CORREDIZAS CON MELAMINE BLANCO. INCLUYE TUBO COLGADOR DE ALUMINIO MATE. EL SISTEMA CORREDIZO</t>
  </si>
  <si>
    <t>01.15.01.04</t>
  </si>
  <si>
    <t xml:space="preserve">        CLOSET, DORMITORIO PRINCIPAL DPTOS X02 MATERIAL E INSTALACIÓN DE MARCO DE MELAMINE BLANCO NORMAL CON MALETERO DEL MISMO MATERIAL CON CANTO DELGADO Y PUERTAS CORREDIZAS CON MELAMINE BLANCO. INCLUYE TUBO COLGADOR DE ALUMINIO MATE. EL SISTEMA CORREDIZO</t>
  </si>
  <si>
    <t>01.15.01.05</t>
  </si>
  <si>
    <t xml:space="preserve">        CLOSET, DORMITORIO PRINCIPAL DPTOS X03 MATERIAL E INSTALACIÓN DE MARCO DE MELAMINE BLANCO NORMAL CON MALETERO DEL MISMO MATERIAL CON CANTO DELGADO Y PUERTAS CORREDIZAS CON MELAMINE BLANCO. INCLUYE TUBO COLGADOR DE ALUMINIO MATE. EL SISTEMA CORREDIZO</t>
  </si>
  <si>
    <t>01.15.01.06</t>
  </si>
  <si>
    <t xml:space="preserve">        CLOSET, DORMITORIO PRINCIPAL DPTOS X04 MATERIAL E INSTALACIÓN DE MARCO DE MELAMINE BLANCO NORMAL CON MALETERO DEL MISMO MATERIAL CON CANTO DELGADO Y PUERTAS CORREDIZAS CON MELAMINE BLANCO. INCLUYE TUBO COLGADOR DE ALUMINIO MATE. EL SISTEMA CORREDIZO</t>
  </si>
  <si>
    <t>01.15.01.07</t>
  </si>
  <si>
    <t xml:space="preserve">        CLOSET, DORMITORIO PRINCIPAL DPTOS X05 MATERIAL E INSTALACIÓN DE MARCO DE MELAMINE BLANCO NORMAL CON MALETERO DEL MISMO MATERIAL CON CANTO DELGADO Y PUERTAS CORREDIZAS CON MELAMINE BLANCO. INCLUYE TUBO COLGADOR DE ALUMINIO MATE. EL SISTEMA CORREDIZO</t>
  </si>
  <si>
    <t>01.15.01.08</t>
  </si>
  <si>
    <t xml:space="preserve">        CLOSET ,DORMITORIO SECUNDARIO DPTOS X01 MATERIAL E INSTALACIÓN DE MARCO DE MELAMINE BLANCO NORMAL CON MALETERO DEL MISMO MATERIAL CON CANTO DELGADO Y PUERTAS BATIENTES CON MELAMINE BLANCO. INCLUYE TUBO COLGADOR DE ALUMINIO MATE. TIRADOR DE PUNTO DE</t>
  </si>
  <si>
    <t>01.15.01.09</t>
  </si>
  <si>
    <t xml:space="preserve">        CLOSET ,DORMITORIO SECUNDARIO DPTOS X05 MATERIAL E INSTALACIÓN DE MARCO DE MELAMINE BLANCO NORMAL CON MALETERO DEL MISMO MATERIAL CON CANTO DELGADO Y PUERTAS BATIENTES CON MELAMINE BLANCO. INCLUYE TUBO COLGADOR DE ALUMINIO MATE. TIRADOR DE PUNTO DE</t>
  </si>
  <si>
    <t>01.15.01.10</t>
  </si>
  <si>
    <t xml:space="preserve">        CLOSET, ESTUDIO, X01 (SEGUN DISEÑO DE DETALLES)</t>
  </si>
  <si>
    <t>01.15.01.11</t>
  </si>
  <si>
    <t xml:space="preserve">        CLOSET, COMEDOR, X03 (SEGUN DISEÑO DE DETALLES)</t>
  </si>
  <si>
    <t xml:space="preserve">    KITCHENETTE</t>
  </si>
  <si>
    <t>01.15.02.03</t>
  </si>
  <si>
    <t xml:space="preserve">        MUEBLES BAJOS, SUM BAR MATERIAL E INSTALACIÓN DE MUEBLE BAJO CON MELAMINE BLANCO NORMAL DE TABLEROS HISPANOS DE 18MM CON CANTO DELGADO, Y PUERTAS DE MELAMINE VICENZA OAK CON CANTO GRUESO Y CORTE 45 COMO JALADOR. INCLUYE PODIO DE MELAMINE TROPICALIZAD</t>
  </si>
  <si>
    <t>01.15.02.04</t>
  </si>
  <si>
    <t xml:space="preserve">        MUEBLES BAJO KITCHENETTE, SUM GOURMET,  MELAMINE PLOMO FANTASIA DE PELIKANO SEGUN PLANOS DE DETALLE</t>
  </si>
  <si>
    <t>01.15.02.05</t>
  </si>
  <si>
    <t xml:space="preserve">        MUEBLES BAJO MESON, SUM GOURMET,  MELAMINE ONIX MATE DE PELIKANO SEGUN PLANOS DE DETALLE</t>
  </si>
  <si>
    <t>01.15.02.06</t>
  </si>
  <si>
    <t xml:space="preserve">        ZONA PARRILLAS MUEBLE BAJO GARDEN OAK ESPESOR 18MM,  HISPANOS.</t>
  </si>
  <si>
    <t xml:space="preserve">    DE AREAS COMUNES</t>
  </si>
  <si>
    <t>01.15.03.01</t>
  </si>
  <si>
    <t xml:space="preserve">        MUEBLES DE COUNTER LOBBY DE INGRESO SEGUN DISEÑO DE DETALLES</t>
  </si>
  <si>
    <t>01.15.03.02</t>
  </si>
  <si>
    <t xml:space="preserve">        MUEBLES DE SUM, ESTRUCTURA PARA WALL PANEL DARK WOOD MARRÓN - 12X290 CM.CASSINELLISEGUN PLANOS DE DETALLES</t>
  </si>
  <si>
    <t>01.15.03.03</t>
  </si>
  <si>
    <t xml:space="preserve">        MUEBLES DE PET ZONE, REPISAS CON CINTA LED  SEGUN DISEÑO DE DETALLES</t>
  </si>
  <si>
    <t>01.15.03.04</t>
  </si>
  <si>
    <t>01.15.03.05</t>
  </si>
  <si>
    <t xml:space="preserve">        MUEBLES GYMNASIO SEGUN DISEÑO DE DETALLES</t>
  </si>
  <si>
    <t xml:space="preserve">        REVESTIMIENTO CON LISTONES DE MELAMINE 18mm GARDEN OAK EN LOBBY</t>
  </si>
  <si>
    <t>EQUIPAMIENTO</t>
  </si>
  <si>
    <t xml:space="preserve">    ENCIMERA DE ACERO INOXIDABLE A GAS NATURAL 58CM SOLE, CÓDIGO SAP 312SOLCO036, CÓDIGO EAN 7756514006979</t>
  </si>
  <si>
    <t xml:space="preserve">    CAMPANA EXTRACTORA ROMA 60 CM 1M, SOLE, CÓDIGO SAP 3120TURE15COV2, CÓDIGO EAN 7756514012796, MATERIAL ACERO INOXIDABLE</t>
  </si>
  <si>
    <t xml:space="preserve">    TERMA ELECTRICA 50 LITROS ZAFIRO BRYANT RHEEM / CL. LAVANDERIA DPTOS. X02 CERTIFICACIÓN BV</t>
  </si>
  <si>
    <t xml:space="preserve">    CALENDADOR DE AGUA INSTANTANEO A GAS NATURAL DE 8 LITROS CLASS COLOR GRIS. PROVEEDOR RHEEM / CTO. LAVADO DPTO. X04 CERTIFICACIÓN BV</t>
  </si>
  <si>
    <t xml:space="preserve">    MAQUINAS PARA GIMNASIO (2 MAQUINA PARA CORRER, 1 MAQUINA ELÍPTICA)</t>
  </si>
  <si>
    <t xml:space="preserve">    KIT PARRILLERO: CARBONERA Y CENICERO ACERO INOX - PARRILLA 01 Y 02</t>
  </si>
  <si>
    <t xml:space="preserve">    ENCIMERA VITROCERÁMICA ELECTRICA SOLCO020V2; 290X520X50MM (ANCHO X PROFUNDIDAD X ALTO) - SOLE</t>
  </si>
  <si>
    <t>SEGURIDAD</t>
  </si>
  <si>
    <t xml:space="preserve">    SEÑALIZACION (SEÑALES EN VINIL CON BASE DE CELTEX DE 3MM DE ESPESOR+CINTA 3M)</t>
  </si>
  <si>
    <t>01.17.01.01</t>
  </si>
  <si>
    <t xml:space="preserve">        EXTINTOR TIPO PQS 6 KILOS</t>
  </si>
  <si>
    <t>01.17.01.02</t>
  </si>
  <si>
    <t xml:space="preserve">        EXTINTOR TIPO CO2 15 LBS</t>
  </si>
  <si>
    <t>01.17.01.03</t>
  </si>
  <si>
    <t xml:space="preserve">        EXTINTOR TIPO K 2.5 GLS</t>
  </si>
  <si>
    <t>01.17.01.04</t>
  </si>
  <si>
    <t xml:space="preserve">        SEÑAL DE "ESCALERA CONTRA INCENDIOS"</t>
  </si>
  <si>
    <t>01.17.01.05</t>
  </si>
  <si>
    <t xml:space="preserve">        SEÑAL "PUERTA CORTA FUEGO"</t>
  </si>
  <si>
    <t>01.17.01.06</t>
  </si>
  <si>
    <t xml:space="preserve">        SEÑAL "PULSADOR ALARMA CONTRAINCENDIOS"</t>
  </si>
  <si>
    <t>01.17.01.07</t>
  </si>
  <si>
    <t xml:space="preserve">        SEÑAL "AVISADOR SONORO"</t>
  </si>
  <si>
    <t>01.17.01.08</t>
  </si>
  <si>
    <t xml:space="preserve">        SEÑAL DE "RIESGO ELECTRICO"</t>
  </si>
  <si>
    <t>01.17.01.09</t>
  </si>
  <si>
    <t xml:space="preserve">        SEÑAL "INDICADOR DE SALIDA FOTOLUMINISCENTES"</t>
  </si>
  <si>
    <t>01.17.01.10</t>
  </si>
  <si>
    <t xml:space="preserve">        SEÑAL "ZONA SEGURA EN CASO DE SISMO"</t>
  </si>
  <si>
    <t>01.17.01.11</t>
  </si>
  <si>
    <t xml:space="preserve">        SEÑAL "SALIDA FOTOLUMINISCENTES"</t>
  </si>
  <si>
    <t>01.17.01.12</t>
  </si>
  <si>
    <t xml:space="preserve">        SEÑAL "SALIDA DE EMERGENCIA FOTOLUMINISCENTES"</t>
  </si>
  <si>
    <t>01.17.01.13</t>
  </si>
  <si>
    <t xml:space="preserve">        SEÑAL "INDICADOR DE PISO O NIVEL"</t>
  </si>
  <si>
    <t>01.17.01.14</t>
  </si>
  <si>
    <t xml:space="preserve">        SEÑAL "NO USAR EN CASO DE SISMOS"</t>
  </si>
  <si>
    <t>01.17.01.15</t>
  </si>
  <si>
    <t xml:space="preserve">        SEÑAL "CENTRAL DE ALARMA CONTRA INCENDIOS"</t>
  </si>
  <si>
    <t>01.17.01.16</t>
  </si>
  <si>
    <t xml:space="preserve">        SEÑAL "TOMA SIAMESA"</t>
  </si>
  <si>
    <t>01.17.01.17</t>
  </si>
  <si>
    <t xml:space="preserve">        SEÑAL "BOTIQUIN PRIMEROS AUXILIOS"</t>
  </si>
  <si>
    <t>01.17.01.18</t>
  </si>
  <si>
    <t xml:space="preserve">        VALVULA ANGULAR DE 2 1/2"</t>
  </si>
  <si>
    <t>01.17.01.19</t>
  </si>
  <si>
    <t xml:space="preserve">        PASE DE MANGUERA 20CM X 20CM</t>
  </si>
  <si>
    <t>OBRAS EXTERIORES</t>
  </si>
  <si>
    <t>01.18.02</t>
  </si>
  <si>
    <t xml:space="preserve">    REPOSICION DE VEREDA EXISTENTE</t>
  </si>
  <si>
    <t>01.18.03</t>
  </si>
  <si>
    <t xml:space="preserve">    GEOMEMBRANA EN JARDINERAS</t>
  </si>
  <si>
    <t>VARIOS</t>
  </si>
  <si>
    <t xml:space="preserve">    TOPELLANTA PARA ESTACIONAMIENTO DE 0.50X0.15X0.10M NEGRO/AMARILLO</t>
  </si>
  <si>
    <t xml:space="preserve">    ESQUINERO REFLECTIVO EN COLUMNAS DE SOTANOS</t>
  </si>
  <si>
    <t xml:space="preserve">    ELEMENTO DE SUJECCION PARA ESTACIONAMIENTOS DE BICICLETAS EN HORIZONTAL</t>
  </si>
  <si>
    <t xml:space="preserve">    ELEMENTO DE SUJECCION PARA ESTACIONAMIENTOS DE BICICLETAS EN VERTICAL.</t>
  </si>
  <si>
    <t xml:space="preserve">    PROTECTOR DE TUBERIA (MATERIAL POLIETILENO REVESTIDO DE PVC)</t>
  </si>
  <si>
    <t xml:space="preserve">    CERCO ELECTRICO</t>
  </si>
  <si>
    <t xml:space="preserve">    ENMALLADO METALICO EN CERRAMIENTOS DE DUCTOS DE AZOTEA</t>
  </si>
  <si>
    <t>01.20.03</t>
  </si>
  <si>
    <t xml:space="preserve">    TOTEM EN INGRESO (SOBREMURO)</t>
  </si>
  <si>
    <t>01.20.04</t>
  </si>
  <si>
    <t>01.20.05</t>
  </si>
  <si>
    <t xml:space="preserve">    BLOQUES DE CONCRETO DE 0.40X0.30M - EN EXTERIOR</t>
  </si>
  <si>
    <t>01.20.06</t>
  </si>
  <si>
    <t xml:space="preserve">    LETRAS BIKE EN ESTACIONAMIENTO DE BICICLETAS</t>
  </si>
  <si>
    <t>01.20.07</t>
  </si>
  <si>
    <t xml:space="preserve">    LOGO EN GYM</t>
  </si>
  <si>
    <t>01.20.08</t>
  </si>
  <si>
    <t xml:space="preserve">    LETRAS COWORKING</t>
  </si>
  <si>
    <t>01.20.09</t>
  </si>
  <si>
    <t xml:space="preserve">    LOGO DE LA INMOBILIARIO EN MURO CIEGO</t>
  </si>
  <si>
    <t>01.20.10</t>
  </si>
  <si>
    <t xml:space="preserve">    CERRAMIENTO DE MELAMINE - EN SOTANO 01 LADO DE CTO DE ACOPIO</t>
  </si>
  <si>
    <t xml:space="preserve">    MONTANTE DE DRYWALL - PARA TUBERIA DE DESAGUE EN SOTANOS</t>
  </si>
  <si>
    <t xml:space="preserve">    NUMERACION DE DEPARTAMENTOS</t>
  </si>
  <si>
    <t xml:space="preserve">    NUMERACION DE DEPOSITOS</t>
  </si>
  <si>
    <t>PRESUPUESTO IIEE</t>
  </si>
  <si>
    <t>ALIMENTADORES ELÉCTRICOS (Solamente se considera cables)</t>
  </si>
  <si>
    <t xml:space="preserve">    De MEDIDOR  hasta T-SG : 3-1x50mm2 LSOH-XLPE  EN BANDEJA</t>
  </si>
  <si>
    <t>ML</t>
  </si>
  <si>
    <t xml:space="preserve">    De TSG  hasta TPC-ASC1 : 3-1x25mm2 LSOH-XLPE + 1x6mm2 LSOH/T - 40mmØ PVC SAP/EMT</t>
  </si>
  <si>
    <t xml:space="preserve">    De TSG  hasta TPC-ASC2 : 3-1x25mm2 LSOH-XLPE + 1x6mm2 LSOH/T - 40mmØ PVC SAP/EMT</t>
  </si>
  <si>
    <t xml:space="preserve">    De TSG  hasta TPC-VC : 3-1x6mm2 LSOH-XLPE + 1x4mm2 LSOH/T - 25mmØ PVC SAP/EMT</t>
  </si>
  <si>
    <t xml:space="preserve">    De TSG  hasta TPC-CA : 3-1x6mm2 LSOH-XLPE + 1x4mm2 LSOH/T - 25mmØ PVC SAP/EMT</t>
  </si>
  <si>
    <t xml:space="preserve">    De TSG  hasta TCCO-05 : 3-1x6mm2 LSOH-XLPE + 1x4mm2 LSOH/T - 25mmØ PVC SAP/EMT</t>
  </si>
  <si>
    <t xml:space="preserve">    De TSG  hasta TCCO-04 : 3-1x6mm2 LSOH-XLPE + 1x4mm2 LSOH/T - 25mmØ PVC SAP/EMT</t>
  </si>
  <si>
    <t xml:space="preserve">    De TSG  hasta TCCO-03 : 3-1x6mm2 LSOH-XLPE + 1x4mm2 LSOH/T - 25mmØ PVC SAP/EMT</t>
  </si>
  <si>
    <t xml:space="preserve">    De TSG  hasta TCCO-02 : 3-1x6mm2 LSOH-XLPE + 1x4mm2 LSOH/T - 25mmØ PVC SAP/EMT</t>
  </si>
  <si>
    <t xml:space="preserve">    De TSG  hasta TCCO-01. : 3-1x6mm2 LSOH-XLPE + 1x4mm2 LSOH/T - 25mmØ PVC SAP/EMT</t>
  </si>
  <si>
    <t xml:space="preserve">    De TSG  hasta T-GYM : 3-1x10mm2 LSOH-XLPE + 1x4mm2 LSOH/T - 25mmØ PVC SAP/EMT</t>
  </si>
  <si>
    <t xml:space="preserve">    De TSG  hasta TPC-CW : 3-1x6mm2 LSOH-XLPE + 1x4mm2 LSOH/T - 25mmØ PVC SAP/EMT</t>
  </si>
  <si>
    <t xml:space="preserve">    De TSG  hasta TPC-SUM : 3-1x6mm2 LSOH-XLPE + 1x4mm2 LSOH/T - 25mmØ PVC SAP/EMT</t>
  </si>
  <si>
    <t xml:space="preserve">    De TSG  hasta TPC-ZN : 3-1x6mm2 LSOH-XLPE + 1x4mm2 LSOH/T - 25mmØ PVC SAP/EMT</t>
  </si>
  <si>
    <t>01.01.15</t>
  </si>
  <si>
    <t xml:space="preserve">    De TSG  hasta TPC-ZP : 3-1x6mm2 LSOH-XLPE + 1x4mm2 LSOH/T - 25mmØ PVC SAP/EMT</t>
  </si>
  <si>
    <t>01.01.16</t>
  </si>
  <si>
    <t xml:space="preserve">    De TSG  hasta TP-AC : 2-1x25mm2 LSOH-XLPE + 1x16mm2 LSOH/T - 40mmØ PVC SAP/EMT</t>
  </si>
  <si>
    <t>01.01.17</t>
  </si>
  <si>
    <t xml:space="preserve">    De TSG  hasta TEM : 3-1x50mm2 LSOH-XLPE + 1x10mm2 LSOH/T - 40mmØ PVC SAP/EMT</t>
  </si>
  <si>
    <t>01.01.18</t>
  </si>
  <si>
    <t xml:space="preserve">    De TEM  hasta TCB : 3-1x35mm2 LSOH-XLPE + 1x10mm2 LSOH/T - 40mmØ PVC SAP/EMT</t>
  </si>
  <si>
    <t>01.01.19</t>
  </si>
  <si>
    <t xml:space="preserve">    De TEM  hasta TPC-VP : 3-1x16mm2 LSOH-XLPE + 1x6mm2 LSOH/T - 35mmØ PVC SAP/EMT</t>
  </si>
  <si>
    <t>01.01.20</t>
  </si>
  <si>
    <t xml:space="preserve">    De T-CB  hasta TPC-VCB : 3-1x6mm2 LSOH-XLPE + 1x4mm2 LSOH/T - 25mmØ PVC SAP/EMT</t>
  </si>
  <si>
    <t>01.01.21</t>
  </si>
  <si>
    <t xml:space="preserve">    De T-CB  hasta TPC-BS : 3-1x6mm2 LSOH-XLPE + 1x4mm2 LSOH/T - 25mmØ PVC SAP/EMT</t>
  </si>
  <si>
    <t>01.01.22</t>
  </si>
  <si>
    <t xml:space="preserve">    De T-CB  hasta TPC-BA1 : 3-1x6mm2 LSOH-XLPE + 1x4mm2 LSOH/T - 25mmØ PVC SAP/EMT</t>
  </si>
  <si>
    <t>01.01.23</t>
  </si>
  <si>
    <t xml:space="preserve">    De T-CB  hasta TPC-BA2 : 3-1x6mm2 LSOH-XLPE + 1x4mm2 LSOH/T - 25mmØ PVC SAP/EMT</t>
  </si>
  <si>
    <t>01.01.24</t>
  </si>
  <si>
    <t xml:space="preserve">    De T-CB  hasta TPC-BA3 : 3-1x6mm2 LSOH-XLPE + 1x4mm2 LSOH/T - 25mmØ PVC SAP/EMT</t>
  </si>
  <si>
    <t>01.01.25</t>
  </si>
  <si>
    <t xml:space="preserve">    De MEDIDOR  hasta T-BCI : 3-1x240mm2 LSOH-XLPE + 1X95mm2 LSOH/T - 100 mm Ø PVC-SAP/EMT</t>
  </si>
  <si>
    <t>01.01.26</t>
  </si>
  <si>
    <t xml:space="preserve">    De T-BCI  hasta TPC-BCI : 3-1x240mm2 LSOH-XLPE + 1X95mm2 LSOH/T - 100 mm Ø PVC-SAP/EMT</t>
  </si>
  <si>
    <t>01.01.27</t>
  </si>
  <si>
    <t xml:space="preserve">    De T-BCI  hasta TPC-BJ : 3-1X6mm2 LSOH-XLPE + 1X4mm2 LSOH/T - 20 mm Ø PVC-SAP/EMT</t>
  </si>
  <si>
    <t>01.01.28</t>
  </si>
  <si>
    <t xml:space="preserve">    De GE  hasta TEM : 3-1x95mm2 LSOH-XLPE + 1x10mm2 LSOH/T - 65mmØ PVC SAP/EMT</t>
  </si>
  <si>
    <t>01.01.29</t>
  </si>
  <si>
    <t xml:space="preserve">    De MEDIDOR  hasta T-DPTO : 2-1x6mm2 LSOH-XLPE + 1x4mm2 LSHO/T - 20mmØ PVC SAP</t>
  </si>
  <si>
    <t>01.01.30</t>
  </si>
  <si>
    <t xml:space="preserve">    De MEDIDOR  hasta T-DPTO : 2-1x10mm2 LSOH-XLPE + 1x4mm2 LSHO/T - 25mmØ PVC SAP</t>
  </si>
  <si>
    <t>01.01.31</t>
  </si>
  <si>
    <t xml:space="preserve">    De MEDIDOR  hasta T-DPTO : 2-1x16mm2 LSOH-XLPE + 1x4mm2 LSHO/T - 35mmØ PVC SAP</t>
  </si>
  <si>
    <t>01.01.32</t>
  </si>
  <si>
    <t xml:space="preserve">    De MEDIDOR  hasta T-DPTO : 2-1x25mm2 LSOH-XLPE + 1x6mm2 LSHO/T - 35mmØ PVC SAP</t>
  </si>
  <si>
    <t>01.01.33</t>
  </si>
  <si>
    <t xml:space="preserve">    De T-MECANICAS hasta CIRCUITOS : 2-1x4mm2 LS0H-XLPE + 1x2.5mm2 LSOH/T - 20mmØ PVC SAP</t>
  </si>
  <si>
    <t>01.01.34</t>
  </si>
  <si>
    <t xml:space="preserve">    De T-MECANICAS hasta CIRCUITOS : 3-1x4mm2 LS0H-XLPE + 1x2.5mm2 LSOH/T - 20mmØ PVC SAP</t>
  </si>
  <si>
    <t>TUBERIA PARA ALIMENTADORES</t>
  </si>
  <si>
    <t xml:space="preserve">    TUBERIA DE 20MM PVC-P</t>
  </si>
  <si>
    <t xml:space="preserve">    TUBERIA DE 25MM PVC-P</t>
  </si>
  <si>
    <t xml:space="preserve">    TUBERIA DE 35MM PVC-P</t>
  </si>
  <si>
    <t xml:space="preserve">    TUBERIA DE 40MM PVC-P</t>
  </si>
  <si>
    <t xml:space="preserve">    TUBERIA DE 65MM PVC-P</t>
  </si>
  <si>
    <t xml:space="preserve">    TUBERIA DE 100MM PVC-P</t>
  </si>
  <si>
    <t xml:space="preserve">    TUBERIA EMT DE 20MM</t>
  </si>
  <si>
    <t xml:space="preserve">    TUBERIA EMT DE 25MM</t>
  </si>
  <si>
    <t xml:space="preserve">    TUBERIA EMT DE 35MM</t>
  </si>
  <si>
    <t xml:space="preserve">    TUBERIA EMT DE 40MM</t>
  </si>
  <si>
    <t xml:space="preserve">    TUBERIA EMT DE 65MM</t>
  </si>
  <si>
    <t xml:space="preserve">    TUBERIA EMT DE 100MM</t>
  </si>
  <si>
    <t>CAJAS DE PASE DE FG</t>
  </si>
  <si>
    <t xml:space="preserve">    CAJA DE PASE 100X100X50MM</t>
  </si>
  <si>
    <t>UN</t>
  </si>
  <si>
    <t xml:space="preserve">    CAJA DE F°G° 150X150x100 MM</t>
  </si>
  <si>
    <t xml:space="preserve">    CAJA DE F°G° 200X200x150 MM</t>
  </si>
  <si>
    <t xml:space="preserve">    CAJA DE F°G° 300x300x150 MM</t>
  </si>
  <si>
    <t>TABLEROS ELECTRICOS</t>
  </si>
  <si>
    <t xml:space="preserve">    TABLERO DE SERVICIOS GENERALES (TSG)</t>
  </si>
  <si>
    <t xml:space="preserve">    TABLERO DE EMERGENCIA (TEM)</t>
  </si>
  <si>
    <t xml:space="preserve">    TABLERO DE GIMNACIO (T-GYM)</t>
  </si>
  <si>
    <t xml:space="preserve">    TABLERO DE KOWORKING (T-CW)</t>
  </si>
  <si>
    <t xml:space="preserve">    TABLERO DE USOS MULTIPLES (T-SUM)</t>
  </si>
  <si>
    <t xml:space="preserve">    TABLERO DE ZONA DE NIÑOS (T-ZN)</t>
  </si>
  <si>
    <t xml:space="preserve">    TABLERO DE ZONA DE PARRILLAS (T-ZP)</t>
  </si>
  <si>
    <t xml:space="preserve">    TABLERO DE ASCENSORES (ASC1, ASC2)</t>
  </si>
  <si>
    <t xml:space="preserve">    TABLERO BOMBA CONTRA INCENDIOS (T-BACI)</t>
  </si>
  <si>
    <t xml:space="preserve">    TABLERO CONTROL DE BOMBAS (T-CB)</t>
  </si>
  <si>
    <t xml:space="preserve">    TABLERO DE DISTRIBUSION DEPARTAMENTOS</t>
  </si>
  <si>
    <t xml:space="preserve">    TABLERO DE DISTRIBUSION DEPRATAMENTOS</t>
  </si>
  <si>
    <t>SALIDAS DE ALUMBRADO (incluye cable, tubería y cajas)</t>
  </si>
  <si>
    <t xml:space="preserve">    SALIDA PARA FLUORECENTE</t>
  </si>
  <si>
    <t xml:space="preserve">    SALIDA PARA CENTRO DE LUZ</t>
  </si>
  <si>
    <t xml:space="preserve">    SALIDA PARA BRAQUETE</t>
  </si>
  <si>
    <t xml:space="preserve">    SALIDA PARA ALUMBRADO TIPO DICROICO</t>
  </si>
  <si>
    <t xml:space="preserve">    SALIDA PARA CINTA LEDS</t>
  </si>
  <si>
    <t xml:space="preserve">    SALIDA PARA LUMINARIA TIPO ESTACA</t>
  </si>
  <si>
    <t xml:space="preserve">    SALIDA PARA LUMINARIA PARA ROSARIO DE LUCES</t>
  </si>
  <si>
    <t xml:space="preserve">    SALIDA PARA LUMINARIA DE EMERGENCIA</t>
  </si>
  <si>
    <t xml:space="preserve">    SALIDA PARA SENSOR</t>
  </si>
  <si>
    <t>INTERRUPTORES (incluye cable, tubería, caja, dado y placa)</t>
  </si>
  <si>
    <t xml:space="preserve">    SALIDA INTERRUPTOR SIMPLE</t>
  </si>
  <si>
    <t>PT</t>
  </si>
  <si>
    <t xml:space="preserve">    SALIDA INTERRUPTOR DOBLE</t>
  </si>
  <si>
    <t xml:space="preserve">    SALIDA INTERRUPTOR CONMUT. SIMPLE</t>
  </si>
  <si>
    <t xml:space="preserve">    SALIDA INTERRUPTOR CONMUT. DOBLE</t>
  </si>
  <si>
    <t xml:space="preserve">    SALIDA INTERRUPTOR MIXTO DOBLE 1SIMPLE + 1 CONMUTACION SIMPLE</t>
  </si>
  <si>
    <t xml:space="preserve">    SALIDA INTERRUPTOR MIXTO TRIPLE - 2 SIMPLES  +  1 CONMUTACION SIMPLE</t>
  </si>
  <si>
    <t xml:space="preserve">    SALIDA INTERRUPTOR MIXTO TRIPLE- 1 SIMPLE +  CONMUTACION DOBLE</t>
  </si>
  <si>
    <t>01.06.08</t>
  </si>
  <si>
    <t xml:space="preserve">    SALIDA PULSADOR DE TIMBRE</t>
  </si>
  <si>
    <t>SALIDAS PARA TOMACORRIENTES (incluye cable, tubería, caja, dado y placa)</t>
  </si>
  <si>
    <t xml:space="preserve">    SALIDA TOMACORRIENTE DOBLE CON LINEA A TIERRA A PRUEBA DE AGUA</t>
  </si>
  <si>
    <t xml:space="preserve">    SALIDA TOMACORRIENTE DOBLE CON LINEA A TIERRA</t>
  </si>
  <si>
    <t xml:space="preserve">    SALIDA TOMACORRIENTE DOBLE CON LINEA A TIERRA EN PISO</t>
  </si>
  <si>
    <t>SALIDAS PARA FUERZA Y AA (Incluye cable, tubería y cajas)</t>
  </si>
  <si>
    <t xml:space="preserve">    SALIDA DE FUERZA PARA BOMBA DE AGUA CONSUMO 4HP</t>
  </si>
  <si>
    <t xml:space="preserve">    SALIDA DE FUERZA PARA BOMBA DE AGUA CONSUMO 5HP</t>
  </si>
  <si>
    <t xml:space="preserve">    SALIDA DE FUERZA PARA BOMBA DE AGUA CONSUMO 7HP</t>
  </si>
  <si>
    <t xml:space="preserve">    SALIDA DE FUERZA PARA BOMBA SUMIDERO 2.0 HP</t>
  </si>
  <si>
    <t xml:space="preserve">    SALIDA DE FUERZA PARA BOMBA ACI PRINCIPAL 150HP</t>
  </si>
  <si>
    <t xml:space="preserve">    SALIDA DE FUERZA PARA BOMBA JOCKEY 2HP</t>
  </si>
  <si>
    <t xml:space="preserve">    SALIDA DE FUERZA PARA ASCENSOR</t>
  </si>
  <si>
    <t xml:space="preserve">    SALIDA PARA CONTROL DE NIVEL</t>
  </si>
  <si>
    <t xml:space="preserve">    SALIDA DE FUERZA PARA EXTRACTOR DE BAÑOS</t>
  </si>
  <si>
    <t>01.08.10</t>
  </si>
  <si>
    <t xml:space="preserve">    SALIDA DE FUERZA PARA ROLER</t>
  </si>
  <si>
    <t>01.08.11</t>
  </si>
  <si>
    <t xml:space="preserve">    SALIDA DE FUERZA PARA CALENTADOR ELECTRICO</t>
  </si>
  <si>
    <t>01.08.12</t>
  </si>
  <si>
    <t xml:space="preserve">    SALIDA DE FUERZA PARA HORNO</t>
  </si>
  <si>
    <t>01.08.13</t>
  </si>
  <si>
    <t xml:space="preserve">    SALIDA DE FUERZA PARA LAVADORA</t>
  </si>
  <si>
    <t>01.08.14</t>
  </si>
  <si>
    <t xml:space="preserve">    SALIDA DE FUERZA PARA TRITURADORA</t>
  </si>
  <si>
    <t>01.08.15</t>
  </si>
  <si>
    <t xml:space="preserve">    SALIDA PARA ENSIMERA</t>
  </si>
  <si>
    <t>01.08.16</t>
  </si>
  <si>
    <t xml:space="preserve">    SALIDA PARA CAMPANA</t>
  </si>
  <si>
    <t>01.08.17</t>
  </si>
  <si>
    <t xml:space="preserve">    SALIDA PARA CARGADOR DE BATERIA</t>
  </si>
  <si>
    <t>01.08.18</t>
  </si>
  <si>
    <t xml:space="preserve">    SALIDA PARA CALENTADOR DE AGUA</t>
  </si>
  <si>
    <t>01.08.19</t>
  </si>
  <si>
    <t xml:space="preserve">    SALIDA PARA CARGADOR DE VEHICULOS</t>
  </si>
  <si>
    <t>01.08.20</t>
  </si>
  <si>
    <t xml:space="preserve">    SALIDA DE FUERZA SALIDA PARA INTERCOMUNICADOR</t>
  </si>
  <si>
    <t>01.08.21</t>
  </si>
  <si>
    <t xml:space="preserve">    SALIDA PARA PANEL CONTRA INCENDIO</t>
  </si>
  <si>
    <t>01.08.22</t>
  </si>
  <si>
    <t xml:space="preserve">    SALIDA PARA CCTV</t>
  </si>
  <si>
    <t>01.08.23</t>
  </si>
  <si>
    <t xml:space="preserve">    SALIDA PARA PUERTA CORREDIZA</t>
  </si>
  <si>
    <t>01.08.24</t>
  </si>
  <si>
    <t xml:space="preserve">    SALIDA PARA TIMBRE</t>
  </si>
  <si>
    <t>01.08.25</t>
  </si>
  <si>
    <t xml:space="preserve">    SALIDA IC S4-01</t>
  </si>
  <si>
    <t>01.08.26</t>
  </si>
  <si>
    <t xml:space="preserve">    SALIDA EC S4-01</t>
  </si>
  <si>
    <t>01.08.27</t>
  </si>
  <si>
    <t xml:space="preserve">    SALIDA EA-S2 373 W EN SOTANOS</t>
  </si>
  <si>
    <t>01.08.28</t>
  </si>
  <si>
    <t xml:space="preserve">    SALIDA IA-S2 187 W EN SOTANOS</t>
  </si>
  <si>
    <t>01.08.29</t>
  </si>
  <si>
    <t xml:space="preserve">    SALIDA EA-CB 25 W</t>
  </si>
  <si>
    <t>01.08.30</t>
  </si>
  <si>
    <t xml:space="preserve">    SALIDA EC-01  2.0 HP</t>
  </si>
  <si>
    <t>01.08.31</t>
  </si>
  <si>
    <t xml:space="preserve">    SALIDA EC-01  5.0 HP</t>
  </si>
  <si>
    <t>01.08.32</t>
  </si>
  <si>
    <t xml:space="preserve">    SALIDA IC-01  2.0 HP</t>
  </si>
  <si>
    <t>01.08.33</t>
  </si>
  <si>
    <t xml:space="preserve">    SALIDA IC-02  3.0 HP</t>
  </si>
  <si>
    <t>01.08.34</t>
  </si>
  <si>
    <t xml:space="preserve">    SALIDA IC-03  2.0 HP</t>
  </si>
  <si>
    <t>01.08.35</t>
  </si>
  <si>
    <t xml:space="preserve">    SALIDA JET FAN JF EN SOTANOS</t>
  </si>
  <si>
    <t>01.08.36</t>
  </si>
  <si>
    <t xml:space="preserve">    TRABAJOS PARA INSTALCION DE SISTEMA FOTOVOLTAICO</t>
  </si>
  <si>
    <t>01.08.37</t>
  </si>
  <si>
    <t xml:space="preserve">    TRABAJOS PARA INSTALCION DE ACELELOGRAFO ( canalizacion )</t>
  </si>
  <si>
    <t>SISTEMA DE PUESTA A TIERRA BT</t>
  </si>
  <si>
    <t xml:space="preserve">    Cable desnudo 95mm2  (40cm de profundidad)</t>
  </si>
  <si>
    <t>M</t>
  </si>
  <si>
    <t xml:space="preserve">    Pozo a tierra de ascensor (R&lt;25Ohms)</t>
  </si>
  <si>
    <t xml:space="preserve">    Excavacion de zanja 0.60X0.60m</t>
  </si>
  <si>
    <t xml:space="preserve">    Relleno con Tierra cernida compactado tratado 1 dosis de thorgel /m3</t>
  </si>
  <si>
    <t>M3</t>
  </si>
  <si>
    <t xml:space="preserve">    1x1-10mm2 LSOH-80</t>
  </si>
  <si>
    <t xml:space="preserve">    1x1-35mm2 LSOH-80</t>
  </si>
  <si>
    <t xml:space="preserve">    1x1-95mm2 LSOH-80</t>
  </si>
  <si>
    <t xml:space="preserve">    Tub 25mm PVC</t>
  </si>
  <si>
    <t xml:space="preserve">    Tub 35mm PVC</t>
  </si>
  <si>
    <t>ARTEFACTOS DE ALUMBRADO (solo instalacion) (areas comunes y departamentos)</t>
  </si>
  <si>
    <t xml:space="preserve">    INSTALACIÓN DE LUMINARIAS</t>
  </si>
  <si>
    <t xml:space="preserve">    INSTALACIÓN DE ALUMBRADO DE EMERGENCIA</t>
  </si>
  <si>
    <t xml:space="preserve">    INSTALACIÓN DE SENSORES</t>
  </si>
  <si>
    <t>PLACAS ELECTRICAS ( incluye placa electrica e instalacion)</t>
  </si>
  <si>
    <t xml:space="preserve">    INSTALACION INTERRUPTOR SIMPLE</t>
  </si>
  <si>
    <t xml:space="preserve">    INSTALACION INTERRUPTOR DOBLE</t>
  </si>
  <si>
    <t xml:space="preserve">    INSTALACION INTERRUPTOR CONMUT. SIMPLE</t>
  </si>
  <si>
    <t xml:space="preserve">    INSTALACION INTERRUPTOR CONMUT. DOBLE</t>
  </si>
  <si>
    <t>01.11.05</t>
  </si>
  <si>
    <t xml:space="preserve">    INSTALACION INTERRUPTOR MIXTO DOBLE 1SIMPLE + 1 CONMUTACION SIMPLE</t>
  </si>
  <si>
    <t>01.11.06</t>
  </si>
  <si>
    <t xml:space="preserve">    INSTALACION INTERRUPTOR MIXTO TRIPLE- 1 SIMPLE +  CONMUTACION DOBLE</t>
  </si>
  <si>
    <t>01.11.07</t>
  </si>
  <si>
    <t xml:space="preserve">    INSTALACION INTERRUPTOR MIXTO TRIPLE - 2 SIMPLES  +  1 CONMUTACION SIMPLE</t>
  </si>
  <si>
    <t>01.11.08</t>
  </si>
  <si>
    <t xml:space="preserve">    INSTALACION PULSADOR DE TIMBRE</t>
  </si>
  <si>
    <t>01.11.09</t>
  </si>
  <si>
    <t xml:space="preserve">    INSTALACION TOMACORRIENTE DOBLE CON LINEA A TIERRA A PRUEBA DE AGUA</t>
  </si>
  <si>
    <t>01.11.10</t>
  </si>
  <si>
    <t xml:space="preserve">    INSTALACION TOMACORRIENTE SHUCKO CON LINEA A TIERRA A PRUEBA DE AGUA</t>
  </si>
  <si>
    <t>01.11.11</t>
  </si>
  <si>
    <t xml:space="preserve">    INSTALACION TOMACORRIENTE DOBLE CON LINEA A TIERRA</t>
  </si>
  <si>
    <t>01.11.12</t>
  </si>
  <si>
    <t xml:space="preserve">    INSTALACION TOMACORRIENTE DOBLE CON LINEA A TIERRA EN PISO</t>
  </si>
  <si>
    <t>01.11.13</t>
  </si>
  <si>
    <t xml:space="preserve">    INSTALACION DE TIMBRE</t>
  </si>
  <si>
    <t>01.11.14</t>
  </si>
  <si>
    <t xml:space="preserve">    INSTALACION PLACA PARA TELEFONO EXTERNO TE</t>
  </si>
  <si>
    <t>01.11.15</t>
  </si>
  <si>
    <t xml:space="preserve">    INSTALACION DE PLACA COAXIAL TV CABLE</t>
  </si>
  <si>
    <t>BANDEJA COMUNICACIONES</t>
  </si>
  <si>
    <t xml:space="preserve">    BANDEJA RANURADA DE 400x150 mm Fºgº</t>
  </si>
  <si>
    <t xml:space="preserve">    BANDEJA RENURADA DE  200x100 mm Fºgº</t>
  </si>
  <si>
    <t xml:space="preserve">    ATERRAMIENTO DE BANDEJAS ELECTRICAS</t>
  </si>
  <si>
    <t>01.13.01.01</t>
  </si>
  <si>
    <t xml:space="preserve">        SALIDA PARA TELEFONO EXTERNO TE</t>
  </si>
  <si>
    <t>01.13.01.02</t>
  </si>
  <si>
    <t xml:space="preserve">        SALIDA PARA TELEFONO INTERNO TI</t>
  </si>
  <si>
    <t>01.13.01.03</t>
  </si>
  <si>
    <t xml:space="preserve">        SALIDA PARA TELEFONO ASCENSOR</t>
  </si>
  <si>
    <t>01.13.01.04</t>
  </si>
  <si>
    <t>01.13.01.05</t>
  </si>
  <si>
    <t xml:space="preserve">        SALIDA PARA ROUTER</t>
  </si>
  <si>
    <t>01.13.01.06</t>
  </si>
  <si>
    <t>01.13.01.07</t>
  </si>
  <si>
    <t>01.13.01.08</t>
  </si>
  <si>
    <t xml:space="preserve">        SALIDA PARA CONSOLA DE INTERCOMUNICACION C.I.</t>
  </si>
  <si>
    <t>01.13.01.09</t>
  </si>
  <si>
    <t xml:space="preserve">        SALIDA PARA DIRECTORIO TELEFONO PORTERO</t>
  </si>
  <si>
    <t>01.13.01.10</t>
  </si>
  <si>
    <t xml:space="preserve">        SALIDA PARA CENTRAL DE DVR</t>
  </si>
  <si>
    <t>01.13.01.11</t>
  </si>
  <si>
    <t xml:space="preserve">        SALIDA PARA CHAPA ELECTRICA EJE MARCO DE PUERTA</t>
  </si>
  <si>
    <t xml:space="preserve">    CAJAS</t>
  </si>
  <si>
    <t>01.13.02.01</t>
  </si>
  <si>
    <t xml:space="preserve">        CAJA DE PASE 100X100X50MM</t>
  </si>
  <si>
    <t>01.13.02.02</t>
  </si>
  <si>
    <t xml:space="preserve">        CAJA DE PASE 150X150X100MM</t>
  </si>
  <si>
    <t>01.13.02.03</t>
  </si>
  <si>
    <t xml:space="preserve">        CAJA DE PASE 350X350X150MM</t>
  </si>
  <si>
    <t>01.13.02.04</t>
  </si>
  <si>
    <t xml:space="preserve">        CAJA DE REGISTRO PRINCIPAL TIPO C</t>
  </si>
  <si>
    <t>01.13.02.05</t>
  </si>
  <si>
    <t xml:space="preserve">        CAJA DE REGISTRO PRINCIPAL TIPO E</t>
  </si>
  <si>
    <t>01.13.03.01</t>
  </si>
  <si>
    <t xml:space="preserve">        Tuberia de 20mm PVC-P</t>
  </si>
  <si>
    <t>01.13.03.02</t>
  </si>
  <si>
    <t xml:space="preserve">        Tuberia de 25mm PVC-P</t>
  </si>
  <si>
    <t>01.13.03.03</t>
  </si>
  <si>
    <t xml:space="preserve">        Tuberia de 80mm PVC-P</t>
  </si>
  <si>
    <t>01.13.03.04</t>
  </si>
  <si>
    <t xml:space="preserve">        Tuberia de 20mm EMT</t>
  </si>
  <si>
    <t>01.13.03.05</t>
  </si>
  <si>
    <t xml:space="preserve">        Tuberia de 25mm EMT</t>
  </si>
  <si>
    <t>01.13.03.06</t>
  </si>
  <si>
    <t xml:space="preserve">        Tuberia de 80mm EMT</t>
  </si>
  <si>
    <t xml:space="preserve">    BANDEJA COMUNICACIONES</t>
  </si>
  <si>
    <t>01.13.04.01</t>
  </si>
  <si>
    <t xml:space="preserve">        Bandeja ranurada de 400x100 mm Fºgº</t>
  </si>
  <si>
    <t>DETECCION Y ALARMA</t>
  </si>
  <si>
    <t xml:space="preserve">        SALIDA PARA PANEL DE CONTROL</t>
  </si>
  <si>
    <t xml:space="preserve">        SALIDA PARA DETECTOR DE HUMO</t>
  </si>
  <si>
    <t xml:space="preserve">        SALIDA PARA DETECTOR DE TEMPERATURA</t>
  </si>
  <si>
    <t xml:space="preserve">        SALIDA PARA ESTACION MANUAL</t>
  </si>
  <si>
    <t xml:space="preserve">        SALIDA PARA MODULO DE ANIEGO</t>
  </si>
  <si>
    <t xml:space="preserve">        SALIDA PARA SIRENA CON LUZ ESTREBOSCOPICA</t>
  </si>
  <si>
    <t xml:space="preserve">        SALIDA PARA VALVULA DE FLUJO</t>
  </si>
  <si>
    <t xml:space="preserve">        SALIDA PARA MONOXIDOS</t>
  </si>
  <si>
    <t xml:space="preserve">        CAJA DE PASE 100X100X50MM (Plancha 1/20)</t>
  </si>
  <si>
    <t xml:space="preserve">        CAJA DE PASE 150X150X100MM (Plancha 1/16)</t>
  </si>
  <si>
    <t xml:space="preserve">    PRUEBAS DE MEGADO Y CONTINUIDAD</t>
  </si>
  <si>
    <t xml:space="preserve">    GRUPO ELECTRÓGENO</t>
  </si>
  <si>
    <t>PRESUPUESTO IISS</t>
  </si>
  <si>
    <t xml:space="preserve">    INSTALACION DE APARATOS SANITARIOS</t>
  </si>
  <si>
    <t xml:space="preserve">        INSTALACION DE LAVATORIO BAÑO - SOLO POZA Y GRIFERIA</t>
  </si>
  <si>
    <t xml:space="preserve">    INSTALACION DE ACCESORIOS SANITARIOS</t>
  </si>
  <si>
    <t xml:space="preserve">        INSTALACION DE GRIFERIA DE BAÑO</t>
  </si>
  <si>
    <t xml:space="preserve">        INSTALACION DE GRIFERIA DE LAVANDERIA</t>
  </si>
  <si>
    <t xml:space="preserve">        INSTALACION DE GRIFERIA DE COCINA</t>
  </si>
  <si>
    <t xml:space="preserve">        INSTALACION DE GRIFERIA DE RIEGO</t>
  </si>
  <si>
    <t xml:space="preserve">        SALIDA DE AGUA FRIA DE Ø1/2"</t>
  </si>
  <si>
    <t xml:space="preserve">        SALIDA DE AGUA FRIA DE Ø3/4"</t>
  </si>
  <si>
    <t xml:space="preserve">        SALIDA EN GRIFO DE RIEGO DE Ø1/2"</t>
  </si>
  <si>
    <t xml:space="preserve">    REDES DE ALIMENTACION</t>
  </si>
  <si>
    <t xml:space="preserve">        TUBERIA POLIPROPILENO PPR-PN10 (SERIE 5) DE Ø2" (COLGADA)</t>
  </si>
  <si>
    <t xml:space="preserve">        TUBERIA POLIPROPILENO PPR-PN10 (SERIE 5) DE Ø2" (ADOSADA)</t>
  </si>
  <si>
    <t xml:space="preserve">    REDES DE IMPULSION</t>
  </si>
  <si>
    <t xml:space="preserve">        TUBERIA POLIPROPILENO PPR-PN10 (SERIE 5) DE Ø1" (IMPULSION)</t>
  </si>
  <si>
    <t xml:space="preserve">        TUBERIA POLIPROPILENO PPR-PN10 (SERIE 5) DE Ø1 1/2" (IMPULSION)</t>
  </si>
  <si>
    <t xml:space="preserve">        TUBERIA POLIPROPILENO PPR-PN10 (SERIE 5) DE Ø1 1/4" (IMPULSION)</t>
  </si>
  <si>
    <t xml:space="preserve">        TUBERIA POLIPROPILENO PPR-PN10 (SERIE 5) DE Ø2" (IMPULSION)</t>
  </si>
  <si>
    <t xml:space="preserve">        TUBERIA POLIPROPILENO PPR-PN10 (SERIE 5) DE Ø2 1/2" (IMPULSION)</t>
  </si>
  <si>
    <t xml:space="preserve">        TUBERIA POLIPROPILENO PPR-PN10 (SERIE 5) DE Ø3" (IMPULSION)</t>
  </si>
  <si>
    <t xml:space="preserve">    REDES DE DISTRIBUCION</t>
  </si>
  <si>
    <t xml:space="preserve">        TUBERIA POLIPROPILENO PPR-PN10 (SERIE 5) DE Ø1/2"</t>
  </si>
  <si>
    <t xml:space="preserve">        TUBERIA POLIPROPILENO PPR-PN10 (SERIE 5) DE Ø3/4"</t>
  </si>
  <si>
    <t xml:space="preserve">        TUBERIA POLIPROPILENO PPR-PN10 (SERIE 5) DE Ø3/4" (COLGADA)</t>
  </si>
  <si>
    <t xml:space="preserve">        TUBERIA POLIPROPILENO PPR-PN10 (SERIE 5) DE Ø3" (COLGADA)</t>
  </si>
  <si>
    <t xml:space="preserve">        VALVULA ESFERICA Ø1/2"</t>
  </si>
  <si>
    <t xml:space="preserve">        VALVULA ESFERICA Ø3/4"</t>
  </si>
  <si>
    <t>01.02.05.03</t>
  </si>
  <si>
    <t xml:space="preserve">        VALVULA ESFERICA Ø1 1/2"</t>
  </si>
  <si>
    <t>01.02.05.04</t>
  </si>
  <si>
    <t xml:space="preserve">        VALVULA ESFERICA Ø2"</t>
  </si>
  <si>
    <t>01.02.05.05</t>
  </si>
  <si>
    <t xml:space="preserve">        VALVULA AUTOMATICA DE PURGA 1 1/4"</t>
  </si>
  <si>
    <t>01.02.05.06</t>
  </si>
  <si>
    <t xml:space="preserve">        VALVULA AUTOMATICA DE PURGA 1"</t>
  </si>
  <si>
    <t>01.02.05.07</t>
  </si>
  <si>
    <t xml:space="preserve">        VALVULA FLOTADOR DE 2"</t>
  </si>
  <si>
    <t>01.02.05.08</t>
  </si>
  <si>
    <t xml:space="preserve">        VALVULA CHECK DE Ø3/4"</t>
  </si>
  <si>
    <t xml:space="preserve">        SOPORTERIA AGUA</t>
  </si>
  <si>
    <t xml:space="preserve">        COLGADORES DE FIJACION VERTICAL Ø3"</t>
  </si>
  <si>
    <t xml:space="preserve">        COLGADORES DE FIJACION VERTICAL Ø2 1/2"</t>
  </si>
  <si>
    <t xml:space="preserve">        COLGADORES DE FIJACION VERTICAL Ø2"</t>
  </si>
  <si>
    <t>01.02.06.05</t>
  </si>
  <si>
    <t xml:space="preserve">        COLGADORES DE FIJACION VERTICAL Ø1 1/2"</t>
  </si>
  <si>
    <t>01.02.06.06</t>
  </si>
  <si>
    <t xml:space="preserve">        COLGADORES DE FIJACION VERTICAL Ø1 1/4"</t>
  </si>
  <si>
    <t>01.02.06.07</t>
  </si>
  <si>
    <t xml:space="preserve">        COLGADORES DE FIJACION VERTICAL Ø1"</t>
  </si>
  <si>
    <t>01.02.06.08</t>
  </si>
  <si>
    <t xml:space="preserve">        PRUEBA HIDRAULICA PARA AGUA FRIA</t>
  </si>
  <si>
    <t>01.02.06.09</t>
  </si>
  <si>
    <t xml:space="preserve">        LIMPIEZA DE TUBERIA</t>
  </si>
  <si>
    <t>01.02.06.10</t>
  </si>
  <si>
    <t xml:space="preserve">        GRIFO DE RIEGO DE Ø1/2"</t>
  </si>
  <si>
    <t>01.02.06.11</t>
  </si>
  <si>
    <t xml:space="preserve">        NICHO DE MAMPOSTERIA</t>
  </si>
  <si>
    <t>01.02.06.12</t>
  </si>
  <si>
    <t xml:space="preserve">        MEDIDORES 3/4"</t>
  </si>
  <si>
    <t>01.02.06.13</t>
  </si>
  <si>
    <t xml:space="preserve">        CAJAS PARA MEDIDORES CON TAPA</t>
  </si>
  <si>
    <t xml:space="preserve">        SALIDA DE AGUA CALIENTE DE Ø1/2"</t>
  </si>
  <si>
    <t xml:space="preserve">        SALIDA DE AGUA CALIENTE DE Ø3/4"</t>
  </si>
  <si>
    <t xml:space="preserve">        TUBERIA POLIPROPILENO PPR-PN-16 DE Ø1/2"</t>
  </si>
  <si>
    <t xml:space="preserve">        TUBERIA POLIPROPILENO PPR-PN-16 DE Ø3/4"</t>
  </si>
  <si>
    <t xml:space="preserve">        VALVULA DE SEGURIDAD</t>
  </si>
  <si>
    <t xml:space="preserve">    EQUIPAMIENTO</t>
  </si>
  <si>
    <t xml:space="preserve">        CALENTADOR DE 6 L/min A GAS (SUMINISTRO E INSTALACION)</t>
  </si>
  <si>
    <t xml:space="preserve">        CALENTADOR DE 8 L/min A GAS (SUMINISTRO E INSTALACION)</t>
  </si>
  <si>
    <t xml:space="preserve">        PRUEBA HIDRAULICA PARA AGUA CALIENTE</t>
  </si>
  <si>
    <t>01.03.05.02</t>
  </si>
  <si>
    <t>01.03.05.03</t>
  </si>
  <si>
    <t>01.03.05.04</t>
  </si>
  <si>
    <t>SISTEMA DE DESAGUE Y VENTILACION</t>
  </si>
  <si>
    <t xml:space="preserve">    MOVIMIENTO DE TIERRAS</t>
  </si>
  <si>
    <t xml:space="preserve">        EXCAVACION DE ZANJA PARA TUBERIA</t>
  </si>
  <si>
    <t xml:space="preserve">        CAMA DE ARENA PARA APOYO DE TUBERIA, E=5 cm</t>
  </si>
  <si>
    <t xml:space="preserve">        CINTA DE SEÑALIZACION</t>
  </si>
  <si>
    <t xml:space="preserve">        RELLENO CON MATERIA PROPIO COMPACTADO (I.S)</t>
  </si>
  <si>
    <t xml:space="preserve">        ACARREO DE MATERIAL EXCEDENTE A PUNTO DE ACOPIO EN OBRA</t>
  </si>
  <si>
    <t xml:space="preserve">        SALIDA DESAGUE DE PVC SAL 2"</t>
  </si>
  <si>
    <t xml:space="preserve">        SALIDA DESAGUE DE PVC SAL 2" EN DUCHA CON TRAMPA TIPO "P"</t>
  </si>
  <si>
    <t xml:space="preserve">        SALIDA DESAGUE DE PVC SAL 2" EN LAVANDERÍA  CON TRAMPA TIPO "P"</t>
  </si>
  <si>
    <t xml:space="preserve">        SALIDA DESAGUE DE PVC-SAL 4"</t>
  </si>
  <si>
    <t>01.04.02.05</t>
  </si>
  <si>
    <t xml:space="preserve">        SALIDA DESAGUE DE PVC-SAL 2" (SUMIDERO)</t>
  </si>
  <si>
    <t>01.04.02.06</t>
  </si>
  <si>
    <t xml:space="preserve">        SALIDA DESAGUE DE PVC-SAL 3" (SUMIDERO)</t>
  </si>
  <si>
    <t>01.04.02.07</t>
  </si>
  <si>
    <t xml:space="preserve">        SALIDA DESAGUE DE PVC-SAL 2" (REGISTRO)</t>
  </si>
  <si>
    <t>01.04.02.08</t>
  </si>
  <si>
    <t xml:space="preserve">        SALIDA DESAGUE DE PVC-SAL 4" (REGISTRO)</t>
  </si>
  <si>
    <t>01.04.02.09</t>
  </si>
  <si>
    <t xml:space="preserve">        SALIDA DE REGISTRO COLGADO 3 - TIPO DADO</t>
  </si>
  <si>
    <t>01.04.02.10</t>
  </si>
  <si>
    <t xml:space="preserve">        SALIDA DE REGISTRO COLGADO 4 - TIPO DADO</t>
  </si>
  <si>
    <t>01.04.02.11</t>
  </si>
  <si>
    <t xml:space="preserve">        SALIDA DE SUMIDERO TIPO CUPULA PARA JARDINERA CON TRAMPA 3"</t>
  </si>
  <si>
    <t xml:space="preserve">    TUBERÍAS MONTANTE</t>
  </si>
  <si>
    <t xml:space="preserve">        TUBERÍA PVC CLASE PESADA DE Ø 4" (DESAGUE)</t>
  </si>
  <si>
    <t xml:space="preserve">        TUBERÍA PVC CLASE PESADA DE Ø 3" (DESAGUE)</t>
  </si>
  <si>
    <t xml:space="preserve">        TUBERÍA PVC CLASE PESADA DE Ø 2" (DESAGUE)</t>
  </si>
  <si>
    <t xml:space="preserve">        TUBERÍA PVC CLASE PESADA DE Ø 2" (VENTILACION)</t>
  </si>
  <si>
    <t xml:space="preserve">        TUBERÍA PVC CLASE PESADA DE Ø 3" (VENTILACION)</t>
  </si>
  <si>
    <t>01.04.03.06</t>
  </si>
  <si>
    <t xml:space="preserve">        TUBERÍA PVC CLASE PESADA DE Ø 4" (VENTILACION)</t>
  </si>
  <si>
    <t xml:space="preserve">    TUBERÍAS IMPULSION</t>
  </si>
  <si>
    <t xml:space="preserve">        TUBERÍA PPR - 10  Ø 3" (IMPULSIÓN) ENTERRADA</t>
  </si>
  <si>
    <t xml:space="preserve">        TUBERÍA PPR - 10  Ø 3" (IMPULSIÓN) COLGADA</t>
  </si>
  <si>
    <t>01.04.04.03</t>
  </si>
  <si>
    <t xml:space="preserve">        TUBERÍA PPR - 10  Ø 3" (IMPULSIÓN) ADOSADA</t>
  </si>
  <si>
    <t xml:space="preserve">    TUBERÍAS RECOLECTORAS</t>
  </si>
  <si>
    <t xml:space="preserve">        TUBERÍA PVC CLASE PESADA DE Ø 2" (ENTERRADA)</t>
  </si>
  <si>
    <t xml:space="preserve">        TUBERÍA PVC CLASE PESADA DE Ø 3" (ENTERRADA)</t>
  </si>
  <si>
    <t xml:space="preserve">        TUBERÍA PVC CLASE PESADA DE Ø 4" (ENTERRADA)</t>
  </si>
  <si>
    <t xml:space="preserve">        TUBERÍA PVC CLASE PESADA DE Ø 2" (COLGADA)</t>
  </si>
  <si>
    <t>01.04.05.05</t>
  </si>
  <si>
    <t xml:space="preserve">        TUBERÍA PVC CLASE PESADA DE Ø 3" (COLGADA)</t>
  </si>
  <si>
    <t>01.04.05.06</t>
  </si>
  <si>
    <t xml:space="preserve">        TUBERÍA PVC CLASE PESADA DE Ø 4" (COLGADA)</t>
  </si>
  <si>
    <t>01.04.05.07</t>
  </si>
  <si>
    <t xml:space="preserve">        TUBERÍA PVC CLASE PESADA DE Ø 6" (COLGADA)</t>
  </si>
  <si>
    <t>01.04.05.08</t>
  </si>
  <si>
    <t xml:space="preserve">        TUBERÍA PVC CLASE PESADA DE Ø 2" (EMPOTRADA)</t>
  </si>
  <si>
    <t>01.04.05.09</t>
  </si>
  <si>
    <t xml:space="preserve">        TUBERÍA PVC CLASE PESADA DE Ø 4" (EMPOTRADA)</t>
  </si>
  <si>
    <t>01.04.05.10</t>
  </si>
  <si>
    <t xml:space="preserve">        TUBERÍA DE VENTILACIÓN DE 2"</t>
  </si>
  <si>
    <t>01.04.05.11</t>
  </si>
  <si>
    <t xml:space="preserve">        TUBERÍA DE VENTILACIÓN DE 3"</t>
  </si>
  <si>
    <t xml:space="preserve">    REGISTROS Y SUMIDEROS</t>
  </si>
  <si>
    <t xml:space="preserve">        REGISTRO COLGADO TIPO DADO DE Ø3"</t>
  </si>
  <si>
    <t xml:space="preserve">        REGISTRO COLGADO TIPO DADO DE Ø4"</t>
  </si>
  <si>
    <t>01.04.06.03</t>
  </si>
  <si>
    <t xml:space="preserve">        REGISTRO DE BRONCE CROMADOS  ROSCADO 2"</t>
  </si>
  <si>
    <t>01.04.06.04</t>
  </si>
  <si>
    <t xml:space="preserve">        REGISTRO DE BRONCE CROMADOS  ROSCADO 4"</t>
  </si>
  <si>
    <t>01.04.06.05</t>
  </si>
  <si>
    <t xml:space="preserve">        SUMIDERO DE BRONCE CROMADOS  ROSCADO 2"</t>
  </si>
  <si>
    <t>01.04.06.06</t>
  </si>
  <si>
    <t xml:space="preserve">        SUMIDERO DE BRONCE CROMADOS  ROSCADO 3"</t>
  </si>
  <si>
    <t>01.04.06.07</t>
  </si>
  <si>
    <t xml:space="preserve">        SOMBRERO DE VENTILACIÓN DE 3"</t>
  </si>
  <si>
    <t>01.04.06.08</t>
  </si>
  <si>
    <t xml:space="preserve">        SOMBRERO DE VENTILACIÓN DE 4"</t>
  </si>
  <si>
    <t xml:space="preserve">        VALVULA ANTIRETORNO DE 4"</t>
  </si>
  <si>
    <t xml:space="preserve">    PRUEBAS Y OTROS</t>
  </si>
  <si>
    <t xml:space="preserve">        PRUEBA HIDRAULICA DE DESAGUE</t>
  </si>
  <si>
    <t>01.04.08.02</t>
  </si>
  <si>
    <t xml:space="preserve">        CONEXION DE RED DE DESAGUE Y AGUA AL COLECTOR PUBLICO</t>
  </si>
  <si>
    <t>01.04.08.03</t>
  </si>
  <si>
    <t xml:space="preserve">        CAJA DE REGISTRO 12"x24" CON REGISTRO DE Ø4"</t>
  </si>
  <si>
    <t>01.04.08.04</t>
  </si>
  <si>
    <t xml:space="preserve">        PASES EN VIGAS</t>
  </si>
  <si>
    <t>01.04.08.05</t>
  </si>
  <si>
    <t xml:space="preserve">        SOPORTERIA DESAGUE</t>
  </si>
  <si>
    <t>01.04.08.06</t>
  </si>
  <si>
    <t xml:space="preserve">        PASES EN VIGAS PARA TUBERÍAS DE 2" Ø</t>
  </si>
  <si>
    <t>01.04.08.07</t>
  </si>
  <si>
    <t xml:space="preserve">        PASES EN VIGAS PARA TUBERÍAS DE 3" Ø</t>
  </si>
  <si>
    <t>01.04.08.08</t>
  </si>
  <si>
    <t xml:space="preserve">        PASES EN VIGAS PARA TUBERÍAS DE 4" Ø</t>
  </si>
  <si>
    <t>SISTEMA DE ALMACENAMIENTO</t>
  </si>
  <si>
    <t xml:space="preserve">    CISTERNA DE CONSUMO HUMANO</t>
  </si>
  <si>
    <t xml:space="preserve">        SUMINISTRO E INSTALACION DE ELECTROBOMBAS</t>
  </si>
  <si>
    <t>01.05.01.01.01</t>
  </si>
  <si>
    <t xml:space="preserve">            INSTALACION Y PUESTA EN MARCHA DE 09 ELECTROBOMBAS DE 5.5 HP &amp; 7.5 HP, PARA TRES (3) SISTEMAS DE AGUA POTABLE, TIPO PRESION CONSTANTE</t>
  </si>
  <si>
    <t xml:space="preserve">    CAMARA DE DESAGUE</t>
  </si>
  <si>
    <t xml:space="preserve">        SUMINISTRO E INSTALACION DE BOMBA SUMIDERO</t>
  </si>
  <si>
    <t>01.05.02.01.01</t>
  </si>
  <si>
    <t xml:space="preserve">            ELECTROBOMBAS SUMERGIBLES DE 4.0 HP, PARA SISTEMA DE BOMBEO EN CÁMARA AGUAS GRISES CON DESCARGA DE 3”</t>
  </si>
  <si>
    <t xml:space="preserve">    INSTALACION DE URINARIO</t>
  </si>
  <si>
    <t xml:space="preserve">    INSTALACION DE GRIFERIA Y TRAMPA DE PET ZONE</t>
  </si>
  <si>
    <t xml:space="preserve">    BATERIA PARA MEDIDORES</t>
  </si>
  <si>
    <t xml:space="preserve">    BRIDA ROMPEAGUA 6"</t>
  </si>
  <si>
    <t xml:space="preserve">    BRIDA ROMPEAGUA INGRESO 2"</t>
  </si>
  <si>
    <t xml:space="preserve">    BRIDA ROMPEAGUA LIMPIA 2"</t>
  </si>
  <si>
    <t xml:space="preserve">    BRIDA ROMPEAGUA IMPULSION 6"</t>
  </si>
  <si>
    <t xml:space="preserve">    BRIDA ROMPEAGUA REBOSE 6"</t>
  </si>
  <si>
    <t>01.06.09</t>
  </si>
  <si>
    <t xml:space="preserve">    BRIDA ROMPEAGUA IMPULSION 4"</t>
  </si>
  <si>
    <t>01.06.10</t>
  </si>
  <si>
    <t xml:space="preserve">    PINTADO DE TUBERIAS COLGADAS SOLO SÓTANOS</t>
  </si>
  <si>
    <t>01.06.11</t>
  </si>
  <si>
    <t>01.06.12</t>
  </si>
  <si>
    <t xml:space="preserve">    PLANOS AS BUILT</t>
  </si>
  <si>
    <t>01.06.13</t>
  </si>
  <si>
    <t xml:space="preserve">    PRUEBA DE ESCORRENTIA APARATOS SANITARIOS</t>
  </si>
  <si>
    <t>01.06.14</t>
  </si>
  <si>
    <t xml:space="preserve">    EMPALME A POZO SUMIDERO 3"</t>
  </si>
  <si>
    <t>01.06.15</t>
  </si>
  <si>
    <t xml:space="preserve">    EMPALME A POZO BOMBA DE IMPULSION 3"</t>
  </si>
  <si>
    <t>01.06.16</t>
  </si>
  <si>
    <t xml:space="preserve">    SALIDA DE REBOSE</t>
  </si>
  <si>
    <t xml:space="preserve">    EMPALME DESAGUE CON VENTILACION AUXILIAR</t>
  </si>
  <si>
    <t>PRESUPUESTO ACI</t>
  </si>
  <si>
    <t>PRESUPUESTO CC DÉBILES</t>
  </si>
  <si>
    <t>PRESUPUESTO CC IIMM</t>
  </si>
  <si>
    <t>PRESUPUESTO GAS</t>
  </si>
  <si>
    <t>PRESUPUESTO ASCENSOR</t>
  </si>
  <si>
    <t>Fianza de Adelanto (10%)</t>
  </si>
  <si>
    <t>ESCALERA</t>
  </si>
  <si>
    <t>ACELERÓGRAFO</t>
  </si>
  <si>
    <t xml:space="preserve">        FORJADO EN DESCANSO DE ESCALERA</t>
  </si>
  <si>
    <t xml:space="preserve">        FORJADO PASO Y CONTRAPASO DE ESCALERA 1 DE CEMENTO PULIDO</t>
  </si>
  <si>
    <t>01.21.03</t>
  </si>
  <si>
    <t xml:space="preserve">    CERRADURA SMART YALE modelo YMC420D. INCLUYE INSTALACION Y CONFIGURACION</t>
  </si>
  <si>
    <t xml:space="preserve">    TRABAJO EN BANCO DE MEDIDORES (se considera los trabajos de entubado y cableado en el banco med.)</t>
  </si>
  <si>
    <t>Mano de Obra (S/.)</t>
  </si>
  <si>
    <t>Material (S/.)</t>
  </si>
  <si>
    <t>Equipo (S/.)</t>
  </si>
  <si>
    <t>Subcontrato (S/.)</t>
  </si>
  <si>
    <t>Mano de Obra (U$)</t>
  </si>
  <si>
    <t>Material (U$)</t>
  </si>
  <si>
    <t>Equipo (U$)</t>
  </si>
  <si>
    <t>Subcontrato (U$)</t>
  </si>
  <si>
    <t>Fianza Fiel Cumplimento (10%)</t>
  </si>
  <si>
    <t>01.02.16</t>
  </si>
  <si>
    <t xml:space="preserve">    CERRAMIENTO PROVISIONAL PARA ASCENSOR</t>
  </si>
  <si>
    <t xml:space="preserve">    LIMPIEZA A VECINOS (SOLO AREA EXPUESTA COMO ESTACIONAMIENTO, VEREDAS, ZONA COMÚN, TERRAZAS)</t>
  </si>
  <si>
    <t xml:space="preserve">    LLAVEROS PARA CONTROL DE INGRESOS A DEPARTAMENTOS</t>
  </si>
  <si>
    <t xml:space="preserve">        CERRAMIENTO DE DRYWALL PARA ASCENSOR</t>
  </si>
  <si>
    <t xml:space="preserve">        SOLAQUEADO EN CIELORRASO DE SOTANOS</t>
  </si>
  <si>
    <t xml:space="preserve">        CAL NIEVE EN CIELORRASO DE SOTANOS</t>
  </si>
  <si>
    <t>01.02.01.32</t>
  </si>
  <si>
    <t xml:space="preserve">        CAL NIEVE EN MUROS DE SOTANOS</t>
  </si>
  <si>
    <t>01.10.02.14</t>
  </si>
  <si>
    <t xml:space="preserve">        COLUMNAS Y DINTELES METÁLICOS PARA ASCENSOR</t>
  </si>
  <si>
    <t xml:space="preserve">    PINTURA EXTERIOR AMERICAN COLORS  BLANCO OSTRA  EN DPTOS. - BALCON</t>
  </si>
  <si>
    <t>01.15.02.01</t>
  </si>
  <si>
    <t>01.15.02.02</t>
  </si>
  <si>
    <t xml:space="preserve">        MUEBLE BAJO PARA COCINA SEGÚN DETALLE DE PLANO</t>
  </si>
  <si>
    <t>01.15.02.05.01</t>
  </si>
  <si>
    <t xml:space="preserve">            MUEBLE DPTO 101</t>
  </si>
  <si>
    <t>01.15.02.05.02</t>
  </si>
  <si>
    <t xml:space="preserve">            MUEBLE DPTO 104</t>
  </si>
  <si>
    <t>01.15.02.05.03</t>
  </si>
  <si>
    <t xml:space="preserve">            MUEBLE DPTO 105</t>
  </si>
  <si>
    <t>01.15.02.05.04</t>
  </si>
  <si>
    <t xml:space="preserve">            MUEBLE DPTO X01</t>
  </si>
  <si>
    <t>01.15.02.05.05</t>
  </si>
  <si>
    <t xml:space="preserve">            MUEBLE DPTO X02</t>
  </si>
  <si>
    <t>01.15.02.05.06</t>
  </si>
  <si>
    <t xml:space="preserve">            MUEBLE DPTO X03</t>
  </si>
  <si>
    <t>01.15.02.05.07</t>
  </si>
  <si>
    <t xml:space="preserve">            MUEBLE DPTO X04</t>
  </si>
  <si>
    <t>01.15.02.05.08</t>
  </si>
  <si>
    <t xml:space="preserve">            MUEBLE DPTO X05</t>
  </si>
  <si>
    <t xml:space="preserve">        MUEBLE ALTO PARA COCINA SEGÚN DETALLE DE PLANO</t>
  </si>
  <si>
    <t>01.15.02.06.01</t>
  </si>
  <si>
    <t>01.15.02.06.02</t>
  </si>
  <si>
    <t>01.15.02.06.03</t>
  </si>
  <si>
    <t>01.15.02.06.04</t>
  </si>
  <si>
    <t>01.15.02.06.05</t>
  </si>
  <si>
    <t>01.15.02.06.06</t>
  </si>
  <si>
    <t>01.15.02.06.07</t>
  </si>
  <si>
    <t>01.15.02.06.08</t>
  </si>
  <si>
    <t xml:space="preserve">        MUEBLES DE CO-WORKING EN MURO SEGUN DISEÑO DE DETALLES</t>
  </si>
  <si>
    <t xml:space="preserve">        MUEBLES DE CO-WORKING MESA DE CENTRO SEGUN DISEÑO DE DETALLES</t>
  </si>
  <si>
    <t>01.15.03.06</t>
  </si>
  <si>
    <t>01.15.03.07</t>
  </si>
  <si>
    <t xml:space="preserve">    HORNO EMPOTRABLE ELECTRICO SOLE, CÓDIGO 3120SOLHO013V3</t>
  </si>
  <si>
    <t xml:space="preserve">    HORNO EMPOTRABLE A GAS NATURAL 60 CM SOLE, CÓDIGO 3120S0LHO023</t>
  </si>
  <si>
    <t>01.18.01</t>
  </si>
  <si>
    <t xml:space="preserve">    GABINETE DE BARRA EQUIPOTENCIAL</t>
  </si>
  <si>
    <t>UND</t>
  </si>
  <si>
    <t xml:space="preserve">    OBRAS PROVICIONALES</t>
  </si>
  <si>
    <t>CERCO FOTOELECTRICO</t>
  </si>
  <si>
    <t xml:space="preserve">        SALIDA PARA CERCOS FOTOELECTRICO</t>
  </si>
  <si>
    <t xml:space="preserve">        SALIDA PARA ALIEMNTACION DE CERCO FOTOELECTRICO</t>
  </si>
  <si>
    <t xml:space="preserve">        CAJA DE PASE 150X150X100MM (Plancha 1/20)</t>
  </si>
  <si>
    <t>LUMINARIAS</t>
  </si>
  <si>
    <t xml:space="preserve">    ARTEFACTO HERMETICO LED CON SENSOR DE MOVIMIENTO MARCA: LUMICENTER MODELO: 90-430/LED/36W/65K/SENS - ESTACIONAMIENTO</t>
  </si>
  <si>
    <t xml:space="preserve">    DOWNLIGHT LED PARA ADOSAR CON SENSOR DE MOVIMIENTO TIPO PIR  MARCA: LUMICENTER  MODELO: 11-951/LED18W/3CCT/PF09/SEN</t>
  </si>
  <si>
    <t xml:space="preserve">    DOWNLIGHT LED PARA ADOSAR MARCA: LUMICENTER MODELO: 11-950/LED12W/3CCT/PF09/WH - CTO ACOPIO</t>
  </si>
  <si>
    <t>01.18.04</t>
  </si>
  <si>
    <t xml:space="preserve">    DOWNLIGHT LED PARA ADOSAR Y/O EMPOTRAR  MARCA: LUMICENTER  MODELO: 77-601/LED15W/30K-40K-60K - LOBBY</t>
  </si>
  <si>
    <t>01.18.05</t>
  </si>
  <si>
    <t xml:space="preserve">    TIRA LED COB FLEXIBLE IP65  MARCA: LUMICENTER  MODELO: 92-103/LEDCOB/50W/30K/IP65 - LOBBY</t>
  </si>
  <si>
    <t>01.18.06</t>
  </si>
  <si>
    <t xml:space="preserve">    LÁMPARA LED GU10 MARCA: LUMICENTER MODELO: 11-GU10/LED/8W/30K/220V/850LM</t>
  </si>
  <si>
    <t>01.18.07</t>
  </si>
  <si>
    <t xml:space="preserve">    ARTEFACTO LINEAL BLOCK LED PARA SUSPENDER  MARCA: LUMICENTER  MODELO: 77-104/LED32W/30K-40K-60K</t>
  </si>
  <si>
    <t>01.18.08</t>
  </si>
  <si>
    <t xml:space="preserve">    LUMINARIA EN JARDIN DE TERRAZA COMUN</t>
  </si>
  <si>
    <t>01.18.09</t>
  </si>
  <si>
    <t xml:space="preserve">    CINTA LED EN BANCA DE TERRAZA COMUN</t>
  </si>
  <si>
    <t>01.18.10</t>
  </si>
  <si>
    <t xml:space="preserve">    BRAQUETE EN JARDIN DE PARRILLA 01 Y 02</t>
  </si>
  <si>
    <t>01.18.11</t>
  </si>
  <si>
    <t xml:space="preserve">    BRAQUETE EN PARRILLA 01 Y 02</t>
  </si>
  <si>
    <t>01.18.12</t>
  </si>
  <si>
    <t xml:space="preserve">    BRAQUETE EN TERRAZA AZOTEA</t>
  </si>
  <si>
    <t>01.18.13</t>
  </si>
  <si>
    <t xml:space="preserve">    BRAQUETE EN INGRESO PRINCIPAL - EXTERIOR</t>
  </si>
  <si>
    <t>01.18.14</t>
  </si>
  <si>
    <t xml:space="preserve">    SALIDA BRAQUETE EN TERRAZA COMUN</t>
  </si>
  <si>
    <t>01.18.15</t>
  </si>
  <si>
    <t xml:space="preserve">    SOCKET Y FOCO LED AHORRADOR</t>
  </si>
  <si>
    <t>01.18.16</t>
  </si>
  <si>
    <t xml:space="preserve">    DOWNLIGHT LED PARA ADOSAR MARCA: LUMICENTER MODELO: 11-950/LED12W/3CCT/PF09/WH - DPTO</t>
  </si>
  <si>
    <t>01.18.17</t>
  </si>
  <si>
    <t xml:space="preserve">    SPOT LED PARA EMPOTRAR MARCA: LUMICENTER MODELO: 07-300R/LED/10W/3CCT/WH - DPTO</t>
  </si>
  <si>
    <t>01.18.18</t>
  </si>
  <si>
    <t xml:space="preserve">    LÁMPARA LED GU10 MARCA: LUMICENTER MODELO: 11-GU10/LED/8W/30K/220V/850LM - DPTO, BAÑOS</t>
  </si>
  <si>
    <t>01.02.04.05</t>
  </si>
  <si>
    <t>01.04.02.12</t>
  </si>
  <si>
    <t xml:space="preserve">        SALIDA DE REGISTRO COLGADO 6" - TIPO DADO</t>
  </si>
  <si>
    <t>01.04.02.13</t>
  </si>
  <si>
    <t xml:space="preserve">        SALIDA DE VENTILACION DE PVC-SAL 2"</t>
  </si>
  <si>
    <t>01.04.06.09</t>
  </si>
  <si>
    <t xml:space="preserve">        REGISTRO COLGADO TIPO DADO DE Ø6"</t>
  </si>
  <si>
    <t>SISTEMA DE ALARMA CONTRAINCENDIO</t>
  </si>
  <si>
    <t xml:space="preserve">    PANEL DE INCENDIO HONEYWELL</t>
  </si>
  <si>
    <t xml:space="preserve">        PANEL DE ALARMA CONTRA INCENDIO DIRECCIONABLE VISTA 250</t>
  </si>
  <si>
    <t xml:space="preserve">        TECLADO ALFANUMERICO CON PANTALLA LCD</t>
  </si>
  <si>
    <t xml:space="preserve">        MODULO EXPANSORA PARA ZONIFICACION</t>
  </si>
  <si>
    <t xml:space="preserve">        DETECTOR DE TEMPERATURA</t>
  </si>
  <si>
    <t xml:space="preserve">        DETECTOR DE HUMO FOTOELÉCTRICO</t>
  </si>
  <si>
    <t xml:space="preserve">        ESTACIÓN MANUAL DE DOBLE ACCION ACCIÓN</t>
  </si>
  <si>
    <t xml:space="preserve">        SIRENA CON LUZ ESTROBOSCÓPICA</t>
  </si>
  <si>
    <t xml:space="preserve">        DETECTOR DE HUMO PARA DUCTO CONVENCIONAL</t>
  </si>
  <si>
    <t xml:space="preserve">    INTERCONEXION CON OTROS SISTEMAS</t>
  </si>
  <si>
    <t xml:space="preserve">        CTO BOMBAS</t>
  </si>
  <si>
    <t xml:space="preserve">        SOTANOS</t>
  </si>
  <si>
    <t xml:space="preserve">        TECHO</t>
  </si>
  <si>
    <t xml:space="preserve">        FUENTES DE ALIMENTACION PARA SALIDAS</t>
  </si>
  <si>
    <t xml:space="preserve">        BATERIAS</t>
  </si>
  <si>
    <t xml:space="preserve">        CABLES FPL</t>
  </si>
  <si>
    <t>01.01.03.04</t>
  </si>
  <si>
    <t xml:space="preserve">        PROGRAMACION Y PUESTA EN MARCHA</t>
  </si>
  <si>
    <t>SISTEMA DE INTERCOMUNICACION</t>
  </si>
  <si>
    <t xml:space="preserve">    PANEL PORTERO EXTERIOR DIGITAL CON CAMARA</t>
  </si>
  <si>
    <t xml:space="preserve">    INTERCOMUNICADOR DE 2 PUNTOS</t>
  </si>
  <si>
    <t xml:space="preserve">    CONSERJERÍA</t>
  </si>
  <si>
    <t xml:space="preserve">    FUENTES REGULADAS DE ALIMENTACION</t>
  </si>
  <si>
    <t xml:space="preserve">    MODULO EXPANSOR DE 2 HILOS</t>
  </si>
  <si>
    <t xml:space="preserve">    CONFIGURADORES</t>
  </si>
  <si>
    <t xml:space="preserve">    FUENTE DE ALIMENTACIÓN PARA CERRADURA</t>
  </si>
  <si>
    <t xml:space="preserve">    CERRADURA</t>
  </si>
  <si>
    <t xml:space="preserve">    CABLE MULTIPARES TRENZADOS</t>
  </si>
  <si>
    <t xml:space="preserve">    PROGRAMACION Y PUESTA EN MARCHA</t>
  </si>
  <si>
    <t>SISTEMA DE CCTV</t>
  </si>
  <si>
    <t xml:space="preserve">    CAMARAS BULLET DE 2MP MARCA HIKVISION FULL HD 1080</t>
  </si>
  <si>
    <t xml:space="preserve">    FUENTES PARA CAMARA</t>
  </si>
  <si>
    <t xml:space="preserve">    BALUNS O CONECTORES DE VÍDEO</t>
  </si>
  <si>
    <t xml:space="preserve">    MONITOR FHD 24" A COLOR</t>
  </si>
  <si>
    <t xml:space="preserve">    NVR 32 CANALES MARCA HIKVISION MODELO iDS7232HQHi-M2/S</t>
  </si>
  <si>
    <t xml:space="preserve">    DISCO DURO 1TB PARA ALMACENAMIENTO DE LAS IMAGENES</t>
  </si>
  <si>
    <t>PANEL FOTOVOLTAICO</t>
  </si>
  <si>
    <t xml:space="preserve">    SUMINISTRO PANEL FOTOVOLTAICO (PANELES, INVERSOR, DATA, TABLERO, ESTRUCTURAS, CABLES)</t>
  </si>
  <si>
    <t xml:space="preserve">    MONTAJE PANEL FOTOVOLTAICO</t>
  </si>
  <si>
    <t>INSTALACION INTERNA 2025</t>
  </si>
  <si>
    <t>INSTALACION INTERNA 1216</t>
  </si>
  <si>
    <t>INSTALACION DE VALVULA 3/4</t>
  </si>
  <si>
    <t>INSTALACION DE VALVULA 1/2</t>
  </si>
  <si>
    <t>VALVULA CROMADA PARA COCINA</t>
  </si>
  <si>
    <t>MONTANTE DE COBRE</t>
  </si>
  <si>
    <t>CENTRO DE MEDICION</t>
  </si>
  <si>
    <t>PRUEBA DE HERMETICIDAD (MONTANTE)</t>
  </si>
  <si>
    <t>PRUEBA DE HERMETICIDAD (DEPARTAMENTOS )</t>
  </si>
  <si>
    <t>PLANOS</t>
  </si>
  <si>
    <t>ACCESORIOS</t>
  </si>
  <si>
    <t>SUMINISTRO</t>
  </si>
  <si>
    <t xml:space="preserve">    VESTIBULO PREVIO VENTILADO Y ESCALERA</t>
  </si>
  <si>
    <t xml:space="preserve">        INYECTOR CENTRÍFUGO DE SIMPLE ENTRADA</t>
  </si>
  <si>
    <t xml:space="preserve">        EXTRACTOR CENTRÍFUGO DE SIMPLE ENTRADA</t>
  </si>
  <si>
    <t xml:space="preserve">        SENSOR DE HUMO</t>
  </si>
  <si>
    <t xml:space="preserve">        DAMPER BAROMÉTRICO  24"X24" ACP</t>
  </si>
  <si>
    <t xml:space="preserve">        FILTRO DE MALLA DE ALUMINIO DE 35"X35"X1" SUMINISTRO E INSTALACIÓN</t>
  </si>
  <si>
    <t xml:space="preserve">        FILTRO DE MALLA DE ALUMINIO DE 45"X45"X1" SUMINISTRO E INSTALACIÓN</t>
  </si>
  <si>
    <t xml:space="preserve">        RESORTE ANTIVIBRATORIO SUMINISTRO E INSTALACIÓN</t>
  </si>
  <si>
    <t xml:space="preserve">    EXTRACCIÓN DE MONÓXIDO DE CARBONO</t>
  </si>
  <si>
    <t xml:space="preserve">        INYECTOR AXIAL</t>
  </si>
  <si>
    <t xml:space="preserve">        EXTRACTOR AXIAL</t>
  </si>
  <si>
    <t xml:space="preserve">        JET FAN TUBULAR</t>
  </si>
  <si>
    <t xml:space="preserve">        DETECTOR DE MONÓXIDO</t>
  </si>
  <si>
    <t>01.01.02.09</t>
  </si>
  <si>
    <t xml:space="preserve">        DAMPER DE GRAVEDAD DE FABRICACIÓN NACIONAL, SUMINSITRO E INSTALACIÓN</t>
  </si>
  <si>
    <t xml:space="preserve">    VENTILACIÓN EN CUARTO DE BOMBAS Y ACELERÓGRAFO</t>
  </si>
  <si>
    <t xml:space="preserve">        INYECTOR CENTRÍFUGO EN GABINETE</t>
  </si>
  <si>
    <t xml:space="preserve">        EXTRACTOR CENTRÍFUGO EN GABINETE</t>
  </si>
  <si>
    <t xml:space="preserve">    VENTILACIÓN EN CUARTO DE BASURA</t>
  </si>
  <si>
    <t>01.01.04.01</t>
  </si>
  <si>
    <t>01.01.04.02</t>
  </si>
  <si>
    <t xml:space="preserve">        DAMPER CORTA FUEGO NACIONAL DE 12"X12" CON FUSIBLE UL</t>
  </si>
  <si>
    <t xml:space="preserve">    VENTILACIÓN DE PASILLOS</t>
  </si>
  <si>
    <t>01.01.05.01</t>
  </si>
  <si>
    <t>01.01.05.02</t>
  </si>
  <si>
    <t>01.01.05.03</t>
  </si>
  <si>
    <t xml:space="preserve">        FILTRO DE MALLA DE ALUMINIO DE 36"X36"X1" SUMINISTRO E INSTALACIÓN</t>
  </si>
  <si>
    <t xml:space="preserve">    VENTILACIÓN DE BAÑOS Y CENTRO DE LAVADO</t>
  </si>
  <si>
    <t>01.01.06.01</t>
  </si>
  <si>
    <t xml:space="preserve">        EXTRACTOR AXIAL CON DAMPER</t>
  </si>
  <si>
    <t>01.01.06.02</t>
  </si>
  <si>
    <t>01.01.06.03</t>
  </si>
  <si>
    <t>01.01.06.04</t>
  </si>
  <si>
    <t xml:space="preserve">        EXTRACTOR EÓLICO SUMINISTRO E INSTALACIÓN</t>
  </si>
  <si>
    <t>01.01.06.05</t>
  </si>
  <si>
    <t xml:space="preserve">        EXTRACTOR AXIAL CON DAMPER CON SENSOR DE HUMEDAD</t>
  </si>
  <si>
    <t>INSTALACION</t>
  </si>
  <si>
    <t xml:space="preserve">        SUMINISTRO E INSTALACIÓN DE DUCTOS METÁLICOS DE FIERRO GALVANIZADO FABRICADOS DE ACUERDO A LA NORMATIVA SMACNA</t>
  </si>
  <si>
    <t xml:space="preserve">    SUMINISTRO E INSTALACIÓN DE REJILLAS DE FIERRO GALVANIZADO INCLUYE PROTECCIÓN ANTICORROSIVA, PINTADO CON ESMALTE DE COLOR BLANCO AL HORNO Y DAMPER DE REGULACIÓN MANUAL</t>
  </si>
  <si>
    <t xml:space="preserve">        REJILLAS DE INYECCIÓN Y EXTRACCIÓN</t>
  </si>
  <si>
    <t>pulg2</t>
  </si>
  <si>
    <t xml:space="preserve">        INSTALACIÓN MECÁNICA DE VENTILADOR CENTRÍFUGO</t>
  </si>
  <si>
    <t xml:space="preserve">        TABLERO DE CONTROL DE (3)CENTRÍFUGOS                                                                                                                          (1)  TABLEROS ELÉCTRICOS FABRICADO CON PLANCHA DE FIERRO GALVANIZADO 2 MM DE ESPESOR CON REC</t>
  </si>
  <si>
    <t xml:space="preserve">        INSTALACIÓN DE SENSOR DE HUMO</t>
  </si>
  <si>
    <t xml:space="preserve">        INSTALACIÓN MECÁNICA EXTRACTOR AXIAL</t>
  </si>
  <si>
    <t xml:space="preserve">        INSTALACIÓN MECÁNICA  INTECTOR AXIAL</t>
  </si>
  <si>
    <t xml:space="preserve">        INSTALACIÓN MECÁNICA DE JET FAN</t>
  </si>
  <si>
    <t xml:space="preserve">        TABLERO DE CONTROL DE (5) JET FAN, (5) INYECTORES Y (5) EXTRACTORES .                                                                                                                          (5)  TABLEROS ELÉCTRICOS FABRICADO CON PLANCHA DE FIERRO GA</t>
  </si>
  <si>
    <t>01.02.04.06</t>
  </si>
  <si>
    <t xml:space="preserve">        INSTALACIÓN DE DETECTOR DE MONÓXIDO DE CARBONO, CABLEADO DE COMUNICACIÓN Y CONECCION ELÉCTRICA</t>
  </si>
  <si>
    <t xml:space="preserve">        SUMINISTRO E INSTALACIÓN DE DUCTOS METÁLICOS DE FIERRO GALVANIZADO FABRICADOS DE ACUERDO A LA NORMATIVA SMACNA,</t>
  </si>
  <si>
    <t xml:space="preserve">        TABLERO DE CONTROL</t>
  </si>
  <si>
    <t>01.02.07.01</t>
  </si>
  <si>
    <t>01.02.08.01</t>
  </si>
  <si>
    <t>01.02.08.02</t>
  </si>
  <si>
    <t xml:space="preserve">        INSTALACIÓN MECÁNICA DE VENTILADOR AXIAL</t>
  </si>
  <si>
    <t>01.02.08.03</t>
  </si>
  <si>
    <t xml:space="preserve">        INSTALACIÓN DE DAMPER CORTA FUEGO</t>
  </si>
  <si>
    <t>01.02.08.04</t>
  </si>
  <si>
    <t xml:space="preserve">        ENCENDIDO DE EQUIPOS MEDIANTE BOTONERA O TIMER</t>
  </si>
  <si>
    <t>01.02.09.01</t>
  </si>
  <si>
    <t>01.02.10.01</t>
  </si>
  <si>
    <t>01.02.10.02</t>
  </si>
  <si>
    <t>01.02.10.03</t>
  </si>
  <si>
    <t>01.02.11.01</t>
  </si>
  <si>
    <t>01.02.11.02</t>
  </si>
  <si>
    <t xml:space="preserve">        INSTALACIÓN ELECTROMECÁNICA DE EXTRACTORES AXIALES ENCENDIDO MEDIANTE INTERRUPTOR DE LUMINARIA. MONTAJE DE EQUIPO Y CONECCIÓN ELÉCTRICA. PUESTA EN MARCHA, PRUEBAS Y AJUSTES (NO INCLUYE BOTONERAS)</t>
  </si>
  <si>
    <t>01.02.11.03</t>
  </si>
  <si>
    <t xml:space="preserve">        INSTALACIÓN ELECTROMECÁNICA DE EXTRACTORES AXIALES ENCENDIDO MEDIANTE INTERRUPTOR DE LUMINARIA. MONTAJE DE EQUIPO Y CONECCIÓN ELÉCTRICA. PUESTA EN MARCHA, PRUEBAS Y AJUSTES (LAVANDERIA)</t>
  </si>
  <si>
    <t>01.02.11.04</t>
  </si>
  <si>
    <t xml:space="preserve">        TRAMPA DE HUMO DE 10 CM</t>
  </si>
  <si>
    <t xml:space="preserve">    PRUEBAS, PROTOCOLOS</t>
  </si>
  <si>
    <t xml:space="preserve">        TARRAJEO DE MUROS EXTERIORES (FACHADA FRONTAL)</t>
  </si>
  <si>
    <t xml:space="preserve">        TARRAJEO DE MUROS EXTERIORES (FACHADA INTERNA)</t>
  </si>
  <si>
    <t xml:space="preserve">        SOLAQUEO DE COLUMNAS DE SOTANO</t>
  </si>
  <si>
    <t xml:space="preserve">        SOLAQUEO DE PLACAS DE SOTANO</t>
  </si>
  <si>
    <t xml:space="preserve">        SOLAQUEO DE MUROS DE CONCRETO Y MURO PANTALLA DE SOTANO</t>
  </si>
  <si>
    <t xml:space="preserve">        SOLAQUEO DE VIGAS DE SOTANO</t>
  </si>
  <si>
    <t xml:space="preserve">        SOLAQUEO INTERIOR DE DUCTOS</t>
  </si>
  <si>
    <t xml:space="preserve">        SOLAQUEO DE PLACAS Y MUROS FACHADAS LATERALES</t>
  </si>
  <si>
    <t xml:space="preserve">        MEDIA CAÑA EN CISTERNA</t>
  </si>
  <si>
    <t xml:space="preserve">        TARRAJEADO DE BALCON (FACHADA FRONTAL)</t>
  </si>
  <si>
    <t>PRESUPUESTO AUTOMATIZACIÓN</t>
  </si>
  <si>
    <t>AUTOMATIZACION</t>
  </si>
  <si>
    <t>AUTOMATIZACIÓN DE DEPARTAMENTOS</t>
  </si>
  <si>
    <t>Monitoreo de salud ocupacional</t>
  </si>
  <si>
    <t xml:space="preserve">        FALSO CIELO RASO MELAMINE GARDEN OAK EN LOBBY 1R PISO</t>
  </si>
  <si>
    <t xml:space="preserve">        BARANDAS DE VIDRIO TEMPLADO TRASLUCIDO DE 12MM, 1.10M , CON PASAMANO RECTANGULAR 3"X1½" DE ALUMINIO COLOR NEGRO. ( AZOTEA)</t>
  </si>
  <si>
    <t xml:space="preserve">        BARANDAS DE VIDRIO TEMPLADO TRASLUCIDO DE 12MM,, 0.92M, CON PASAMANO RECTANGULAR 3"X1½" DE ALUMINIO, COLOR NEGRO. ( AZOTEA)</t>
  </si>
  <si>
    <t xml:space="preserve">        BARANDAS DE VIDRIO TEMPLADO TRASLUCIDO DE 12MM, 1.10M, CON PASAMANO RECTANGULAR 3"X1½" DE ALUMINIO COLOR NEGRO ( BALCONES DE DPTOS.)</t>
  </si>
  <si>
    <t>01.21.04</t>
  </si>
  <si>
    <t xml:space="preserve">    TECHO DE GYM (11.00 M2)</t>
  </si>
  <si>
    <t>01.21.04.01</t>
  </si>
  <si>
    <t xml:space="preserve">        ESTRUCTURAS</t>
  </si>
  <si>
    <t>01.21.04.01.01</t>
  </si>
  <si>
    <t xml:space="preserve">            PRELOSA ALIGERADA 20cm</t>
  </si>
  <si>
    <t>01.21.04.01.01.01</t>
  </si>
  <si>
    <t xml:space="preserve">                ENCOFRADO Y DESENCOFRADO - PRELOSA MACIZA</t>
  </si>
  <si>
    <t>01.21.04.01.01.02</t>
  </si>
  <si>
    <t xml:space="preserve">                SUMINISTRO DE PRELOSA ALIGERADA DE 20CM</t>
  </si>
  <si>
    <t>01.21.04.01.01.03</t>
  </si>
  <si>
    <t xml:space="preserve">                ACERO F'Y=4200 KG/CM2 GRADO 60 SUPERIOR</t>
  </si>
  <si>
    <t>01.21.04.01.01.04</t>
  </si>
  <si>
    <t xml:space="preserve">                ACERO F'Y=4200 KG/CM2 GRADO 60 INFERIOR</t>
  </si>
  <si>
    <t>01.21.04.01.01.05</t>
  </si>
  <si>
    <t xml:space="preserve">                ACERO F'Y=4200 KG/CM2 GRADO 60 COSTURA</t>
  </si>
  <si>
    <t>01.21.04.01.01.06</t>
  </si>
  <si>
    <t xml:space="preserve">                CONCRETO F'C=210 KG/CM2 - LOSA  ALIGERADA</t>
  </si>
  <si>
    <t>01.21.04.01.01.07</t>
  </si>
  <si>
    <t xml:space="preserve">                CURADO DE ELEMENTOS DE CONCRETO</t>
  </si>
  <si>
    <t>01.21.04.01.01.08</t>
  </si>
  <si>
    <t xml:space="preserve">                ACABADO EN LOSA EN CONCRETO FRESCO</t>
  </si>
  <si>
    <t>01.21.04.01.01.09</t>
  </si>
  <si>
    <t xml:space="preserve">                INSTALACIÓN DE PRELOSAS</t>
  </si>
  <si>
    <t>01.21.04.01.01.10</t>
  </si>
  <si>
    <t xml:space="preserve">                SELLADO DE JUNTAS DE PRELOSAS</t>
  </si>
  <si>
    <t>01.21.04.01.02</t>
  </si>
  <si>
    <t xml:space="preserve">            COLUMNETAS DE 30 X 30 CM</t>
  </si>
  <si>
    <t>01.21.04.01.02.01</t>
  </si>
  <si>
    <t xml:space="preserve">                ENCOFRADO Y DESENCOFRADO</t>
  </si>
  <si>
    <t>01.21.04.01.02.02</t>
  </si>
  <si>
    <t xml:space="preserve">                ACERO F'Y=4200 KG/CM2 GRADO 60</t>
  </si>
  <si>
    <t>01.21.04.01.02.03</t>
  </si>
  <si>
    <t xml:space="preserve">                CONCRETO F'C=210 KG/CM2</t>
  </si>
  <si>
    <t>01.21.04.01.02.04</t>
  </si>
  <si>
    <t>01.21.04.02</t>
  </si>
  <si>
    <t xml:space="preserve">        ARQUITECTURA</t>
  </si>
  <si>
    <t>01.21.04.02.01</t>
  </si>
  <si>
    <t xml:space="preserve">            RESANE DE TARRAJEO DE VIGAS</t>
  </si>
  <si>
    <t>01.21.04.02.02</t>
  </si>
  <si>
    <t xml:space="preserve">            BRUÑA ENTRE CIELO RASO Y MURO</t>
  </si>
  <si>
    <t>01.21.04.02.03</t>
  </si>
  <si>
    <t xml:space="preserve">            TARRAJEO DE CIELORRASO EN PISOS SUPERIORES</t>
  </si>
  <si>
    <t>01.21.04.02.04</t>
  </si>
  <si>
    <t xml:space="preserve">            PINTURA LATEX EN CIELORRASO, SOBRE EMPASTADO</t>
  </si>
  <si>
    <t>01.21.04.03</t>
  </si>
  <si>
    <t xml:space="preserve">        DESMONTAJE Y MONTAJE DE MAMPARA, PICADOS Y RESANES</t>
  </si>
  <si>
    <t>01.21.04.04</t>
  </si>
  <si>
    <t xml:space="preserve">        IIEE</t>
  </si>
  <si>
    <t>01.21.04.04.01</t>
  </si>
  <si>
    <t xml:space="preserve">            ACONDICIONAMIENTO 2 SALIDAS DE LUZ (INCLUIDO LUMINARAS)</t>
  </si>
  <si>
    <t>JULIO</t>
  </si>
  <si>
    <t>Se considera 2 adelantos de obra de 5% , el primero en el mes 1 y el segundo en el mes 4</t>
  </si>
  <si>
    <t>Se considera solo el costo de activación de Póliza</t>
  </si>
  <si>
    <t>REPARACIÓN DE AFECTACIONES A VECINOS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</si>
</sst>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_-;\-* #,##0.00_-;_-* &quot;-&quot;??_-;_-@"/>
    <numFmt numFmtId="166" formatCode="###,###,###,##0.00"/>
    <numFmt numFmtId="168" formatCode="#,##0.0"/>
    <numFmt numFmtId="169" formatCode="_-* #,##0.0_-;\-* #,##0.0_-;_-* &quot;-&quot;??_-;_-@_-"/>
    <numFmt numFmtId="170" formatCode="0.0%"/>
    <numFmt numFmtId="171" formatCode="#,##0.000"/>
    <numFmt numFmtId="173" formatCode="[$$-540A]#,##0.00"/>
    <numFmt numFmtId="175" formatCode="[$S/-280A]\ #,##0.00"/>
  </numFmts>
  <fonts count="4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8.25"/>
      <color rgb="FF000000"/>
      <name val="Calibri"/>
      <family val="2"/>
      <scheme val="minor"/>
    </font>
    <font>
      <sz val="8"/>
      <color rgb="FFFF0000"/>
      <name val="Arial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FF8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8"/>
      <color rgb="FF800000"/>
      <name val="Arial"/>
      <family val="2"/>
    </font>
    <font>
      <b/>
      <u/>
      <sz val="11"/>
      <color theme="1"/>
      <name val="Arial Narrow"/>
      <family val="2"/>
    </font>
    <font>
      <sz val="8"/>
      <color rgb="FF000000"/>
      <name val="Arial Narrow"/>
      <family val="2"/>
    </font>
    <font>
      <sz val="8"/>
      <color rgb="FFFF0000"/>
      <name val="Arial Narrow"/>
      <family val="2"/>
    </font>
    <font>
      <b/>
      <u/>
      <sz val="8"/>
      <color theme="1"/>
      <name val="Arial Narrow"/>
      <family val="2"/>
    </font>
    <font>
      <b/>
      <sz val="9"/>
      <color theme="1"/>
      <name val="Arial Narrow"/>
      <family val="2"/>
    </font>
    <font>
      <sz val="9"/>
      <color rgb="FF00000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rgb="FF0000FF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8"/>
      <name val="Calibri"/>
      <family val="2"/>
      <scheme val="minor"/>
    </font>
    <font>
      <sz val="8"/>
      <color rgb="FFFF00FF"/>
      <name val="Arial"/>
      <family val="2"/>
    </font>
    <font>
      <sz val="11"/>
      <color rgb="FFFF0000"/>
      <name val="Calibri"/>
      <family val="2"/>
      <scheme val="minor"/>
    </font>
    <font>
      <sz val="9"/>
      <color rgb="FF08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theme="0"/>
      </patternFill>
    </fill>
    <fill>
      <patternFill patternType="solid">
        <fgColor theme="0" tint="-0.14999847407452621"/>
        <bgColor theme="0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1">
    <xf numFmtId="0" fontId="0" fillId="0" borderId="0"/>
    <xf numFmtId="0" fontId="14" fillId="0" borderId="1"/>
    <xf numFmtId="164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97">
    <xf numFmtId="0" fontId="0" fillId="0" borderId="0" xfId="0"/>
    <xf numFmtId="0" fontId="11" fillId="0" borderId="0" xfId="0" applyFont="1"/>
    <xf numFmtId="0" fontId="17" fillId="4" borderId="0" xfId="0" applyFont="1" applyFill="1"/>
    <xf numFmtId="0" fontId="12" fillId="4" borderId="0" xfId="0" applyFont="1" applyFill="1" applyAlignment="1">
      <alignment vertical="center"/>
    </xf>
    <xf numFmtId="3" fontId="12" fillId="4" borderId="0" xfId="0" applyNumberFormat="1" applyFont="1" applyFill="1" applyAlignment="1">
      <alignment vertical="center"/>
    </xf>
    <xf numFmtId="10" fontId="12" fillId="4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4" borderId="0" xfId="0" applyFont="1" applyFill="1"/>
    <xf numFmtId="14" fontId="12" fillId="4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wrapText="1"/>
    </xf>
    <xf numFmtId="49" fontId="10" fillId="4" borderId="5" xfId="0" applyNumberFormat="1" applyFont="1" applyFill="1" applyBorder="1" applyAlignment="1">
      <alignment horizontal="center" vertical="center" wrapText="1"/>
    </xf>
    <xf numFmtId="49" fontId="10" fillId="4" borderId="7" xfId="0" applyNumberFormat="1" applyFont="1" applyFill="1" applyBorder="1" applyAlignment="1">
      <alignment horizontal="center" vertical="center" wrapText="1"/>
    </xf>
    <xf numFmtId="3" fontId="10" fillId="4" borderId="7" xfId="0" applyNumberFormat="1" applyFont="1" applyFill="1" applyBorder="1" applyAlignment="1">
      <alignment horizontal="center" vertical="center" wrapText="1"/>
    </xf>
    <xf numFmtId="10" fontId="10" fillId="4" borderId="8" xfId="0" applyNumberFormat="1" applyFont="1" applyFill="1" applyBorder="1" applyAlignment="1">
      <alignment horizontal="center" vertical="center" wrapText="1"/>
    </xf>
    <xf numFmtId="9" fontId="17" fillId="4" borderId="0" xfId="0" applyNumberFormat="1" applyFont="1" applyFill="1" applyAlignment="1">
      <alignment horizontal="center" vertical="center" wrapText="1"/>
    </xf>
    <xf numFmtId="164" fontId="24" fillId="4" borderId="0" xfId="2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5" fillId="4" borderId="5" xfId="0" applyFont="1" applyFill="1" applyBorder="1" applyAlignment="1">
      <alignment vertical="center"/>
    </xf>
    <xf numFmtId="0" fontId="12" fillId="4" borderId="7" xfId="0" applyFont="1" applyFill="1" applyBorder="1" applyAlignment="1">
      <alignment vertical="center"/>
    </xf>
    <xf numFmtId="3" fontId="12" fillId="4" borderId="7" xfId="0" applyNumberFormat="1" applyFont="1" applyFill="1" applyBorder="1" applyAlignment="1">
      <alignment vertical="center"/>
    </xf>
    <xf numFmtId="10" fontId="12" fillId="4" borderId="8" xfId="0" applyNumberFormat="1" applyFont="1" applyFill="1" applyBorder="1" applyAlignment="1">
      <alignment vertical="center"/>
    </xf>
    <xf numFmtId="1" fontId="12" fillId="4" borderId="0" xfId="0" applyNumberFormat="1" applyFont="1" applyFill="1" applyAlignment="1">
      <alignment horizontal="center" vertical="center"/>
    </xf>
    <xf numFmtId="168" fontId="12" fillId="5" borderId="11" xfId="0" applyNumberFormat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vertical="center"/>
    </xf>
    <xf numFmtId="0" fontId="12" fillId="4" borderId="13" xfId="0" applyFont="1" applyFill="1" applyBorder="1" applyAlignment="1">
      <alignment vertical="center"/>
    </xf>
    <xf numFmtId="4" fontId="12" fillId="4" borderId="13" xfId="0" applyNumberFormat="1" applyFont="1" applyFill="1" applyBorder="1" applyAlignment="1">
      <alignment vertical="center"/>
    </xf>
    <xf numFmtId="3" fontId="12" fillId="4" borderId="14" xfId="0" applyNumberFormat="1" applyFont="1" applyFill="1" applyBorder="1" applyAlignment="1">
      <alignment vertical="center"/>
    </xf>
    <xf numFmtId="10" fontId="12" fillId="4" borderId="15" xfId="0" applyNumberFormat="1" applyFont="1" applyFill="1" applyBorder="1" applyAlignment="1">
      <alignment vertical="center"/>
    </xf>
    <xf numFmtId="168" fontId="12" fillId="4" borderId="0" xfId="0" applyNumberFormat="1" applyFont="1" applyFill="1" applyAlignment="1">
      <alignment horizontal="center" vertical="center"/>
    </xf>
    <xf numFmtId="0" fontId="12" fillId="4" borderId="16" xfId="0" applyFont="1" applyFill="1" applyBorder="1" applyAlignment="1">
      <alignment vertical="center"/>
    </xf>
    <xf numFmtId="165" fontId="12" fillId="4" borderId="17" xfId="0" applyNumberFormat="1" applyFont="1" applyFill="1" applyBorder="1" applyAlignment="1">
      <alignment vertical="center"/>
    </xf>
    <xf numFmtId="165" fontId="12" fillId="0" borderId="18" xfId="0" applyNumberFormat="1" applyFont="1" applyBorder="1" applyAlignment="1">
      <alignment vertical="center"/>
    </xf>
    <xf numFmtId="3" fontId="12" fillId="4" borderId="18" xfId="0" applyNumberFormat="1" applyFont="1" applyFill="1" applyBorder="1" applyAlignment="1">
      <alignment horizontal="center" vertical="center"/>
    </xf>
    <xf numFmtId="3" fontId="12" fillId="0" borderId="18" xfId="0" applyNumberFormat="1" applyFont="1" applyBorder="1" applyAlignment="1">
      <alignment vertical="center"/>
    </xf>
    <xf numFmtId="3" fontId="12" fillId="4" borderId="18" xfId="0" applyNumberFormat="1" applyFont="1" applyFill="1" applyBorder="1" applyAlignment="1">
      <alignment vertical="center"/>
    </xf>
    <xf numFmtId="10" fontId="12" fillId="4" borderId="19" xfId="0" applyNumberFormat="1" applyFont="1" applyFill="1" applyBorder="1" applyAlignment="1">
      <alignment vertical="center"/>
    </xf>
    <xf numFmtId="168" fontId="12" fillId="6" borderId="3" xfId="0" applyNumberFormat="1" applyFont="1" applyFill="1" applyBorder="1" applyAlignment="1">
      <alignment horizontal="center" vertical="center"/>
    </xf>
    <xf numFmtId="165" fontId="12" fillId="4" borderId="18" xfId="0" applyNumberFormat="1" applyFont="1" applyFill="1" applyBorder="1" applyAlignment="1">
      <alignment vertical="center"/>
    </xf>
    <xf numFmtId="168" fontId="12" fillId="4" borderId="0" xfId="0" applyNumberFormat="1" applyFont="1" applyFill="1" applyAlignment="1">
      <alignment vertical="center"/>
    </xf>
    <xf numFmtId="168" fontId="12" fillId="6" borderId="6" xfId="0" applyNumberFormat="1" applyFont="1" applyFill="1" applyBorder="1" applyAlignment="1">
      <alignment horizontal="center" vertical="center"/>
    </xf>
    <xf numFmtId="169" fontId="12" fillId="4" borderId="1" xfId="2" applyNumberFormat="1" applyFont="1" applyFill="1" applyBorder="1" applyAlignment="1">
      <alignment horizontal="center" vertical="center"/>
    </xf>
    <xf numFmtId="168" fontId="12" fillId="6" borderId="4" xfId="0" applyNumberFormat="1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3" fontId="10" fillId="0" borderId="7" xfId="0" applyNumberFormat="1" applyFont="1" applyBorder="1" applyAlignment="1">
      <alignment vertical="center"/>
    </xf>
    <xf numFmtId="3" fontId="10" fillId="4" borderId="7" xfId="0" applyNumberFormat="1" applyFont="1" applyFill="1" applyBorder="1" applyAlignment="1">
      <alignment vertical="center"/>
    </xf>
    <xf numFmtId="10" fontId="10" fillId="4" borderId="8" xfId="0" applyNumberFormat="1" applyFont="1" applyFill="1" applyBorder="1" applyAlignment="1">
      <alignment vertical="center"/>
    </xf>
    <xf numFmtId="14" fontId="0" fillId="0" borderId="0" xfId="0" applyNumberFormat="1"/>
    <xf numFmtId="3" fontId="12" fillId="0" borderId="0" xfId="0" applyNumberFormat="1" applyFont="1" applyAlignment="1">
      <alignment vertical="center"/>
    </xf>
    <xf numFmtId="3" fontId="12" fillId="0" borderId="7" xfId="0" applyNumberFormat="1" applyFont="1" applyBorder="1" applyAlignment="1">
      <alignment vertical="center"/>
    </xf>
    <xf numFmtId="0" fontId="12" fillId="4" borderId="12" xfId="0" applyFont="1" applyFill="1" applyBorder="1" applyAlignment="1">
      <alignment vertical="center"/>
    </xf>
    <xf numFmtId="165" fontId="12" fillId="0" borderId="17" xfId="0" applyNumberFormat="1" applyFont="1" applyBorder="1" applyAlignment="1">
      <alignment vertical="center"/>
    </xf>
    <xf numFmtId="3" fontId="12" fillId="4" borderId="13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164" fontId="0" fillId="0" borderId="0" xfId="2" applyFont="1"/>
    <xf numFmtId="3" fontId="12" fillId="4" borderId="17" xfId="0" applyNumberFormat="1" applyFont="1" applyFill="1" applyBorder="1" applyAlignment="1">
      <alignment vertical="center"/>
    </xf>
    <xf numFmtId="0" fontId="12" fillId="4" borderId="17" xfId="0" applyFont="1" applyFill="1" applyBorder="1" applyAlignment="1">
      <alignment vertical="center"/>
    </xf>
    <xf numFmtId="0" fontId="12" fillId="4" borderId="21" xfId="0" applyFont="1" applyFill="1" applyBorder="1" applyAlignment="1">
      <alignment vertical="center"/>
    </xf>
    <xf numFmtId="3" fontId="12" fillId="4" borderId="22" xfId="0" applyNumberFormat="1" applyFont="1" applyFill="1" applyBorder="1" applyAlignment="1">
      <alignment vertical="center"/>
    </xf>
    <xf numFmtId="0" fontId="12" fillId="4" borderId="22" xfId="0" applyFont="1" applyFill="1" applyBorder="1" applyAlignment="1">
      <alignment vertical="center"/>
    </xf>
    <xf numFmtId="0" fontId="12" fillId="4" borderId="23" xfId="0" applyFont="1" applyFill="1" applyBorder="1" applyAlignment="1">
      <alignment vertical="center"/>
    </xf>
    <xf numFmtId="43" fontId="12" fillId="0" borderId="17" xfId="0" applyNumberFormat="1" applyFont="1" applyBorder="1" applyAlignment="1">
      <alignment vertical="center"/>
    </xf>
    <xf numFmtId="3" fontId="12" fillId="4" borderId="24" xfId="0" applyNumberFormat="1" applyFont="1" applyFill="1" applyBorder="1" applyAlignment="1">
      <alignment vertical="center"/>
    </xf>
    <xf numFmtId="0" fontId="12" fillId="4" borderId="24" xfId="0" applyFont="1" applyFill="1" applyBorder="1" applyAlignment="1">
      <alignment vertical="center"/>
    </xf>
    <xf numFmtId="3" fontId="12" fillId="4" borderId="25" xfId="0" applyNumberFormat="1" applyFont="1" applyFill="1" applyBorder="1" applyAlignment="1">
      <alignment vertical="center"/>
    </xf>
    <xf numFmtId="0" fontId="12" fillId="4" borderId="25" xfId="0" applyFont="1" applyFill="1" applyBorder="1" applyAlignment="1">
      <alignment vertical="center"/>
    </xf>
    <xf numFmtId="168" fontId="12" fillId="0" borderId="18" xfId="0" applyNumberFormat="1" applyFont="1" applyBorder="1" applyAlignment="1">
      <alignment vertical="center"/>
    </xf>
    <xf numFmtId="0" fontId="10" fillId="4" borderId="0" xfId="0" applyFont="1" applyFill="1" applyAlignment="1">
      <alignment vertical="center"/>
    </xf>
    <xf numFmtId="3" fontId="10" fillId="0" borderId="0" xfId="0" applyNumberFormat="1" applyFont="1" applyAlignment="1">
      <alignment vertical="center"/>
    </xf>
    <xf numFmtId="3" fontId="10" fillId="4" borderId="0" xfId="0" applyNumberFormat="1" applyFont="1" applyFill="1" applyAlignment="1">
      <alignment vertical="center"/>
    </xf>
    <xf numFmtId="0" fontId="17" fillId="4" borderId="7" xfId="0" applyFont="1" applyFill="1" applyBorder="1" applyAlignment="1">
      <alignment vertical="center"/>
    </xf>
    <xf numFmtId="3" fontId="17" fillId="4" borderId="7" xfId="0" applyNumberFormat="1" applyFont="1" applyFill="1" applyBorder="1" applyAlignment="1">
      <alignment vertical="center"/>
    </xf>
    <xf numFmtId="3" fontId="17" fillId="0" borderId="7" xfId="0" applyNumberFormat="1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25" fillId="4" borderId="26" xfId="0" applyFont="1" applyFill="1" applyBorder="1" applyAlignment="1">
      <alignment vertical="center"/>
    </xf>
    <xf numFmtId="0" fontId="12" fillId="4" borderId="27" xfId="0" applyFont="1" applyFill="1" applyBorder="1" applyAlignment="1">
      <alignment vertical="center"/>
    </xf>
    <xf numFmtId="3" fontId="12" fillId="4" borderId="27" xfId="0" applyNumberFormat="1" applyFont="1" applyFill="1" applyBorder="1" applyAlignment="1">
      <alignment vertical="center"/>
    </xf>
    <xf numFmtId="3" fontId="12" fillId="0" borderId="27" xfId="0" applyNumberFormat="1" applyFont="1" applyBorder="1" applyAlignment="1">
      <alignment vertical="center"/>
    </xf>
    <xf numFmtId="3" fontId="12" fillId="4" borderId="28" xfId="0" applyNumberFormat="1" applyFont="1" applyFill="1" applyBorder="1" applyAlignment="1">
      <alignment vertical="center"/>
    </xf>
    <xf numFmtId="0" fontId="12" fillId="4" borderId="29" xfId="0" applyFont="1" applyFill="1" applyBorder="1" applyAlignment="1">
      <alignment vertical="center"/>
    </xf>
    <xf numFmtId="170" fontId="12" fillId="0" borderId="13" xfId="3" applyNumberFormat="1" applyFont="1" applyFill="1" applyBorder="1" applyAlignment="1">
      <alignment vertical="center"/>
    </xf>
    <xf numFmtId="170" fontId="12" fillId="4" borderId="13" xfId="3" applyNumberFormat="1" applyFont="1" applyFill="1" applyBorder="1" applyAlignment="1">
      <alignment vertical="center"/>
    </xf>
    <xf numFmtId="4" fontId="12" fillId="4" borderId="13" xfId="0" applyNumberFormat="1" applyFont="1" applyFill="1" applyBorder="1" applyAlignment="1">
      <alignment horizontal="center" vertical="center"/>
    </xf>
    <xf numFmtId="10" fontId="12" fillId="4" borderId="30" xfId="0" applyNumberFormat="1" applyFont="1" applyFill="1" applyBorder="1" applyAlignment="1">
      <alignment vertical="center"/>
    </xf>
    <xf numFmtId="0" fontId="12" fillId="0" borderId="31" xfId="0" applyFont="1" applyBorder="1" applyAlignment="1">
      <alignment vertical="center"/>
    </xf>
    <xf numFmtId="170" fontId="12" fillId="0" borderId="24" xfId="3" applyNumberFormat="1" applyFont="1" applyFill="1" applyBorder="1" applyAlignment="1">
      <alignment vertical="center"/>
    </xf>
    <xf numFmtId="170" fontId="12" fillId="0" borderId="24" xfId="3" applyNumberFormat="1" applyFont="1" applyBorder="1" applyAlignment="1">
      <alignment vertical="center"/>
    </xf>
    <xf numFmtId="4" fontId="12" fillId="0" borderId="24" xfId="0" applyNumberFormat="1" applyFont="1" applyBorder="1" applyAlignment="1">
      <alignment horizontal="center" vertical="center"/>
    </xf>
    <xf numFmtId="0" fontId="12" fillId="4" borderId="32" xfId="0" applyFont="1" applyFill="1" applyBorder="1" applyAlignment="1">
      <alignment vertical="center"/>
    </xf>
    <xf numFmtId="4" fontId="12" fillId="4" borderId="17" xfId="0" applyNumberFormat="1" applyFont="1" applyFill="1" applyBorder="1" applyAlignment="1">
      <alignment vertical="center"/>
    </xf>
    <xf numFmtId="4" fontId="12" fillId="4" borderId="17" xfId="0" applyNumberFormat="1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vertical="center"/>
    </xf>
    <xf numFmtId="0" fontId="12" fillId="4" borderId="34" xfId="0" applyFont="1" applyFill="1" applyBorder="1" applyAlignment="1">
      <alignment vertical="center"/>
    </xf>
    <xf numFmtId="3" fontId="12" fillId="4" borderId="34" xfId="0" applyNumberFormat="1" applyFont="1" applyFill="1" applyBorder="1" applyAlignment="1">
      <alignment vertical="center"/>
    </xf>
    <xf numFmtId="3" fontId="10" fillId="0" borderId="34" xfId="0" applyNumberFormat="1" applyFont="1" applyBorder="1" applyAlignment="1">
      <alignment vertical="center"/>
    </xf>
    <xf numFmtId="3" fontId="10" fillId="4" borderId="34" xfId="0" applyNumberFormat="1" applyFont="1" applyFill="1" applyBorder="1" applyAlignment="1">
      <alignment vertical="center"/>
    </xf>
    <xf numFmtId="10" fontId="10" fillId="4" borderId="35" xfId="0" applyNumberFormat="1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4" fontId="10" fillId="4" borderId="7" xfId="0" applyNumberFormat="1" applyFont="1" applyFill="1" applyBorder="1" applyAlignment="1">
      <alignment vertical="center"/>
    </xf>
    <xf numFmtId="171" fontId="10" fillId="0" borderId="0" xfId="0" applyNumberFormat="1" applyFont="1" applyAlignment="1">
      <alignment vertical="center"/>
    </xf>
    <xf numFmtId="171" fontId="10" fillId="4" borderId="0" xfId="0" applyNumberFormat="1" applyFont="1" applyFill="1" applyAlignment="1">
      <alignment vertical="center"/>
    </xf>
    <xf numFmtId="49" fontId="13" fillId="4" borderId="0" xfId="0" applyNumberFormat="1" applyFont="1" applyFill="1" applyAlignment="1">
      <alignment vertical="center"/>
    </xf>
    <xf numFmtId="43" fontId="12" fillId="4" borderId="0" xfId="0" applyNumberFormat="1" applyFont="1" applyFill="1" applyAlignment="1">
      <alignment vertical="center"/>
    </xf>
    <xf numFmtId="43" fontId="17" fillId="4" borderId="0" xfId="0" applyNumberFormat="1" applyFont="1" applyFill="1" applyAlignment="1">
      <alignment vertical="center"/>
    </xf>
    <xf numFmtId="4" fontId="12" fillId="4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168" fontId="12" fillId="7" borderId="11" xfId="0" applyNumberFormat="1" applyFont="1" applyFill="1" applyBorder="1" applyAlignment="1">
      <alignment horizontal="center" vertical="center"/>
    </xf>
    <xf numFmtId="0" fontId="15" fillId="0" borderId="0" xfId="0" applyFont="1"/>
    <xf numFmtId="49" fontId="18" fillId="2" borderId="6" xfId="5" applyNumberFormat="1" applyFont="1" applyFill="1" applyBorder="1" applyAlignment="1">
      <alignment vertical="center" wrapText="1"/>
    </xf>
    <xf numFmtId="49" fontId="18" fillId="2" borderId="6" xfId="5" applyNumberFormat="1" applyFont="1" applyFill="1" applyBorder="1" applyAlignment="1">
      <alignment horizontal="center" vertical="center" wrapText="1"/>
    </xf>
    <xf numFmtId="49" fontId="19" fillId="0" borderId="6" xfId="5" applyNumberFormat="1" applyFont="1" applyBorder="1"/>
    <xf numFmtId="0" fontId="6" fillId="0" borderId="6" xfId="5" applyBorder="1"/>
    <xf numFmtId="166" fontId="19" fillId="0" borderId="6" xfId="5" applyNumberFormat="1" applyFont="1" applyBorder="1"/>
    <xf numFmtId="49" fontId="21" fillId="0" borderId="6" xfId="5" applyNumberFormat="1" applyFont="1" applyBorder="1"/>
    <xf numFmtId="166" fontId="21" fillId="0" borderId="6" xfId="5" applyNumberFormat="1" applyFont="1" applyBorder="1"/>
    <xf numFmtId="0" fontId="28" fillId="0" borderId="0" xfId="0" applyFont="1" applyAlignment="1">
      <alignment vertical="center"/>
    </xf>
    <xf numFmtId="173" fontId="28" fillId="0" borderId="0" xfId="0" applyNumberFormat="1" applyFont="1" applyAlignment="1">
      <alignment vertical="center"/>
    </xf>
    <xf numFmtId="175" fontId="29" fillId="0" borderId="0" xfId="0" applyNumberFormat="1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173" fontId="33" fillId="0" borderId="0" xfId="0" applyNumberFormat="1" applyFont="1" applyAlignment="1">
      <alignment vertical="center"/>
    </xf>
    <xf numFmtId="2" fontId="34" fillId="0" borderId="0" xfId="0" applyNumberFormat="1" applyFont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168" fontId="12" fillId="8" borderId="11" xfId="0" applyNumberFormat="1" applyFont="1" applyFill="1" applyBorder="1" applyAlignment="1">
      <alignment horizontal="center" vertical="center"/>
    </xf>
    <xf numFmtId="164" fontId="12" fillId="0" borderId="18" xfId="0" applyNumberFormat="1" applyFont="1" applyBorder="1" applyAlignment="1">
      <alignment vertical="center"/>
    </xf>
    <xf numFmtId="164" fontId="28" fillId="0" borderId="0" xfId="2" applyFont="1" applyAlignment="1">
      <alignment vertical="center"/>
    </xf>
    <xf numFmtId="164" fontId="29" fillId="0" borderId="0" xfId="2" applyFont="1" applyAlignment="1">
      <alignment vertical="center"/>
    </xf>
    <xf numFmtId="164" fontId="33" fillId="0" borderId="0" xfId="2" applyFont="1" applyAlignment="1">
      <alignment vertical="center"/>
    </xf>
    <xf numFmtId="164" fontId="33" fillId="0" borderId="2" xfId="2" applyFont="1" applyBorder="1" applyAlignment="1">
      <alignment vertical="center"/>
    </xf>
    <xf numFmtId="164" fontId="18" fillId="2" borderId="6" xfId="2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vertical="center"/>
    </xf>
    <xf numFmtId="0" fontId="0" fillId="0" borderId="1" xfId="0" applyBorder="1"/>
    <xf numFmtId="49" fontId="18" fillId="2" borderId="6" xfId="7" applyNumberFormat="1" applyFont="1" applyFill="1" applyBorder="1" applyAlignment="1">
      <alignment vertical="center" wrapText="1"/>
    </xf>
    <xf numFmtId="49" fontId="18" fillId="2" borderId="6" xfId="7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175" fontId="36" fillId="0" borderId="1" xfId="0" applyNumberFormat="1" applyFont="1" applyBorder="1" applyAlignment="1">
      <alignment horizontal="right" vertical="top" wrapText="1" readingOrder="1"/>
    </xf>
    <xf numFmtId="49" fontId="37" fillId="0" borderId="1" xfId="0" applyNumberFormat="1" applyFont="1" applyBorder="1" applyAlignment="1">
      <alignment horizontal="center" vertical="top"/>
    </xf>
    <xf numFmtId="164" fontId="0" fillId="0" borderId="1" xfId="2" applyFont="1" applyBorder="1"/>
    <xf numFmtId="49" fontId="19" fillId="0" borderId="6" xfId="8" applyNumberFormat="1" applyFont="1" applyBorder="1"/>
    <xf numFmtId="0" fontId="3" fillId="0" borderId="6" xfId="8" applyBorder="1"/>
    <xf numFmtId="166" fontId="19" fillId="0" borderId="6" xfId="8" applyNumberFormat="1" applyFont="1" applyBorder="1"/>
    <xf numFmtId="49" fontId="20" fillId="0" borderId="6" xfId="8" applyNumberFormat="1" applyFont="1" applyBorder="1"/>
    <xf numFmtId="166" fontId="20" fillId="0" borderId="6" xfId="8" applyNumberFormat="1" applyFont="1" applyBorder="1"/>
    <xf numFmtId="49" fontId="21" fillId="0" borderId="6" xfId="8" applyNumberFormat="1" applyFont="1" applyBorder="1"/>
    <xf numFmtId="166" fontId="21" fillId="0" borderId="6" xfId="8" applyNumberFormat="1" applyFont="1" applyBorder="1"/>
    <xf numFmtId="49" fontId="22" fillId="0" borderId="6" xfId="8" applyNumberFormat="1" applyFont="1" applyBorder="1"/>
    <xf numFmtId="166" fontId="22" fillId="0" borderId="6" xfId="8" applyNumberFormat="1" applyFont="1" applyBorder="1"/>
    <xf numFmtId="49" fontId="26" fillId="0" borderId="6" xfId="8" applyNumberFormat="1" applyFont="1" applyBorder="1"/>
    <xf numFmtId="166" fontId="26" fillId="0" borderId="6" xfId="8" applyNumberFormat="1" applyFont="1" applyBorder="1"/>
    <xf numFmtId="49" fontId="18" fillId="2" borderId="6" xfId="8" applyNumberFormat="1" applyFont="1" applyFill="1" applyBorder="1" applyAlignment="1">
      <alignment vertical="center" wrapText="1"/>
    </xf>
    <xf numFmtId="49" fontId="18" fillId="2" borderId="6" xfId="8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12" fillId="4" borderId="36" xfId="0" applyFont="1" applyFill="1" applyBorder="1" applyAlignment="1">
      <alignment vertical="center"/>
    </xf>
    <xf numFmtId="49" fontId="18" fillId="2" borderId="10" xfId="7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49" fontId="19" fillId="0" borderId="6" xfId="10" applyNumberFormat="1" applyFont="1" applyBorder="1"/>
    <xf numFmtId="0" fontId="1" fillId="0" borderId="6" xfId="10" applyBorder="1"/>
    <xf numFmtId="166" fontId="19" fillId="0" borderId="6" xfId="10" applyNumberFormat="1" applyFont="1" applyBorder="1"/>
    <xf numFmtId="49" fontId="21" fillId="0" borderId="6" xfId="10" applyNumberFormat="1" applyFont="1" applyBorder="1"/>
    <xf numFmtId="166" fontId="21" fillId="0" borderId="6" xfId="10" applyNumberFormat="1" applyFont="1" applyBorder="1"/>
    <xf numFmtId="49" fontId="20" fillId="0" borderId="6" xfId="10" applyNumberFormat="1" applyFont="1" applyBorder="1"/>
    <xf numFmtId="166" fontId="20" fillId="0" borderId="6" xfId="10" applyNumberFormat="1" applyFont="1" applyBorder="1"/>
    <xf numFmtId="49" fontId="22" fillId="0" borderId="6" xfId="10" applyNumberFormat="1" applyFont="1" applyBorder="1"/>
    <xf numFmtId="166" fontId="22" fillId="0" borderId="6" xfId="10" applyNumberFormat="1" applyFont="1" applyBorder="1"/>
    <xf numFmtId="49" fontId="26" fillId="0" borderId="6" xfId="10" applyNumberFormat="1" applyFont="1" applyBorder="1"/>
    <xf numFmtId="166" fontId="26" fillId="0" borderId="6" xfId="10" applyNumberFormat="1" applyFont="1" applyBorder="1"/>
    <xf numFmtId="49" fontId="39" fillId="0" borderId="6" xfId="10" applyNumberFormat="1" applyFont="1" applyBorder="1"/>
    <xf numFmtId="166" fontId="39" fillId="0" borderId="6" xfId="10" applyNumberFormat="1" applyFont="1" applyBorder="1"/>
    <xf numFmtId="49" fontId="21" fillId="0" borderId="6" xfId="8" applyNumberFormat="1" applyFont="1" applyBorder="1" applyAlignment="1">
      <alignment vertical="center" wrapText="1"/>
    </xf>
    <xf numFmtId="49" fontId="21" fillId="0" borderId="6" xfId="8" applyNumberFormat="1" applyFont="1" applyBorder="1" applyAlignment="1">
      <alignment vertical="center"/>
    </xf>
    <xf numFmtId="166" fontId="21" fillId="0" borderId="6" xfId="8" applyNumberFormat="1" applyFont="1" applyBorder="1" applyAlignment="1">
      <alignment vertical="center"/>
    </xf>
    <xf numFmtId="0" fontId="3" fillId="0" borderId="6" xfId="8" applyBorder="1" applyAlignment="1">
      <alignment vertical="center"/>
    </xf>
    <xf numFmtId="164" fontId="21" fillId="0" borderId="6" xfId="2" applyFont="1" applyBorder="1"/>
    <xf numFmtId="10" fontId="12" fillId="4" borderId="0" xfId="3" applyNumberFormat="1" applyFont="1" applyFill="1" applyAlignment="1">
      <alignment vertical="center"/>
    </xf>
    <xf numFmtId="164" fontId="21" fillId="0" borderId="6" xfId="2" applyFont="1" applyFill="1" applyBorder="1"/>
    <xf numFmtId="49" fontId="41" fillId="0" borderId="6" xfId="8" applyNumberFormat="1" applyFont="1" applyBorder="1" applyAlignment="1">
      <alignment horizontal="left" indent="1"/>
    </xf>
    <xf numFmtId="10" fontId="12" fillId="0" borderId="30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49" fontId="21" fillId="3" borderId="6" xfId="10" applyNumberFormat="1" applyFont="1" applyFill="1" applyBorder="1"/>
    <xf numFmtId="166" fontId="21" fillId="3" borderId="6" xfId="10" applyNumberFormat="1" applyFont="1" applyFill="1" applyBorder="1"/>
    <xf numFmtId="0" fontId="27" fillId="0" borderId="0" xfId="0" applyFont="1" applyAlignment="1">
      <alignment horizontal="center" vertical="center"/>
    </xf>
    <xf numFmtId="0" fontId="0" fillId="0" borderId="0" xfId="0"/>
    <xf numFmtId="0" fontId="23" fillId="4" borderId="5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68" fontId="10" fillId="4" borderId="9" xfId="0" applyNumberFormat="1" applyFont="1" applyFill="1" applyBorder="1" applyAlignment="1">
      <alignment horizontal="center" vertical="center" wrapText="1"/>
    </xf>
    <xf numFmtId="168" fontId="10" fillId="4" borderId="10" xfId="0" applyNumberFormat="1" applyFont="1" applyFill="1" applyBorder="1" applyAlignment="1">
      <alignment horizontal="center" vertical="center" wrapText="1"/>
    </xf>
  </cellXfs>
  <cellStyles count="11">
    <cellStyle name="Comma" xfId="2" builtinId="3"/>
    <cellStyle name="Normal" xfId="0" builtinId="0"/>
    <cellStyle name="Normal 2" xfId="1" xr:uid="{CDA4A85C-4B16-4B6B-9C78-28F932B6FC8E}"/>
    <cellStyle name="Normal 3" xfId="4" xr:uid="{BEAEEBF1-C663-4077-95FD-ECFB779B6000}"/>
    <cellStyle name="Normal 4" xfId="5" xr:uid="{7568B30A-E4EE-489E-8586-921735C994D1}"/>
    <cellStyle name="Normal 5" xfId="6" xr:uid="{C83B677E-FFD4-45FC-91E5-2753A7113149}"/>
    <cellStyle name="Normal 6" xfId="7" xr:uid="{49A569CE-D2DB-42FB-8FFC-2D7A3DBD4BE5}"/>
    <cellStyle name="Normal 7" xfId="8" xr:uid="{7FAE7D37-E532-4DC1-9BEC-83B4456FE489}"/>
    <cellStyle name="Normal 8" xfId="9" xr:uid="{3EEE40B5-788A-4129-BBE3-3B56A105C81B}"/>
    <cellStyle name="Normal 9" xfId="10" xr:uid="{225995F3-82AE-4744-9AF2-EB878DA8FD7B}"/>
    <cellStyle name="Percent" xfId="3" builtinId="5"/>
  </cellStyles>
  <dxfs count="0"/>
  <tableStyles count="0" defaultTableStyle="TableStyleMedium2" defaultPivotStyle="PivotStyleLight16"/>
  <colors>
    <mruColors>
      <color rgb="FF8A042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3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ossana\share_c\Rossana\INFORM2000\UCP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azuri\saga%20falabel\Carlos\Encofrado\Precios%20Unitari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anicos\d\Mario%20Pi&#241;eiro\nelco\presentacion%208marzo\obragrues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Jorge%20Jerez\Mis%20documentos\1_San_Miguel\Presupuestos\1_1SM_Enero_1\CP_SanMiguel_Enero_1\Mario%20Pi&#241;eiro\nelco\presentacion%208marzo\obragrues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PROYECTOS%20EN%20EJECUCION/PROYECTO%20UPC/3.%20METRADOS/ESTRUCTURA/SOTANO%20-%20PISO%201/Metrados_Estructuras_-_UPN_-_Sot_+_Piso_1_(JVH)_2%2009-11-2011.xls" TargetMode="External"/><Relationship Id="rId1" Type="http://schemas.openxmlformats.org/officeDocument/2006/relationships/externalLinkPath" Target="/PROYECTOS%20EN%20EJECUCION/PROYECTO%20UPC/3.%20METRADOS/ESTRUCTURA/SOTANO%20-%20PISO%201/Metrados_Estructuras_-_UPN_-_Sot_+_Piso_1_(JVH)_2%2009-11-2011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PROYECTOS%20EN%20EJECUCION/ENACORP/metrados/Leoncio/AREAS%20COMUNES.xlsb" TargetMode="External"/><Relationship Id="rId1" Type="http://schemas.openxmlformats.org/officeDocument/2006/relationships/externalLinkPath" Target="/PROYECTOS%20EN%20EJECUCION/ENACORP/metrados/Leoncio/AREAS%20COMUNES.xls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0287\proyectos\DOCUME~1\mmoya\CONFIG~1\Temp\E.P\Estado%20de%20pago%20SIS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co01\t\WINDOWS\Archivos%20temporales%20de%20Internet\Content.IE5\KYATDWWM\Project%20Control%20%20Constr%20Form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pos%20Ing'S\Desktop\METRADO%20ESTADIO_LOSAS_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27\c\PILAR\COMPBAS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gino/ENACORP/Enacorp%20pcastro/VALORIZACION%20ENACORP/VALORIZACION%2010/VALORIZACI&#211;N%20N%2010%20CORREGIDA%20REVISADA%20FINAL%20INC.%20ASCENSORES%20-%20ENACORP.xlsx" TargetMode="External"/><Relationship Id="rId1" Type="http://schemas.openxmlformats.org/officeDocument/2006/relationships/externalLinkPath" Target="/gino/ENACORP/Enacorp%20pcastro/VALORIZACION%20ENACORP/VALORIZACION%2010/VALORIZACI&#211;N%20N%2010%20CORREGIDA%20REVISADA%20FINAL%20INC.%20ASCENSORES%20-%20ENACOR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tado%20de%20pago%20Shopping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160229%20Metrado%20Estructuras.xlsx" TargetMode="External"/><Relationship Id="rId1" Type="http://schemas.openxmlformats.org/officeDocument/2006/relationships/externalLinkPath" Target="/160229%20Metrado%20Estructura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l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avila\Data\Desktop\hdavila\Proyectos\000668\Lista%20de%20Materiales.xlsm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PROYECTOS%20EN%20EJECUCION/IKONO%20ANGAMOS/metrados/Marin&#233;/ULTIMO/MUROS%20ANCLADOS-corregido%204-10-11.xlsb" TargetMode="External"/><Relationship Id="rId1" Type="http://schemas.openxmlformats.org/officeDocument/2006/relationships/externalLinkPath" Target="/PROYECTOS%20EN%20EJECUCION/IKONO%20ANGAMOS/metrados/Marin&#233;/ULTIMO/MUROS%20ANCLADOS-corregido%204-10-11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CSAGAS~1\AppData\Local\Temp\Rar$DI52.568\Proyectos%202011\Proyecto%20-%20Montes%20de%20Oro\Users\Joyce\Documents\Metrados\EDIFICIO%20PARDO%20IMAGINA\METRADO%20ESCTRUCTURAS%20SOTANO%20PARDO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PROYECTO%20CHICAGO\COMPLEJO%20CHICAGO%20-%20Giro\03.-METRADOS\ESTRUCTURAS\METRADO%20DE%20ESTADIO%20ATLETISM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of.tecnica\Reunion%20de%20Obra\SEM%2013\IP%20Mesas%20Anclaje%20para%20Tuberia%20de%2010%20pulgadas%20en%20bat%201%20(SEM%2013)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Santo%20Toribio/HOTEL%20LIBERTADOR/CIERRE%20DE%20MES/Octubre%2008/karen/HERRAMIENTA%20COSTOS%20LIBERTADOR%20-%20OCTUBRE%2008%20-%20DOLARES%20REV%2004.xls" TargetMode="External"/><Relationship Id="rId1" Type="http://schemas.openxmlformats.org/officeDocument/2006/relationships/externalLinkPath" Target="/Santo%20Toribio/HOTEL%20LIBERTADOR/CIERRE%20DE%20MES/Octubre%2008/karen/HERRAMIENTA%20COSTOS%20LIBERTADOR%20-%20OCTUBRE%2008%20-%20DOLARES%20REV%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2833\CR2833\Documents%20and%20Settings\pcastillo\Escritorio\Formatos%20control%20de%20proyectos.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6\presupuestos\WINDOWS\TEMP\Rar$DI02.534\Analisis%20Arq.%20Guit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6\presupuestos\Analisis%20Aligerado%20El&#233;ctricas%20Sosa%20111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T2\Archivos\P-COSTOS%20Y%20PRESUPUESTOS\3.%20%20PRESUPUESTOS\Activos\2311%20-%20Meli&#225;%20Paradisus\M.%20Oferta%20Dic%202014\B.%20Presupuesto\4.%20Subcontratos\Electromec&#225;nicos\Ingelectra\Distribucion%20de%20precio%20por%20edificios%2022-Dic-201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Estudiio2\AppData\Local\Microsoft\Windows\Temporary%20Internet%20Files\Content.Outlook\R2CHYIWZ\CP050_Mega%20Expresss%20Chincha%20(2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PROYECTOS%20EN%20EJECUCION/PROYECTO%20PORTOROTONDO/metrados/Leoncio/METRADO%20ESTRUCTURAS%20VIGAS.xlsb" TargetMode="External"/><Relationship Id="rId1" Type="http://schemas.openxmlformats.org/officeDocument/2006/relationships/externalLinkPath" Target="/PROYECTOS%20EN%20EJECUCION/PROYECTO%20PORTOROTONDO/metrados/Leoncio/METRADO%20ESTRUCTURAS%20VIGAS.xlsb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anchego2\misdoc\SNCL%20-%20C101%20-%20Alto%20Chicama%20-%20Site%20Preparation\04%20Obra\04%20Costos\Panel%20de%20Control\c-101\04%20Agosto%2004\EEGGPP%20corregido%20Agost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anchego2\rafael\Documents%20and%20Settings\Administrador\Mis%20documentos\SNCL%20-%20C101%20-%20Alto%20Chicama%20-%20Site%20Preparation\04%20Obra\04%20Costos\Panel%20de%20Control\01%20Costo%20Contractual%20con%20Vent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ATILA\Presupuesto\Presu2001\Mis%20documentos\JC\1PRESUPUESTOS%202001\Patrones\Pto_patr&#243;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ct3035\CONCILIACIONES\Mis%20documentos\Mis%20im&#225;genes\BANCOS\5130%20Resumen%20de%20Circularizaciones%20Bancos%2031.12.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60%20Hoja%20para%20Muestreo%20por%20MMA-Cia%20Los%20Tolmo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8340%20Revision%20de%20Gastos%20Enero%20a%20Noviembre%202001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Revisi&#243;n%20de%20Caja%20y%20Bancos%20al%2031.10.01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LOLITA\CAL\FINALQS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PROYECTOS%20EN%20EJECUCION/PROYECTO%20PORTOROTONDO/metrados/Marin&#233;/PROY.PORTOROTONDO/METRADO%20ESTRUCTURAS/PLACAS/PLACAS%20%20PORTOROTONDO-ETAPA1.xlsb" TargetMode="External"/><Relationship Id="rId1" Type="http://schemas.openxmlformats.org/officeDocument/2006/relationships/externalLinkPath" Target="/PROYECTOS%20EN%20EJECUCION/PROYECTO%20PORTOROTONDO/metrados/Marin&#233;/PROY.PORTOROTONDO/METRADO%20ESTRUCTURAS/PLACAS/PLACAS%20%20PORTOROTONDO-ETAPA1.xlsb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scarrachi\DOCUME~1\ROSAMA~1\CONFIG~1\Temp\Mis%20documentos\sedapal%20obras%20Licit\2003%20SEDAPAL\L.P.N.%200020-2003-SEDAPAL\LP_020_SEDAPAL\Presupuesto%20LP%2020%20al%209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ro%20Diali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ARyP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ofrado BVR Unispan"/>
      <sheetName val="Concreto"/>
      <sheetName val="Equipo de apuntalemiento"/>
      <sheetName val="Gastos Generales BVR"/>
      <sheetName val="Planilla"/>
      <sheetName val="BVR con Efco"/>
      <sheetName val="Encofrado"/>
      <sheetName val="Hoja3"/>
      <sheetName val="RESUMEN"/>
      <sheetName val="Hoja1"/>
      <sheetName val="Chart"/>
      <sheetName val="Encofrado_BVR_Unispan"/>
      <sheetName val="Equipo_de_apuntalemiento"/>
      <sheetName val="Gastos_Generales_BVR"/>
      <sheetName val="BVR_con_Efco"/>
      <sheetName val="puni"/>
      <sheetName val="TIPO CAMBIO"/>
      <sheetName val="Tiraje Mix"/>
      <sheetName val="EQ"/>
      <sheetName val="MAT"/>
      <sheetName val="MO"/>
      <sheetName val="SC"/>
      <sheetName val="HORA"/>
      <sheetName val="MAT."/>
      <sheetName val="ECC"/>
      <sheetName val="Encofrado_BVR_Unispan1"/>
      <sheetName val="Equipo_de_apuntalemiento1"/>
      <sheetName val="Gastos_Generales_BVR1"/>
      <sheetName val="BVR_con_Efco1"/>
      <sheetName val="TIPO_CAMBIO"/>
      <sheetName val="Tiraje_Mix"/>
      <sheetName val="Encofrado_BVR_Unispan2"/>
      <sheetName val="Equipo_de_apuntalemiento2"/>
      <sheetName val="Gastos_Generales_BVR2"/>
      <sheetName val="BVR_con_Efco2"/>
      <sheetName val="TIPO_CAMBIO1"/>
      <sheetName val="Tiraje_Mix1"/>
      <sheetName val="CONDUCT."/>
      <sheetName val="HM"/>
      <sheetName val="conductores volquetes"/>
      <sheetName val="Tablas"/>
      <sheetName val="#¡REF"/>
      <sheetName val="PLANILLAS FORMATEADAS"/>
      <sheetName val="CONFIGURACIÓN"/>
      <sheetName val="CONTEO DE DATOS"/>
      <sheetName val="RESUMEN DE PARTIDAS"/>
      <sheetName val="Detail"/>
      <sheetName val="Piso 2-5"/>
      <sheetName val="Observaciones"/>
      <sheetName val="Planos"/>
      <sheetName val="9.1A"/>
      <sheetName val="9.2A"/>
      <sheetName val="9.3A"/>
      <sheetName val="9.4A"/>
      <sheetName val="9.5A"/>
      <sheetName val="9.6A"/>
      <sheetName val="9.7A"/>
      <sheetName val="9.8A"/>
      <sheetName val="9.9A"/>
      <sheetName val="9.10A"/>
      <sheetName val="9.11A"/>
      <sheetName val="9.12A"/>
      <sheetName val="1.1A"/>
      <sheetName val="1.2A"/>
      <sheetName val="1.3A"/>
      <sheetName val="1.4A"/>
      <sheetName val="2.1A"/>
      <sheetName val="2.2A"/>
      <sheetName val="2.3A"/>
      <sheetName val="3.1A"/>
      <sheetName val="3.2A"/>
      <sheetName val="3.3A"/>
      <sheetName val="4.1A"/>
      <sheetName val="4.2A"/>
      <sheetName val="4.3A"/>
      <sheetName val="5.1A"/>
      <sheetName val="5.2A"/>
      <sheetName val="5.3A"/>
      <sheetName val="6.1A"/>
      <sheetName val="6.2A"/>
      <sheetName val="6.3A"/>
      <sheetName val="7.1A"/>
      <sheetName val="7.2A"/>
      <sheetName val="7.3A"/>
      <sheetName val="8.1A"/>
      <sheetName val="8.2A"/>
      <sheetName val="Resumen 2"/>
      <sheetName val="Resumen 1"/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1.1"/>
      <sheetName val="1.2"/>
      <sheetName val="1.3"/>
      <sheetName val="2.1"/>
      <sheetName val="2.2"/>
      <sheetName val="2.3"/>
      <sheetName val="3.1"/>
      <sheetName val="3.2"/>
      <sheetName val="3.3"/>
      <sheetName val="4.1"/>
      <sheetName val="4.2"/>
      <sheetName val="4.3"/>
      <sheetName val="5.1"/>
      <sheetName val="5.2"/>
      <sheetName val="5.3"/>
      <sheetName val="6.0"/>
      <sheetName val="6.1"/>
      <sheetName val="6.2"/>
      <sheetName val="6.3"/>
      <sheetName val="7.1"/>
      <sheetName val="7.2"/>
      <sheetName val="7.3"/>
      <sheetName val="8.1"/>
      <sheetName val="8.2"/>
      <sheetName val="datos"/>
      <sheetName val="Hoja2"/>
      <sheetName val="N°1"/>
      <sheetName val="Encofrado_BVR_Unispan5"/>
      <sheetName val="Equipo_de_apuntalemiento5"/>
      <sheetName val="Gastos_Generales_BVR5"/>
      <sheetName val="BVR_con_Efco5"/>
      <sheetName val="TIPO_CAMBIO4"/>
      <sheetName val="Tiraje_Mix4"/>
      <sheetName val="MAT_4"/>
      <sheetName val="MAT_"/>
      <sheetName val="MAT_1"/>
      <sheetName val="Encofrado_BVR_Unispan3"/>
      <sheetName val="Equipo_de_apuntalemiento3"/>
      <sheetName val="Gastos_Generales_BVR3"/>
      <sheetName val="BVR_con_Efco3"/>
      <sheetName val="TIPO_CAMBIO2"/>
      <sheetName val="Tiraje_Mix2"/>
      <sheetName val="MAT_2"/>
      <sheetName val="Encofrado_BVR_Unispan4"/>
      <sheetName val="Equipo_de_apuntalemiento4"/>
      <sheetName val="Gastos_Generales_BVR4"/>
      <sheetName val="BVR_con_Efco4"/>
      <sheetName val="TIPO_CAMBIO3"/>
      <sheetName val="Tiraje_Mix3"/>
      <sheetName val="MAT_3"/>
      <sheetName val="Encofrado_BVR_Unispan9"/>
      <sheetName val="Equipo_de_apuntalemiento9"/>
      <sheetName val="Gastos_Generales_BVR9"/>
      <sheetName val="BVR_con_Efco9"/>
      <sheetName val="TIPO_CAMBIO8"/>
      <sheetName val="Tiraje_Mix8"/>
      <sheetName val="MAT_8"/>
      <sheetName val="Encofrado_BVR_Unispan6"/>
      <sheetName val="Equipo_de_apuntalemiento6"/>
      <sheetName val="Gastos_Generales_BVR6"/>
      <sheetName val="BVR_con_Efco6"/>
      <sheetName val="TIPO_CAMBIO5"/>
      <sheetName val="Tiraje_Mix5"/>
      <sheetName val="MAT_5"/>
      <sheetName val="Encofrado_BVR_Unispan7"/>
      <sheetName val="Equipo_de_apuntalemiento7"/>
      <sheetName val="Gastos_Generales_BVR7"/>
      <sheetName val="BVR_con_Efco7"/>
      <sheetName val="TIPO_CAMBIO6"/>
      <sheetName val="Tiraje_Mix6"/>
      <sheetName val="MAT_6"/>
      <sheetName val="Encofrado_BVR_Unispan8"/>
      <sheetName val="Equipo_de_apuntalemiento8"/>
      <sheetName val="Gastos_Generales_BVR8"/>
      <sheetName val="BVR_con_Efco8"/>
      <sheetName val="TIPO_CAMBIO7"/>
      <sheetName val="Tiraje_Mix7"/>
      <sheetName val="MAT_7"/>
      <sheetName val="Encofrado_BVR_Unispan10"/>
      <sheetName val="Equipo_de_apuntalemiento10"/>
      <sheetName val="Gastos_Generales_BVR10"/>
      <sheetName val="BVR_con_Efco10"/>
      <sheetName val="TIPO_CAMBIO9"/>
      <sheetName val="Tiraje_Mix9"/>
      <sheetName val="MAT_9"/>
      <sheetName val="CONDUCT_"/>
      <sheetName val="conductores_volquetes"/>
      <sheetName val="PLANILLAS_FORMATEADAS"/>
      <sheetName val="CONTEO_DE_DATOS"/>
      <sheetName val="RESUMEN_DE_PARTIDAS"/>
      <sheetName val="9_1A"/>
      <sheetName val="9_2A"/>
      <sheetName val="9_3A"/>
      <sheetName val="9_4A"/>
      <sheetName val="9_5A"/>
      <sheetName val="9_6A"/>
      <sheetName val="9_7A"/>
      <sheetName val="9_8A"/>
      <sheetName val="9_9A"/>
      <sheetName val="9_10A"/>
      <sheetName val="9_11A"/>
      <sheetName val="9_12A"/>
      <sheetName val="1_1A"/>
      <sheetName val="1_2A"/>
      <sheetName val="1_3A"/>
      <sheetName val="1_4A"/>
      <sheetName val="2_1A"/>
      <sheetName val="2_2A"/>
      <sheetName val="2_3A"/>
      <sheetName val="3_1A"/>
      <sheetName val="3_2A"/>
      <sheetName val="3_3A"/>
      <sheetName val="4_1A"/>
      <sheetName val="4_2A"/>
      <sheetName val="4_3A"/>
      <sheetName val="5_1A"/>
      <sheetName val="5_2A"/>
      <sheetName val="5_3A"/>
      <sheetName val="6_1A"/>
      <sheetName val="6_2A"/>
      <sheetName val="6_3A"/>
      <sheetName val="7_1A"/>
      <sheetName val="7_2A"/>
      <sheetName val="7_3A"/>
      <sheetName val="8_1A"/>
      <sheetName val="8_2A"/>
      <sheetName val="Resumen_2"/>
      <sheetName val="Resumen_1"/>
      <sheetName val="9_1"/>
      <sheetName val="9_2"/>
      <sheetName val="9_3"/>
      <sheetName val="9_4"/>
      <sheetName val="9_5"/>
      <sheetName val="9_6"/>
      <sheetName val="9_7"/>
      <sheetName val="9_8"/>
      <sheetName val="9_9"/>
      <sheetName val="9_10"/>
      <sheetName val="9_11"/>
      <sheetName val="9_12"/>
      <sheetName val="9_13"/>
      <sheetName val="1_1"/>
      <sheetName val="1_2"/>
      <sheetName val="1_3"/>
      <sheetName val="2_1"/>
      <sheetName val="2_2"/>
      <sheetName val="2_3"/>
      <sheetName val="3_1"/>
      <sheetName val="3_2"/>
      <sheetName val="3_3"/>
      <sheetName val="4_1"/>
      <sheetName val="4_2"/>
      <sheetName val="4_3"/>
      <sheetName val="5_1"/>
      <sheetName val="5_2"/>
      <sheetName val="5_3"/>
      <sheetName val="6_0"/>
      <sheetName val="6_1"/>
      <sheetName val="6_2"/>
      <sheetName val="6_3"/>
      <sheetName val="7_1"/>
      <sheetName val="7_2"/>
      <sheetName val="7_3"/>
      <sheetName val="8_1"/>
      <sheetName val="8_2"/>
      <sheetName val="cie10"/>
      <sheetName val="Encofrado_BVR_Unispan11"/>
      <sheetName val="Equipo_de_apuntalemiento11"/>
      <sheetName val="Gastos_Generales_BVR11"/>
      <sheetName val="BVR_con_Efco11"/>
      <sheetName val="TIPO_CAMBIO10"/>
      <sheetName val="Tiraje_Mix10"/>
      <sheetName val="MAT_10"/>
      <sheetName val="Piso_2-5"/>
      <sheetName val="Encofrado_BVR_Unispan12"/>
      <sheetName val="Equipo_de_apuntalemiento12"/>
      <sheetName val="Gastos_Generales_BVR12"/>
      <sheetName val="BVR_con_Efco12"/>
      <sheetName val="TIPO_CAMBIO11"/>
      <sheetName val="Tiraje_Mix11"/>
      <sheetName val="MAT_11"/>
      <sheetName val="CONDUCT_1"/>
      <sheetName val="conductores_volquetes1"/>
      <sheetName val="Piso_2-51"/>
      <sheetName val="PLANILLAS_FORMATEADAS1"/>
      <sheetName val="CONTEO_DE_DATOS1"/>
      <sheetName val="RESUMEN_DE_PARTIDAS1"/>
      <sheetName val="9_1A1"/>
      <sheetName val="9_2A1"/>
      <sheetName val="9_3A1"/>
      <sheetName val="9_4A1"/>
      <sheetName val="9_5A1"/>
      <sheetName val="9_6A1"/>
      <sheetName val="9_7A1"/>
      <sheetName val="9_8A1"/>
      <sheetName val="9_9A1"/>
      <sheetName val="9_10A1"/>
      <sheetName val="9_11A1"/>
      <sheetName val="9_12A1"/>
      <sheetName val="1_1A1"/>
      <sheetName val="1_2A1"/>
      <sheetName val="1_3A1"/>
      <sheetName val="1_4A1"/>
      <sheetName val="2_1A1"/>
      <sheetName val="2_2A1"/>
      <sheetName val="2_3A1"/>
      <sheetName val="3_1A1"/>
      <sheetName val="3_2A1"/>
      <sheetName val="3_3A1"/>
      <sheetName val="4_1A1"/>
      <sheetName val="4_2A1"/>
      <sheetName val="4_3A1"/>
      <sheetName val="5_1A1"/>
      <sheetName val="5_2A1"/>
      <sheetName val="5_3A1"/>
      <sheetName val="6_1A1"/>
      <sheetName val="6_2A1"/>
      <sheetName val="6_3A1"/>
      <sheetName val="7_1A1"/>
      <sheetName val="7_2A1"/>
      <sheetName val="7_3A1"/>
      <sheetName val="8_1A1"/>
      <sheetName val="8_2A1"/>
      <sheetName val="Resumen_21"/>
      <sheetName val="Resumen_11"/>
      <sheetName val="9_14"/>
      <sheetName val="9_21"/>
      <sheetName val="9_31"/>
      <sheetName val="9_41"/>
      <sheetName val="9_51"/>
      <sheetName val="9_61"/>
      <sheetName val="9_71"/>
      <sheetName val="9_81"/>
      <sheetName val="9_91"/>
      <sheetName val="9_101"/>
      <sheetName val="9_111"/>
      <sheetName val="9_121"/>
      <sheetName val="9_131"/>
      <sheetName val="1_11"/>
      <sheetName val="1_21"/>
      <sheetName val="1_31"/>
      <sheetName val="2_11"/>
      <sheetName val="2_21"/>
      <sheetName val="2_31"/>
      <sheetName val="3_11"/>
      <sheetName val="3_21"/>
      <sheetName val="3_31"/>
      <sheetName val="4_11"/>
      <sheetName val="4_21"/>
      <sheetName val="4_31"/>
      <sheetName val="5_11"/>
      <sheetName val="5_21"/>
      <sheetName val="5_31"/>
      <sheetName val="6_01"/>
      <sheetName val="6_11"/>
      <sheetName val="6_21"/>
      <sheetName val="6_31"/>
      <sheetName val="7_11"/>
      <sheetName val="7_21"/>
      <sheetName val="7_31"/>
      <sheetName val="8_11"/>
      <sheetName val="8_21"/>
      <sheetName val="Encofrado_BVR_Unispan13"/>
      <sheetName val="Equipo_de_apuntalemiento13"/>
      <sheetName val="Gastos_Generales_BVR13"/>
      <sheetName val="BVR_con_Efco13"/>
      <sheetName val="TIPO_CAMBIO12"/>
      <sheetName val="Tiraje_Mix12"/>
      <sheetName val="MAT_12"/>
      <sheetName val="CONDUCT_2"/>
      <sheetName val="conductores_volquetes2"/>
      <sheetName val="Piso_2-52"/>
      <sheetName val="PLANILLAS_FORMATEADAS2"/>
      <sheetName val="CONTEO_DE_DATOS2"/>
      <sheetName val="RESUMEN_DE_PARTIDAS2"/>
      <sheetName val="9_1A2"/>
      <sheetName val="9_2A2"/>
      <sheetName val="9_3A2"/>
      <sheetName val="9_4A2"/>
      <sheetName val="9_5A2"/>
      <sheetName val="9_6A2"/>
      <sheetName val="9_7A2"/>
      <sheetName val="9_8A2"/>
      <sheetName val="9_9A2"/>
      <sheetName val="9_10A2"/>
      <sheetName val="9_11A2"/>
      <sheetName val="9_12A2"/>
      <sheetName val="1_1A2"/>
      <sheetName val="1_2A2"/>
      <sheetName val="1_3A2"/>
      <sheetName val="1_4A2"/>
      <sheetName val="2_1A2"/>
      <sheetName val="2_2A2"/>
      <sheetName val="2_3A2"/>
      <sheetName val="3_1A2"/>
      <sheetName val="3_2A2"/>
      <sheetName val="3_3A2"/>
      <sheetName val="4_1A2"/>
      <sheetName val="4_2A2"/>
      <sheetName val="4_3A2"/>
      <sheetName val="5_1A2"/>
      <sheetName val="5_2A2"/>
      <sheetName val="5_3A2"/>
      <sheetName val="6_1A2"/>
      <sheetName val="6_2A2"/>
      <sheetName val="6_3A2"/>
      <sheetName val="7_1A2"/>
      <sheetName val="7_2A2"/>
      <sheetName val="7_3A2"/>
      <sheetName val="8_1A2"/>
      <sheetName val="8_2A2"/>
      <sheetName val="Resumen_22"/>
      <sheetName val="Resumen_12"/>
      <sheetName val="9_15"/>
      <sheetName val="9_22"/>
      <sheetName val="9_32"/>
      <sheetName val="9_42"/>
      <sheetName val="9_52"/>
      <sheetName val="9_62"/>
      <sheetName val="9_72"/>
      <sheetName val="9_82"/>
      <sheetName val="9_92"/>
      <sheetName val="9_102"/>
      <sheetName val="9_112"/>
      <sheetName val="9_122"/>
      <sheetName val="9_132"/>
      <sheetName val="1_12"/>
      <sheetName val="1_22"/>
      <sheetName val="1_32"/>
      <sheetName val="2_12"/>
      <sheetName val="2_22"/>
      <sheetName val="2_32"/>
      <sheetName val="3_12"/>
      <sheetName val="3_22"/>
      <sheetName val="3_32"/>
      <sheetName val="4_12"/>
      <sheetName val="4_22"/>
      <sheetName val="4_32"/>
      <sheetName val="5_12"/>
      <sheetName val="5_22"/>
      <sheetName val="5_32"/>
      <sheetName val="6_02"/>
      <sheetName val="6_12"/>
      <sheetName val="6_22"/>
      <sheetName val="6_32"/>
      <sheetName val="7_12"/>
      <sheetName val="7_22"/>
      <sheetName val="7_32"/>
      <sheetName val="8_12"/>
      <sheetName val="8_22"/>
      <sheetName val=""/>
      <sheetName val="Liebman 134"/>
      <sheetName val="EDT"/>
      <sheetName val="LISTAS"/>
      <sheetName val="PROYECTOS 2015 "/>
      <sheetName val="RES"/>
      <sheetName val="ResValori-facturado"/>
      <sheetName val="Cont"/>
      <sheetName val="Ded"/>
      <sheetName val="AC1"/>
      <sheetName val="AC2"/>
      <sheetName val="AC3"/>
      <sheetName val="AC4"/>
      <sheetName val="AC5"/>
      <sheetName val="AC6"/>
      <sheetName val="AC7"/>
      <sheetName val="AC8"/>
      <sheetName val="AM1"/>
      <sheetName val="AM2"/>
      <sheetName val="C1"/>
      <sheetName val="C2"/>
      <sheetName val="Hoja4"/>
      <sheetName val="BASES"/>
      <sheetName val="Ins"/>
      <sheetName val="$HH"/>
      <sheetName val="METRADO"/>
      <sheetName val="Pintura"/>
      <sheetName val="P U "/>
      <sheetName val="G G ESTRUC."/>
      <sheetName val="RESUMEN CLIENTE"/>
      <sheetName val="CI"/>
      <sheetName val="G"/>
      <sheetName val="ANÁLISIS GG"/>
      <sheetName val="Tuberia"/>
      <sheetName val="pu Estructuras"/>
      <sheetName val="Encofrado_BVR_Unispan14"/>
      <sheetName val="Equipo_de_apuntalemiento14"/>
      <sheetName val="Gastos_Generales_BVR14"/>
      <sheetName val="BVR_con_Efco14"/>
      <sheetName val="TIPO_CAMBIO13"/>
      <sheetName val="Tiraje_Mix13"/>
      <sheetName val="MAT_13"/>
      <sheetName val="CONDUCT_3"/>
      <sheetName val="conductores_volquetes3"/>
      <sheetName val="PLANILLAS_FORMATEADAS3"/>
      <sheetName val="CONTEO_DE_DATOS3"/>
      <sheetName val="RESUMEN_DE_PARTIDAS3"/>
      <sheetName val="Piso_2-53"/>
      <sheetName val="9_1A3"/>
      <sheetName val="9_2A3"/>
      <sheetName val="9_3A3"/>
      <sheetName val="9_4A3"/>
      <sheetName val="9_5A3"/>
      <sheetName val="9_6A3"/>
      <sheetName val="9_7A3"/>
      <sheetName val="9_8A3"/>
      <sheetName val="9_9A3"/>
      <sheetName val="9_10A3"/>
      <sheetName val="9_11A3"/>
      <sheetName val="9_12A3"/>
      <sheetName val="1_1A3"/>
      <sheetName val="1_2A3"/>
      <sheetName val="1_3A3"/>
      <sheetName val="1_4A3"/>
      <sheetName val="2_1A3"/>
      <sheetName val="2_2A3"/>
      <sheetName val="2_3A3"/>
      <sheetName val="3_1A3"/>
      <sheetName val="3_2A3"/>
      <sheetName val="3_3A3"/>
      <sheetName val="4_1A3"/>
      <sheetName val="4_2A3"/>
      <sheetName val="4_3A3"/>
      <sheetName val="5_1A3"/>
      <sheetName val="5_2A3"/>
      <sheetName val="5_3A3"/>
      <sheetName val="6_1A3"/>
      <sheetName val="6_2A3"/>
      <sheetName val="6_3A3"/>
      <sheetName val="7_1A3"/>
      <sheetName val="7_2A3"/>
      <sheetName val="7_3A3"/>
      <sheetName val="8_1A3"/>
      <sheetName val="8_2A3"/>
      <sheetName val="Resumen_23"/>
      <sheetName val="Resumen_13"/>
      <sheetName val="9_16"/>
      <sheetName val="9_23"/>
      <sheetName val="9_33"/>
      <sheetName val="9_43"/>
      <sheetName val="9_53"/>
      <sheetName val="9_63"/>
      <sheetName val="9_73"/>
      <sheetName val="9_83"/>
      <sheetName val="9_93"/>
      <sheetName val="9_103"/>
      <sheetName val="9_113"/>
      <sheetName val="9_123"/>
      <sheetName val="9_133"/>
      <sheetName val="1_13"/>
      <sheetName val="1_23"/>
      <sheetName val="1_33"/>
      <sheetName val="2_13"/>
      <sheetName val="2_23"/>
      <sheetName val="2_33"/>
      <sheetName val="3_13"/>
      <sheetName val="3_23"/>
      <sheetName val="3_33"/>
      <sheetName val="4_13"/>
      <sheetName val="4_23"/>
      <sheetName val="4_33"/>
      <sheetName val="5_13"/>
      <sheetName val="5_23"/>
      <sheetName val="5_33"/>
      <sheetName val="6_03"/>
      <sheetName val="6_13"/>
      <sheetName val="6_23"/>
      <sheetName val="6_33"/>
      <sheetName val="7_13"/>
      <sheetName val="7_23"/>
      <sheetName val="7_33"/>
      <sheetName val="8_13"/>
      <sheetName val="8_23"/>
      <sheetName val="Encofrado_BVR_Unispan15"/>
      <sheetName val="Equipo_de_apuntalemiento15"/>
      <sheetName val="Gastos_Generales_BVR15"/>
      <sheetName val="BVR_con_Efco15"/>
      <sheetName val="TIPO_CAMBIO14"/>
      <sheetName val="Tiraje_Mix14"/>
      <sheetName val="MAT_14"/>
      <sheetName val="CONDUCT_4"/>
      <sheetName val="conductores_volquetes4"/>
      <sheetName val="PLANILLAS_FORMATEADAS4"/>
      <sheetName val="CONTEO_DE_DATOS4"/>
      <sheetName val="RESUMEN_DE_PARTIDAS4"/>
      <sheetName val="Piso_2-54"/>
      <sheetName val="9_1A4"/>
      <sheetName val="9_2A4"/>
      <sheetName val="9_3A4"/>
      <sheetName val="9_4A4"/>
      <sheetName val="9_5A4"/>
      <sheetName val="9_6A4"/>
      <sheetName val="9_7A4"/>
      <sheetName val="9_8A4"/>
      <sheetName val="9_9A4"/>
      <sheetName val="9_10A4"/>
      <sheetName val="9_11A4"/>
      <sheetName val="9_12A4"/>
      <sheetName val="1_1A4"/>
      <sheetName val="1_2A4"/>
      <sheetName val="1_3A4"/>
      <sheetName val="1_4A4"/>
      <sheetName val="2_1A4"/>
      <sheetName val="2_2A4"/>
      <sheetName val="2_3A4"/>
      <sheetName val="3_1A4"/>
      <sheetName val="3_2A4"/>
      <sheetName val="3_3A4"/>
      <sheetName val="4_1A4"/>
      <sheetName val="4_2A4"/>
      <sheetName val="4_3A4"/>
      <sheetName val="5_1A4"/>
      <sheetName val="5_2A4"/>
      <sheetName val="5_3A4"/>
      <sheetName val="6_1A4"/>
      <sheetName val="6_2A4"/>
      <sheetName val="6_3A4"/>
      <sheetName val="7_1A4"/>
      <sheetName val="7_2A4"/>
      <sheetName val="7_3A4"/>
      <sheetName val="8_1A4"/>
      <sheetName val="8_2A4"/>
      <sheetName val="Resumen_24"/>
      <sheetName val="Resumen_14"/>
      <sheetName val="9_17"/>
      <sheetName val="9_24"/>
      <sheetName val="9_34"/>
      <sheetName val="9_44"/>
      <sheetName val="9_54"/>
      <sheetName val="9_64"/>
      <sheetName val="9_74"/>
      <sheetName val="9_84"/>
      <sheetName val="9_94"/>
      <sheetName val="9_104"/>
      <sheetName val="9_114"/>
      <sheetName val="9_124"/>
      <sheetName val="9_134"/>
      <sheetName val="1_14"/>
      <sheetName val="1_24"/>
      <sheetName val="1_34"/>
      <sheetName val="2_14"/>
      <sheetName val="2_24"/>
      <sheetName val="2_34"/>
      <sheetName val="3_14"/>
      <sheetName val="3_24"/>
      <sheetName val="3_34"/>
      <sheetName val="4_14"/>
      <sheetName val="4_24"/>
      <sheetName val="4_34"/>
      <sheetName val="5_14"/>
      <sheetName val="5_24"/>
      <sheetName val="5_34"/>
      <sheetName val="6_04"/>
      <sheetName val="6_14"/>
      <sheetName val="6_24"/>
      <sheetName val="6_34"/>
      <sheetName val="7_14"/>
      <sheetName val="7_24"/>
      <sheetName val="7_34"/>
      <sheetName val="8_14"/>
      <sheetName val="8_24"/>
      <sheetName val="Encofrado_BVR_Unispan17"/>
      <sheetName val="Equipo_de_apuntalemiento17"/>
      <sheetName val="Gastos_Generales_BVR17"/>
      <sheetName val="BVR_con_Efco17"/>
      <sheetName val="TIPO_CAMBIO16"/>
      <sheetName val="Tiraje_Mix16"/>
      <sheetName val="MAT_16"/>
      <sheetName val="CONDUCT_6"/>
      <sheetName val="conductores_volquetes6"/>
      <sheetName val="PLANILLAS_FORMATEADAS6"/>
      <sheetName val="CONTEO_DE_DATOS6"/>
      <sheetName val="RESUMEN_DE_PARTIDAS6"/>
      <sheetName val="Piso_2-56"/>
      <sheetName val="9_1A6"/>
      <sheetName val="9_2A6"/>
      <sheetName val="9_3A6"/>
      <sheetName val="9_4A6"/>
      <sheetName val="9_5A6"/>
      <sheetName val="9_6A6"/>
      <sheetName val="9_7A6"/>
      <sheetName val="9_8A6"/>
      <sheetName val="9_9A6"/>
      <sheetName val="9_10A6"/>
      <sheetName val="9_11A6"/>
      <sheetName val="9_12A6"/>
      <sheetName val="1_1A6"/>
      <sheetName val="1_2A6"/>
      <sheetName val="1_3A6"/>
      <sheetName val="1_4A6"/>
      <sheetName val="2_1A6"/>
      <sheetName val="2_2A6"/>
      <sheetName val="2_3A6"/>
      <sheetName val="3_1A6"/>
      <sheetName val="3_2A6"/>
      <sheetName val="3_3A6"/>
      <sheetName val="4_1A6"/>
      <sheetName val="4_2A6"/>
      <sheetName val="4_3A6"/>
      <sheetName val="5_1A6"/>
      <sheetName val="5_2A6"/>
      <sheetName val="5_3A6"/>
      <sheetName val="6_1A6"/>
      <sheetName val="6_2A6"/>
      <sheetName val="6_3A6"/>
      <sheetName val="7_1A6"/>
      <sheetName val="7_2A6"/>
      <sheetName val="7_3A6"/>
      <sheetName val="8_1A6"/>
      <sheetName val="8_2A6"/>
      <sheetName val="Resumen_26"/>
      <sheetName val="Resumen_16"/>
      <sheetName val="9_19"/>
      <sheetName val="9_26"/>
      <sheetName val="9_36"/>
      <sheetName val="9_46"/>
      <sheetName val="9_56"/>
      <sheetName val="9_66"/>
      <sheetName val="9_76"/>
      <sheetName val="9_86"/>
      <sheetName val="9_96"/>
      <sheetName val="9_106"/>
      <sheetName val="9_116"/>
      <sheetName val="9_126"/>
      <sheetName val="9_136"/>
      <sheetName val="1_16"/>
      <sheetName val="1_26"/>
      <sheetName val="1_36"/>
      <sheetName val="2_16"/>
      <sheetName val="2_26"/>
      <sheetName val="2_36"/>
      <sheetName val="3_16"/>
      <sheetName val="3_26"/>
      <sheetName val="3_36"/>
      <sheetName val="4_16"/>
      <sheetName val="4_26"/>
      <sheetName val="4_36"/>
      <sheetName val="5_16"/>
      <sheetName val="5_26"/>
      <sheetName val="5_36"/>
      <sheetName val="6_06"/>
      <sheetName val="6_16"/>
      <sheetName val="6_26"/>
      <sheetName val="6_36"/>
      <sheetName val="7_16"/>
      <sheetName val="7_26"/>
      <sheetName val="7_36"/>
      <sheetName val="8_16"/>
      <sheetName val="8_26"/>
      <sheetName val="Encofrado_BVR_Unispan16"/>
      <sheetName val="Equipo_de_apuntalemiento16"/>
      <sheetName val="Gastos_Generales_BVR16"/>
      <sheetName val="BVR_con_Efco16"/>
      <sheetName val="TIPO_CAMBIO15"/>
      <sheetName val="Tiraje_Mix15"/>
      <sheetName val="MAT_15"/>
      <sheetName val="CONDUCT_5"/>
      <sheetName val="conductores_volquetes5"/>
      <sheetName val="PLANILLAS_FORMATEADAS5"/>
      <sheetName val="CONTEO_DE_DATOS5"/>
      <sheetName val="RESUMEN_DE_PARTIDAS5"/>
      <sheetName val="Piso_2-55"/>
      <sheetName val="9_1A5"/>
      <sheetName val="9_2A5"/>
      <sheetName val="9_3A5"/>
      <sheetName val="9_4A5"/>
      <sheetName val="9_5A5"/>
      <sheetName val="9_6A5"/>
      <sheetName val="9_7A5"/>
      <sheetName val="9_8A5"/>
      <sheetName val="9_9A5"/>
      <sheetName val="9_10A5"/>
      <sheetName val="9_11A5"/>
      <sheetName val="9_12A5"/>
      <sheetName val="1_1A5"/>
      <sheetName val="1_2A5"/>
      <sheetName val="1_3A5"/>
      <sheetName val="1_4A5"/>
      <sheetName val="2_1A5"/>
      <sheetName val="2_2A5"/>
      <sheetName val="2_3A5"/>
      <sheetName val="3_1A5"/>
      <sheetName val="3_2A5"/>
      <sheetName val="3_3A5"/>
      <sheetName val="4_1A5"/>
      <sheetName val="4_2A5"/>
      <sheetName val="4_3A5"/>
      <sheetName val="5_1A5"/>
      <sheetName val="5_2A5"/>
      <sheetName val="5_3A5"/>
      <sheetName val="6_1A5"/>
      <sheetName val="6_2A5"/>
      <sheetName val="6_3A5"/>
      <sheetName val="7_1A5"/>
      <sheetName val="7_2A5"/>
      <sheetName val="7_3A5"/>
      <sheetName val="8_1A5"/>
      <sheetName val="8_2A5"/>
      <sheetName val="Resumen_25"/>
      <sheetName val="Resumen_15"/>
      <sheetName val="9_18"/>
      <sheetName val="9_25"/>
      <sheetName val="9_35"/>
      <sheetName val="9_45"/>
      <sheetName val="9_55"/>
      <sheetName val="9_65"/>
      <sheetName val="9_75"/>
      <sheetName val="9_85"/>
      <sheetName val="9_95"/>
      <sheetName val="9_105"/>
      <sheetName val="9_115"/>
      <sheetName val="9_125"/>
      <sheetName val="9_135"/>
      <sheetName val="1_15"/>
      <sheetName val="1_25"/>
      <sheetName val="1_35"/>
      <sheetName val="2_15"/>
      <sheetName val="2_25"/>
      <sheetName val="2_35"/>
      <sheetName val="3_15"/>
      <sheetName val="Formato de Pedido"/>
      <sheetName val="Condiciones Generales de Venta"/>
      <sheetName val="Codigo de Diseño"/>
      <sheetName val="EST"/>
      <sheetName val="Estructuras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SHEET1"/>
      <sheetName val="Hoja de Recursos"/>
      <sheetName val="Provisionales "/>
      <sheetName val="Arquitectura"/>
      <sheetName val="wagerate by craft"/>
      <sheetName val="A_50"/>
      <sheetName val="PPTO "/>
      <sheetName val="A.P.U"/>
      <sheetName val="Liebman_134"/>
      <sheetName val="Riesgos"/>
      <sheetName val="3_25"/>
      <sheetName val="3_35"/>
      <sheetName val="4_15"/>
      <sheetName val="4_25"/>
      <sheetName val="4_35"/>
      <sheetName val="5_15"/>
      <sheetName val="5_25"/>
      <sheetName val="5_35"/>
      <sheetName val="6_05"/>
      <sheetName val="6_15"/>
      <sheetName val="6_25"/>
      <sheetName val="6_35"/>
      <sheetName val="7_15"/>
      <sheetName val="7_25"/>
      <sheetName val="7_35"/>
      <sheetName val="8_15"/>
      <sheetName val="8_25"/>
      <sheetName val="Encofrado_BVR_Unispan18"/>
      <sheetName val="Equipo_de_apuntalemiento18"/>
      <sheetName val="Gastos_Generales_BVR18"/>
      <sheetName val="BVR_con_Efco18"/>
      <sheetName val="TIPO_CAMBIO17"/>
      <sheetName val="Tiraje_Mix17"/>
      <sheetName val="MAT_17"/>
      <sheetName val="CONDUCT_7"/>
      <sheetName val="conductores_volquetes7"/>
      <sheetName val="PLANILLAS_FORMATEADAS7"/>
      <sheetName val="CONTEO_DE_DATOS7"/>
      <sheetName val="RESUMEN_DE_PARTIDAS7"/>
      <sheetName val="Piso_2-57"/>
      <sheetName val="9_1A7"/>
      <sheetName val="9_2A7"/>
      <sheetName val="9_3A7"/>
      <sheetName val="9_4A7"/>
      <sheetName val="9_5A7"/>
      <sheetName val="9_6A7"/>
      <sheetName val="9_7A7"/>
      <sheetName val="9_8A7"/>
      <sheetName val="9_9A7"/>
      <sheetName val="9_10A7"/>
      <sheetName val="9_11A7"/>
      <sheetName val="9_12A7"/>
      <sheetName val="1_1A7"/>
      <sheetName val="1_2A7"/>
      <sheetName val="1_3A7"/>
      <sheetName val="1_4A7"/>
      <sheetName val="2_1A7"/>
      <sheetName val="2_2A7"/>
      <sheetName val="2_3A7"/>
      <sheetName val="3_1A7"/>
      <sheetName val="3_2A7"/>
      <sheetName val="3_3A7"/>
      <sheetName val="4_1A7"/>
      <sheetName val="4_2A7"/>
      <sheetName val="4_3A7"/>
      <sheetName val="5_1A7"/>
      <sheetName val="5_2A7"/>
      <sheetName val="5_3A7"/>
      <sheetName val="6_1A7"/>
      <sheetName val="6_2A7"/>
      <sheetName val="6_3A7"/>
      <sheetName val="7_1A7"/>
      <sheetName val="7_2A7"/>
      <sheetName val="7_3A7"/>
      <sheetName val="8_1A7"/>
      <sheetName val="8_2A7"/>
      <sheetName val="Resumen_27"/>
      <sheetName val="Resumen_17"/>
      <sheetName val="9_110"/>
      <sheetName val="9_27"/>
      <sheetName val="9_37"/>
      <sheetName val="9_47"/>
      <sheetName val="9_57"/>
      <sheetName val="9_67"/>
      <sheetName val="9_77"/>
      <sheetName val="9_87"/>
      <sheetName val="9_97"/>
      <sheetName val="9_107"/>
      <sheetName val="9_117"/>
      <sheetName val="9_127"/>
      <sheetName val="9_137"/>
      <sheetName val="1_17"/>
      <sheetName val="1_27"/>
      <sheetName val="1_37"/>
      <sheetName val="2_17"/>
      <sheetName val="2_27"/>
      <sheetName val="2_37"/>
      <sheetName val="3_17"/>
      <sheetName val="3_27"/>
      <sheetName val="3_37"/>
      <sheetName val="4_17"/>
      <sheetName val="4_27"/>
      <sheetName val="4_37"/>
      <sheetName val="5_17"/>
      <sheetName val="5_27"/>
      <sheetName val="5_37"/>
      <sheetName val="6_07"/>
      <sheetName val="6_17"/>
      <sheetName val="6_27"/>
      <sheetName val="6_37"/>
      <sheetName val="7_17"/>
      <sheetName val="7_27"/>
      <sheetName val="7_37"/>
      <sheetName val="8_17"/>
      <sheetName val="8_27"/>
      <sheetName val="Encofrado_BVR_Unispan19"/>
      <sheetName val="Equipo_de_apuntalemiento19"/>
      <sheetName val="Gastos_Generales_BVR19"/>
      <sheetName val="BVR_con_Efco19"/>
      <sheetName val="TIPO_CAMBIO18"/>
      <sheetName val="Tiraje_Mix18"/>
      <sheetName val="MAT_18"/>
      <sheetName val="CONDUCT_8"/>
      <sheetName val="conductores_volquetes8"/>
      <sheetName val="Piso_2-58"/>
      <sheetName val="PLANILLAS_FORMATEADAS8"/>
      <sheetName val="CONTEO_DE_DATOS8"/>
      <sheetName val="RESUMEN_DE_PARTIDAS8"/>
      <sheetName val="9_1A8"/>
      <sheetName val="9_2A8"/>
      <sheetName val="9_3A8"/>
      <sheetName val="9_4A8"/>
      <sheetName val="9_5A8"/>
      <sheetName val="9_6A8"/>
      <sheetName val="9_7A8"/>
      <sheetName val="9_8A8"/>
      <sheetName val="9_9A8"/>
      <sheetName val="9_10A8"/>
      <sheetName val="9_11A8"/>
      <sheetName val="9_12A8"/>
      <sheetName val="1_1A8"/>
      <sheetName val="1_2A8"/>
      <sheetName val="1_3A8"/>
      <sheetName val="1_4A8"/>
      <sheetName val="2_1A8"/>
      <sheetName val="2_2A8"/>
      <sheetName val="2_3A8"/>
      <sheetName val="3_1A8"/>
      <sheetName val="3_2A8"/>
      <sheetName val="3_3A8"/>
      <sheetName val="4_1A8"/>
      <sheetName val="4_2A8"/>
      <sheetName val="4_3A8"/>
      <sheetName val="5_1A8"/>
      <sheetName val="5_2A8"/>
      <sheetName val="5_3A8"/>
      <sheetName val="6_1A8"/>
      <sheetName val="6_2A8"/>
      <sheetName val="6_3A8"/>
      <sheetName val="7_1A8"/>
      <sheetName val="7_2A8"/>
      <sheetName val="7_3A8"/>
      <sheetName val="8_1A8"/>
      <sheetName val="8_2A8"/>
      <sheetName val="Resumen_28"/>
      <sheetName val="Resumen_18"/>
      <sheetName val="9_118"/>
      <sheetName val="9_28"/>
      <sheetName val="9_38"/>
      <sheetName val="9_48"/>
      <sheetName val="9_58"/>
      <sheetName val="9_68"/>
      <sheetName val="9_78"/>
      <sheetName val="9_88"/>
      <sheetName val="9_98"/>
      <sheetName val="9_108"/>
      <sheetName val="9_119"/>
      <sheetName val="9_128"/>
      <sheetName val="9_138"/>
      <sheetName val="1_18"/>
      <sheetName val="1_28"/>
      <sheetName val="1_38"/>
      <sheetName val="2_18"/>
      <sheetName val="2_28"/>
      <sheetName val="2_38"/>
      <sheetName val="3_18"/>
      <sheetName val="3_28"/>
      <sheetName val="3_38"/>
      <sheetName val="4_18"/>
      <sheetName val="4_28"/>
      <sheetName val="4_38"/>
      <sheetName val="5_18"/>
      <sheetName val="5_28"/>
      <sheetName val="5_38"/>
      <sheetName val="6_08"/>
      <sheetName val="6_18"/>
      <sheetName val="6_28"/>
      <sheetName val="6_38"/>
      <sheetName val="7_18"/>
      <sheetName val="7_28"/>
      <sheetName val="7_38"/>
      <sheetName val="8_18"/>
      <sheetName val="8_28"/>
      <sheetName val="Encofrado_BVR_Unispan22"/>
      <sheetName val="Equipo_de_apuntalemiento22"/>
      <sheetName val="Gastos_Generales_BVR22"/>
      <sheetName val="BVR_con_Efco22"/>
      <sheetName val="TIPO_CAMBIO21"/>
      <sheetName val="Tiraje_Mix21"/>
      <sheetName val="MAT_21"/>
      <sheetName val="CONDUCT_11"/>
      <sheetName val="conductores_volquetes11"/>
      <sheetName val="PLANILLAS_FORMATEADAS11"/>
      <sheetName val="CONTEO_DE_DATOS11"/>
      <sheetName val="RESUMEN_DE_PARTIDAS11"/>
      <sheetName val="Piso_2-511"/>
      <sheetName val="9_1A11"/>
      <sheetName val="9_2A11"/>
      <sheetName val="9_3A11"/>
      <sheetName val="9_4A11"/>
      <sheetName val="9_5A11"/>
      <sheetName val="9_6A11"/>
      <sheetName val="9_7A11"/>
      <sheetName val="9_8A11"/>
      <sheetName val="9_9A11"/>
      <sheetName val="9_10A11"/>
      <sheetName val="9_11A11"/>
      <sheetName val="9_12A11"/>
      <sheetName val="1_1A11"/>
      <sheetName val="1_2A11"/>
      <sheetName val="1_3A11"/>
      <sheetName val="1_4A11"/>
      <sheetName val="2_1A11"/>
      <sheetName val="2_2A11"/>
      <sheetName val="2_3A11"/>
      <sheetName val="3_1A11"/>
      <sheetName val="3_2A11"/>
      <sheetName val="3_3A11"/>
      <sheetName val="4_1A11"/>
      <sheetName val="4_2A11"/>
      <sheetName val="4_3A11"/>
      <sheetName val="5_1A11"/>
      <sheetName val="5_2A11"/>
      <sheetName val="5_3A11"/>
      <sheetName val="6_1A11"/>
      <sheetName val="6_2A11"/>
      <sheetName val="6_3A11"/>
      <sheetName val="7_1A11"/>
      <sheetName val="7_2A11"/>
      <sheetName val="7_3A11"/>
      <sheetName val="8_1A11"/>
      <sheetName val="8_2A11"/>
      <sheetName val="Resumen_211"/>
      <sheetName val="Resumen_111"/>
      <sheetName val="9_140"/>
      <sheetName val="9_211"/>
      <sheetName val="9_311"/>
      <sheetName val="9_411"/>
      <sheetName val="9_511"/>
      <sheetName val="9_611"/>
      <sheetName val="9_711"/>
      <sheetName val="9_811"/>
      <sheetName val="9_911"/>
      <sheetName val="9_1011"/>
      <sheetName val="9_1112"/>
      <sheetName val="9_1211"/>
      <sheetName val="9_1311"/>
      <sheetName val="1_111"/>
      <sheetName val="1_211"/>
      <sheetName val="1_311"/>
      <sheetName val="2_111"/>
      <sheetName val="2_211"/>
      <sheetName val="2_311"/>
      <sheetName val="3_111"/>
      <sheetName val="3_211"/>
      <sheetName val="3_311"/>
      <sheetName val="4_111"/>
      <sheetName val="4_211"/>
      <sheetName val="4_311"/>
      <sheetName val="5_111"/>
      <sheetName val="5_211"/>
      <sheetName val="5_311"/>
      <sheetName val="6_011"/>
      <sheetName val="6_111"/>
      <sheetName val="6_211"/>
      <sheetName val="6_311"/>
      <sheetName val="7_111"/>
      <sheetName val="7_211"/>
      <sheetName val="7_311"/>
      <sheetName val="8_111"/>
      <sheetName val="8_211"/>
      <sheetName val="Encofrado_BVR_Unispan20"/>
      <sheetName val="Equipo_de_apuntalemiento20"/>
      <sheetName val="Gastos_Generales_BVR20"/>
      <sheetName val="BVR_con_Efco20"/>
      <sheetName val="TIPO_CAMBIO19"/>
      <sheetName val="Tiraje_Mix19"/>
      <sheetName val="MAT_19"/>
      <sheetName val="CONDUCT_9"/>
      <sheetName val="conductores_volquetes9"/>
      <sheetName val="PLANILLAS_FORMATEADAS9"/>
      <sheetName val="CONTEO_DE_DATOS9"/>
      <sheetName val="RESUMEN_DE_PARTIDAS9"/>
      <sheetName val="Piso_2-59"/>
      <sheetName val="9_1A9"/>
      <sheetName val="9_2A9"/>
      <sheetName val="9_3A9"/>
      <sheetName val="9_4A9"/>
      <sheetName val="9_5A9"/>
      <sheetName val="9_6A9"/>
      <sheetName val="9_7A9"/>
      <sheetName val="9_8A9"/>
      <sheetName val="9_9A9"/>
      <sheetName val="9_10A9"/>
      <sheetName val="9_11A9"/>
      <sheetName val="9_12A9"/>
      <sheetName val="1_1A9"/>
      <sheetName val="1_2A9"/>
      <sheetName val="1_3A9"/>
      <sheetName val="1_4A9"/>
      <sheetName val="2_1A9"/>
      <sheetName val="2_2A9"/>
      <sheetName val="2_3A9"/>
      <sheetName val="3_1A9"/>
      <sheetName val="3_2A9"/>
      <sheetName val="3_3A9"/>
      <sheetName val="4_1A9"/>
      <sheetName val="4_2A9"/>
      <sheetName val="4_3A9"/>
      <sheetName val="5_1A9"/>
      <sheetName val="5_2A9"/>
      <sheetName val="5_3A9"/>
      <sheetName val="6_1A9"/>
      <sheetName val="6_2A9"/>
      <sheetName val="6_3A9"/>
      <sheetName val="7_1A9"/>
      <sheetName val="7_2A9"/>
      <sheetName val="7_3A9"/>
      <sheetName val="8_1A9"/>
      <sheetName val="8_2A9"/>
      <sheetName val="Resumen_29"/>
      <sheetName val="Resumen_19"/>
      <sheetName val="9_120"/>
      <sheetName val="9_29"/>
      <sheetName val="9_39"/>
      <sheetName val="9_49"/>
      <sheetName val="9_59"/>
      <sheetName val="9_69"/>
      <sheetName val="9_79"/>
      <sheetName val="9_89"/>
      <sheetName val="9_99"/>
      <sheetName val="9_109"/>
      <sheetName val="9_1110"/>
      <sheetName val="9_129"/>
      <sheetName val="9_139"/>
      <sheetName val="1_19"/>
      <sheetName val="1_29"/>
      <sheetName val="1_39"/>
      <sheetName val="2_19"/>
      <sheetName val="2_29"/>
      <sheetName val="2_39"/>
      <sheetName val="3_19"/>
      <sheetName val="3_29"/>
      <sheetName val="3_39"/>
      <sheetName val="4_19"/>
      <sheetName val="4_29"/>
      <sheetName val="4_39"/>
      <sheetName val="5_19"/>
      <sheetName val="5_29"/>
      <sheetName val="5_39"/>
      <sheetName val="6_09"/>
      <sheetName val="6_19"/>
      <sheetName val="6_29"/>
      <sheetName val="6_39"/>
      <sheetName val="7_19"/>
      <sheetName val="7_29"/>
      <sheetName val="7_39"/>
      <sheetName val="8_19"/>
      <sheetName val="8_29"/>
      <sheetName val="Encofrado_BVR_Unispan21"/>
      <sheetName val="Equipo_de_apuntalemiento21"/>
      <sheetName val="Gastos_Generales_BVR21"/>
      <sheetName val="BVR_con_Efco21"/>
      <sheetName val="TIPO_CAMBIO20"/>
      <sheetName val="Tiraje_Mix20"/>
      <sheetName val="MAT_20"/>
      <sheetName val="CONDUCT_10"/>
      <sheetName val="conductores_volquetes10"/>
      <sheetName val="PLANILLAS_FORMATEADAS10"/>
      <sheetName val="CONTEO_DE_DATOS10"/>
      <sheetName val="RESUMEN_DE_PARTIDAS10"/>
      <sheetName val="Piso_2-510"/>
      <sheetName val="9_1A10"/>
      <sheetName val="9_2A10"/>
      <sheetName val="9_3A10"/>
      <sheetName val="9_4A10"/>
      <sheetName val="9_5A10"/>
      <sheetName val="9_6A10"/>
      <sheetName val="9_7A10"/>
      <sheetName val="9_8A10"/>
      <sheetName val="9_9A10"/>
      <sheetName val="9_10A10"/>
      <sheetName val="9_11A10"/>
      <sheetName val="9_12A10"/>
      <sheetName val="1_1A10"/>
      <sheetName val="1_2A10"/>
      <sheetName val="1_3A10"/>
      <sheetName val="1_4A10"/>
      <sheetName val="2_1A10"/>
      <sheetName val="2_2A10"/>
      <sheetName val="2_3A10"/>
      <sheetName val="3_1A10"/>
      <sheetName val="3_2A10"/>
      <sheetName val="3_3A10"/>
      <sheetName val="4_1A10"/>
      <sheetName val="4_2A10"/>
      <sheetName val="4_3A10"/>
      <sheetName val="5_1A10"/>
      <sheetName val="5_2A10"/>
      <sheetName val="5_3A10"/>
      <sheetName val="6_1A10"/>
      <sheetName val="6_2A10"/>
      <sheetName val="6_3A10"/>
      <sheetName val="7_1A10"/>
      <sheetName val="7_2A10"/>
      <sheetName val="7_3A10"/>
      <sheetName val="8_1A10"/>
      <sheetName val="8_2A10"/>
      <sheetName val="Resumen_210"/>
      <sheetName val="Resumen_110"/>
      <sheetName val="9_130"/>
      <sheetName val="9_210"/>
      <sheetName val="9_310"/>
      <sheetName val="9_410"/>
      <sheetName val="9_510"/>
      <sheetName val="9_610"/>
      <sheetName val="9_710"/>
      <sheetName val="9_810"/>
      <sheetName val="9_910"/>
      <sheetName val="9_1010"/>
      <sheetName val="9_1111"/>
      <sheetName val="9_1210"/>
      <sheetName val="9_1310"/>
      <sheetName val="1_110"/>
      <sheetName val="1_210"/>
      <sheetName val="1_310"/>
      <sheetName val="2_110"/>
      <sheetName val="2_210"/>
      <sheetName val="2_310"/>
      <sheetName val="3_110"/>
      <sheetName val="3_210"/>
      <sheetName val="3_310"/>
      <sheetName val="4_110"/>
      <sheetName val="4_210"/>
      <sheetName val="4_310"/>
      <sheetName val="5_110"/>
      <sheetName val="5_210"/>
      <sheetName val="5_310"/>
      <sheetName val="6_010"/>
      <sheetName val="6_110"/>
      <sheetName val="6_210"/>
      <sheetName val="6_310"/>
      <sheetName val="7_110"/>
      <sheetName val="7_210"/>
      <sheetName val="7_310"/>
      <sheetName val="8_110"/>
      <sheetName val="8_210"/>
      <sheetName val="Encofrado_BVR_Unispan23"/>
      <sheetName val="Equipo_de_apuntalemiento23"/>
      <sheetName val="Gastos_Generales_BVR23"/>
      <sheetName val="BVR_con_Efco23"/>
      <sheetName val="TIPO_CAMBIO22"/>
      <sheetName val="Tiraje_Mix22"/>
      <sheetName val="MAT_22"/>
      <sheetName val="CONDUCT_12"/>
      <sheetName val="conductores_volquetes12"/>
      <sheetName val="PLANILLAS_FORMATEADAS12"/>
      <sheetName val="CONTEO_DE_DATOS12"/>
      <sheetName val="RESUMEN_DE_PARTIDAS12"/>
      <sheetName val="Piso_2-512"/>
      <sheetName val="9_1A12"/>
      <sheetName val="9_2A12"/>
      <sheetName val="9_3A12"/>
      <sheetName val="9_4A12"/>
      <sheetName val="9_5A12"/>
      <sheetName val="9_6A12"/>
      <sheetName val="9_7A12"/>
      <sheetName val="9_8A12"/>
      <sheetName val="9_9A12"/>
      <sheetName val="9_10A12"/>
      <sheetName val="9_11A12"/>
      <sheetName val="9_12A12"/>
      <sheetName val="1_1A12"/>
      <sheetName val="1_2A12"/>
      <sheetName val="1_3A12"/>
      <sheetName val="1_4A12"/>
      <sheetName val="2_1A12"/>
      <sheetName val="2_2A12"/>
      <sheetName val="2_3A12"/>
      <sheetName val="3_1A12"/>
      <sheetName val="3_2A12"/>
      <sheetName val="3_3A12"/>
      <sheetName val="4_1A12"/>
      <sheetName val="4_2A12"/>
      <sheetName val="4_3A12"/>
      <sheetName val="5_1A12"/>
      <sheetName val="5_2A12"/>
      <sheetName val="5_3A12"/>
      <sheetName val="6_1A12"/>
      <sheetName val="6_2A12"/>
      <sheetName val="6_3A12"/>
      <sheetName val="7_1A12"/>
      <sheetName val="7_2A12"/>
      <sheetName val="7_3A12"/>
      <sheetName val="8_1A12"/>
      <sheetName val="8_2A12"/>
      <sheetName val="Resumen_212"/>
      <sheetName val="Resumen_112"/>
      <sheetName val="9_141"/>
      <sheetName val="9_212"/>
      <sheetName val="9_312"/>
      <sheetName val="9_412"/>
      <sheetName val="9_512"/>
      <sheetName val="9_612"/>
      <sheetName val="9_712"/>
      <sheetName val="9_812"/>
      <sheetName val="9_912"/>
      <sheetName val="9_1012"/>
      <sheetName val="9_1113"/>
      <sheetName val="9_1212"/>
      <sheetName val="9_1312"/>
      <sheetName val="1_112"/>
      <sheetName val="1_212"/>
      <sheetName val="1_312"/>
      <sheetName val="2_112"/>
      <sheetName val="2_212"/>
      <sheetName val="2_312"/>
      <sheetName val="3_112"/>
      <sheetName val="3_212"/>
      <sheetName val="3_312"/>
      <sheetName val="4_112"/>
      <sheetName val="4_212"/>
      <sheetName val="4_312"/>
      <sheetName val="5_112"/>
      <sheetName val="5_212"/>
      <sheetName val="5_312"/>
      <sheetName val="6_012"/>
      <sheetName val="6_112"/>
      <sheetName val="6_212"/>
      <sheetName val="6_312"/>
      <sheetName val="7_112"/>
      <sheetName val="7_212"/>
      <sheetName val="7_312"/>
      <sheetName val="8_112"/>
      <sheetName val="8_212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GENERAL"/>
      <sheetName val="Damper"/>
      <sheetName val="premisas"/>
      <sheetName val="Sol.Val"/>
      <sheetName val="Res.Val"/>
      <sheetName val="OBRAS PROV. Y PRELIM."/>
      <sheetName val="EST ESCALERAS"/>
      <sheetName val="PC-19053 RP PURUCHUCO"/>
      <sheetName val="Viga"/>
      <sheetName val="Valorización"/>
      <sheetName val="Liebman_1341"/>
      <sheetName val="PROYECTOS_2015_"/>
      <sheetName val="PPTO_"/>
      <sheetName val="A_P_U"/>
      <sheetName val="P_U_"/>
      <sheetName val="G_G_ESTRUC_"/>
      <sheetName val="RESUMEN_CLIENTE"/>
      <sheetName val="Metrado 01"/>
      <sheetName val="Metrado 02"/>
      <sheetName val="RESUMEN METRADOS (2)"/>
      <sheetName val="VIGAS"/>
      <sheetName val="PRELOSA"/>
      <sheetName val="L MACIZAS"/>
      <sheetName val="PLACAS MP"/>
      <sheetName val="PLACAS EDIF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ARQ"/>
      <sheetName val="IM"/>
      <sheetName val="INST.COM"/>
      <sheetName val="RESUMEN AJUSTADO"/>
      <sheetName val="EVALUACION"/>
      <sheetName val="AN-EST"/>
      <sheetName val="EST-MAN"/>
      <sheetName val="APU-EST"/>
      <sheetName val="AN-ARQ"/>
      <sheetName val="ARQ-MAN"/>
      <sheetName val="APU-ARQ"/>
      <sheetName val="AN-ELC"/>
      <sheetName val="APU-IIEE"/>
      <sheetName val="AN-SAN"/>
      <sheetName val="APU-IS"/>
      <sheetName val="AN-IM"/>
      <sheetName val="APU-IM"/>
      <sheetName val="AN-COM"/>
      <sheetName val="APU-COM"/>
      <sheetName val="10241PIP1ON-SITE"/>
      <sheetName val="LISTA"/>
      <sheetName val="INST_COM"/>
      <sheetName val="RESUMEN_AJUSTADO"/>
      <sheetName val="Encofrado_BVR_Unispan38"/>
      <sheetName val="Equipo_de_apuntalemiento38"/>
      <sheetName val="Gastos_Generales_BVR38"/>
      <sheetName val="BVR_con_Efco38"/>
      <sheetName val="TIPO_CAMBIO37"/>
      <sheetName val="Tiraje_Mix37"/>
      <sheetName val="MAT_37"/>
      <sheetName val="CONDUCT_27"/>
      <sheetName val="conductores_volquetes27"/>
      <sheetName val="PLANILLAS_FORMATEADAS27"/>
      <sheetName val="CONTEO_DE_DATOS27"/>
      <sheetName val="RESUMEN_DE_PARTIDAS27"/>
      <sheetName val="9_1A27"/>
      <sheetName val="9_2A27"/>
      <sheetName val="9_3A27"/>
      <sheetName val="9_4A27"/>
      <sheetName val="9_5A27"/>
      <sheetName val="9_6A27"/>
      <sheetName val="9_7A27"/>
      <sheetName val="9_8A27"/>
      <sheetName val="9_9A27"/>
      <sheetName val="9_10A27"/>
      <sheetName val="9_11A27"/>
      <sheetName val="9_12A27"/>
      <sheetName val="1_1A27"/>
      <sheetName val="1_2A27"/>
      <sheetName val="1_3A27"/>
      <sheetName val="1_4A27"/>
      <sheetName val="2_1A27"/>
      <sheetName val="2_2A27"/>
      <sheetName val="2_3A27"/>
      <sheetName val="3_1A27"/>
      <sheetName val="3_2A27"/>
      <sheetName val="3_3A27"/>
      <sheetName val="4_1A27"/>
      <sheetName val="4_2A27"/>
      <sheetName val="4_3A27"/>
      <sheetName val="5_1A27"/>
      <sheetName val="5_2A27"/>
      <sheetName val="5_3A27"/>
      <sheetName val="6_1A27"/>
      <sheetName val="6_2A27"/>
      <sheetName val="6_3A27"/>
      <sheetName val="7_1A27"/>
      <sheetName val="7_2A27"/>
      <sheetName val="7_3A27"/>
      <sheetName val="8_1A27"/>
      <sheetName val="8_2A27"/>
      <sheetName val="Resumen_227"/>
      <sheetName val="Resumen_127"/>
      <sheetName val="9_156"/>
      <sheetName val="9_227"/>
      <sheetName val="9_327"/>
      <sheetName val="9_427"/>
      <sheetName val="9_527"/>
      <sheetName val="9_627"/>
      <sheetName val="9_727"/>
      <sheetName val="9_827"/>
      <sheetName val="9_927"/>
      <sheetName val="9_1027"/>
      <sheetName val="9_1128"/>
      <sheetName val="9_1227"/>
      <sheetName val="9_1327"/>
      <sheetName val="1_127"/>
      <sheetName val="1_227"/>
      <sheetName val="1_327"/>
      <sheetName val="2_127"/>
      <sheetName val="2_227"/>
      <sheetName val="2_327"/>
      <sheetName val="3_127"/>
      <sheetName val="3_227"/>
      <sheetName val="3_327"/>
      <sheetName val="4_127"/>
      <sheetName val="4_227"/>
      <sheetName val="4_327"/>
      <sheetName val="5_127"/>
      <sheetName val="5_227"/>
      <sheetName val="5_327"/>
      <sheetName val="6_027"/>
      <sheetName val="6_127"/>
      <sheetName val="6_227"/>
      <sheetName val="6_327"/>
      <sheetName val="7_127"/>
      <sheetName val="7_227"/>
      <sheetName val="7_327"/>
      <sheetName val="8_127"/>
      <sheetName val="8_227"/>
      <sheetName val="Piso_2-527"/>
      <sheetName val="Liebman_13415"/>
      <sheetName val="PROYECTOS_2015_14"/>
      <sheetName val="pu_Estructuras14"/>
      <sheetName val="P_U_14"/>
      <sheetName val="G_G_ESTRUC_14"/>
      <sheetName val="RESUMEN_CLIENTE14"/>
      <sheetName val="ANÁLISIS_GG14"/>
      <sheetName val="Formato_de_Pedido14"/>
      <sheetName val="Condiciones_Generales_de_Vent14"/>
      <sheetName val="Codigo_de_Diseño14"/>
      <sheetName val="Hoja_de_Recursos14"/>
      <sheetName val="Provisionales_14"/>
      <sheetName val="wagerate_by_craft14"/>
      <sheetName val="PPTO_14"/>
      <sheetName val="A_P_U14"/>
      <sheetName val="Columnas_de__Cerco14"/>
      <sheetName val="Losa_postensado_h=_0_2014"/>
      <sheetName val="Base_de_Equipos14"/>
      <sheetName val="LOSA_DE_PISO_E=_014"/>
      <sheetName val="Columnas_14"/>
      <sheetName val="Muros_de_Cerco14"/>
      <sheetName val="Muros_de_Contencion14"/>
      <sheetName val="Muros_Pantalla_14"/>
      <sheetName val="Cimiento_Corrido14"/>
      <sheetName val="V_C_14"/>
      <sheetName val="Vigas_y_Cortes14"/>
      <sheetName val="Cimentacion_Armada14"/>
      <sheetName val="VIGAS_DE_AMARRE_Y_DINTELES14"/>
      <sheetName val="Relleno_Rampa14"/>
      <sheetName val="Viguetas_Firth14"/>
      <sheetName val="B__equipos14"/>
      <sheetName val="Pump_Calcs14"/>
      <sheetName val="Sol_Val2"/>
      <sheetName val="Res_Val2"/>
      <sheetName val="OBRAS_PROV__Y_PRELIM_2"/>
      <sheetName val="EST_ESCALERAS2"/>
      <sheetName val="PC-19053_RP_PURUCHUCO2"/>
      <sheetName val="Encofrado_BVR_Unispan29"/>
      <sheetName val="Equipo_de_apuntalemiento29"/>
      <sheetName val="Gastos_Generales_BVR29"/>
      <sheetName val="BVR_con_Efco29"/>
      <sheetName val="TIPO_CAMBIO28"/>
      <sheetName val="Tiraje_Mix28"/>
      <sheetName val="MAT_28"/>
      <sheetName val="CONDUCT_18"/>
      <sheetName val="conductores_volquetes18"/>
      <sheetName val="PLANILLAS_FORMATEADAS18"/>
      <sheetName val="CONTEO_DE_DATOS18"/>
      <sheetName val="RESUMEN_DE_PARTIDAS18"/>
      <sheetName val="9_1A18"/>
      <sheetName val="9_2A18"/>
      <sheetName val="9_3A18"/>
      <sheetName val="9_4A18"/>
      <sheetName val="9_5A18"/>
      <sheetName val="9_6A18"/>
      <sheetName val="9_7A18"/>
      <sheetName val="9_8A18"/>
      <sheetName val="9_9A18"/>
      <sheetName val="9_10A18"/>
      <sheetName val="9_11A18"/>
      <sheetName val="9_12A18"/>
      <sheetName val="1_1A18"/>
      <sheetName val="1_2A18"/>
      <sheetName val="1_3A18"/>
      <sheetName val="1_4A18"/>
      <sheetName val="2_1A18"/>
      <sheetName val="2_2A18"/>
      <sheetName val="2_3A18"/>
      <sheetName val="3_1A18"/>
      <sheetName val="3_2A18"/>
      <sheetName val="3_3A18"/>
      <sheetName val="4_1A18"/>
      <sheetName val="4_2A18"/>
      <sheetName val="4_3A18"/>
      <sheetName val="5_1A18"/>
      <sheetName val="5_2A18"/>
      <sheetName val="5_3A18"/>
      <sheetName val="6_1A18"/>
      <sheetName val="6_2A18"/>
      <sheetName val="6_3A18"/>
      <sheetName val="7_1A18"/>
      <sheetName val="7_2A18"/>
      <sheetName val="7_3A18"/>
      <sheetName val="8_1A18"/>
      <sheetName val="8_2A18"/>
      <sheetName val="Resumen_218"/>
      <sheetName val="Resumen_118"/>
      <sheetName val="9_147"/>
      <sheetName val="9_218"/>
      <sheetName val="9_318"/>
      <sheetName val="9_418"/>
      <sheetName val="9_518"/>
      <sheetName val="9_618"/>
      <sheetName val="9_718"/>
      <sheetName val="9_818"/>
      <sheetName val="9_918"/>
      <sheetName val="9_1018"/>
      <sheetName val="9_1119"/>
      <sheetName val="9_1218"/>
      <sheetName val="9_1318"/>
      <sheetName val="1_118"/>
      <sheetName val="1_218"/>
      <sheetName val="1_318"/>
      <sheetName val="2_118"/>
      <sheetName val="2_218"/>
      <sheetName val="2_318"/>
      <sheetName val="3_118"/>
      <sheetName val="3_218"/>
      <sheetName val="3_318"/>
      <sheetName val="4_118"/>
      <sheetName val="4_218"/>
      <sheetName val="4_318"/>
      <sheetName val="5_118"/>
      <sheetName val="5_218"/>
      <sheetName val="5_318"/>
      <sheetName val="6_018"/>
      <sheetName val="6_118"/>
      <sheetName val="6_218"/>
      <sheetName val="6_318"/>
      <sheetName val="7_118"/>
      <sheetName val="7_218"/>
      <sheetName val="7_318"/>
      <sheetName val="8_118"/>
      <sheetName val="8_218"/>
      <sheetName val="Piso_2-518"/>
      <sheetName val="Liebman_1346"/>
      <sheetName val="PROYECTOS_2015_5"/>
      <sheetName val="pu_Estructuras5"/>
      <sheetName val="P_U_5"/>
      <sheetName val="G_G_ESTRUC_5"/>
      <sheetName val="RESUMEN_CLIENTE5"/>
      <sheetName val="ANÁLISIS_GG5"/>
      <sheetName val="Formato_de_Pedido5"/>
      <sheetName val="Condiciones_Generales_de_Venta5"/>
      <sheetName val="Codigo_de_Diseño5"/>
      <sheetName val="Hoja_de_Recursos5"/>
      <sheetName val="Provisionales_5"/>
      <sheetName val="wagerate_by_craft5"/>
      <sheetName val="PPTO_5"/>
      <sheetName val="A_P_U5"/>
      <sheetName val="Columnas_de__Cerco5"/>
      <sheetName val="Losa_postensado_h=_0_205"/>
      <sheetName val="Base_de_Equipos5"/>
      <sheetName val="LOSA_DE_PISO_E=_05"/>
      <sheetName val="Columnas_5"/>
      <sheetName val="Muros_de_Cerco5"/>
      <sheetName val="Muros_de_Contencion5"/>
      <sheetName val="Muros_Pantalla_5"/>
      <sheetName val="Cimiento_Corrido5"/>
      <sheetName val="V_C_5"/>
      <sheetName val="Vigas_y_Cortes5"/>
      <sheetName val="Cimentacion_Armada5"/>
      <sheetName val="VIGAS_DE_AMARRE_Y_DINTELES5"/>
      <sheetName val="Relleno_Rampa5"/>
      <sheetName val="Viguetas_Firth5"/>
      <sheetName val="B__equipos5"/>
      <sheetName val="Pump_Calcs5"/>
      <sheetName val="Encofrado_BVR_Unispan24"/>
      <sheetName val="Equipo_de_apuntalemiento24"/>
      <sheetName val="Gastos_Generales_BVR24"/>
      <sheetName val="BVR_con_Efco24"/>
      <sheetName val="TIPO_CAMBIO23"/>
      <sheetName val="Tiraje_Mix23"/>
      <sheetName val="MAT_23"/>
      <sheetName val="CONDUCT_13"/>
      <sheetName val="conductores_volquetes13"/>
      <sheetName val="PLANILLAS_FORMATEADAS13"/>
      <sheetName val="CONTEO_DE_DATOS13"/>
      <sheetName val="RESUMEN_DE_PARTIDAS13"/>
      <sheetName val="9_1A13"/>
      <sheetName val="9_2A13"/>
      <sheetName val="9_3A13"/>
      <sheetName val="9_4A13"/>
      <sheetName val="9_5A13"/>
      <sheetName val="9_6A13"/>
      <sheetName val="9_7A13"/>
      <sheetName val="9_8A13"/>
      <sheetName val="9_9A13"/>
      <sheetName val="9_10A13"/>
      <sheetName val="9_11A13"/>
      <sheetName val="9_12A13"/>
      <sheetName val="1_1A13"/>
      <sheetName val="1_2A13"/>
      <sheetName val="1_3A13"/>
      <sheetName val="1_4A13"/>
      <sheetName val="2_1A13"/>
      <sheetName val="2_2A13"/>
      <sheetName val="2_3A13"/>
      <sheetName val="3_1A13"/>
      <sheetName val="3_2A13"/>
      <sheetName val="3_3A13"/>
      <sheetName val="4_1A13"/>
      <sheetName val="4_2A13"/>
      <sheetName val="4_3A13"/>
      <sheetName val="5_1A13"/>
      <sheetName val="5_2A13"/>
      <sheetName val="5_3A13"/>
      <sheetName val="6_1A13"/>
      <sheetName val="6_2A13"/>
      <sheetName val="6_3A13"/>
      <sheetName val="7_1A13"/>
      <sheetName val="7_2A13"/>
      <sheetName val="7_3A13"/>
      <sheetName val="8_1A13"/>
      <sheetName val="8_2A13"/>
      <sheetName val="Resumen_213"/>
      <sheetName val="Resumen_113"/>
      <sheetName val="9_142"/>
      <sheetName val="9_213"/>
      <sheetName val="9_313"/>
      <sheetName val="9_413"/>
      <sheetName val="9_513"/>
      <sheetName val="9_613"/>
      <sheetName val="9_713"/>
      <sheetName val="9_813"/>
      <sheetName val="9_913"/>
      <sheetName val="9_1013"/>
      <sheetName val="9_1114"/>
      <sheetName val="9_1213"/>
      <sheetName val="9_1313"/>
      <sheetName val="1_113"/>
      <sheetName val="1_213"/>
      <sheetName val="1_313"/>
      <sheetName val="2_113"/>
      <sheetName val="2_213"/>
      <sheetName val="2_313"/>
      <sheetName val="3_113"/>
      <sheetName val="3_213"/>
      <sheetName val="3_313"/>
      <sheetName val="4_113"/>
      <sheetName val="4_213"/>
      <sheetName val="4_313"/>
      <sheetName val="5_113"/>
      <sheetName val="5_213"/>
      <sheetName val="5_313"/>
      <sheetName val="6_013"/>
      <sheetName val="6_113"/>
      <sheetName val="6_213"/>
      <sheetName val="6_313"/>
      <sheetName val="7_113"/>
      <sheetName val="7_213"/>
      <sheetName val="7_313"/>
      <sheetName val="8_113"/>
      <sheetName val="8_213"/>
      <sheetName val="Piso_2-513"/>
      <sheetName val="ANÁLISIS_GG"/>
      <sheetName val="pu_Estructuras"/>
      <sheetName val="Formato_de_Pedido"/>
      <sheetName val="Condiciones_Generales_de_Venta"/>
      <sheetName val="Codigo_de_Diseño"/>
      <sheetName val="Hoja_de_Recursos"/>
      <sheetName val="Provisionales_"/>
      <sheetName val="wagerate_by_craft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Pump_Calcs"/>
      <sheetName val="Encofrado_BVR_Unispan25"/>
      <sheetName val="Equipo_de_apuntalemiento25"/>
      <sheetName val="Gastos_Generales_BVR25"/>
      <sheetName val="BVR_con_Efco25"/>
      <sheetName val="TIPO_CAMBIO24"/>
      <sheetName val="Tiraje_Mix24"/>
      <sheetName val="MAT_24"/>
      <sheetName val="CONDUCT_14"/>
      <sheetName val="conductores_volquetes14"/>
      <sheetName val="PLANILLAS_FORMATEADAS14"/>
      <sheetName val="CONTEO_DE_DATOS14"/>
      <sheetName val="RESUMEN_DE_PARTIDAS14"/>
      <sheetName val="9_1A14"/>
      <sheetName val="9_2A14"/>
      <sheetName val="9_3A14"/>
      <sheetName val="9_4A14"/>
      <sheetName val="9_5A14"/>
      <sheetName val="9_6A14"/>
      <sheetName val="9_7A14"/>
      <sheetName val="9_8A14"/>
      <sheetName val="9_9A14"/>
      <sheetName val="9_10A14"/>
      <sheetName val="9_11A14"/>
      <sheetName val="9_12A14"/>
      <sheetName val="1_1A14"/>
      <sheetName val="1_2A14"/>
      <sheetName val="1_3A14"/>
      <sheetName val="1_4A14"/>
      <sheetName val="2_1A14"/>
      <sheetName val="2_2A14"/>
      <sheetName val="2_3A14"/>
      <sheetName val="3_1A14"/>
      <sheetName val="3_2A14"/>
      <sheetName val="3_3A14"/>
      <sheetName val="4_1A14"/>
      <sheetName val="4_2A14"/>
      <sheetName val="4_3A14"/>
      <sheetName val="5_1A14"/>
      <sheetName val="5_2A14"/>
      <sheetName val="5_3A14"/>
      <sheetName val="6_1A14"/>
      <sheetName val="6_2A14"/>
      <sheetName val="6_3A14"/>
      <sheetName val="7_1A14"/>
      <sheetName val="7_2A14"/>
      <sheetName val="7_3A14"/>
      <sheetName val="8_1A14"/>
      <sheetName val="8_2A14"/>
      <sheetName val="Resumen_214"/>
      <sheetName val="Resumen_114"/>
      <sheetName val="9_143"/>
      <sheetName val="9_214"/>
      <sheetName val="9_314"/>
      <sheetName val="9_414"/>
      <sheetName val="9_514"/>
      <sheetName val="9_614"/>
      <sheetName val="9_714"/>
      <sheetName val="9_814"/>
      <sheetName val="9_914"/>
      <sheetName val="9_1014"/>
      <sheetName val="9_1115"/>
      <sheetName val="9_1214"/>
      <sheetName val="9_1314"/>
      <sheetName val="1_114"/>
      <sheetName val="1_214"/>
      <sheetName val="1_314"/>
      <sheetName val="2_114"/>
      <sheetName val="2_214"/>
      <sheetName val="2_314"/>
      <sheetName val="3_114"/>
      <sheetName val="3_214"/>
      <sheetName val="3_314"/>
      <sheetName val="4_114"/>
      <sheetName val="4_214"/>
      <sheetName val="4_314"/>
      <sheetName val="5_114"/>
      <sheetName val="5_214"/>
      <sheetName val="5_314"/>
      <sheetName val="6_014"/>
      <sheetName val="6_114"/>
      <sheetName val="6_214"/>
      <sheetName val="6_314"/>
      <sheetName val="7_114"/>
      <sheetName val="7_214"/>
      <sheetName val="7_314"/>
      <sheetName val="8_114"/>
      <sheetName val="8_214"/>
      <sheetName val="Piso_2-514"/>
      <sheetName val="Liebman_1342"/>
      <sheetName val="PROYECTOS_2015_1"/>
      <sheetName val="pu_Estructuras1"/>
      <sheetName val="P_U_1"/>
      <sheetName val="G_G_ESTRUC_1"/>
      <sheetName val="RESUMEN_CLIENTE1"/>
      <sheetName val="ANÁLISIS_GG1"/>
      <sheetName val="Formato_de_Pedido1"/>
      <sheetName val="Condiciones_Generales_de_Venta1"/>
      <sheetName val="Codigo_de_Diseño1"/>
      <sheetName val="Hoja_de_Recursos1"/>
      <sheetName val="Provisionales_1"/>
      <sheetName val="wagerate_by_craft1"/>
      <sheetName val="PPTO_1"/>
      <sheetName val="A_P_U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Pump_Calcs1"/>
      <sheetName val="Encofrado_BVR_Unispan26"/>
      <sheetName val="Equipo_de_apuntalemiento26"/>
      <sheetName val="Gastos_Generales_BVR26"/>
      <sheetName val="BVR_con_Efco26"/>
      <sheetName val="TIPO_CAMBIO25"/>
      <sheetName val="Tiraje_Mix25"/>
      <sheetName val="MAT_25"/>
      <sheetName val="CONDUCT_15"/>
      <sheetName val="conductores_volquetes15"/>
      <sheetName val="PLANILLAS_FORMATEADAS15"/>
      <sheetName val="CONTEO_DE_DATOS15"/>
      <sheetName val="RESUMEN_DE_PARTIDAS15"/>
      <sheetName val="9_1A15"/>
      <sheetName val="9_2A15"/>
      <sheetName val="9_3A15"/>
      <sheetName val="9_4A15"/>
      <sheetName val="9_5A15"/>
      <sheetName val="9_6A15"/>
      <sheetName val="9_7A15"/>
      <sheetName val="9_8A15"/>
      <sheetName val="9_9A15"/>
      <sheetName val="9_10A15"/>
      <sheetName val="9_11A15"/>
      <sheetName val="9_12A15"/>
      <sheetName val="1_1A15"/>
      <sheetName val="1_2A15"/>
      <sheetName val="1_3A15"/>
      <sheetName val="1_4A15"/>
      <sheetName val="2_1A15"/>
      <sheetName val="2_2A15"/>
      <sheetName val="2_3A15"/>
      <sheetName val="3_1A15"/>
      <sheetName val="3_2A15"/>
      <sheetName val="3_3A15"/>
      <sheetName val="4_1A15"/>
      <sheetName val="4_2A15"/>
      <sheetName val="4_3A15"/>
      <sheetName val="5_1A15"/>
      <sheetName val="5_2A15"/>
      <sheetName val="5_3A15"/>
      <sheetName val="6_1A15"/>
      <sheetName val="6_2A15"/>
      <sheetName val="6_3A15"/>
      <sheetName val="7_1A15"/>
      <sheetName val="7_2A15"/>
      <sheetName val="7_3A15"/>
      <sheetName val="8_1A15"/>
      <sheetName val="8_2A15"/>
      <sheetName val="Resumen_215"/>
      <sheetName val="Resumen_115"/>
      <sheetName val="9_144"/>
      <sheetName val="9_215"/>
      <sheetName val="9_315"/>
      <sheetName val="9_415"/>
      <sheetName val="9_515"/>
      <sheetName val="9_615"/>
      <sheetName val="9_715"/>
      <sheetName val="9_815"/>
      <sheetName val="9_915"/>
      <sheetName val="9_1015"/>
      <sheetName val="9_1116"/>
      <sheetName val="9_1215"/>
      <sheetName val="9_1315"/>
      <sheetName val="1_115"/>
      <sheetName val="1_215"/>
      <sheetName val="1_315"/>
      <sheetName val="2_115"/>
      <sheetName val="2_215"/>
      <sheetName val="2_315"/>
      <sheetName val="3_115"/>
      <sheetName val="3_215"/>
      <sheetName val="3_315"/>
      <sheetName val="4_115"/>
      <sheetName val="4_215"/>
      <sheetName val="4_315"/>
      <sheetName val="5_115"/>
      <sheetName val="5_215"/>
      <sheetName val="5_315"/>
      <sheetName val="6_015"/>
      <sheetName val="6_115"/>
      <sheetName val="6_215"/>
      <sheetName val="6_315"/>
      <sheetName val="7_115"/>
      <sheetName val="7_215"/>
      <sheetName val="7_315"/>
      <sheetName val="8_115"/>
      <sheetName val="8_215"/>
      <sheetName val="Piso_2-515"/>
      <sheetName val="Liebman_1343"/>
      <sheetName val="PROYECTOS_2015_2"/>
      <sheetName val="pu_Estructuras2"/>
      <sheetName val="P_U_2"/>
      <sheetName val="G_G_ESTRUC_2"/>
      <sheetName val="RESUMEN_CLIENTE2"/>
      <sheetName val="ANÁLISIS_GG2"/>
      <sheetName val="Formato_de_Pedido2"/>
      <sheetName val="Condiciones_Generales_de_Venta2"/>
      <sheetName val="Codigo_de_Diseño2"/>
      <sheetName val="Hoja_de_Recursos2"/>
      <sheetName val="Provisionales_2"/>
      <sheetName val="wagerate_by_craft2"/>
      <sheetName val="PPTO_2"/>
      <sheetName val="A_P_U2"/>
      <sheetName val="Columnas_de__Cerco2"/>
      <sheetName val="Losa_postensado_h=_0_202"/>
      <sheetName val="Base_de_Equipos2"/>
      <sheetName val="LOSA_DE_PISO_E=_02"/>
      <sheetName val="Columnas_2"/>
      <sheetName val="Muros_de_Cerco2"/>
      <sheetName val="Muros_de_Contencion2"/>
      <sheetName val="Muros_Pantalla_2"/>
      <sheetName val="Cimiento_Corrido2"/>
      <sheetName val="V_C_2"/>
      <sheetName val="Vigas_y_Cortes2"/>
      <sheetName val="Cimentacion_Armada2"/>
      <sheetName val="VIGAS_DE_AMARRE_Y_DINTELES2"/>
      <sheetName val="Relleno_Rampa2"/>
      <sheetName val="Viguetas_Firth2"/>
      <sheetName val="B__equipos2"/>
      <sheetName val="Pump_Calcs2"/>
      <sheetName val="Encofrado_BVR_Unispan28"/>
      <sheetName val="Equipo_de_apuntalemiento28"/>
      <sheetName val="Gastos_Generales_BVR28"/>
      <sheetName val="BVR_con_Efco28"/>
      <sheetName val="TIPO_CAMBIO27"/>
      <sheetName val="Tiraje_Mix27"/>
      <sheetName val="MAT_27"/>
      <sheetName val="CONDUCT_17"/>
      <sheetName val="conductores_volquetes17"/>
      <sheetName val="PLANILLAS_FORMATEADAS17"/>
      <sheetName val="CONTEO_DE_DATOS17"/>
      <sheetName val="RESUMEN_DE_PARTIDAS17"/>
      <sheetName val="9_1A17"/>
      <sheetName val="9_2A17"/>
      <sheetName val="9_3A17"/>
      <sheetName val="9_4A17"/>
      <sheetName val="9_5A17"/>
      <sheetName val="9_6A17"/>
      <sheetName val="9_7A17"/>
      <sheetName val="9_8A17"/>
      <sheetName val="9_9A17"/>
      <sheetName val="9_10A17"/>
      <sheetName val="9_11A17"/>
      <sheetName val="9_12A17"/>
      <sheetName val="1_1A17"/>
      <sheetName val="1_2A17"/>
      <sheetName val="1_3A17"/>
      <sheetName val="1_4A17"/>
      <sheetName val="2_1A17"/>
      <sheetName val="2_2A17"/>
      <sheetName val="2_3A17"/>
      <sheetName val="3_1A17"/>
      <sheetName val="3_2A17"/>
      <sheetName val="3_3A17"/>
      <sheetName val="4_1A17"/>
      <sheetName val="4_2A17"/>
      <sheetName val="4_3A17"/>
      <sheetName val="5_1A17"/>
      <sheetName val="5_2A17"/>
      <sheetName val="5_3A17"/>
      <sheetName val="6_1A17"/>
      <sheetName val="6_2A17"/>
      <sheetName val="6_3A17"/>
      <sheetName val="7_1A17"/>
      <sheetName val="7_2A17"/>
      <sheetName val="7_3A17"/>
      <sheetName val="8_1A17"/>
      <sheetName val="8_2A17"/>
      <sheetName val="Resumen_217"/>
      <sheetName val="Resumen_117"/>
      <sheetName val="9_146"/>
      <sheetName val="9_217"/>
      <sheetName val="9_317"/>
      <sheetName val="9_417"/>
      <sheetName val="9_517"/>
      <sheetName val="9_617"/>
      <sheetName val="9_717"/>
      <sheetName val="9_817"/>
      <sheetName val="9_917"/>
      <sheetName val="9_1017"/>
      <sheetName val="9_1118"/>
      <sheetName val="9_1217"/>
      <sheetName val="9_1317"/>
      <sheetName val="1_117"/>
      <sheetName val="1_217"/>
      <sheetName val="1_317"/>
      <sheetName val="2_117"/>
      <sheetName val="2_217"/>
      <sheetName val="2_317"/>
      <sheetName val="3_117"/>
      <sheetName val="3_217"/>
      <sheetName val="3_317"/>
      <sheetName val="4_117"/>
      <sheetName val="4_217"/>
      <sheetName val="4_317"/>
      <sheetName val="5_117"/>
      <sheetName val="5_217"/>
      <sheetName val="5_317"/>
      <sheetName val="6_017"/>
      <sheetName val="6_117"/>
      <sheetName val="6_217"/>
      <sheetName val="6_317"/>
      <sheetName val="7_117"/>
      <sheetName val="7_217"/>
      <sheetName val="7_317"/>
      <sheetName val="8_117"/>
      <sheetName val="8_217"/>
      <sheetName val="Piso_2-517"/>
      <sheetName val="Liebman_1345"/>
      <sheetName val="PROYECTOS_2015_4"/>
      <sheetName val="pu_Estructuras4"/>
      <sheetName val="P_U_4"/>
      <sheetName val="G_G_ESTRUC_4"/>
      <sheetName val="RESUMEN_CLIENTE4"/>
      <sheetName val="ANÁLISIS_GG4"/>
      <sheetName val="Formato_de_Pedido4"/>
      <sheetName val="Condiciones_Generales_de_Venta4"/>
      <sheetName val="Codigo_de_Diseño4"/>
      <sheetName val="Hoja_de_Recursos4"/>
      <sheetName val="Provisionales_4"/>
      <sheetName val="wagerate_by_craft4"/>
      <sheetName val="PPTO_4"/>
      <sheetName val="A_P_U4"/>
      <sheetName val="Columnas_de__Cerco4"/>
      <sheetName val="Losa_postensado_h=_0_204"/>
      <sheetName val="Base_de_Equipos4"/>
      <sheetName val="LOSA_DE_PISO_E=_04"/>
      <sheetName val="Columnas_4"/>
      <sheetName val="Muros_de_Cerco4"/>
      <sheetName val="Muros_de_Contencion4"/>
      <sheetName val="Muros_Pantalla_4"/>
      <sheetName val="Cimiento_Corrido4"/>
      <sheetName val="V_C_4"/>
      <sheetName val="Vigas_y_Cortes4"/>
      <sheetName val="Cimentacion_Armada4"/>
      <sheetName val="VIGAS_DE_AMARRE_Y_DINTELES4"/>
      <sheetName val="Relleno_Rampa4"/>
      <sheetName val="Viguetas_Firth4"/>
      <sheetName val="B__equipos4"/>
      <sheetName val="Pump_Calcs4"/>
      <sheetName val="Encofrado_BVR_Unispan27"/>
      <sheetName val="Equipo_de_apuntalemiento27"/>
      <sheetName val="Gastos_Generales_BVR27"/>
      <sheetName val="BVR_con_Efco27"/>
      <sheetName val="TIPO_CAMBIO26"/>
      <sheetName val="Tiraje_Mix26"/>
      <sheetName val="MAT_26"/>
      <sheetName val="CONDUCT_16"/>
      <sheetName val="conductores_volquetes16"/>
      <sheetName val="PLANILLAS_FORMATEADAS16"/>
      <sheetName val="CONTEO_DE_DATOS16"/>
      <sheetName val="RESUMEN_DE_PARTIDAS16"/>
      <sheetName val="9_1A16"/>
      <sheetName val="9_2A16"/>
      <sheetName val="9_3A16"/>
      <sheetName val="9_4A16"/>
      <sheetName val="9_5A16"/>
      <sheetName val="9_6A16"/>
      <sheetName val="9_7A16"/>
      <sheetName val="9_8A16"/>
      <sheetName val="9_9A16"/>
      <sheetName val="9_10A16"/>
      <sheetName val="9_11A16"/>
      <sheetName val="9_12A16"/>
      <sheetName val="1_1A16"/>
      <sheetName val="1_2A16"/>
      <sheetName val="1_3A16"/>
      <sheetName val="1_4A16"/>
      <sheetName val="2_1A16"/>
      <sheetName val="2_2A16"/>
      <sheetName val="2_3A16"/>
      <sheetName val="3_1A16"/>
      <sheetName val="3_2A16"/>
      <sheetName val="3_3A16"/>
      <sheetName val="4_1A16"/>
      <sheetName val="4_2A16"/>
      <sheetName val="4_3A16"/>
      <sheetName val="5_1A16"/>
      <sheetName val="5_2A16"/>
      <sheetName val="5_3A16"/>
      <sheetName val="6_1A16"/>
      <sheetName val="6_2A16"/>
      <sheetName val="6_3A16"/>
      <sheetName val="7_1A16"/>
      <sheetName val="7_2A16"/>
      <sheetName val="7_3A16"/>
      <sheetName val="8_1A16"/>
      <sheetName val="8_2A16"/>
      <sheetName val="Resumen_216"/>
      <sheetName val="Resumen_116"/>
      <sheetName val="9_145"/>
      <sheetName val="9_216"/>
      <sheetName val="9_316"/>
      <sheetName val="9_416"/>
      <sheetName val="9_516"/>
      <sheetName val="9_616"/>
      <sheetName val="9_716"/>
      <sheetName val="9_816"/>
      <sheetName val="9_916"/>
      <sheetName val="9_1016"/>
      <sheetName val="9_1117"/>
      <sheetName val="9_1216"/>
      <sheetName val="9_1316"/>
      <sheetName val="1_116"/>
      <sheetName val="1_216"/>
      <sheetName val="1_316"/>
      <sheetName val="2_116"/>
      <sheetName val="2_216"/>
      <sheetName val="2_316"/>
      <sheetName val="3_116"/>
      <sheetName val="3_216"/>
      <sheetName val="3_316"/>
      <sheetName val="4_116"/>
      <sheetName val="4_216"/>
      <sheetName val="4_316"/>
      <sheetName val="5_116"/>
      <sheetName val="5_216"/>
      <sheetName val="5_316"/>
      <sheetName val="6_016"/>
      <sheetName val="6_116"/>
      <sheetName val="6_216"/>
      <sheetName val="6_316"/>
      <sheetName val="7_116"/>
      <sheetName val="7_216"/>
      <sheetName val="7_316"/>
      <sheetName val="8_116"/>
      <sheetName val="8_216"/>
      <sheetName val="Piso_2-516"/>
      <sheetName val="Liebman_1344"/>
      <sheetName val="PROYECTOS_2015_3"/>
      <sheetName val="pu_Estructuras3"/>
      <sheetName val="P_U_3"/>
      <sheetName val="G_G_ESTRUC_3"/>
      <sheetName val="RESUMEN_CLIENTE3"/>
      <sheetName val="ANÁLISIS_GG3"/>
      <sheetName val="Formato_de_Pedido3"/>
      <sheetName val="Condiciones_Generales_de_Venta3"/>
      <sheetName val="Codigo_de_Diseño3"/>
      <sheetName val="Hoja_de_Recursos3"/>
      <sheetName val="Provisionales_3"/>
      <sheetName val="wagerate_by_craft3"/>
      <sheetName val="PPTO_3"/>
      <sheetName val="A_P_U3"/>
      <sheetName val="Columnas_de__Cerco3"/>
      <sheetName val="Losa_postensado_h=_0_203"/>
      <sheetName val="Base_de_Equipos3"/>
      <sheetName val="LOSA_DE_PISO_E=_03"/>
      <sheetName val="Columnas_3"/>
      <sheetName val="Muros_de_Cerco3"/>
      <sheetName val="Muros_de_Contencion3"/>
      <sheetName val="Muros_Pantalla_3"/>
      <sheetName val="Cimiento_Corrido3"/>
      <sheetName val="V_C_3"/>
      <sheetName val="Vigas_y_Cortes3"/>
      <sheetName val="Cimentacion_Armada3"/>
      <sheetName val="VIGAS_DE_AMARRE_Y_DINTELES3"/>
      <sheetName val="Relleno_Rampa3"/>
      <sheetName val="Viguetas_Firth3"/>
      <sheetName val="B__equipos3"/>
      <sheetName val="Pump_Calcs3"/>
      <sheetName val="Encofrado_BVR_Unispan30"/>
      <sheetName val="Equipo_de_apuntalemiento30"/>
      <sheetName val="Gastos_Generales_BVR30"/>
      <sheetName val="BVR_con_Efco30"/>
      <sheetName val="TIPO_CAMBIO29"/>
      <sheetName val="Tiraje_Mix29"/>
      <sheetName val="MAT_29"/>
      <sheetName val="CONDUCT_19"/>
      <sheetName val="conductores_volquetes19"/>
      <sheetName val="PLANILLAS_FORMATEADAS19"/>
      <sheetName val="CONTEO_DE_DATOS19"/>
      <sheetName val="RESUMEN_DE_PARTIDAS19"/>
      <sheetName val="9_1A19"/>
      <sheetName val="9_2A19"/>
      <sheetName val="9_3A19"/>
      <sheetName val="9_4A19"/>
      <sheetName val="9_5A19"/>
      <sheetName val="9_6A19"/>
      <sheetName val="9_7A19"/>
      <sheetName val="9_8A19"/>
      <sheetName val="9_9A19"/>
      <sheetName val="9_10A19"/>
      <sheetName val="9_11A19"/>
      <sheetName val="9_12A19"/>
      <sheetName val="1_1A19"/>
      <sheetName val="1_2A19"/>
      <sheetName val="1_3A19"/>
      <sheetName val="1_4A19"/>
      <sheetName val="2_1A19"/>
      <sheetName val="2_2A19"/>
      <sheetName val="2_3A19"/>
      <sheetName val="3_1A19"/>
      <sheetName val="3_2A19"/>
      <sheetName val="3_3A19"/>
      <sheetName val="4_1A19"/>
      <sheetName val="4_2A19"/>
      <sheetName val="4_3A19"/>
      <sheetName val="5_1A19"/>
      <sheetName val="5_2A19"/>
      <sheetName val="5_3A19"/>
      <sheetName val="6_1A19"/>
      <sheetName val="6_2A19"/>
      <sheetName val="6_3A19"/>
      <sheetName val="7_1A19"/>
      <sheetName val="7_2A19"/>
      <sheetName val="7_3A19"/>
      <sheetName val="8_1A19"/>
      <sheetName val="8_2A19"/>
      <sheetName val="Resumen_219"/>
      <sheetName val="Resumen_119"/>
      <sheetName val="9_148"/>
      <sheetName val="9_219"/>
      <sheetName val="9_319"/>
      <sheetName val="9_419"/>
      <sheetName val="9_519"/>
      <sheetName val="9_619"/>
      <sheetName val="9_719"/>
      <sheetName val="9_819"/>
      <sheetName val="9_919"/>
      <sheetName val="9_1019"/>
      <sheetName val="9_1120"/>
      <sheetName val="9_1219"/>
      <sheetName val="9_1319"/>
      <sheetName val="1_119"/>
      <sheetName val="1_219"/>
      <sheetName val="1_319"/>
      <sheetName val="2_119"/>
      <sheetName val="2_219"/>
      <sheetName val="2_319"/>
      <sheetName val="3_119"/>
      <sheetName val="3_219"/>
      <sheetName val="3_319"/>
      <sheetName val="4_119"/>
      <sheetName val="4_219"/>
      <sheetName val="4_319"/>
      <sheetName val="5_119"/>
      <sheetName val="5_219"/>
      <sheetName val="5_319"/>
      <sheetName val="6_019"/>
      <sheetName val="6_119"/>
      <sheetName val="6_219"/>
      <sheetName val="6_319"/>
      <sheetName val="7_119"/>
      <sheetName val="7_219"/>
      <sheetName val="7_319"/>
      <sheetName val="8_119"/>
      <sheetName val="8_219"/>
      <sheetName val="Piso_2-519"/>
      <sheetName val="Liebman_1347"/>
      <sheetName val="PROYECTOS_2015_6"/>
      <sheetName val="pu_Estructuras6"/>
      <sheetName val="P_U_6"/>
      <sheetName val="G_G_ESTRUC_6"/>
      <sheetName val="RESUMEN_CLIENTE6"/>
      <sheetName val="ANÁLISIS_GG6"/>
      <sheetName val="Formato_de_Pedido6"/>
      <sheetName val="Condiciones_Generales_de_Venta6"/>
      <sheetName val="Codigo_de_Diseño6"/>
      <sheetName val="Hoja_de_Recursos6"/>
      <sheetName val="Provisionales_6"/>
      <sheetName val="wagerate_by_craft6"/>
      <sheetName val="PPTO_6"/>
      <sheetName val="A_P_U6"/>
      <sheetName val="Columnas_de__Cerco6"/>
      <sheetName val="Losa_postensado_h=_0_206"/>
      <sheetName val="Base_de_Equipos6"/>
      <sheetName val="LOSA_DE_PISO_E=_06"/>
      <sheetName val="Columnas_6"/>
      <sheetName val="Muros_de_Cerco6"/>
      <sheetName val="Muros_de_Contencion6"/>
      <sheetName val="Muros_Pantalla_6"/>
      <sheetName val="Cimiento_Corrido6"/>
      <sheetName val="V_C_6"/>
      <sheetName val="Vigas_y_Cortes6"/>
      <sheetName val="Cimentacion_Armada6"/>
      <sheetName val="VIGAS_DE_AMARRE_Y_DINTELES6"/>
      <sheetName val="Relleno_Rampa6"/>
      <sheetName val="Viguetas_Firth6"/>
      <sheetName val="B__equipos6"/>
      <sheetName val="Pump_Calcs6"/>
      <sheetName val="Encofrado_BVR_Unispan31"/>
      <sheetName val="Equipo_de_apuntalemiento31"/>
      <sheetName val="Gastos_Generales_BVR31"/>
      <sheetName val="BVR_con_Efco31"/>
      <sheetName val="TIPO_CAMBIO30"/>
      <sheetName val="Tiraje_Mix30"/>
      <sheetName val="MAT_30"/>
      <sheetName val="CONDUCT_20"/>
      <sheetName val="conductores_volquetes20"/>
      <sheetName val="PLANILLAS_FORMATEADAS20"/>
      <sheetName val="CONTEO_DE_DATOS20"/>
      <sheetName val="RESUMEN_DE_PARTIDAS20"/>
      <sheetName val="9_1A20"/>
      <sheetName val="9_2A20"/>
      <sheetName val="9_3A20"/>
      <sheetName val="9_4A20"/>
      <sheetName val="9_5A20"/>
      <sheetName val="9_6A20"/>
      <sheetName val="9_7A20"/>
      <sheetName val="9_8A20"/>
      <sheetName val="9_9A20"/>
      <sheetName val="9_10A20"/>
      <sheetName val="9_11A20"/>
      <sheetName val="9_12A20"/>
      <sheetName val="1_1A20"/>
      <sheetName val="1_2A20"/>
      <sheetName val="1_3A20"/>
      <sheetName val="1_4A20"/>
      <sheetName val="2_1A20"/>
      <sheetName val="2_2A20"/>
      <sheetName val="2_3A20"/>
      <sheetName val="3_1A20"/>
      <sheetName val="3_2A20"/>
      <sheetName val="3_3A20"/>
      <sheetName val="4_1A20"/>
      <sheetName val="4_2A20"/>
      <sheetName val="4_3A20"/>
      <sheetName val="5_1A20"/>
      <sheetName val="5_2A20"/>
      <sheetName val="5_3A20"/>
      <sheetName val="6_1A20"/>
      <sheetName val="6_2A20"/>
      <sheetName val="6_3A20"/>
      <sheetName val="7_1A20"/>
      <sheetName val="7_2A20"/>
      <sheetName val="7_3A20"/>
      <sheetName val="8_1A20"/>
      <sheetName val="8_2A20"/>
      <sheetName val="Resumen_220"/>
      <sheetName val="Resumen_120"/>
      <sheetName val="9_149"/>
      <sheetName val="9_220"/>
      <sheetName val="9_320"/>
      <sheetName val="9_420"/>
      <sheetName val="9_520"/>
      <sheetName val="9_620"/>
      <sheetName val="9_720"/>
      <sheetName val="9_820"/>
      <sheetName val="9_920"/>
      <sheetName val="9_1020"/>
      <sheetName val="9_1121"/>
      <sheetName val="9_1220"/>
      <sheetName val="9_1320"/>
      <sheetName val="1_120"/>
      <sheetName val="1_220"/>
      <sheetName val="1_320"/>
      <sheetName val="2_120"/>
      <sheetName val="2_220"/>
      <sheetName val="2_320"/>
      <sheetName val="3_120"/>
      <sheetName val="3_220"/>
      <sheetName val="3_320"/>
      <sheetName val="4_120"/>
      <sheetName val="4_220"/>
      <sheetName val="4_320"/>
      <sheetName val="5_120"/>
      <sheetName val="5_220"/>
      <sheetName val="5_320"/>
      <sheetName val="6_020"/>
      <sheetName val="6_120"/>
      <sheetName val="6_220"/>
      <sheetName val="6_320"/>
      <sheetName val="7_120"/>
      <sheetName val="7_220"/>
      <sheetName val="7_320"/>
      <sheetName val="8_120"/>
      <sheetName val="8_220"/>
      <sheetName val="Piso_2-520"/>
      <sheetName val="Liebman_1348"/>
      <sheetName val="PROYECTOS_2015_7"/>
      <sheetName val="pu_Estructuras7"/>
      <sheetName val="P_U_7"/>
      <sheetName val="G_G_ESTRUC_7"/>
      <sheetName val="RESUMEN_CLIENTE7"/>
      <sheetName val="ANÁLISIS_GG7"/>
      <sheetName val="Formato_de_Pedido7"/>
      <sheetName val="Condiciones_Generales_de_Venta7"/>
      <sheetName val="Codigo_de_Diseño7"/>
      <sheetName val="Hoja_de_Recursos7"/>
      <sheetName val="Provisionales_7"/>
      <sheetName val="wagerate_by_craft7"/>
      <sheetName val="PPTO_7"/>
      <sheetName val="A_P_U7"/>
      <sheetName val="Columnas_de__Cerco7"/>
      <sheetName val="Losa_postensado_h=_0_207"/>
      <sheetName val="Base_de_Equipos7"/>
      <sheetName val="LOSA_DE_PISO_E=_07"/>
      <sheetName val="Columnas_7"/>
      <sheetName val="Muros_de_Cerco7"/>
      <sheetName val="Muros_de_Contencion7"/>
      <sheetName val="Muros_Pantalla_7"/>
      <sheetName val="Cimiento_Corrido7"/>
      <sheetName val="V_C_7"/>
      <sheetName val="Vigas_y_Cortes7"/>
      <sheetName val="Cimentacion_Armada7"/>
      <sheetName val="VIGAS_DE_AMARRE_Y_DINTELES7"/>
      <sheetName val="Relleno_Rampa7"/>
      <sheetName val="Viguetas_Firth7"/>
      <sheetName val="B__equipos7"/>
      <sheetName val="Pump_Calcs7"/>
      <sheetName val="Encofrado_BVR_Unispan32"/>
      <sheetName val="Equipo_de_apuntalemiento32"/>
      <sheetName val="Gastos_Generales_BVR32"/>
      <sheetName val="BVR_con_Efco32"/>
      <sheetName val="TIPO_CAMBIO31"/>
      <sheetName val="Tiraje_Mix31"/>
      <sheetName val="MAT_31"/>
      <sheetName val="CONDUCT_21"/>
      <sheetName val="conductores_volquetes21"/>
      <sheetName val="PLANILLAS_FORMATEADAS21"/>
      <sheetName val="CONTEO_DE_DATOS21"/>
      <sheetName val="RESUMEN_DE_PARTIDAS21"/>
      <sheetName val="9_1A21"/>
      <sheetName val="9_2A21"/>
      <sheetName val="9_3A21"/>
      <sheetName val="9_4A21"/>
      <sheetName val="9_5A21"/>
      <sheetName val="9_6A21"/>
      <sheetName val="9_7A21"/>
      <sheetName val="9_8A21"/>
      <sheetName val="9_9A21"/>
      <sheetName val="9_10A21"/>
      <sheetName val="9_11A21"/>
      <sheetName val="9_12A21"/>
      <sheetName val="1_1A21"/>
      <sheetName val="1_2A21"/>
      <sheetName val="1_3A21"/>
      <sheetName val="1_4A21"/>
      <sheetName val="2_1A21"/>
      <sheetName val="2_2A21"/>
      <sheetName val="2_3A21"/>
      <sheetName val="3_1A21"/>
      <sheetName val="3_2A21"/>
      <sheetName val="3_3A21"/>
      <sheetName val="4_1A21"/>
      <sheetName val="4_2A21"/>
      <sheetName val="4_3A21"/>
      <sheetName val="5_1A21"/>
      <sheetName val="5_2A21"/>
      <sheetName val="5_3A21"/>
      <sheetName val="6_1A21"/>
      <sheetName val="6_2A21"/>
      <sheetName val="6_3A21"/>
      <sheetName val="7_1A21"/>
      <sheetName val="7_2A21"/>
      <sheetName val="7_3A21"/>
      <sheetName val="8_1A21"/>
      <sheetName val="8_2A21"/>
      <sheetName val="Resumen_221"/>
      <sheetName val="Resumen_121"/>
      <sheetName val="9_150"/>
      <sheetName val="9_221"/>
      <sheetName val="9_321"/>
      <sheetName val="9_421"/>
      <sheetName val="9_521"/>
      <sheetName val="9_621"/>
      <sheetName val="9_721"/>
      <sheetName val="9_821"/>
      <sheetName val="9_921"/>
      <sheetName val="9_1021"/>
      <sheetName val="9_1122"/>
      <sheetName val="9_1221"/>
      <sheetName val="9_1321"/>
      <sheetName val="1_121"/>
      <sheetName val="1_221"/>
      <sheetName val="1_321"/>
      <sheetName val="2_121"/>
      <sheetName val="2_221"/>
      <sheetName val="2_321"/>
      <sheetName val="3_121"/>
      <sheetName val="3_221"/>
      <sheetName val="3_321"/>
      <sheetName val="4_121"/>
      <sheetName val="4_221"/>
      <sheetName val="4_321"/>
      <sheetName val="5_121"/>
      <sheetName val="5_221"/>
      <sheetName val="5_321"/>
      <sheetName val="6_021"/>
      <sheetName val="6_121"/>
      <sheetName val="6_221"/>
      <sheetName val="6_321"/>
      <sheetName val="7_121"/>
      <sheetName val="7_221"/>
      <sheetName val="7_321"/>
      <sheetName val="8_121"/>
      <sheetName val="8_221"/>
      <sheetName val="Piso_2-521"/>
      <sheetName val="Liebman_1349"/>
      <sheetName val="PROYECTOS_2015_8"/>
      <sheetName val="pu_Estructuras8"/>
      <sheetName val="P_U_8"/>
      <sheetName val="G_G_ESTRUC_8"/>
      <sheetName val="RESUMEN_CLIENTE8"/>
      <sheetName val="ANÁLISIS_GG8"/>
      <sheetName val="Formato_de_Pedido8"/>
      <sheetName val="Condiciones_Generales_de_Venta8"/>
      <sheetName val="Codigo_de_Diseño8"/>
      <sheetName val="Hoja_de_Recursos8"/>
      <sheetName val="Provisionales_8"/>
      <sheetName val="wagerate_by_craft8"/>
      <sheetName val="PPTO_8"/>
      <sheetName val="A_P_U8"/>
      <sheetName val="Columnas_de__Cerco8"/>
      <sheetName val="Losa_postensado_h=_0_208"/>
      <sheetName val="Base_de_Equipos8"/>
      <sheetName val="LOSA_DE_PISO_E=_08"/>
      <sheetName val="Columnas_8"/>
      <sheetName val="Muros_de_Cerco8"/>
      <sheetName val="Muros_de_Contencion8"/>
      <sheetName val="Muros_Pantalla_8"/>
      <sheetName val="Cimiento_Corrido8"/>
      <sheetName val="V_C_8"/>
      <sheetName val="Vigas_y_Cortes8"/>
      <sheetName val="Cimentacion_Armada8"/>
      <sheetName val="VIGAS_DE_AMARRE_Y_DINTELES8"/>
      <sheetName val="Relleno_Rampa8"/>
      <sheetName val="Viguetas_Firth8"/>
      <sheetName val="B__equipos8"/>
      <sheetName val="Pump_Calcs8"/>
      <sheetName val="Encofrado_BVR_Unispan33"/>
      <sheetName val="Equipo_de_apuntalemiento33"/>
      <sheetName val="Gastos_Generales_BVR33"/>
      <sheetName val="BVR_con_Efco33"/>
      <sheetName val="TIPO_CAMBIO32"/>
      <sheetName val="Tiraje_Mix32"/>
      <sheetName val="MAT_32"/>
      <sheetName val="CONDUCT_22"/>
      <sheetName val="conductores_volquetes22"/>
      <sheetName val="PLANILLAS_FORMATEADAS22"/>
      <sheetName val="CONTEO_DE_DATOS22"/>
      <sheetName val="RESUMEN_DE_PARTIDAS22"/>
      <sheetName val="9_1A22"/>
      <sheetName val="9_2A22"/>
      <sheetName val="9_3A22"/>
      <sheetName val="9_4A22"/>
      <sheetName val="9_5A22"/>
      <sheetName val="9_6A22"/>
      <sheetName val="9_7A22"/>
      <sheetName val="9_8A22"/>
      <sheetName val="9_9A22"/>
      <sheetName val="9_10A22"/>
      <sheetName val="9_11A22"/>
      <sheetName val="9_12A22"/>
      <sheetName val="1_1A22"/>
      <sheetName val="1_2A22"/>
      <sheetName val="1_3A22"/>
      <sheetName val="1_4A22"/>
      <sheetName val="2_1A22"/>
      <sheetName val="2_2A22"/>
      <sheetName val="2_3A22"/>
      <sheetName val="3_1A22"/>
      <sheetName val="3_2A22"/>
      <sheetName val="3_3A22"/>
      <sheetName val="4_1A22"/>
      <sheetName val="4_2A22"/>
      <sheetName val="4_3A22"/>
      <sheetName val="5_1A22"/>
      <sheetName val="5_2A22"/>
      <sheetName val="5_3A22"/>
      <sheetName val="6_1A22"/>
      <sheetName val="6_2A22"/>
      <sheetName val="6_3A22"/>
      <sheetName val="7_1A22"/>
      <sheetName val="7_2A22"/>
      <sheetName val="7_3A22"/>
      <sheetName val="8_1A22"/>
      <sheetName val="8_2A22"/>
      <sheetName val="Resumen_222"/>
      <sheetName val="Resumen_122"/>
      <sheetName val="9_151"/>
      <sheetName val="9_222"/>
      <sheetName val="9_322"/>
      <sheetName val="9_422"/>
      <sheetName val="9_522"/>
      <sheetName val="9_622"/>
      <sheetName val="9_722"/>
      <sheetName val="9_822"/>
      <sheetName val="9_922"/>
      <sheetName val="9_1022"/>
      <sheetName val="9_1123"/>
      <sheetName val="9_1222"/>
      <sheetName val="9_1322"/>
      <sheetName val="1_122"/>
      <sheetName val="1_222"/>
      <sheetName val="1_322"/>
      <sheetName val="2_122"/>
      <sheetName val="2_222"/>
      <sheetName val="2_322"/>
      <sheetName val="3_122"/>
      <sheetName val="3_222"/>
      <sheetName val="3_322"/>
      <sheetName val="4_122"/>
      <sheetName val="4_222"/>
      <sheetName val="4_322"/>
      <sheetName val="5_122"/>
      <sheetName val="5_222"/>
      <sheetName val="5_322"/>
      <sheetName val="6_022"/>
      <sheetName val="6_122"/>
      <sheetName val="6_222"/>
      <sheetName val="6_322"/>
      <sheetName val="7_122"/>
      <sheetName val="7_222"/>
      <sheetName val="7_322"/>
      <sheetName val="8_122"/>
      <sheetName val="8_222"/>
      <sheetName val="Piso_2-522"/>
      <sheetName val="Liebman_13410"/>
      <sheetName val="PROYECTOS_2015_9"/>
      <sheetName val="pu_Estructuras9"/>
      <sheetName val="P_U_9"/>
      <sheetName val="G_G_ESTRUC_9"/>
      <sheetName val="RESUMEN_CLIENTE9"/>
      <sheetName val="ANÁLISIS_GG9"/>
      <sheetName val="Formato_de_Pedido9"/>
      <sheetName val="Condiciones_Generales_de_Venta9"/>
      <sheetName val="Codigo_de_Diseño9"/>
      <sheetName val="Hoja_de_Recursos9"/>
      <sheetName val="Provisionales_9"/>
      <sheetName val="wagerate_by_craft9"/>
      <sheetName val="PPTO_9"/>
      <sheetName val="A_P_U9"/>
      <sheetName val="Columnas_de__Cerco9"/>
      <sheetName val="Losa_postensado_h=_0_209"/>
      <sheetName val="Base_de_Equipos9"/>
      <sheetName val="LOSA_DE_PISO_E=_09"/>
      <sheetName val="Columnas_9"/>
      <sheetName val="Muros_de_Cerco9"/>
      <sheetName val="Muros_de_Contencion9"/>
      <sheetName val="Muros_Pantalla_9"/>
      <sheetName val="Cimiento_Corrido9"/>
      <sheetName val="V_C_9"/>
      <sheetName val="Vigas_y_Cortes9"/>
      <sheetName val="Cimentacion_Armada9"/>
      <sheetName val="VIGAS_DE_AMARRE_Y_DINTELES9"/>
      <sheetName val="Relleno_Rampa9"/>
      <sheetName val="Viguetas_Firth9"/>
      <sheetName val="B__equipos9"/>
      <sheetName val="Pump_Calcs9"/>
      <sheetName val="Encofrado_BVR_Unispan35"/>
      <sheetName val="Equipo_de_apuntalemiento35"/>
      <sheetName val="Gastos_Generales_BVR35"/>
      <sheetName val="BVR_con_Efco35"/>
      <sheetName val="TIPO_CAMBIO34"/>
      <sheetName val="Tiraje_Mix34"/>
      <sheetName val="MAT_34"/>
      <sheetName val="CONDUCT_24"/>
      <sheetName val="conductores_volquetes24"/>
      <sheetName val="PLANILLAS_FORMATEADAS24"/>
      <sheetName val="CONTEO_DE_DATOS24"/>
      <sheetName val="RESUMEN_DE_PARTIDAS24"/>
      <sheetName val="9_1A24"/>
      <sheetName val="9_2A24"/>
      <sheetName val="9_3A24"/>
      <sheetName val="9_4A24"/>
      <sheetName val="9_5A24"/>
      <sheetName val="9_6A24"/>
      <sheetName val="9_7A24"/>
      <sheetName val="9_8A24"/>
      <sheetName val="9_9A24"/>
      <sheetName val="9_10A24"/>
      <sheetName val="9_11A24"/>
      <sheetName val="9_12A24"/>
      <sheetName val="1_1A24"/>
      <sheetName val="1_2A24"/>
      <sheetName val="1_3A24"/>
      <sheetName val="1_4A24"/>
      <sheetName val="2_1A24"/>
      <sheetName val="2_2A24"/>
      <sheetName val="2_3A24"/>
      <sheetName val="3_1A24"/>
      <sheetName val="3_2A24"/>
      <sheetName val="3_3A24"/>
      <sheetName val="4_1A24"/>
      <sheetName val="4_2A24"/>
      <sheetName val="4_3A24"/>
      <sheetName val="5_1A24"/>
      <sheetName val="5_2A24"/>
      <sheetName val="5_3A24"/>
      <sheetName val="6_1A24"/>
      <sheetName val="6_2A24"/>
      <sheetName val="6_3A24"/>
      <sheetName val="7_1A24"/>
      <sheetName val="7_2A24"/>
      <sheetName val="7_3A24"/>
      <sheetName val="8_1A24"/>
      <sheetName val="8_2A24"/>
      <sheetName val="Resumen_224"/>
      <sheetName val="Resumen_124"/>
      <sheetName val="9_153"/>
      <sheetName val="9_224"/>
      <sheetName val="9_324"/>
      <sheetName val="9_424"/>
      <sheetName val="9_524"/>
      <sheetName val="9_624"/>
      <sheetName val="9_724"/>
      <sheetName val="9_824"/>
      <sheetName val="9_924"/>
      <sheetName val="9_1024"/>
      <sheetName val="9_1125"/>
      <sheetName val="9_1224"/>
      <sheetName val="9_1324"/>
      <sheetName val="1_124"/>
      <sheetName val="1_224"/>
      <sheetName val="1_324"/>
      <sheetName val="2_124"/>
      <sheetName val="2_224"/>
      <sheetName val="2_324"/>
      <sheetName val="3_124"/>
      <sheetName val="3_224"/>
      <sheetName val="3_324"/>
      <sheetName val="4_124"/>
      <sheetName val="4_224"/>
      <sheetName val="4_324"/>
      <sheetName val="5_124"/>
      <sheetName val="5_224"/>
      <sheetName val="5_324"/>
      <sheetName val="6_024"/>
      <sheetName val="6_124"/>
      <sheetName val="6_224"/>
      <sheetName val="6_324"/>
      <sheetName val="7_124"/>
      <sheetName val="7_224"/>
      <sheetName val="7_324"/>
      <sheetName val="8_124"/>
      <sheetName val="8_224"/>
      <sheetName val="Piso_2-524"/>
      <sheetName val="Liebman_13412"/>
      <sheetName val="PROYECTOS_2015_11"/>
      <sheetName val="pu_Estructuras11"/>
      <sheetName val="P_U_11"/>
      <sheetName val="G_G_ESTRUC_11"/>
      <sheetName val="RESUMEN_CLIENTE11"/>
      <sheetName val="ANÁLISIS_GG11"/>
      <sheetName val="Formato_de_Pedido11"/>
      <sheetName val="Condiciones_Generales_de_Vent11"/>
      <sheetName val="Codigo_de_Diseño11"/>
      <sheetName val="Hoja_de_Recursos11"/>
      <sheetName val="Provisionales_11"/>
      <sheetName val="wagerate_by_craft11"/>
      <sheetName val="PPTO_11"/>
      <sheetName val="A_P_U11"/>
      <sheetName val="Columnas_de__Cerco11"/>
      <sheetName val="Losa_postensado_h=_0_2011"/>
      <sheetName val="Base_de_Equipos11"/>
      <sheetName val="LOSA_DE_PISO_E=_011"/>
      <sheetName val="Columnas_11"/>
      <sheetName val="Muros_de_Cerco11"/>
      <sheetName val="Muros_de_Contencion11"/>
      <sheetName val="Muros_Pantalla_11"/>
      <sheetName val="Cimiento_Corrido11"/>
      <sheetName val="V_C_11"/>
      <sheetName val="Vigas_y_Cortes11"/>
      <sheetName val="Cimentacion_Armada11"/>
      <sheetName val="VIGAS_DE_AMARRE_Y_DINTELES11"/>
      <sheetName val="Relleno_Rampa11"/>
      <sheetName val="Viguetas_Firth11"/>
      <sheetName val="B__equipos11"/>
      <sheetName val="Pump_Calcs11"/>
      <sheetName val="Sol_Val"/>
      <sheetName val="Res_Val"/>
      <sheetName val="OBRAS_PROV__Y_PRELIM_"/>
      <sheetName val="EST_ESCALERAS"/>
      <sheetName val="PC-19053_RP_PURUCHUCO"/>
      <sheetName val="Encofrado_BVR_Unispan34"/>
      <sheetName val="Equipo_de_apuntalemiento34"/>
      <sheetName val="Gastos_Generales_BVR34"/>
      <sheetName val="BVR_con_Efco34"/>
      <sheetName val="TIPO_CAMBIO33"/>
      <sheetName val="Tiraje_Mix33"/>
      <sheetName val="MAT_33"/>
      <sheetName val="CONDUCT_23"/>
      <sheetName val="conductores_volquetes23"/>
      <sheetName val="PLANILLAS_FORMATEADAS23"/>
      <sheetName val="CONTEO_DE_DATOS23"/>
      <sheetName val="RESUMEN_DE_PARTIDAS23"/>
      <sheetName val="9_1A23"/>
      <sheetName val="9_2A23"/>
      <sheetName val="9_3A23"/>
      <sheetName val="9_4A23"/>
      <sheetName val="9_5A23"/>
      <sheetName val="9_6A23"/>
      <sheetName val="9_7A23"/>
      <sheetName val="9_8A23"/>
      <sheetName val="9_9A23"/>
      <sheetName val="9_10A23"/>
      <sheetName val="9_11A23"/>
      <sheetName val="9_12A23"/>
      <sheetName val="1_1A23"/>
      <sheetName val="1_2A23"/>
      <sheetName val="1_3A23"/>
      <sheetName val="1_4A23"/>
      <sheetName val="2_1A23"/>
      <sheetName val="2_2A23"/>
      <sheetName val="2_3A23"/>
      <sheetName val="3_1A23"/>
      <sheetName val="3_2A23"/>
      <sheetName val="3_3A23"/>
      <sheetName val="4_1A23"/>
      <sheetName val="4_2A23"/>
      <sheetName val="4_3A23"/>
      <sheetName val="5_1A23"/>
      <sheetName val="5_2A23"/>
      <sheetName val="5_3A23"/>
      <sheetName val="6_1A23"/>
      <sheetName val="6_2A23"/>
      <sheetName val="6_3A23"/>
      <sheetName val="7_1A23"/>
      <sheetName val="7_2A23"/>
      <sheetName val="7_3A23"/>
      <sheetName val="8_1A23"/>
      <sheetName val="8_2A23"/>
      <sheetName val="Resumen_223"/>
      <sheetName val="Resumen_123"/>
      <sheetName val="9_152"/>
      <sheetName val="9_223"/>
      <sheetName val="9_323"/>
      <sheetName val="9_423"/>
      <sheetName val="9_523"/>
      <sheetName val="9_623"/>
      <sheetName val="9_723"/>
      <sheetName val="9_823"/>
      <sheetName val="9_923"/>
      <sheetName val="9_1023"/>
      <sheetName val="9_1124"/>
      <sheetName val="9_1223"/>
      <sheetName val="9_1323"/>
      <sheetName val="1_123"/>
      <sheetName val="1_223"/>
      <sheetName val="1_323"/>
      <sheetName val="2_123"/>
      <sheetName val="2_223"/>
      <sheetName val="2_323"/>
      <sheetName val="3_123"/>
      <sheetName val="3_223"/>
      <sheetName val="3_323"/>
      <sheetName val="4_123"/>
      <sheetName val="4_223"/>
      <sheetName val="4_323"/>
      <sheetName val="5_123"/>
      <sheetName val="5_223"/>
      <sheetName val="5_323"/>
      <sheetName val="6_023"/>
      <sheetName val="6_123"/>
      <sheetName val="6_223"/>
      <sheetName val="6_323"/>
      <sheetName val="7_123"/>
      <sheetName val="7_223"/>
      <sheetName val="7_323"/>
      <sheetName val="8_123"/>
      <sheetName val="8_223"/>
      <sheetName val="Piso_2-523"/>
      <sheetName val="Liebman_13411"/>
      <sheetName val="PROYECTOS_2015_10"/>
      <sheetName val="pu_Estructuras10"/>
      <sheetName val="P_U_10"/>
      <sheetName val="G_G_ESTRUC_10"/>
      <sheetName val="RESUMEN_CLIENTE10"/>
      <sheetName val="ANÁLISIS_GG10"/>
      <sheetName val="Formato_de_Pedido10"/>
      <sheetName val="Condiciones_Generales_de_Vent10"/>
      <sheetName val="Codigo_de_Diseño10"/>
      <sheetName val="Hoja_de_Recursos10"/>
      <sheetName val="Provisionales_10"/>
      <sheetName val="wagerate_by_craft10"/>
      <sheetName val="PPTO_10"/>
      <sheetName val="A_P_U10"/>
      <sheetName val="Columnas_de__Cerco10"/>
      <sheetName val="Losa_postensado_h=_0_2010"/>
      <sheetName val="Base_de_Equipos10"/>
      <sheetName val="LOSA_DE_PISO_E=_010"/>
      <sheetName val="Columnas_10"/>
      <sheetName val="Muros_de_Cerco10"/>
      <sheetName val="Muros_de_Contencion10"/>
      <sheetName val="Muros_Pantalla_10"/>
      <sheetName val="Cimiento_Corrido10"/>
      <sheetName val="V_C_10"/>
      <sheetName val="Vigas_y_Cortes10"/>
      <sheetName val="Cimentacion_Armada10"/>
      <sheetName val="VIGAS_DE_AMARRE_Y_DINTELES10"/>
      <sheetName val="Relleno_Rampa10"/>
      <sheetName val="Viguetas_Firth10"/>
      <sheetName val="B__equipos10"/>
      <sheetName val="Pump_Calcs10"/>
      <sheetName val="Encofrado_BVR_Unispan36"/>
      <sheetName val="Equipo_de_apuntalemiento36"/>
      <sheetName val="Gastos_Generales_BVR36"/>
      <sheetName val="BVR_con_Efco36"/>
      <sheetName val="TIPO_CAMBIO35"/>
      <sheetName val="Tiraje_Mix35"/>
      <sheetName val="MAT_35"/>
      <sheetName val="CONDUCT_25"/>
      <sheetName val="conductores_volquetes25"/>
      <sheetName val="PLANILLAS_FORMATEADAS25"/>
      <sheetName val="CONTEO_DE_DATOS25"/>
      <sheetName val="RESUMEN_DE_PARTIDAS25"/>
      <sheetName val="9_1A25"/>
      <sheetName val="9_2A25"/>
      <sheetName val="9_3A25"/>
      <sheetName val="9_4A25"/>
      <sheetName val="9_5A25"/>
      <sheetName val="9_6A25"/>
      <sheetName val="9_7A25"/>
      <sheetName val="9_8A25"/>
      <sheetName val="9_9A25"/>
      <sheetName val="9_10A25"/>
      <sheetName val="9_11A25"/>
      <sheetName val="9_12A25"/>
      <sheetName val="1_1A25"/>
      <sheetName val="1_2A25"/>
      <sheetName val="1_3A25"/>
      <sheetName val="1_4A25"/>
      <sheetName val="2_1A25"/>
      <sheetName val="2_2A25"/>
      <sheetName val="2_3A25"/>
      <sheetName val="3_1A25"/>
      <sheetName val="3_2A25"/>
      <sheetName val="3_3A25"/>
      <sheetName val="4_1A25"/>
      <sheetName val="4_2A25"/>
      <sheetName val="4_3A25"/>
      <sheetName val="5_1A25"/>
      <sheetName val="5_2A25"/>
      <sheetName val="5_3A25"/>
      <sheetName val="6_1A25"/>
      <sheetName val="6_2A25"/>
      <sheetName val="6_3A25"/>
      <sheetName val="7_1A25"/>
      <sheetName val="7_2A25"/>
      <sheetName val="7_3A25"/>
      <sheetName val="8_1A25"/>
      <sheetName val="8_2A25"/>
      <sheetName val="Resumen_225"/>
      <sheetName val="Resumen_125"/>
      <sheetName val="9_154"/>
      <sheetName val="9_225"/>
      <sheetName val="9_325"/>
      <sheetName val="9_425"/>
      <sheetName val="9_525"/>
      <sheetName val="9_625"/>
      <sheetName val="9_725"/>
      <sheetName val="9_825"/>
      <sheetName val="9_925"/>
      <sheetName val="9_1025"/>
      <sheetName val="9_1126"/>
      <sheetName val="9_1225"/>
      <sheetName val="9_1325"/>
      <sheetName val="1_125"/>
      <sheetName val="1_225"/>
      <sheetName val="1_325"/>
      <sheetName val="2_125"/>
      <sheetName val="2_225"/>
      <sheetName val="2_325"/>
      <sheetName val="3_125"/>
      <sheetName val="3_225"/>
      <sheetName val="3_325"/>
      <sheetName val="4_125"/>
      <sheetName val="4_225"/>
      <sheetName val="4_325"/>
      <sheetName val="5_125"/>
      <sheetName val="5_225"/>
      <sheetName val="5_325"/>
      <sheetName val="6_025"/>
      <sheetName val="6_125"/>
      <sheetName val="6_225"/>
      <sheetName val="6_325"/>
      <sheetName val="7_125"/>
      <sheetName val="7_225"/>
      <sheetName val="7_325"/>
      <sheetName val="8_125"/>
      <sheetName val="8_225"/>
      <sheetName val="Piso_2-525"/>
      <sheetName val="Liebman_13413"/>
      <sheetName val="PROYECTOS_2015_12"/>
      <sheetName val="pu_Estructuras12"/>
      <sheetName val="P_U_12"/>
      <sheetName val="G_G_ESTRUC_12"/>
      <sheetName val="RESUMEN_CLIENTE12"/>
      <sheetName val="ANÁLISIS_GG12"/>
      <sheetName val="Formato_de_Pedido12"/>
      <sheetName val="Condiciones_Generales_de_Vent12"/>
      <sheetName val="Codigo_de_Diseño12"/>
      <sheetName val="Hoja_de_Recursos12"/>
      <sheetName val="Provisionales_12"/>
      <sheetName val="wagerate_by_craft12"/>
      <sheetName val="PPTO_12"/>
      <sheetName val="A_P_U12"/>
      <sheetName val="Columnas_de__Cerco12"/>
      <sheetName val="Losa_postensado_h=_0_2012"/>
      <sheetName val="Base_de_Equipos12"/>
      <sheetName val="LOSA_DE_PISO_E=_012"/>
      <sheetName val="Columnas_12"/>
      <sheetName val="Muros_de_Cerco12"/>
      <sheetName val="Muros_de_Contencion12"/>
      <sheetName val="Muros_Pantalla_12"/>
      <sheetName val="Cimiento_Corrido12"/>
      <sheetName val="V_C_12"/>
      <sheetName val="Vigas_y_Cortes12"/>
      <sheetName val="Cimentacion_Armada12"/>
      <sheetName val="VIGAS_DE_AMARRE_Y_DINTELES12"/>
      <sheetName val="Relleno_Rampa12"/>
      <sheetName val="Viguetas_Firth12"/>
      <sheetName val="B__equipos12"/>
      <sheetName val="Pump_Calcs12"/>
      <sheetName val="Sol_Val1"/>
      <sheetName val="Res_Val1"/>
      <sheetName val="OBRAS_PROV__Y_PRELIM_1"/>
      <sheetName val="EST_ESCALERAS1"/>
      <sheetName val="PC-19053_RP_PURUCHUCO1"/>
      <sheetName val="Encofrado_BVR_Unispan37"/>
      <sheetName val="Equipo_de_apuntalemiento37"/>
      <sheetName val="Gastos_Generales_BVR37"/>
      <sheetName val="BVR_con_Efco37"/>
      <sheetName val="TIPO_CAMBIO36"/>
      <sheetName val="Tiraje_Mix36"/>
      <sheetName val="MAT_36"/>
      <sheetName val="CONDUCT_26"/>
      <sheetName val="conductores_volquetes26"/>
      <sheetName val="PLANILLAS_FORMATEADAS26"/>
      <sheetName val="CONTEO_DE_DATOS26"/>
      <sheetName val="RESUMEN_DE_PARTIDAS26"/>
      <sheetName val="9_1A26"/>
      <sheetName val="9_2A26"/>
      <sheetName val="9_3A26"/>
      <sheetName val="9_4A26"/>
      <sheetName val="9_5A26"/>
      <sheetName val="9_6A26"/>
      <sheetName val="9_7A26"/>
      <sheetName val="9_8A26"/>
      <sheetName val="9_9A26"/>
      <sheetName val="9_10A26"/>
      <sheetName val="9_11A26"/>
      <sheetName val="9_12A26"/>
      <sheetName val="1_1A26"/>
      <sheetName val="1_2A26"/>
      <sheetName val="1_3A26"/>
      <sheetName val="1_4A26"/>
      <sheetName val="2_1A26"/>
      <sheetName val="2_2A26"/>
      <sheetName val="2_3A26"/>
      <sheetName val="3_1A26"/>
      <sheetName val="3_2A26"/>
      <sheetName val="3_3A26"/>
      <sheetName val="4_1A26"/>
      <sheetName val="4_2A26"/>
      <sheetName val="4_3A26"/>
      <sheetName val="5_1A26"/>
      <sheetName val="5_2A26"/>
      <sheetName val="5_3A26"/>
      <sheetName val="6_1A26"/>
      <sheetName val="6_2A26"/>
      <sheetName val="6_3A26"/>
      <sheetName val="7_1A26"/>
      <sheetName val="7_2A26"/>
      <sheetName val="7_3A26"/>
      <sheetName val="8_1A26"/>
      <sheetName val="8_2A26"/>
      <sheetName val="Resumen_226"/>
      <sheetName val="Resumen_126"/>
      <sheetName val="9_155"/>
      <sheetName val="9_226"/>
      <sheetName val="9_326"/>
      <sheetName val="9_426"/>
      <sheetName val="9_526"/>
      <sheetName val="9_626"/>
      <sheetName val="9_726"/>
      <sheetName val="9_826"/>
      <sheetName val="9_926"/>
      <sheetName val="9_1026"/>
      <sheetName val="9_1127"/>
      <sheetName val="9_1226"/>
      <sheetName val="9_1326"/>
      <sheetName val="1_126"/>
      <sheetName val="1_226"/>
      <sheetName val="1_326"/>
      <sheetName val="2_126"/>
      <sheetName val="2_226"/>
      <sheetName val="2_326"/>
      <sheetName val="3_126"/>
      <sheetName val="3_226"/>
      <sheetName val="3_326"/>
      <sheetName val="4_126"/>
      <sheetName val="4_226"/>
      <sheetName val="4_326"/>
      <sheetName val="5_126"/>
      <sheetName val="5_226"/>
      <sheetName val="5_326"/>
      <sheetName val="6_026"/>
      <sheetName val="6_126"/>
      <sheetName val="6_226"/>
      <sheetName val="6_326"/>
      <sheetName val="7_126"/>
      <sheetName val="7_226"/>
      <sheetName val="7_326"/>
      <sheetName val="8_126"/>
      <sheetName val="8_226"/>
      <sheetName val="Piso_2-526"/>
      <sheetName val="Liebman_13414"/>
      <sheetName val="PROYECTOS_2015_13"/>
      <sheetName val="pu_Estructuras13"/>
      <sheetName val="P_U_13"/>
      <sheetName val="G_G_ESTRUC_13"/>
      <sheetName val="RESUMEN_CLIENTE13"/>
      <sheetName val="ANÁLISIS_GG13"/>
      <sheetName val="Formato_de_Pedido13"/>
      <sheetName val="Condiciones_Generales_de_Vent13"/>
      <sheetName val="Codigo_de_Diseño13"/>
      <sheetName val="Hoja_de_Recursos13"/>
      <sheetName val="Provisionales_13"/>
      <sheetName val="wagerate_by_craft13"/>
      <sheetName val="PPTO_13"/>
      <sheetName val="A_P_U13"/>
      <sheetName val="Columnas_de__Cerco13"/>
      <sheetName val="Losa_postensado_h=_0_2013"/>
      <sheetName val="Base_de_Equipos13"/>
      <sheetName val="LOSA_DE_PISO_E=_013"/>
      <sheetName val="Columnas_13"/>
      <sheetName val="Muros_de_Cerco13"/>
      <sheetName val="Muros_de_Contencion13"/>
      <sheetName val="Muros_Pantalla_13"/>
      <sheetName val="Cimiento_Corrido13"/>
      <sheetName val="V_C_13"/>
      <sheetName val="Vigas_y_Cortes13"/>
      <sheetName val="Cimentacion_Armada13"/>
      <sheetName val="VIGAS_DE_AMARRE_Y_DINTELES13"/>
      <sheetName val="Relleno_Rampa13"/>
      <sheetName val="Viguetas_Firth13"/>
      <sheetName val="B__equipos13"/>
      <sheetName val="Pump_Calcs13"/>
      <sheetName val="strsumm0"/>
      <sheetName val="PRECIOS "/>
      <sheetName val="A"/>
      <sheetName val="f-05"/>
      <sheetName val="CRONO"/>
      <sheetName val="Data"/>
      <sheetName val="PreED"/>
      <sheetName val="SIN IGV GR (2)"/>
      <sheetName val="ANALISIS ALQUILER FERREYROS"/>
      <sheetName val="Metrado_01"/>
      <sheetName val="Metrado_02"/>
      <sheetName val="RESUMEN_METRADOS_(2)"/>
      <sheetName val="L_MACIZAS"/>
      <sheetName val="PLACAS_MP"/>
      <sheetName val="PLACAS_EDIF"/>
      <sheetName val="O_CIVIL"/>
      <sheetName val="IIMM_LIQ"/>
      <sheetName val="PLANILA_OC"/>
      <sheetName val="Encofrado_BVR_Unispan39"/>
      <sheetName val="Equipo_de_apuntalemiento39"/>
      <sheetName val="Gastos_Generales_BVR39"/>
      <sheetName val="BVR_con_Efco39"/>
      <sheetName val="TIPO_CAMBIO38"/>
      <sheetName val="Tiraje_Mix38"/>
      <sheetName val="MAT_38"/>
      <sheetName val="CONDUCT_28"/>
      <sheetName val="conductores_volquetes28"/>
      <sheetName val="PLANILLAS_FORMATEADAS28"/>
      <sheetName val="CONTEO_DE_DATOS28"/>
      <sheetName val="RESUMEN_DE_PARTIDAS28"/>
      <sheetName val="Piso_2-528"/>
      <sheetName val="9_1A28"/>
      <sheetName val="9_2A28"/>
      <sheetName val="9_3A28"/>
      <sheetName val="9_4A28"/>
      <sheetName val="9_5A28"/>
      <sheetName val="9_6A28"/>
      <sheetName val="9_7A28"/>
      <sheetName val="9_8A28"/>
      <sheetName val="9_9A28"/>
      <sheetName val="9_10A28"/>
      <sheetName val="9_11A28"/>
      <sheetName val="9_12A28"/>
      <sheetName val="1_1A28"/>
      <sheetName val="1_2A28"/>
      <sheetName val="1_3A28"/>
      <sheetName val="1_4A28"/>
      <sheetName val="2_1A28"/>
      <sheetName val="2_2A28"/>
      <sheetName val="2_3A28"/>
      <sheetName val="3_1A28"/>
      <sheetName val="3_2A28"/>
      <sheetName val="3_3A28"/>
      <sheetName val="4_1A28"/>
      <sheetName val="4_2A28"/>
      <sheetName val="4_3A28"/>
      <sheetName val="5_1A28"/>
      <sheetName val="5_2A28"/>
      <sheetName val="5_3A28"/>
      <sheetName val="6_1A28"/>
      <sheetName val="6_2A28"/>
      <sheetName val="6_3A28"/>
      <sheetName val="7_1A28"/>
      <sheetName val="7_2A28"/>
      <sheetName val="7_3A28"/>
      <sheetName val="8_1A28"/>
      <sheetName val="8_2A28"/>
      <sheetName val="Resumen_228"/>
      <sheetName val="Resumen_128"/>
      <sheetName val="9_157"/>
      <sheetName val="9_228"/>
      <sheetName val="9_328"/>
      <sheetName val="9_428"/>
      <sheetName val="9_528"/>
      <sheetName val="9_628"/>
      <sheetName val="9_728"/>
      <sheetName val="9_828"/>
      <sheetName val="9_928"/>
      <sheetName val="9_1028"/>
      <sheetName val="9_1129"/>
      <sheetName val="9_1228"/>
      <sheetName val="9_1328"/>
      <sheetName val="1_128"/>
      <sheetName val="1_228"/>
      <sheetName val="1_328"/>
      <sheetName val="2_128"/>
      <sheetName val="2_228"/>
      <sheetName val="2_328"/>
      <sheetName val="3_128"/>
      <sheetName val="3_228"/>
      <sheetName val="3_328"/>
      <sheetName val="4_128"/>
      <sheetName val="4_228"/>
      <sheetName val="4_328"/>
      <sheetName val="5_128"/>
      <sheetName val="5_228"/>
      <sheetName val="5_328"/>
      <sheetName val="6_028"/>
      <sheetName val="6_128"/>
      <sheetName val="6_228"/>
      <sheetName val="6_328"/>
      <sheetName val="7_128"/>
      <sheetName val="7_228"/>
      <sheetName val="7_328"/>
      <sheetName val="8_128"/>
      <sheetName val="8_228"/>
      <sheetName val="Liebman_13416"/>
      <sheetName val="PROYECTOS_2015_15"/>
      <sheetName val="P_U_15"/>
      <sheetName val="G_G_ESTRUC_15"/>
      <sheetName val="RESUMEN_CLIENTE15"/>
      <sheetName val="pu_Estructuras15"/>
      <sheetName val="Formato_de_Pedido15"/>
      <sheetName val="Condiciones_Generales_de_Vent15"/>
      <sheetName val="Codigo_de_Diseño15"/>
      <sheetName val="ANÁLISIS_GG15"/>
      <sheetName val="PPTO_15"/>
      <sheetName val="A_P_U15"/>
      <sheetName val="Hoja_de_Recursos15"/>
      <sheetName val="Provisionales_15"/>
      <sheetName val="wagerate_by_craft15"/>
      <sheetName val="Columnas_de__Cerco15"/>
      <sheetName val="Losa_postensado_h=_0_2015"/>
      <sheetName val="Base_de_Equipos15"/>
      <sheetName val="LOSA_DE_PISO_E=_015"/>
      <sheetName val="Columnas_15"/>
      <sheetName val="Muros_de_Cerco15"/>
      <sheetName val="Muros_de_Contencion15"/>
      <sheetName val="Muros_Pantalla_15"/>
      <sheetName val="Cimiento_Corrido15"/>
      <sheetName val="V_C_15"/>
      <sheetName val="Vigas_y_Cortes15"/>
      <sheetName val="Cimentacion_Armada15"/>
      <sheetName val="VIGAS_DE_AMARRE_Y_DINTELES15"/>
      <sheetName val="Relleno_Rampa15"/>
      <sheetName val="Viguetas_Firth15"/>
      <sheetName val="B__equipos15"/>
      <sheetName val="Pump_Calcs15"/>
      <sheetName val="Sol_Val3"/>
      <sheetName val="Res_Val3"/>
      <sheetName val="OBRAS_PROV__Y_PRELIM_3"/>
      <sheetName val="EST_ESCALERAS3"/>
      <sheetName val="PC-19053_RP_PURUCHUCO3"/>
      <sheetName val="PRECIOS_"/>
      <sheetName val="MATER_CONCENTR_CBV99"/>
      <sheetName val="COSTO-MANO-OBRA-_CBV99"/>
      <sheetName val="MATER_CBV2000"/>
      <sheetName val="DISTR.MANT.ELECTRICA"/>
      <sheetName val="DOTACION_CBV99"/>
      <sheetName val="Inversiones"/>
      <sheetName val="Programa Producción"/>
      <sheetName val="Desarrollo"/>
      <sheetName val="Leyes"/>
      <sheetName val="BASE DE DATOS"/>
      <sheetName val="Encofrado_BVR_Unispan43"/>
      <sheetName val="Equipo_de_apuntalemiento43"/>
      <sheetName val="Gastos_Generales_BVR43"/>
      <sheetName val="BVR_con_Efco43"/>
      <sheetName val="TIPO_CAMBIO42"/>
      <sheetName val="Tiraje_Mix42"/>
      <sheetName val="MAT_42"/>
      <sheetName val="CONDUCT_32"/>
      <sheetName val="conductores_volquetes32"/>
      <sheetName val="PLANILLAS_FORMATEADAS32"/>
      <sheetName val="CONTEO_DE_DATOS32"/>
      <sheetName val="RESUMEN_DE_PARTIDAS32"/>
      <sheetName val="Piso_2-532"/>
      <sheetName val="9_1A32"/>
      <sheetName val="9_2A32"/>
      <sheetName val="9_3A32"/>
      <sheetName val="9_4A32"/>
      <sheetName val="9_5A32"/>
      <sheetName val="9_6A32"/>
      <sheetName val="9_7A32"/>
      <sheetName val="9_8A32"/>
      <sheetName val="9_9A32"/>
      <sheetName val="9_10A32"/>
      <sheetName val="9_11A32"/>
      <sheetName val="9_12A32"/>
      <sheetName val="1_1A32"/>
      <sheetName val="1_2A32"/>
      <sheetName val="1_3A32"/>
      <sheetName val="1_4A32"/>
      <sheetName val="2_1A32"/>
      <sheetName val="2_2A32"/>
      <sheetName val="2_3A32"/>
      <sheetName val="3_1A32"/>
      <sheetName val="3_2A32"/>
      <sheetName val="3_3A32"/>
      <sheetName val="4_1A32"/>
      <sheetName val="4_2A32"/>
      <sheetName val="4_3A32"/>
      <sheetName val="5_1A32"/>
      <sheetName val="5_2A32"/>
      <sheetName val="5_3A32"/>
      <sheetName val="6_1A32"/>
      <sheetName val="6_2A32"/>
      <sheetName val="6_3A32"/>
      <sheetName val="7_1A32"/>
      <sheetName val="7_2A32"/>
      <sheetName val="7_3A32"/>
      <sheetName val="8_1A32"/>
      <sheetName val="8_2A32"/>
      <sheetName val="Resumen_232"/>
      <sheetName val="Resumen_132"/>
      <sheetName val="9_161"/>
      <sheetName val="9_232"/>
      <sheetName val="9_332"/>
      <sheetName val="9_432"/>
      <sheetName val="9_532"/>
      <sheetName val="9_632"/>
      <sheetName val="9_732"/>
      <sheetName val="9_832"/>
      <sheetName val="9_932"/>
      <sheetName val="9_1032"/>
      <sheetName val="9_1133"/>
      <sheetName val="9_1232"/>
      <sheetName val="9_1332"/>
      <sheetName val="1_132"/>
      <sheetName val="1_232"/>
      <sheetName val="1_332"/>
      <sheetName val="2_132"/>
      <sheetName val="2_232"/>
      <sheetName val="2_332"/>
      <sheetName val="3_132"/>
      <sheetName val="3_232"/>
      <sheetName val="3_332"/>
      <sheetName val="4_132"/>
      <sheetName val="4_232"/>
      <sheetName val="4_332"/>
      <sheetName val="5_132"/>
      <sheetName val="5_232"/>
      <sheetName val="5_332"/>
      <sheetName val="6_032"/>
      <sheetName val="6_132"/>
      <sheetName val="6_232"/>
      <sheetName val="6_332"/>
      <sheetName val="7_132"/>
      <sheetName val="7_232"/>
      <sheetName val="7_332"/>
      <sheetName val="8_132"/>
      <sheetName val="8_232"/>
      <sheetName val="Liebman_13420"/>
      <sheetName val="PROYECTOS_2015_19"/>
      <sheetName val="P_U_19"/>
      <sheetName val="G_G_ESTRUC_19"/>
      <sheetName val="RESUMEN_CLIENTE19"/>
      <sheetName val="Formato_de_Pedido19"/>
      <sheetName val="Condiciones_Generales_de_Vent19"/>
      <sheetName val="Codigo_de_Diseño19"/>
      <sheetName val="Hoja_de_Recursos19"/>
      <sheetName val="Provisionales_19"/>
      <sheetName val="wagerate_by_craft19"/>
      <sheetName val="PPTO_19"/>
      <sheetName val="A_P_U19"/>
      <sheetName val="pu_Estructuras19"/>
      <sheetName val="ANÁLISIS_GG19"/>
      <sheetName val="Columnas_de__Cerco19"/>
      <sheetName val="Losa_postensado_h=_0_2019"/>
      <sheetName val="Base_de_Equipos19"/>
      <sheetName val="LOSA_DE_PISO_E=_019"/>
      <sheetName val="Columnas_19"/>
      <sheetName val="Muros_de_Cerco19"/>
      <sheetName val="Muros_de_Contencion19"/>
      <sheetName val="Muros_Pantalla_19"/>
      <sheetName val="Cimiento_Corrido19"/>
      <sheetName val="V_C_19"/>
      <sheetName val="Vigas_y_Cortes19"/>
      <sheetName val="Cimentacion_Armada19"/>
      <sheetName val="VIGAS_DE_AMARRE_Y_DINTELES19"/>
      <sheetName val="Relleno_Rampa19"/>
      <sheetName val="Viguetas_Firth19"/>
      <sheetName val="B__equipos19"/>
      <sheetName val="Pump_Calcs19"/>
      <sheetName val="RESUMEN_METRADOS_(2)4"/>
      <sheetName val="L_MACIZAS4"/>
      <sheetName val="PLACAS_MP4"/>
      <sheetName val="PLACAS_EDIF4"/>
      <sheetName val="Sol_Val7"/>
      <sheetName val="Res_Val7"/>
      <sheetName val="OBRAS_PROV__Y_PRELIM_7"/>
      <sheetName val="EST_ESCALERAS7"/>
      <sheetName val="PC-19053_RP_PURUCHUCO7"/>
      <sheetName val="Metrado_014"/>
      <sheetName val="Metrado_024"/>
      <sheetName val="O_CIVIL4"/>
      <sheetName val="IIMM_LIQ4"/>
      <sheetName val="PLANILA_OC4"/>
      <sheetName val="INST_COM4"/>
      <sheetName val="RESUMEN_AJUSTADO4"/>
      <sheetName val="PRECIOS_4"/>
      <sheetName val="ANALISIS_ALQUILER_FERREYROS3"/>
      <sheetName val="Encofrado_BVR_Unispan40"/>
      <sheetName val="Equipo_de_apuntalemiento40"/>
      <sheetName val="Gastos_Generales_BVR40"/>
      <sheetName val="BVR_con_Efco40"/>
      <sheetName val="TIPO_CAMBIO39"/>
      <sheetName val="Tiraje_Mix39"/>
      <sheetName val="MAT_39"/>
      <sheetName val="CONDUCT_29"/>
      <sheetName val="conductores_volquetes29"/>
      <sheetName val="PLANILLAS_FORMATEADAS29"/>
      <sheetName val="CONTEO_DE_DATOS29"/>
      <sheetName val="RESUMEN_DE_PARTIDAS29"/>
      <sheetName val="Piso_2-529"/>
      <sheetName val="9_1A29"/>
      <sheetName val="9_2A29"/>
      <sheetName val="9_3A29"/>
      <sheetName val="9_4A29"/>
      <sheetName val="9_5A29"/>
      <sheetName val="9_6A29"/>
      <sheetName val="9_7A29"/>
      <sheetName val="9_8A29"/>
      <sheetName val="9_9A29"/>
      <sheetName val="9_10A29"/>
      <sheetName val="9_11A29"/>
      <sheetName val="9_12A29"/>
      <sheetName val="1_1A29"/>
      <sheetName val="1_2A29"/>
      <sheetName val="1_3A29"/>
      <sheetName val="1_4A29"/>
      <sheetName val="2_1A29"/>
      <sheetName val="2_2A29"/>
      <sheetName val="2_3A29"/>
      <sheetName val="3_1A29"/>
      <sheetName val="3_2A29"/>
      <sheetName val="3_3A29"/>
      <sheetName val="4_1A29"/>
      <sheetName val="4_2A29"/>
      <sheetName val="4_3A29"/>
      <sheetName val="5_1A29"/>
      <sheetName val="5_2A29"/>
      <sheetName val="5_3A29"/>
      <sheetName val="6_1A29"/>
      <sheetName val="6_2A29"/>
      <sheetName val="6_3A29"/>
      <sheetName val="7_1A29"/>
      <sheetName val="7_2A29"/>
      <sheetName val="7_3A29"/>
      <sheetName val="8_1A29"/>
      <sheetName val="8_2A29"/>
      <sheetName val="Resumen_229"/>
      <sheetName val="Resumen_129"/>
      <sheetName val="9_158"/>
      <sheetName val="9_229"/>
      <sheetName val="9_329"/>
      <sheetName val="9_429"/>
      <sheetName val="9_529"/>
      <sheetName val="9_629"/>
      <sheetName val="9_729"/>
      <sheetName val="9_829"/>
      <sheetName val="9_929"/>
      <sheetName val="9_1029"/>
      <sheetName val="9_1130"/>
      <sheetName val="9_1229"/>
      <sheetName val="9_1329"/>
      <sheetName val="1_129"/>
      <sheetName val="1_229"/>
      <sheetName val="1_329"/>
      <sheetName val="2_129"/>
      <sheetName val="2_229"/>
      <sheetName val="2_329"/>
      <sheetName val="3_129"/>
      <sheetName val="3_229"/>
      <sheetName val="3_329"/>
      <sheetName val="4_129"/>
      <sheetName val="4_229"/>
      <sheetName val="4_329"/>
      <sheetName val="5_129"/>
      <sheetName val="5_229"/>
      <sheetName val="5_329"/>
      <sheetName val="6_029"/>
      <sheetName val="6_129"/>
      <sheetName val="6_229"/>
      <sheetName val="6_329"/>
      <sheetName val="7_129"/>
      <sheetName val="7_229"/>
      <sheetName val="7_329"/>
      <sheetName val="8_129"/>
      <sheetName val="8_229"/>
      <sheetName val="Liebman_13417"/>
      <sheetName val="PROYECTOS_2015_16"/>
      <sheetName val="P_U_16"/>
      <sheetName val="G_G_ESTRUC_16"/>
      <sheetName val="RESUMEN_CLIENTE16"/>
      <sheetName val="Formato_de_Pedido16"/>
      <sheetName val="Condiciones_Generales_de_Vent16"/>
      <sheetName val="Codigo_de_Diseño16"/>
      <sheetName val="Hoja_de_Recursos16"/>
      <sheetName val="Provisionales_16"/>
      <sheetName val="wagerate_by_craft16"/>
      <sheetName val="PPTO_16"/>
      <sheetName val="A_P_U16"/>
      <sheetName val="pu_Estructuras16"/>
      <sheetName val="ANÁLISIS_GG16"/>
      <sheetName val="Columnas_de__Cerco16"/>
      <sheetName val="Losa_postensado_h=_0_2016"/>
      <sheetName val="Base_de_Equipos16"/>
      <sheetName val="LOSA_DE_PISO_E=_016"/>
      <sheetName val="Columnas_16"/>
      <sheetName val="Muros_de_Cerco16"/>
      <sheetName val="Muros_de_Contencion16"/>
      <sheetName val="Muros_Pantalla_16"/>
      <sheetName val="Cimiento_Corrido16"/>
      <sheetName val="V_C_16"/>
      <sheetName val="Vigas_y_Cortes16"/>
      <sheetName val="Cimentacion_Armada16"/>
      <sheetName val="VIGAS_DE_AMARRE_Y_DINTELES16"/>
      <sheetName val="Relleno_Rampa16"/>
      <sheetName val="Viguetas_Firth16"/>
      <sheetName val="B__equipos16"/>
      <sheetName val="Pump_Calcs16"/>
      <sheetName val="Sol_Val4"/>
      <sheetName val="Res_Val4"/>
      <sheetName val="OBRAS_PROV__Y_PRELIM_4"/>
      <sheetName val="EST_ESCALERAS4"/>
      <sheetName val="PC-19053_RP_PURUCHUCO4"/>
      <sheetName val="Metrado_011"/>
      <sheetName val="Metrado_021"/>
      <sheetName val="RESUMEN_METRADOS_(2)1"/>
      <sheetName val="L_MACIZAS1"/>
      <sheetName val="PLACAS_MP1"/>
      <sheetName val="PLACAS_EDIF1"/>
      <sheetName val="O_CIVIL1"/>
      <sheetName val="IIMM_LIQ1"/>
      <sheetName val="PLANILA_OC1"/>
      <sheetName val="INST_COM1"/>
      <sheetName val="RESUMEN_AJUSTADO1"/>
      <sheetName val="PRECIOS_1"/>
      <sheetName val="ANALISIS_ALQUILER_FERREYROS"/>
      <sheetName val="Encofrado_BVR_Unispan42"/>
      <sheetName val="Equipo_de_apuntalemiento42"/>
      <sheetName val="Gastos_Generales_BVR42"/>
      <sheetName val="BVR_con_Efco42"/>
      <sheetName val="TIPO_CAMBIO41"/>
      <sheetName val="Tiraje_Mix41"/>
      <sheetName val="MAT_41"/>
      <sheetName val="CONDUCT_31"/>
      <sheetName val="conductores_volquetes31"/>
      <sheetName val="PLANILLAS_FORMATEADAS31"/>
      <sheetName val="CONTEO_DE_DATOS31"/>
      <sheetName val="RESUMEN_DE_PARTIDAS31"/>
      <sheetName val="Piso_2-531"/>
      <sheetName val="9_1A31"/>
      <sheetName val="9_2A31"/>
      <sheetName val="9_3A31"/>
      <sheetName val="9_4A31"/>
      <sheetName val="9_5A31"/>
      <sheetName val="9_6A31"/>
      <sheetName val="9_7A31"/>
      <sheetName val="9_8A31"/>
      <sheetName val="9_9A31"/>
      <sheetName val="9_10A31"/>
      <sheetName val="9_11A31"/>
      <sheetName val="9_12A31"/>
      <sheetName val="1_1A31"/>
      <sheetName val="1_2A31"/>
      <sheetName val="1_3A31"/>
      <sheetName val="1_4A31"/>
      <sheetName val="2_1A31"/>
      <sheetName val="2_2A31"/>
      <sheetName val="2_3A31"/>
      <sheetName val="3_1A31"/>
      <sheetName val="3_2A31"/>
      <sheetName val="3_3A31"/>
      <sheetName val="4_1A31"/>
      <sheetName val="4_2A31"/>
      <sheetName val="4_3A31"/>
      <sheetName val="5_1A31"/>
      <sheetName val="5_2A31"/>
      <sheetName val="5_3A31"/>
      <sheetName val="6_1A31"/>
      <sheetName val="6_2A31"/>
      <sheetName val="6_3A31"/>
      <sheetName val="7_1A31"/>
      <sheetName val="7_2A31"/>
      <sheetName val="7_3A31"/>
      <sheetName val="8_1A31"/>
      <sheetName val="8_2A31"/>
      <sheetName val="Resumen_231"/>
      <sheetName val="Resumen_131"/>
      <sheetName val="9_160"/>
      <sheetName val="9_231"/>
      <sheetName val="9_331"/>
      <sheetName val="9_431"/>
      <sheetName val="9_531"/>
      <sheetName val="9_631"/>
      <sheetName val="9_731"/>
      <sheetName val="9_831"/>
      <sheetName val="9_931"/>
      <sheetName val="9_1031"/>
      <sheetName val="9_1132"/>
      <sheetName val="9_1231"/>
      <sheetName val="9_1331"/>
      <sheetName val="1_131"/>
      <sheetName val="1_231"/>
      <sheetName val="1_331"/>
      <sheetName val="2_131"/>
      <sheetName val="2_231"/>
      <sheetName val="2_331"/>
      <sheetName val="3_131"/>
      <sheetName val="3_231"/>
      <sheetName val="3_331"/>
      <sheetName val="4_131"/>
      <sheetName val="4_231"/>
      <sheetName val="4_331"/>
      <sheetName val="5_131"/>
      <sheetName val="5_231"/>
      <sheetName val="5_331"/>
      <sheetName val="6_031"/>
      <sheetName val="6_131"/>
      <sheetName val="6_231"/>
      <sheetName val="6_331"/>
      <sheetName val="7_131"/>
      <sheetName val="7_231"/>
      <sheetName val="7_331"/>
      <sheetName val="8_131"/>
      <sheetName val="8_231"/>
      <sheetName val="Liebman_13419"/>
      <sheetName val="PROYECTOS_2015_18"/>
      <sheetName val="P_U_18"/>
      <sheetName val="G_G_ESTRUC_18"/>
      <sheetName val="RESUMEN_CLIENTE18"/>
      <sheetName val="Formato_de_Pedido18"/>
      <sheetName val="Condiciones_Generales_de_Vent18"/>
      <sheetName val="Codigo_de_Diseño18"/>
      <sheetName val="Hoja_de_Recursos18"/>
      <sheetName val="Provisionales_18"/>
      <sheetName val="wagerate_by_craft18"/>
      <sheetName val="PPTO_18"/>
      <sheetName val="A_P_U18"/>
      <sheetName val="pu_Estructuras18"/>
      <sheetName val="ANÁLISIS_GG18"/>
      <sheetName val="Columnas_de__Cerco18"/>
      <sheetName val="Losa_postensado_h=_0_2018"/>
      <sheetName val="Base_de_Equipos18"/>
      <sheetName val="LOSA_DE_PISO_E=_018"/>
      <sheetName val="Columnas_18"/>
      <sheetName val="Muros_de_Cerco18"/>
      <sheetName val="Muros_de_Contencion18"/>
      <sheetName val="Muros_Pantalla_18"/>
      <sheetName val="Cimiento_Corrido18"/>
      <sheetName val="V_C_18"/>
      <sheetName val="Vigas_y_Cortes18"/>
      <sheetName val="Cimentacion_Armada18"/>
      <sheetName val="VIGAS_DE_AMARRE_Y_DINTELES18"/>
      <sheetName val="Relleno_Rampa18"/>
      <sheetName val="Viguetas_Firth18"/>
      <sheetName val="B__equipos18"/>
      <sheetName val="Pump_Calcs18"/>
      <sheetName val="Sol_Val6"/>
      <sheetName val="Res_Val6"/>
      <sheetName val="OBRAS_PROV__Y_PRELIM_6"/>
      <sheetName val="EST_ESCALERAS6"/>
      <sheetName val="PC-19053_RP_PURUCHUCO6"/>
      <sheetName val="Metrado_013"/>
      <sheetName val="Metrado_023"/>
      <sheetName val="RESUMEN_METRADOS_(2)3"/>
      <sheetName val="L_MACIZAS3"/>
      <sheetName val="PLACAS_MP3"/>
      <sheetName val="PLACAS_EDIF3"/>
      <sheetName val="O_CIVIL3"/>
      <sheetName val="IIMM_LIQ3"/>
      <sheetName val="PLANILA_OC3"/>
      <sheetName val="INST_COM3"/>
      <sheetName val="RESUMEN_AJUSTADO3"/>
      <sheetName val="PRECIOS_3"/>
      <sheetName val="ANALISIS_ALQUILER_FERREYROS2"/>
      <sheetName val="Encofrado_BVR_Unispan41"/>
      <sheetName val="Equipo_de_apuntalemiento41"/>
      <sheetName val="Gastos_Generales_BVR41"/>
      <sheetName val="BVR_con_Efco41"/>
      <sheetName val="TIPO_CAMBIO40"/>
      <sheetName val="Tiraje_Mix40"/>
      <sheetName val="MAT_40"/>
      <sheetName val="CONDUCT_30"/>
      <sheetName val="conductores_volquetes30"/>
      <sheetName val="PLANILLAS_FORMATEADAS30"/>
      <sheetName val="CONTEO_DE_DATOS30"/>
      <sheetName val="RESUMEN_DE_PARTIDAS30"/>
      <sheetName val="Piso_2-530"/>
      <sheetName val="9_1A30"/>
      <sheetName val="9_2A30"/>
      <sheetName val="9_3A30"/>
      <sheetName val="9_4A30"/>
      <sheetName val="9_5A30"/>
      <sheetName val="9_6A30"/>
      <sheetName val="9_7A30"/>
      <sheetName val="9_8A30"/>
      <sheetName val="9_9A30"/>
      <sheetName val="9_10A30"/>
      <sheetName val="9_11A30"/>
      <sheetName val="9_12A30"/>
      <sheetName val="1_1A30"/>
      <sheetName val="1_2A30"/>
      <sheetName val="1_3A30"/>
      <sheetName val="1_4A30"/>
      <sheetName val="2_1A30"/>
      <sheetName val="2_2A30"/>
      <sheetName val="2_3A30"/>
      <sheetName val="3_1A30"/>
      <sheetName val="3_2A30"/>
      <sheetName val="3_3A30"/>
      <sheetName val="4_1A30"/>
      <sheetName val="4_2A30"/>
      <sheetName val="4_3A30"/>
      <sheetName val="5_1A30"/>
      <sheetName val="5_2A30"/>
      <sheetName val="5_3A30"/>
      <sheetName val="6_1A30"/>
      <sheetName val="6_2A30"/>
      <sheetName val="6_3A30"/>
      <sheetName val="7_1A30"/>
      <sheetName val="7_2A30"/>
      <sheetName val="7_3A30"/>
      <sheetName val="8_1A30"/>
      <sheetName val="8_2A30"/>
      <sheetName val="Resumen_230"/>
      <sheetName val="Resumen_130"/>
      <sheetName val="9_159"/>
      <sheetName val="9_230"/>
      <sheetName val="9_330"/>
      <sheetName val="9_430"/>
      <sheetName val="9_530"/>
      <sheetName val="9_630"/>
      <sheetName val="9_730"/>
      <sheetName val="9_830"/>
      <sheetName val="9_930"/>
      <sheetName val="9_1030"/>
      <sheetName val="9_1131"/>
      <sheetName val="9_1230"/>
      <sheetName val="9_1330"/>
      <sheetName val="1_130"/>
      <sheetName val="1_230"/>
      <sheetName val="1_330"/>
      <sheetName val="2_130"/>
      <sheetName val="2_230"/>
      <sheetName val="2_330"/>
      <sheetName val="3_130"/>
      <sheetName val="3_230"/>
      <sheetName val="3_330"/>
      <sheetName val="4_130"/>
      <sheetName val="4_230"/>
      <sheetName val="4_330"/>
      <sheetName val="5_130"/>
      <sheetName val="5_230"/>
      <sheetName val="5_330"/>
      <sheetName val="6_030"/>
      <sheetName val="6_130"/>
      <sheetName val="6_230"/>
      <sheetName val="6_330"/>
      <sheetName val="7_130"/>
      <sheetName val="7_230"/>
      <sheetName val="7_330"/>
      <sheetName val="8_130"/>
      <sheetName val="8_230"/>
      <sheetName val="Liebman_13418"/>
      <sheetName val="PROYECTOS_2015_17"/>
      <sheetName val="P_U_17"/>
      <sheetName val="G_G_ESTRUC_17"/>
      <sheetName val="RESUMEN_CLIENTE17"/>
      <sheetName val="Formato_de_Pedido17"/>
      <sheetName val="Condiciones_Generales_de_Vent17"/>
      <sheetName val="Codigo_de_Diseño17"/>
      <sheetName val="Hoja_de_Recursos17"/>
      <sheetName val="Provisionales_17"/>
      <sheetName val="wagerate_by_craft17"/>
      <sheetName val="PPTO_17"/>
      <sheetName val="A_P_U17"/>
      <sheetName val="pu_Estructuras17"/>
      <sheetName val="ANÁLISIS_GG17"/>
      <sheetName val="Columnas_de__Cerco17"/>
      <sheetName val="Losa_postensado_h=_0_2017"/>
      <sheetName val="Base_de_Equipos17"/>
      <sheetName val="LOSA_DE_PISO_E=_017"/>
      <sheetName val="Columnas_17"/>
      <sheetName val="Muros_de_Cerco17"/>
      <sheetName val="Muros_de_Contencion17"/>
      <sheetName val="Muros_Pantalla_17"/>
      <sheetName val="Cimiento_Corrido17"/>
      <sheetName val="V_C_17"/>
      <sheetName val="Vigas_y_Cortes17"/>
      <sheetName val="Cimentacion_Armada17"/>
      <sheetName val="VIGAS_DE_AMARRE_Y_DINTELES17"/>
      <sheetName val="Relleno_Rampa17"/>
      <sheetName val="Viguetas_Firth17"/>
      <sheetName val="B__equipos17"/>
      <sheetName val="Pump_Calcs17"/>
      <sheetName val="Sol_Val5"/>
      <sheetName val="Res_Val5"/>
      <sheetName val="OBRAS_PROV__Y_PRELIM_5"/>
      <sheetName val="EST_ESCALERAS5"/>
      <sheetName val="PC-19053_RP_PURUCHUCO5"/>
      <sheetName val="Metrado_012"/>
      <sheetName val="Metrado_022"/>
      <sheetName val="RESUMEN_METRADOS_(2)2"/>
      <sheetName val="L_MACIZAS2"/>
      <sheetName val="PLACAS_MP2"/>
      <sheetName val="PLACAS_EDIF2"/>
      <sheetName val="O_CIVIL2"/>
      <sheetName val="IIMM_LIQ2"/>
      <sheetName val="PLANILA_OC2"/>
      <sheetName val="INST_COM2"/>
      <sheetName val="RESUMEN_AJUSTADO2"/>
      <sheetName val="PRECIOS_2"/>
      <sheetName val="ANALISIS_ALQUILER_FERREYROS1"/>
      <sheetName val="Parametros"/>
      <sheetName val="Input"/>
      <sheetName val="lima-canta"/>
      <sheetName val="INST_COM5"/>
      <sheetName val="RESUMEN_AJUSTADO5"/>
      <sheetName val="Encofrado_BVR_Unispan45"/>
      <sheetName val="Equipo_de_apuntalemiento45"/>
      <sheetName val="Gastos_Generales_BVR45"/>
      <sheetName val="BVR_con_Efco45"/>
      <sheetName val="TIPO_CAMBIO44"/>
      <sheetName val="Tiraje_Mix44"/>
      <sheetName val="MAT_44"/>
      <sheetName val="CONDUCT_34"/>
      <sheetName val="conductores_volquetes34"/>
      <sheetName val="Piso_2-534"/>
      <sheetName val="PLANILLAS_FORMATEADAS34"/>
      <sheetName val="CONTEO_DE_DATOS34"/>
      <sheetName val="RESUMEN_DE_PARTIDAS34"/>
      <sheetName val="9_1A34"/>
      <sheetName val="9_2A34"/>
      <sheetName val="9_3A34"/>
      <sheetName val="9_4A34"/>
      <sheetName val="9_5A34"/>
      <sheetName val="9_6A34"/>
      <sheetName val="9_7A34"/>
      <sheetName val="9_8A34"/>
      <sheetName val="9_9A34"/>
      <sheetName val="9_10A34"/>
      <sheetName val="9_11A34"/>
      <sheetName val="9_12A34"/>
      <sheetName val="1_1A34"/>
      <sheetName val="1_2A34"/>
      <sheetName val="1_3A34"/>
      <sheetName val="1_4A34"/>
      <sheetName val="2_1A34"/>
      <sheetName val="2_2A34"/>
      <sheetName val="2_3A34"/>
      <sheetName val="3_1A34"/>
      <sheetName val="3_2A34"/>
      <sheetName val="3_3A34"/>
      <sheetName val="4_1A34"/>
      <sheetName val="4_2A34"/>
      <sheetName val="4_3A34"/>
      <sheetName val="5_1A34"/>
      <sheetName val="5_2A34"/>
      <sheetName val="5_3A34"/>
      <sheetName val="6_1A34"/>
      <sheetName val="6_2A34"/>
      <sheetName val="6_3A34"/>
      <sheetName val="7_1A34"/>
      <sheetName val="7_2A34"/>
      <sheetName val="7_3A34"/>
      <sheetName val="8_1A34"/>
      <sheetName val="8_2A34"/>
      <sheetName val="Resumen_234"/>
      <sheetName val="Resumen_134"/>
      <sheetName val="9_163"/>
      <sheetName val="9_234"/>
      <sheetName val="9_334"/>
      <sheetName val="9_434"/>
      <sheetName val="9_534"/>
      <sheetName val="9_634"/>
      <sheetName val="9_734"/>
      <sheetName val="9_834"/>
      <sheetName val="9_934"/>
      <sheetName val="9_1034"/>
      <sheetName val="9_1135"/>
      <sheetName val="9_1234"/>
      <sheetName val="9_1334"/>
      <sheetName val="1_134"/>
      <sheetName val="1_234"/>
      <sheetName val="1_334"/>
      <sheetName val="2_134"/>
      <sheetName val="2_234"/>
      <sheetName val="2_334"/>
      <sheetName val="3_134"/>
      <sheetName val="3_234"/>
      <sheetName val="3_334"/>
      <sheetName val="4_134"/>
      <sheetName val="4_234"/>
      <sheetName val="4_334"/>
      <sheetName val="5_134"/>
      <sheetName val="5_234"/>
      <sheetName val="5_334"/>
      <sheetName val="6_034"/>
      <sheetName val="6_134"/>
      <sheetName val="6_234"/>
      <sheetName val="6_334"/>
      <sheetName val="7_134"/>
      <sheetName val="7_234"/>
      <sheetName val="7_334"/>
      <sheetName val="8_134"/>
      <sheetName val="8_234"/>
      <sheetName val="Liebman_13422"/>
      <sheetName val="PROYECTOS_2015_21"/>
      <sheetName val="PPTO_21"/>
      <sheetName val="A_P_U21"/>
      <sheetName val="P_U_21"/>
      <sheetName val="G_G_ESTRUC_21"/>
      <sheetName val="RESUMEN_CLIENTE21"/>
      <sheetName val="ANÁLISIS_GG21"/>
      <sheetName val="pu_Estructuras21"/>
      <sheetName val="Formato_de_Pedido21"/>
      <sheetName val="Condiciones_Generales_de_Vent21"/>
      <sheetName val="Codigo_de_Diseño21"/>
      <sheetName val="Hoja_de_Recursos21"/>
      <sheetName val="Provisionales_21"/>
      <sheetName val="wagerate_by_craft21"/>
      <sheetName val="Pump_Calcs21"/>
      <sheetName val="Columnas_de__Cerco21"/>
      <sheetName val="Losa_postensado_h=_0_2021"/>
      <sheetName val="Base_de_Equipos21"/>
      <sheetName val="LOSA_DE_PISO_E=_021"/>
      <sheetName val="Columnas_21"/>
      <sheetName val="Muros_de_Cerco21"/>
      <sheetName val="Muros_de_Contencion21"/>
      <sheetName val="Muros_Pantalla_21"/>
      <sheetName val="Cimiento_Corrido21"/>
      <sheetName val="V_C_21"/>
      <sheetName val="Vigas_y_Cortes21"/>
      <sheetName val="Cimentacion_Armada21"/>
      <sheetName val="VIGAS_DE_AMARRE_Y_DINTELES21"/>
      <sheetName val="Relleno_Rampa21"/>
      <sheetName val="Viguetas_Firth21"/>
      <sheetName val="B__equipos21"/>
      <sheetName val="Sol_Val9"/>
      <sheetName val="Res_Val9"/>
      <sheetName val="OBRAS_PROV__Y_PRELIM_9"/>
      <sheetName val="EST_ESCALERAS9"/>
      <sheetName val="PC-19053_RP_PURUCHUCO9"/>
      <sheetName val="Metrado_016"/>
      <sheetName val="Metrado_026"/>
      <sheetName val="RESUMEN_METRADOS_(2)6"/>
      <sheetName val="L_MACIZAS6"/>
      <sheetName val="PLACAS_MP6"/>
      <sheetName val="PLACAS_EDIF6"/>
      <sheetName val="O_CIVIL6"/>
      <sheetName val="IIMM_LIQ6"/>
      <sheetName val="PLANILA_OC6"/>
      <sheetName val="INST_COM7"/>
      <sheetName val="RESUMEN_AJUSTADO7"/>
      <sheetName val="PRECIOS_6"/>
      <sheetName val="Encofrado_BVR_Unispan44"/>
      <sheetName val="Equipo_de_apuntalemiento44"/>
      <sheetName val="Gastos_Generales_BVR44"/>
      <sheetName val="BVR_con_Efco44"/>
      <sheetName val="TIPO_CAMBIO43"/>
      <sheetName val="Tiraje_Mix43"/>
      <sheetName val="MAT_43"/>
      <sheetName val="CONDUCT_33"/>
      <sheetName val="conductores_volquetes33"/>
      <sheetName val="Piso_2-533"/>
      <sheetName val="PLANILLAS_FORMATEADAS33"/>
      <sheetName val="CONTEO_DE_DATOS33"/>
      <sheetName val="RESUMEN_DE_PARTIDAS33"/>
      <sheetName val="9_1A33"/>
      <sheetName val="9_2A33"/>
      <sheetName val="9_3A33"/>
      <sheetName val="9_4A33"/>
      <sheetName val="9_5A33"/>
      <sheetName val="9_6A33"/>
      <sheetName val="9_7A33"/>
      <sheetName val="9_8A33"/>
      <sheetName val="9_9A33"/>
      <sheetName val="9_10A33"/>
      <sheetName val="9_11A33"/>
      <sheetName val="9_12A33"/>
      <sheetName val="1_1A33"/>
      <sheetName val="1_2A33"/>
      <sheetName val="1_3A33"/>
      <sheetName val="1_4A33"/>
      <sheetName val="2_1A33"/>
      <sheetName val="2_2A33"/>
      <sheetName val="2_3A33"/>
      <sheetName val="3_1A33"/>
      <sheetName val="3_2A33"/>
      <sheetName val="3_3A33"/>
      <sheetName val="4_1A33"/>
      <sheetName val="4_2A33"/>
      <sheetName val="4_3A33"/>
      <sheetName val="5_1A33"/>
      <sheetName val="5_2A33"/>
      <sheetName val="5_3A33"/>
      <sheetName val="6_1A33"/>
      <sheetName val="6_2A33"/>
      <sheetName val="6_3A33"/>
      <sheetName val="7_1A33"/>
      <sheetName val="7_2A33"/>
      <sheetName val="7_3A33"/>
      <sheetName val="8_1A33"/>
      <sheetName val="8_2A33"/>
      <sheetName val="Resumen_233"/>
      <sheetName val="Resumen_133"/>
      <sheetName val="9_162"/>
      <sheetName val="9_233"/>
      <sheetName val="9_333"/>
      <sheetName val="9_433"/>
      <sheetName val="9_533"/>
      <sheetName val="9_633"/>
      <sheetName val="9_733"/>
      <sheetName val="9_833"/>
      <sheetName val="9_933"/>
      <sheetName val="9_1033"/>
      <sheetName val="9_1134"/>
      <sheetName val="9_1233"/>
      <sheetName val="9_1333"/>
      <sheetName val="1_133"/>
      <sheetName val="1_233"/>
      <sheetName val="1_333"/>
      <sheetName val="2_133"/>
      <sheetName val="2_233"/>
      <sheetName val="2_333"/>
      <sheetName val="3_133"/>
      <sheetName val="3_233"/>
      <sheetName val="3_333"/>
      <sheetName val="4_133"/>
      <sheetName val="4_233"/>
      <sheetName val="4_333"/>
      <sheetName val="5_133"/>
      <sheetName val="5_233"/>
      <sheetName val="5_333"/>
      <sheetName val="6_033"/>
      <sheetName val="6_133"/>
      <sheetName val="6_233"/>
      <sheetName val="6_333"/>
      <sheetName val="7_133"/>
      <sheetName val="7_233"/>
      <sheetName val="7_333"/>
      <sheetName val="8_133"/>
      <sheetName val="8_233"/>
      <sheetName val="Liebman_13421"/>
      <sheetName val="PROYECTOS_2015_20"/>
      <sheetName val="PPTO_20"/>
      <sheetName val="A_P_U20"/>
      <sheetName val="P_U_20"/>
      <sheetName val="G_G_ESTRUC_20"/>
      <sheetName val="RESUMEN_CLIENTE20"/>
      <sheetName val="ANÁLISIS_GG20"/>
      <sheetName val="pu_Estructuras20"/>
      <sheetName val="Formato_de_Pedido20"/>
      <sheetName val="Condiciones_Generales_de_Vent20"/>
      <sheetName val="Codigo_de_Diseño20"/>
      <sheetName val="Hoja_de_Recursos20"/>
      <sheetName val="Provisionales_20"/>
      <sheetName val="wagerate_by_craft20"/>
      <sheetName val="Pump_Calcs20"/>
      <sheetName val="Columnas_de__Cerco20"/>
      <sheetName val="Losa_postensado_h=_0_2020"/>
      <sheetName val="Base_de_Equipos20"/>
      <sheetName val="LOSA_DE_PISO_E=_020"/>
      <sheetName val="Columnas_20"/>
      <sheetName val="Muros_de_Cerco20"/>
      <sheetName val="Muros_de_Contencion20"/>
      <sheetName val="Muros_Pantalla_20"/>
      <sheetName val="Cimiento_Corrido20"/>
      <sheetName val="V_C_20"/>
      <sheetName val="Vigas_y_Cortes20"/>
      <sheetName val="Cimentacion_Armada20"/>
      <sheetName val="VIGAS_DE_AMARRE_Y_DINTELES20"/>
      <sheetName val="Relleno_Rampa20"/>
      <sheetName val="Viguetas_Firth20"/>
      <sheetName val="B__equipos20"/>
      <sheetName val="Sol_Val8"/>
      <sheetName val="Res_Val8"/>
      <sheetName val="OBRAS_PROV__Y_PRELIM_8"/>
      <sheetName val="EST_ESCALERAS8"/>
      <sheetName val="PC-19053_RP_PURUCHUCO8"/>
      <sheetName val="Metrado_015"/>
      <sheetName val="Metrado_025"/>
      <sheetName val="RESUMEN_METRADOS_(2)5"/>
      <sheetName val="L_MACIZAS5"/>
      <sheetName val="PLACAS_MP5"/>
      <sheetName val="PLACAS_EDIF5"/>
      <sheetName val="O_CIVIL5"/>
      <sheetName val="IIMM_LIQ5"/>
      <sheetName val="PLANILA_OC5"/>
      <sheetName val="INST_COM6"/>
      <sheetName val="RESUMEN_AJUSTADO6"/>
      <sheetName val="PRECIOS_5"/>
      <sheetName val="Encofrado_BVR_Unispan46"/>
      <sheetName val="Equipo_de_apuntalemiento46"/>
      <sheetName val="Gastos_Generales_BVR46"/>
      <sheetName val="BVR_con_Efco46"/>
      <sheetName val="TIPO_CAMBIO45"/>
      <sheetName val="Tiraje_Mix45"/>
      <sheetName val="MAT_45"/>
      <sheetName val="CONDUCT_35"/>
      <sheetName val="conductores_volquetes35"/>
      <sheetName val="Piso_2-535"/>
      <sheetName val="PLANILLAS_FORMATEADAS35"/>
      <sheetName val="CONTEO_DE_DATOS35"/>
      <sheetName val="RESUMEN_DE_PARTIDAS35"/>
      <sheetName val="9_1A35"/>
      <sheetName val="9_2A35"/>
      <sheetName val="9_3A35"/>
      <sheetName val="9_4A35"/>
      <sheetName val="9_5A35"/>
      <sheetName val="9_6A35"/>
      <sheetName val="9_7A35"/>
      <sheetName val="9_8A35"/>
      <sheetName val="9_9A35"/>
      <sheetName val="9_10A35"/>
      <sheetName val="9_11A35"/>
      <sheetName val="9_12A35"/>
      <sheetName val="1_1A35"/>
      <sheetName val="1_2A35"/>
      <sheetName val="1_3A35"/>
      <sheetName val="1_4A35"/>
      <sheetName val="2_1A35"/>
      <sheetName val="2_2A35"/>
      <sheetName val="2_3A35"/>
      <sheetName val="3_1A35"/>
      <sheetName val="3_2A35"/>
      <sheetName val="3_3A35"/>
      <sheetName val="4_1A35"/>
      <sheetName val="4_2A35"/>
      <sheetName val="4_3A35"/>
      <sheetName val="5_1A35"/>
      <sheetName val="5_2A35"/>
      <sheetName val="5_3A35"/>
      <sheetName val="6_1A35"/>
      <sheetName val="6_2A35"/>
      <sheetName val="6_3A35"/>
      <sheetName val="7_1A35"/>
      <sheetName val="7_2A35"/>
      <sheetName val="7_3A35"/>
      <sheetName val="8_1A35"/>
      <sheetName val="8_2A35"/>
      <sheetName val="Resumen_235"/>
      <sheetName val="Resumen_135"/>
      <sheetName val="9_164"/>
      <sheetName val="9_235"/>
      <sheetName val="9_335"/>
      <sheetName val="9_435"/>
      <sheetName val="9_535"/>
      <sheetName val="9_635"/>
      <sheetName val="9_735"/>
      <sheetName val="9_835"/>
      <sheetName val="9_935"/>
      <sheetName val="9_1035"/>
      <sheetName val="9_1136"/>
      <sheetName val="9_1235"/>
      <sheetName val="9_1335"/>
      <sheetName val="1_135"/>
      <sheetName val="1_235"/>
      <sheetName val="1_335"/>
      <sheetName val="2_135"/>
      <sheetName val="2_235"/>
      <sheetName val="2_335"/>
      <sheetName val="3_135"/>
      <sheetName val="3_235"/>
      <sheetName val="3_335"/>
      <sheetName val="4_135"/>
      <sheetName val="4_235"/>
      <sheetName val="4_335"/>
      <sheetName val="5_135"/>
      <sheetName val="5_235"/>
      <sheetName val="5_335"/>
      <sheetName val="6_035"/>
      <sheetName val="6_135"/>
      <sheetName val="6_235"/>
      <sheetName val="6_335"/>
      <sheetName val="7_135"/>
      <sheetName val="7_235"/>
      <sheetName val="7_335"/>
      <sheetName val="8_135"/>
      <sheetName val="8_235"/>
      <sheetName val="Liebman_13423"/>
      <sheetName val="PROYECTOS_2015_22"/>
      <sheetName val="PPTO_22"/>
      <sheetName val="A_P_U22"/>
      <sheetName val="P_U_22"/>
      <sheetName val="G_G_ESTRUC_22"/>
      <sheetName val="RESUMEN_CLIENTE22"/>
      <sheetName val="ANÁLISIS_GG22"/>
      <sheetName val="pu_Estructuras22"/>
      <sheetName val="Formato_de_Pedido22"/>
      <sheetName val="Condiciones_Generales_de_Vent22"/>
      <sheetName val="Codigo_de_Diseño22"/>
      <sheetName val="Hoja_de_Recursos22"/>
      <sheetName val="Provisionales_22"/>
      <sheetName val="wagerate_by_craft22"/>
      <sheetName val="Pump_Calcs22"/>
      <sheetName val="Columnas_de__Cerco22"/>
      <sheetName val="Losa_postensado_h=_0_2022"/>
      <sheetName val="Base_de_Equipos22"/>
      <sheetName val="LOSA_DE_PISO_E=_022"/>
      <sheetName val="Columnas_22"/>
      <sheetName val="Muros_de_Cerco22"/>
      <sheetName val="Muros_de_Contencion22"/>
      <sheetName val="Muros_Pantalla_22"/>
      <sheetName val="Cimiento_Corrido22"/>
      <sheetName val="V_C_22"/>
      <sheetName val="Vigas_y_Cortes22"/>
      <sheetName val="Cimentacion_Armada22"/>
      <sheetName val="VIGAS_DE_AMARRE_Y_DINTELES22"/>
      <sheetName val="Relleno_Rampa22"/>
      <sheetName val="Viguetas_Firth22"/>
      <sheetName val="B__equipos22"/>
      <sheetName val="Sol_Val10"/>
      <sheetName val="Res_Val10"/>
      <sheetName val="OBRAS_PROV__Y_PRELIM_10"/>
      <sheetName val="EST_ESCALERAS10"/>
      <sheetName val="PC-19053_RP_PURUCHUCO10"/>
      <sheetName val="Metrado_017"/>
      <sheetName val="Metrado_027"/>
      <sheetName val="RESUMEN_METRADOS_(2)7"/>
      <sheetName val="L_MACIZAS7"/>
      <sheetName val="PLACAS_MP7"/>
      <sheetName val="PLACAS_EDIF7"/>
      <sheetName val="O_CIVIL7"/>
      <sheetName val="IIMM_LIQ7"/>
      <sheetName val="PLANILA_OC7"/>
      <sheetName val="INST_COM8"/>
      <sheetName val="RESUMEN_AJUSTADO8"/>
      <sheetName val="PRECIOS_7"/>
      <sheetName val="SIN_IGV_GR_(2)"/>
      <sheetName val="Encofrado_BVR_Unispan47"/>
      <sheetName val="Equipo_de_apuntalemiento47"/>
      <sheetName val="Gastos_Generales_BVR47"/>
      <sheetName val="BVR_con_Efco47"/>
      <sheetName val="TIPO_CAMBIO46"/>
      <sheetName val="Tiraje_Mix46"/>
      <sheetName val="MAT_46"/>
      <sheetName val="CONDUCT_36"/>
      <sheetName val="conductores_volquetes36"/>
      <sheetName val="Piso_2-536"/>
      <sheetName val="PLANILLAS_FORMATEADAS36"/>
      <sheetName val="CONTEO_DE_DATOS36"/>
      <sheetName val="RESUMEN_DE_PARTIDAS36"/>
      <sheetName val="9_1A36"/>
      <sheetName val="9_2A36"/>
      <sheetName val="9_3A36"/>
      <sheetName val="9_4A36"/>
      <sheetName val="9_5A36"/>
      <sheetName val="9_6A36"/>
      <sheetName val="9_7A36"/>
      <sheetName val="9_8A36"/>
      <sheetName val="9_9A36"/>
      <sheetName val="9_10A36"/>
      <sheetName val="9_11A36"/>
      <sheetName val="9_12A36"/>
      <sheetName val="1_1A36"/>
      <sheetName val="1_2A36"/>
      <sheetName val="1_3A36"/>
      <sheetName val="1_4A36"/>
      <sheetName val="2_1A36"/>
      <sheetName val="2_2A36"/>
      <sheetName val="2_3A36"/>
      <sheetName val="3_1A36"/>
      <sheetName val="3_2A36"/>
      <sheetName val="3_3A36"/>
      <sheetName val="4_1A36"/>
      <sheetName val="4_2A36"/>
      <sheetName val="4_3A36"/>
      <sheetName val="5_1A36"/>
      <sheetName val="5_2A36"/>
      <sheetName val="5_3A36"/>
      <sheetName val="6_1A36"/>
      <sheetName val="6_2A36"/>
      <sheetName val="6_3A36"/>
      <sheetName val="7_1A36"/>
      <sheetName val="7_2A36"/>
      <sheetName val="7_3A36"/>
      <sheetName val="8_1A36"/>
      <sheetName val="8_2A36"/>
      <sheetName val="Resumen_236"/>
      <sheetName val="Resumen_136"/>
      <sheetName val="9_165"/>
      <sheetName val="9_236"/>
      <sheetName val="9_336"/>
      <sheetName val="9_436"/>
      <sheetName val="9_536"/>
      <sheetName val="9_636"/>
      <sheetName val="9_736"/>
      <sheetName val="9_836"/>
      <sheetName val="9_936"/>
      <sheetName val="9_1036"/>
      <sheetName val="9_1137"/>
      <sheetName val="9_1236"/>
      <sheetName val="9_1336"/>
      <sheetName val="1_136"/>
      <sheetName val="1_236"/>
      <sheetName val="1_336"/>
      <sheetName val="2_136"/>
      <sheetName val="2_236"/>
      <sheetName val="2_336"/>
      <sheetName val="3_136"/>
      <sheetName val="3_236"/>
      <sheetName val="3_336"/>
      <sheetName val="4_136"/>
      <sheetName val="4_236"/>
      <sheetName val="4_336"/>
      <sheetName val="5_136"/>
      <sheetName val="5_236"/>
      <sheetName val="5_336"/>
      <sheetName val="6_036"/>
      <sheetName val="6_136"/>
      <sheetName val="6_236"/>
      <sheetName val="6_336"/>
      <sheetName val="7_136"/>
      <sheetName val="7_236"/>
      <sheetName val="7_336"/>
      <sheetName val="8_136"/>
      <sheetName val="8_236"/>
      <sheetName val="Liebman_13424"/>
      <sheetName val="PROYECTOS_2015_23"/>
      <sheetName val="PPTO_23"/>
      <sheetName val="A_P_U23"/>
      <sheetName val="P_U_23"/>
      <sheetName val="G_G_ESTRUC_23"/>
      <sheetName val="RESUMEN_CLIENTE23"/>
      <sheetName val="ANÁLISIS_GG23"/>
      <sheetName val="pu_Estructuras23"/>
      <sheetName val="Formato_de_Pedido23"/>
      <sheetName val="Condiciones_Generales_de_Vent23"/>
      <sheetName val="Codigo_de_Diseño23"/>
      <sheetName val="Hoja_de_Recursos23"/>
      <sheetName val="Provisionales_23"/>
      <sheetName val="wagerate_by_craft23"/>
      <sheetName val="Pump_Calcs23"/>
      <sheetName val="Columnas_de__Cerco23"/>
      <sheetName val="Losa_postensado_h=_0_2023"/>
      <sheetName val="Base_de_Equipos23"/>
      <sheetName val="LOSA_DE_PISO_E=_023"/>
      <sheetName val="Columnas_23"/>
      <sheetName val="Muros_de_Cerco23"/>
      <sheetName val="Muros_de_Contencion23"/>
      <sheetName val="Muros_Pantalla_23"/>
      <sheetName val="Cimiento_Corrido23"/>
      <sheetName val="V_C_23"/>
      <sheetName val="Vigas_y_Cortes23"/>
      <sheetName val="Cimentacion_Armada23"/>
      <sheetName val="VIGAS_DE_AMARRE_Y_DINTELES23"/>
      <sheetName val="Relleno_Rampa23"/>
      <sheetName val="Viguetas_Firth23"/>
      <sheetName val="B__equipos23"/>
      <sheetName val="Sol_Val11"/>
      <sheetName val="Res_Val11"/>
      <sheetName val="OBRAS_PROV__Y_PRELIM_11"/>
      <sheetName val="EST_ESCALERAS11"/>
      <sheetName val="PC-19053_RP_PURUCHUCO11"/>
      <sheetName val="Metrado_018"/>
      <sheetName val="Metrado_028"/>
      <sheetName val="RESUMEN_METRADOS_(2)8"/>
      <sheetName val="L_MACIZAS8"/>
      <sheetName val="PLACAS_MP8"/>
      <sheetName val="PLACAS_EDIF8"/>
      <sheetName val="O_CIVIL8"/>
      <sheetName val="IIMM_LIQ8"/>
      <sheetName val="PLANILA_OC8"/>
      <sheetName val="INST_COM9"/>
      <sheetName val="RESUMEN_AJUSTADO9"/>
      <sheetName val="PRECIOS_8"/>
      <sheetName val="Encofrado_BVR_Unispan48"/>
      <sheetName val="Equipo_de_apuntalemiento48"/>
      <sheetName val="Gastos_Generales_BVR48"/>
      <sheetName val="BVR_con_Efco48"/>
      <sheetName val="TIPO_CAMBIO47"/>
      <sheetName val="Tiraje_Mix47"/>
      <sheetName val="MAT_47"/>
      <sheetName val="CONDUCT_37"/>
      <sheetName val="conductores_volquetes37"/>
      <sheetName val="Piso_2-537"/>
      <sheetName val="PLANILLAS_FORMATEADAS37"/>
      <sheetName val="CONTEO_DE_DATOS37"/>
      <sheetName val="RESUMEN_DE_PARTIDAS37"/>
      <sheetName val="9_1A37"/>
      <sheetName val="9_2A37"/>
      <sheetName val="9_3A37"/>
      <sheetName val="9_4A37"/>
      <sheetName val="9_5A37"/>
      <sheetName val="9_6A37"/>
      <sheetName val="9_7A37"/>
      <sheetName val="9_8A37"/>
      <sheetName val="9_9A37"/>
      <sheetName val="9_10A37"/>
      <sheetName val="9_11A37"/>
      <sheetName val="9_12A37"/>
      <sheetName val="1_1A37"/>
      <sheetName val="1_2A37"/>
      <sheetName val="1_3A37"/>
      <sheetName val="1_4A37"/>
      <sheetName val="2_1A37"/>
      <sheetName val="2_2A37"/>
      <sheetName val="2_3A37"/>
      <sheetName val="3_1A37"/>
      <sheetName val="3_2A37"/>
      <sheetName val="3_3A37"/>
      <sheetName val="4_1A37"/>
      <sheetName val="4_2A37"/>
      <sheetName val="4_3A37"/>
      <sheetName val="5_1A37"/>
      <sheetName val="5_2A37"/>
      <sheetName val="5_3A37"/>
      <sheetName val="6_1A37"/>
      <sheetName val="6_2A37"/>
      <sheetName val="6_3A37"/>
      <sheetName val="7_1A37"/>
      <sheetName val="7_2A37"/>
      <sheetName val="7_3A37"/>
      <sheetName val="8_1A37"/>
      <sheetName val="8_2A37"/>
      <sheetName val="Resumen_237"/>
      <sheetName val="Resumen_137"/>
      <sheetName val="9_166"/>
      <sheetName val="9_237"/>
      <sheetName val="9_337"/>
      <sheetName val="9_437"/>
      <sheetName val="9_537"/>
      <sheetName val="9_637"/>
      <sheetName val="9_737"/>
      <sheetName val="9_837"/>
      <sheetName val="9_937"/>
      <sheetName val="9_1037"/>
      <sheetName val="9_1138"/>
      <sheetName val="9_1237"/>
      <sheetName val="9_1337"/>
      <sheetName val="1_137"/>
      <sheetName val="1_237"/>
      <sheetName val="1_337"/>
      <sheetName val="2_137"/>
      <sheetName val="2_237"/>
      <sheetName val="2_337"/>
      <sheetName val="3_137"/>
      <sheetName val="3_237"/>
      <sheetName val="3_337"/>
      <sheetName val="4_137"/>
      <sheetName val="4_237"/>
      <sheetName val="4_337"/>
      <sheetName val="5_137"/>
      <sheetName val="5_237"/>
      <sheetName val="5_337"/>
      <sheetName val="6_037"/>
      <sheetName val="6_137"/>
      <sheetName val="6_237"/>
      <sheetName val="6_337"/>
      <sheetName val="7_137"/>
      <sheetName val="7_237"/>
      <sheetName val="7_337"/>
      <sheetName val="8_137"/>
      <sheetName val="8_237"/>
      <sheetName val="Liebman_13425"/>
      <sheetName val="PROYECTOS_2015_24"/>
      <sheetName val="PPTO_24"/>
      <sheetName val="A_P_U24"/>
      <sheetName val="P_U_24"/>
      <sheetName val="G_G_ESTRUC_24"/>
      <sheetName val="RESUMEN_CLIENTE24"/>
      <sheetName val="ANÁLISIS_GG24"/>
      <sheetName val="pu_Estructuras24"/>
      <sheetName val="Formato_de_Pedido24"/>
      <sheetName val="Condiciones_Generales_de_Vent24"/>
      <sheetName val="Codigo_de_Diseño24"/>
      <sheetName val="Hoja_de_Recursos24"/>
      <sheetName val="Provisionales_24"/>
      <sheetName val="wagerate_by_craft24"/>
      <sheetName val="Pump_Calcs24"/>
      <sheetName val="Columnas_de__Cerco24"/>
      <sheetName val="Losa_postensado_h=_0_2024"/>
      <sheetName val="Base_de_Equipos24"/>
      <sheetName val="LOSA_DE_PISO_E=_024"/>
      <sheetName val="Columnas_24"/>
      <sheetName val="Muros_de_Cerco24"/>
      <sheetName val="Muros_de_Contencion24"/>
      <sheetName val="Muros_Pantalla_24"/>
      <sheetName val="Cimiento_Corrido24"/>
      <sheetName val="V_C_24"/>
      <sheetName val="Vigas_y_Cortes24"/>
      <sheetName val="Cimentacion_Armada24"/>
      <sheetName val="VIGAS_DE_AMARRE_Y_DINTELES24"/>
      <sheetName val="Relleno_Rampa24"/>
      <sheetName val="Viguetas_Firth24"/>
      <sheetName val="B__equipos24"/>
      <sheetName val="Sol_Val12"/>
      <sheetName val="Res_Val12"/>
      <sheetName val="OBRAS_PROV__Y_PRELIM_12"/>
      <sheetName val="EST_ESCALERAS12"/>
      <sheetName val="PC-19053_RP_PURUCHUCO12"/>
      <sheetName val="Metrado_019"/>
      <sheetName val="Metrado_029"/>
      <sheetName val="RESUMEN_METRADOS_(2)9"/>
      <sheetName val="L_MACIZAS9"/>
      <sheetName val="PLACAS_MP9"/>
      <sheetName val="PLACAS_EDIF9"/>
      <sheetName val="O_CIVIL9"/>
      <sheetName val="IIMM_LIQ9"/>
      <sheetName val="PLANILA_OC9"/>
      <sheetName val="INST_COM10"/>
      <sheetName val="RESUMEN_AJUSTADO10"/>
      <sheetName val="PRECIOS_9"/>
      <sheetName val="Encofrado_BVR_Unispan49"/>
      <sheetName val="Equipo_de_apuntalemiento49"/>
      <sheetName val="Gastos_Generales_BVR49"/>
      <sheetName val="BVR_con_Efco49"/>
      <sheetName val="TIPO_CAMBIO48"/>
      <sheetName val="Tiraje_Mix48"/>
      <sheetName val="MAT_48"/>
      <sheetName val="CONDUCT_38"/>
      <sheetName val="conductores_volquetes38"/>
      <sheetName val="Piso_2-538"/>
      <sheetName val="PLANILLAS_FORMATEADAS38"/>
      <sheetName val="CONTEO_DE_DATOS38"/>
      <sheetName val="RESUMEN_DE_PARTIDAS38"/>
      <sheetName val="9_1A38"/>
      <sheetName val="9_2A38"/>
      <sheetName val="9_3A38"/>
      <sheetName val="9_4A38"/>
      <sheetName val="9_5A38"/>
      <sheetName val="9_6A38"/>
      <sheetName val="9_7A38"/>
      <sheetName val="9_8A38"/>
      <sheetName val="9_9A38"/>
      <sheetName val="9_10A38"/>
      <sheetName val="9_11A38"/>
      <sheetName val="9_12A38"/>
      <sheetName val="1_1A38"/>
      <sheetName val="1_2A38"/>
      <sheetName val="1_3A38"/>
      <sheetName val="1_4A38"/>
      <sheetName val="2_1A38"/>
      <sheetName val="2_2A38"/>
      <sheetName val="2_3A38"/>
      <sheetName val="3_1A38"/>
      <sheetName val="3_2A38"/>
      <sheetName val="3_3A38"/>
      <sheetName val="4_1A38"/>
      <sheetName val="4_2A38"/>
      <sheetName val="4_3A38"/>
      <sheetName val="5_1A38"/>
      <sheetName val="5_2A38"/>
      <sheetName val="5_3A38"/>
      <sheetName val="6_1A38"/>
      <sheetName val="6_2A38"/>
      <sheetName val="6_3A38"/>
      <sheetName val="7_1A38"/>
      <sheetName val="7_2A38"/>
      <sheetName val="7_3A38"/>
      <sheetName val="8_1A38"/>
      <sheetName val="8_2A38"/>
      <sheetName val="Resumen_238"/>
      <sheetName val="Resumen_138"/>
      <sheetName val="9_167"/>
      <sheetName val="9_238"/>
      <sheetName val="9_338"/>
      <sheetName val="9_438"/>
      <sheetName val="9_538"/>
      <sheetName val="9_638"/>
      <sheetName val="9_738"/>
      <sheetName val="9_838"/>
      <sheetName val="9_938"/>
      <sheetName val="9_1038"/>
      <sheetName val="9_1139"/>
      <sheetName val="9_1238"/>
      <sheetName val="9_1338"/>
      <sheetName val="1_138"/>
      <sheetName val="1_238"/>
      <sheetName val="1_338"/>
      <sheetName val="2_138"/>
      <sheetName val="2_238"/>
      <sheetName val="2_338"/>
      <sheetName val="3_138"/>
      <sheetName val="3_238"/>
      <sheetName val="3_338"/>
      <sheetName val="4_138"/>
      <sheetName val="4_238"/>
      <sheetName val="4_338"/>
      <sheetName val="5_138"/>
      <sheetName val="5_238"/>
      <sheetName val="5_338"/>
      <sheetName val="6_038"/>
      <sheetName val="6_138"/>
      <sheetName val="6_238"/>
      <sheetName val="6_338"/>
      <sheetName val="7_138"/>
      <sheetName val="7_238"/>
      <sheetName val="7_338"/>
      <sheetName val="8_138"/>
      <sheetName val="8_238"/>
      <sheetName val="Liebman_13426"/>
      <sheetName val="PROYECTOS_2015_25"/>
      <sheetName val="PPTO_25"/>
      <sheetName val="A_P_U25"/>
      <sheetName val="P_U_25"/>
      <sheetName val="G_G_ESTRUC_25"/>
      <sheetName val="RESUMEN_CLIENTE25"/>
      <sheetName val="ANÁLISIS_GG25"/>
      <sheetName val="pu_Estructuras25"/>
      <sheetName val="Formato_de_Pedido25"/>
      <sheetName val="Condiciones_Generales_de_Vent25"/>
      <sheetName val="Codigo_de_Diseño25"/>
      <sheetName val="Hoja_de_Recursos25"/>
      <sheetName val="Provisionales_25"/>
      <sheetName val="wagerate_by_craft25"/>
      <sheetName val="Pump_Calcs25"/>
      <sheetName val="Columnas_de__Cerco25"/>
      <sheetName val="Losa_postensado_h=_0_2025"/>
      <sheetName val="Base_de_Equipos25"/>
      <sheetName val="LOSA_DE_PISO_E=_025"/>
      <sheetName val="Columnas_25"/>
      <sheetName val="Muros_de_Cerco25"/>
      <sheetName val="Muros_de_Contencion25"/>
      <sheetName val="Muros_Pantalla_25"/>
      <sheetName val="Cimiento_Corrido25"/>
      <sheetName val="V_C_25"/>
      <sheetName val="Vigas_y_Cortes25"/>
      <sheetName val="Cimentacion_Armada25"/>
      <sheetName val="VIGAS_DE_AMARRE_Y_DINTELES25"/>
      <sheetName val="Relleno_Rampa25"/>
      <sheetName val="Viguetas_Firth25"/>
      <sheetName val="B__equipos25"/>
      <sheetName val="Sol_Val13"/>
      <sheetName val="Res_Val13"/>
      <sheetName val="OBRAS_PROV__Y_PRELIM_13"/>
      <sheetName val="EST_ESCALERAS13"/>
      <sheetName val="PC-19053_RP_PURUCHUCO13"/>
      <sheetName val="Metrado_0110"/>
      <sheetName val="Metrado_0210"/>
      <sheetName val="RESUMEN_METRADOS_(2)10"/>
      <sheetName val="L_MACIZAS10"/>
      <sheetName val="PLACAS_MP10"/>
      <sheetName val="PLACAS_EDIF10"/>
      <sheetName val="O_CIVIL10"/>
      <sheetName val="IIMM_LIQ10"/>
      <sheetName val="PLANILA_OC10"/>
      <sheetName val="INST_COM11"/>
      <sheetName val="RESUMEN_AJUSTADO11"/>
      <sheetName val="PRECIOS_10"/>
      <sheetName val="SIN_IGV_GR_(2)1"/>
      <sheetName val="Encofrado_BVR_Unispan50"/>
      <sheetName val="Equipo_de_apuntalemiento50"/>
      <sheetName val="Gastos_Generales_BVR50"/>
      <sheetName val="BVR_con_Efco50"/>
      <sheetName val="TIPO_CAMBIO49"/>
      <sheetName val="Tiraje_Mix49"/>
      <sheetName val="MAT_49"/>
      <sheetName val="CONDUCT_39"/>
      <sheetName val="conductores_volquetes39"/>
      <sheetName val="Piso_2-539"/>
      <sheetName val="PLANILLAS_FORMATEADAS39"/>
      <sheetName val="CONTEO_DE_DATOS39"/>
      <sheetName val="RESUMEN_DE_PARTIDAS39"/>
      <sheetName val="9_1A39"/>
      <sheetName val="9_2A39"/>
      <sheetName val="9_3A39"/>
      <sheetName val="9_4A39"/>
      <sheetName val="9_5A39"/>
      <sheetName val="9_6A39"/>
      <sheetName val="9_7A39"/>
      <sheetName val="9_8A39"/>
      <sheetName val="9_9A39"/>
      <sheetName val="9_10A39"/>
      <sheetName val="9_11A39"/>
      <sheetName val="9_12A39"/>
      <sheetName val="1_1A39"/>
      <sheetName val="1_2A39"/>
      <sheetName val="1_3A39"/>
      <sheetName val="1_4A39"/>
      <sheetName val="2_1A39"/>
      <sheetName val="2_2A39"/>
      <sheetName val="2_3A39"/>
      <sheetName val="3_1A39"/>
      <sheetName val="3_2A39"/>
      <sheetName val="3_3A39"/>
      <sheetName val="4_1A39"/>
      <sheetName val="4_2A39"/>
      <sheetName val="4_3A39"/>
      <sheetName val="5_1A39"/>
      <sheetName val="5_2A39"/>
      <sheetName val="5_3A39"/>
      <sheetName val="6_1A39"/>
      <sheetName val="6_2A39"/>
      <sheetName val="6_3A39"/>
      <sheetName val="7_1A39"/>
      <sheetName val="7_2A39"/>
      <sheetName val="7_3A39"/>
      <sheetName val="8_1A39"/>
      <sheetName val="8_2A39"/>
      <sheetName val="Resumen_239"/>
      <sheetName val="Resumen_139"/>
      <sheetName val="9_168"/>
      <sheetName val="9_239"/>
      <sheetName val="9_339"/>
      <sheetName val="9_439"/>
      <sheetName val="9_539"/>
      <sheetName val="9_639"/>
      <sheetName val="9_739"/>
      <sheetName val="9_839"/>
      <sheetName val="9_939"/>
      <sheetName val="9_1039"/>
      <sheetName val="9_1140"/>
      <sheetName val="9_1239"/>
      <sheetName val="9_1339"/>
      <sheetName val="1_139"/>
      <sheetName val="1_239"/>
      <sheetName val="1_339"/>
      <sheetName val="2_139"/>
      <sheetName val="2_239"/>
      <sheetName val="2_339"/>
      <sheetName val="3_139"/>
      <sheetName val="3_239"/>
      <sheetName val="3_339"/>
      <sheetName val="4_139"/>
      <sheetName val="4_239"/>
      <sheetName val="4_339"/>
      <sheetName val="5_139"/>
      <sheetName val="5_239"/>
      <sheetName val="5_339"/>
      <sheetName val="6_039"/>
      <sheetName val="6_139"/>
      <sheetName val="6_239"/>
      <sheetName val="6_339"/>
      <sheetName val="7_139"/>
      <sheetName val="7_239"/>
      <sheetName val="7_339"/>
      <sheetName val="8_139"/>
      <sheetName val="8_239"/>
      <sheetName val="Liebman_13427"/>
      <sheetName val="PROYECTOS_2015_26"/>
      <sheetName val="PPTO_26"/>
      <sheetName val="A_P_U26"/>
      <sheetName val="P_U_26"/>
      <sheetName val="G_G_ESTRUC_26"/>
      <sheetName val="RESUMEN_CLIENTE26"/>
      <sheetName val="ANÁLISIS_GG26"/>
      <sheetName val="pu_Estructuras26"/>
      <sheetName val="Formato_de_Pedido26"/>
      <sheetName val="Condiciones_Generales_de_Vent26"/>
      <sheetName val="Codigo_de_Diseño26"/>
      <sheetName val="Hoja_de_Recursos26"/>
      <sheetName val="Provisionales_26"/>
      <sheetName val="wagerate_by_craft26"/>
      <sheetName val="Pump_Calcs26"/>
      <sheetName val="Columnas_de__Cerco26"/>
      <sheetName val="Losa_postensado_h=_0_2026"/>
      <sheetName val="Base_de_Equipos26"/>
      <sheetName val="LOSA_DE_PISO_E=_026"/>
      <sheetName val="Columnas_26"/>
      <sheetName val="Muros_de_Cerco26"/>
      <sheetName val="Muros_de_Contencion26"/>
      <sheetName val="Muros_Pantalla_26"/>
      <sheetName val="Cimiento_Corrido26"/>
      <sheetName val="V_C_26"/>
      <sheetName val="Vigas_y_Cortes26"/>
      <sheetName val="Cimentacion_Armada26"/>
      <sheetName val="VIGAS_DE_AMARRE_Y_DINTELES26"/>
      <sheetName val="Relleno_Rampa26"/>
      <sheetName val="Viguetas_Firth26"/>
      <sheetName val="B__equipos26"/>
      <sheetName val="Sol_Val14"/>
      <sheetName val="Res_Val14"/>
      <sheetName val="OBRAS_PROV__Y_PRELIM_14"/>
      <sheetName val="EST_ESCALERAS14"/>
      <sheetName val="PC-19053_RP_PURUCHUCO14"/>
      <sheetName val="Metrado_0111"/>
      <sheetName val="Metrado_0211"/>
      <sheetName val="RESUMEN_METRADOS_(2)11"/>
      <sheetName val="L_MACIZAS11"/>
      <sheetName val="PLACAS_MP11"/>
      <sheetName val="PLACAS_EDIF11"/>
      <sheetName val="O_CIVIL11"/>
      <sheetName val="IIMM_LIQ11"/>
      <sheetName val="PLANILA_OC11"/>
      <sheetName val="INST_COM12"/>
      <sheetName val="RESUMEN_AJUSTADO12"/>
      <sheetName val="PRECIOS_11"/>
      <sheetName val="SIN_IGV_GR_(2)2"/>
      <sheetName val="Encofrado_BVR_Unispan51"/>
      <sheetName val="Equipo_de_apuntalemiento51"/>
      <sheetName val="Gastos_Generales_BVR51"/>
      <sheetName val="BVR_con_Efco51"/>
      <sheetName val="TIPO_CAMBIO50"/>
      <sheetName val="Tiraje_Mix50"/>
      <sheetName val="MAT_50"/>
      <sheetName val="CONDUCT_40"/>
      <sheetName val="conductores_volquetes40"/>
      <sheetName val="PLANILLAS_FORMATEADAS40"/>
      <sheetName val="CONTEO_DE_DATOS40"/>
      <sheetName val="RESUMEN_DE_PARTIDAS40"/>
      <sheetName val="Piso_2-540"/>
      <sheetName val="9_1A40"/>
      <sheetName val="9_2A40"/>
      <sheetName val="9_3A40"/>
      <sheetName val="9_4A40"/>
      <sheetName val="9_5A40"/>
      <sheetName val="9_6A40"/>
      <sheetName val="9_7A40"/>
      <sheetName val="9_8A40"/>
      <sheetName val="9_9A40"/>
      <sheetName val="9_10A40"/>
      <sheetName val="9_11A40"/>
      <sheetName val="9_12A40"/>
      <sheetName val="1_1A40"/>
      <sheetName val="1_2A40"/>
      <sheetName val="1_3A40"/>
      <sheetName val="1_4A40"/>
      <sheetName val="2_1A40"/>
      <sheetName val="2_2A40"/>
      <sheetName val="2_3A40"/>
      <sheetName val="3_1A40"/>
      <sheetName val="3_2A40"/>
      <sheetName val="3_3A40"/>
      <sheetName val="4_1A40"/>
      <sheetName val="4_2A40"/>
      <sheetName val="4_3A40"/>
      <sheetName val="5_1A40"/>
      <sheetName val="5_2A40"/>
      <sheetName val="5_3A40"/>
      <sheetName val="6_1A40"/>
      <sheetName val="6_2A40"/>
      <sheetName val="6_3A40"/>
      <sheetName val="7_1A40"/>
      <sheetName val="7_2A40"/>
      <sheetName val="7_3A40"/>
      <sheetName val="8_1A40"/>
      <sheetName val="8_2A40"/>
      <sheetName val="Resumen_240"/>
      <sheetName val="Resumen_140"/>
      <sheetName val="9_169"/>
      <sheetName val="9_240"/>
      <sheetName val="9_340"/>
      <sheetName val="9_440"/>
      <sheetName val="9_540"/>
      <sheetName val="9_640"/>
      <sheetName val="9_740"/>
      <sheetName val="9_840"/>
      <sheetName val="9_940"/>
      <sheetName val="9_1040"/>
      <sheetName val="9_1141"/>
      <sheetName val="9_1240"/>
      <sheetName val="9_1340"/>
      <sheetName val="1_140"/>
      <sheetName val="1_240"/>
      <sheetName val="1_340"/>
      <sheetName val="2_140"/>
      <sheetName val="2_240"/>
      <sheetName val="2_340"/>
      <sheetName val="3_140"/>
      <sheetName val="3_240"/>
      <sheetName val="3_340"/>
      <sheetName val="4_140"/>
      <sheetName val="4_240"/>
      <sheetName val="4_340"/>
      <sheetName val="5_140"/>
      <sheetName val="5_240"/>
      <sheetName val="5_340"/>
      <sheetName val="6_040"/>
      <sheetName val="6_140"/>
      <sheetName val="6_240"/>
      <sheetName val="6_340"/>
      <sheetName val="7_140"/>
      <sheetName val="7_240"/>
      <sheetName val="7_340"/>
      <sheetName val="8_140"/>
      <sheetName val="8_240"/>
      <sheetName val="Liebman_13428"/>
      <sheetName val="PROYECTOS_2015_27"/>
      <sheetName val="P_U_27"/>
      <sheetName val="G_G_ESTRUC_27"/>
      <sheetName val="RESUMEN_CLIENTE27"/>
      <sheetName val="pu_Estructuras27"/>
      <sheetName val="ANÁLISIS_GG27"/>
      <sheetName val="Formato_de_Pedido27"/>
      <sheetName val="Condiciones_Generales_de_Vent27"/>
      <sheetName val="Codigo_de_Diseño27"/>
      <sheetName val="Hoja_de_Recursos27"/>
      <sheetName val="Provisionales_27"/>
      <sheetName val="wagerate_by_craft27"/>
      <sheetName val="PPTO_27"/>
      <sheetName val="A_P_U27"/>
      <sheetName val="Columnas_de__Cerco27"/>
      <sheetName val="Losa_postensado_h=_0_2027"/>
      <sheetName val="Base_de_Equipos27"/>
      <sheetName val="LOSA_DE_PISO_E=_027"/>
      <sheetName val="Columnas_27"/>
      <sheetName val="Muros_de_Cerco27"/>
      <sheetName val="Muros_de_Contencion27"/>
      <sheetName val="Muros_Pantalla_27"/>
      <sheetName val="Cimiento_Corrido27"/>
      <sheetName val="V_C_27"/>
      <sheetName val="Vigas_y_Cortes27"/>
      <sheetName val="Cimentacion_Armada27"/>
      <sheetName val="VIGAS_DE_AMARRE_Y_DINTELES27"/>
      <sheetName val="Relleno_Rampa27"/>
      <sheetName val="Viguetas_Firth27"/>
      <sheetName val="B__equipos27"/>
      <sheetName val="Pump_Calcs27"/>
      <sheetName val="Sol_Val15"/>
      <sheetName val="Res_Val15"/>
      <sheetName val="OBRAS_PROV__Y_PRELIM_15"/>
      <sheetName val="EST_ESCALERAS15"/>
      <sheetName val="PC-19053_RP_PURUCHUCO15"/>
      <sheetName val="Metrado_0112"/>
      <sheetName val="Metrado_0212"/>
      <sheetName val="RESUMEN_METRADOS_(2)12"/>
      <sheetName val="L_MACIZAS12"/>
      <sheetName val="PLACAS_MP12"/>
      <sheetName val="PLACAS_EDIF12"/>
      <sheetName val="O_CIVIL12"/>
      <sheetName val="IIMM_LIQ12"/>
      <sheetName val="PLANILA_OC12"/>
      <sheetName val="INST_COM13"/>
      <sheetName val="RESUMEN_AJUSTADO13"/>
      <sheetName val="PRECIOS_12"/>
      <sheetName val="SIN_IGV_GR_(2)3"/>
      <sheetName val="Encofrado_BVR_Unispan52"/>
      <sheetName val="Equipo_de_apuntalemiento52"/>
      <sheetName val="Gastos_Generales_BVR52"/>
      <sheetName val="BVR_con_Efco52"/>
      <sheetName val="TIPO_CAMBIO51"/>
      <sheetName val="Tiraje_Mix51"/>
      <sheetName val="MAT_51"/>
      <sheetName val="CONDUCT_41"/>
      <sheetName val="conductores_volquetes41"/>
      <sheetName val="PLANILLAS_FORMATEADAS41"/>
      <sheetName val="CONTEO_DE_DATOS41"/>
      <sheetName val="RESUMEN_DE_PARTIDAS41"/>
      <sheetName val="Piso_2-541"/>
      <sheetName val="9_1A41"/>
      <sheetName val="9_2A41"/>
      <sheetName val="9_3A41"/>
      <sheetName val="9_4A41"/>
      <sheetName val="9_5A41"/>
      <sheetName val="9_6A41"/>
      <sheetName val="9_7A41"/>
      <sheetName val="9_8A41"/>
      <sheetName val="9_9A41"/>
      <sheetName val="9_10A41"/>
      <sheetName val="9_11A41"/>
      <sheetName val="9_12A41"/>
      <sheetName val="1_1A41"/>
      <sheetName val="1_2A41"/>
      <sheetName val="1_3A41"/>
      <sheetName val="1_4A41"/>
      <sheetName val="2_1A41"/>
      <sheetName val="2_2A41"/>
      <sheetName val="2_3A41"/>
      <sheetName val="3_1A41"/>
      <sheetName val="3_2A41"/>
      <sheetName val="3_3A41"/>
      <sheetName val="4_1A41"/>
      <sheetName val="4_2A41"/>
      <sheetName val="4_3A41"/>
      <sheetName val="5_1A41"/>
      <sheetName val="5_2A41"/>
      <sheetName val="5_3A41"/>
      <sheetName val="6_1A41"/>
      <sheetName val="6_2A41"/>
      <sheetName val="6_3A41"/>
      <sheetName val="7_1A41"/>
      <sheetName val="7_2A41"/>
      <sheetName val="7_3A41"/>
      <sheetName val="8_1A41"/>
      <sheetName val="8_2A41"/>
      <sheetName val="Resumen_241"/>
      <sheetName val="Resumen_141"/>
      <sheetName val="9_170"/>
      <sheetName val="9_241"/>
      <sheetName val="9_341"/>
      <sheetName val="9_441"/>
      <sheetName val="9_541"/>
      <sheetName val="9_641"/>
      <sheetName val="9_741"/>
      <sheetName val="9_841"/>
      <sheetName val="9_941"/>
      <sheetName val="9_1041"/>
      <sheetName val="9_1142"/>
      <sheetName val="9_1241"/>
      <sheetName val="9_1341"/>
      <sheetName val="1_141"/>
      <sheetName val="1_241"/>
      <sheetName val="1_341"/>
      <sheetName val="2_141"/>
      <sheetName val="2_241"/>
      <sheetName val="2_341"/>
      <sheetName val="3_141"/>
      <sheetName val="3_241"/>
      <sheetName val="3_341"/>
      <sheetName val="4_141"/>
      <sheetName val="4_241"/>
      <sheetName val="4_341"/>
      <sheetName val="5_141"/>
      <sheetName val="5_241"/>
      <sheetName val="5_341"/>
      <sheetName val="6_041"/>
      <sheetName val="6_141"/>
      <sheetName val="6_241"/>
      <sheetName val="6_341"/>
      <sheetName val="7_141"/>
      <sheetName val="7_241"/>
      <sheetName val="7_341"/>
      <sheetName val="8_141"/>
      <sheetName val="8_241"/>
      <sheetName val="Liebman_13429"/>
      <sheetName val="PROYECTOS_2015_28"/>
      <sheetName val="P_U_28"/>
      <sheetName val="G_G_ESTRUC_28"/>
      <sheetName val="RESUMEN_CLIENTE28"/>
      <sheetName val="pu_Estructuras28"/>
      <sheetName val="ANÁLISIS_GG28"/>
      <sheetName val="Formato_de_Pedido28"/>
      <sheetName val="Condiciones_Generales_de_Vent28"/>
      <sheetName val="Codigo_de_Diseño28"/>
      <sheetName val="Hoja_de_Recursos28"/>
      <sheetName val="Provisionales_28"/>
      <sheetName val="wagerate_by_craft28"/>
      <sheetName val="PPTO_28"/>
      <sheetName val="A_P_U28"/>
      <sheetName val="Columnas_de__Cerco28"/>
      <sheetName val="Losa_postensado_h=_0_2028"/>
      <sheetName val="Base_de_Equipos28"/>
      <sheetName val="LOSA_DE_PISO_E=_028"/>
      <sheetName val="Columnas_28"/>
      <sheetName val="Muros_de_Cerco28"/>
      <sheetName val="Muros_de_Contencion28"/>
      <sheetName val="Muros_Pantalla_28"/>
      <sheetName val="Cimiento_Corrido28"/>
      <sheetName val="V_C_28"/>
      <sheetName val="Vigas_y_Cortes28"/>
      <sheetName val="Cimentacion_Armada28"/>
      <sheetName val="VIGAS_DE_AMARRE_Y_DINTELES28"/>
      <sheetName val="Relleno_Rampa28"/>
      <sheetName val="Viguetas_Firth28"/>
      <sheetName val="B__equipos28"/>
      <sheetName val="Pump_Calcs28"/>
      <sheetName val="Sol_Val16"/>
      <sheetName val="Res_Val16"/>
      <sheetName val="OBRAS_PROV__Y_PRELIM_16"/>
      <sheetName val="EST_ESCALERAS16"/>
      <sheetName val="PC-19053_RP_PURUCHUCO16"/>
      <sheetName val="Metrado_0113"/>
      <sheetName val="Metrado_0213"/>
      <sheetName val="RESUMEN_METRADOS_(2)13"/>
      <sheetName val="L_MACIZAS13"/>
      <sheetName val="PLACAS_MP13"/>
      <sheetName val="PLACAS_EDIF13"/>
      <sheetName val="O_CIVIL13"/>
      <sheetName val="IIMM_LIQ13"/>
      <sheetName val="PLANILA_OC13"/>
      <sheetName val="INST_COM14"/>
      <sheetName val="RESUMEN_AJUSTADO14"/>
      <sheetName val="PRECIOS_13"/>
      <sheetName val="SIN_IGV_GR_(2)4"/>
      <sheetName val="ANALISIS_ALQUILER_FERREYROS4"/>
      <sheetName val="1.0 Partidas"/>
      <sheetName val="APU"/>
      <sheetName val="SubPartida"/>
      <sheetName val="1. Precio Unitarios"/>
      <sheetName val="2. APU"/>
      <sheetName val="Precios"/>
      <sheetName val="Tarifa Equipos"/>
      <sheetName val="Material+Flete"/>
      <sheetName val="Mano de Obra"/>
      <sheetName val="EPP"/>
      <sheetName val="9__x0000__x0000_"/>
      <sheetName val="Costos"/>
      <sheetName val="INFORMATIVAS"/>
      <sheetName val="Encofrado_BVR_Unispan53"/>
      <sheetName val="Equipo_de_apuntalemiento53"/>
      <sheetName val="Gastos_Generales_BVR53"/>
      <sheetName val="BVR_con_Efco53"/>
      <sheetName val="TIPO_CAMBIO52"/>
      <sheetName val="Tiraje_Mix52"/>
      <sheetName val="MAT_52"/>
      <sheetName val="CONDUCT_42"/>
      <sheetName val="conductores_volquetes42"/>
      <sheetName val="Piso_2-542"/>
      <sheetName val="PLANILLAS_FORMATEADAS42"/>
      <sheetName val="CONTEO_DE_DATOS42"/>
      <sheetName val="RESUMEN_DE_PARTIDAS42"/>
      <sheetName val="9_1A42"/>
      <sheetName val="9_2A42"/>
      <sheetName val="9_3A42"/>
      <sheetName val="9_4A42"/>
      <sheetName val="9_5A42"/>
      <sheetName val="9_6A42"/>
      <sheetName val="9_7A42"/>
      <sheetName val="9_8A42"/>
      <sheetName val="9_9A42"/>
      <sheetName val="9_10A42"/>
      <sheetName val="9_11A42"/>
      <sheetName val="9_12A42"/>
      <sheetName val="1_1A42"/>
      <sheetName val="1_2A42"/>
      <sheetName val="1_3A42"/>
      <sheetName val="1_4A42"/>
      <sheetName val="2_1A42"/>
      <sheetName val="2_2A42"/>
      <sheetName val="2_3A42"/>
      <sheetName val="3_1A42"/>
      <sheetName val="3_2A42"/>
      <sheetName val="3_3A42"/>
      <sheetName val="4_1A42"/>
      <sheetName val="4_2A42"/>
      <sheetName val="4_3A42"/>
      <sheetName val="5_1A42"/>
      <sheetName val="5_2A42"/>
      <sheetName val="5_3A42"/>
      <sheetName val="6_1A42"/>
      <sheetName val="6_2A42"/>
      <sheetName val="6_3A42"/>
      <sheetName val="7_1A42"/>
      <sheetName val="7_2A42"/>
      <sheetName val="7_3A42"/>
      <sheetName val="8_1A42"/>
      <sheetName val="8_2A42"/>
      <sheetName val="Resumen_242"/>
      <sheetName val="Resumen_142"/>
      <sheetName val="9_171"/>
      <sheetName val="9_242"/>
      <sheetName val="9_342"/>
      <sheetName val="9_442"/>
      <sheetName val="9_542"/>
      <sheetName val="9_642"/>
      <sheetName val="9_742"/>
      <sheetName val="9_842"/>
      <sheetName val="9_942"/>
      <sheetName val="9_1042"/>
      <sheetName val="9_1143"/>
      <sheetName val="9_1242"/>
      <sheetName val="9_1342"/>
      <sheetName val="1_142"/>
      <sheetName val="1_242"/>
      <sheetName val="1_342"/>
      <sheetName val="2_142"/>
      <sheetName val="2_242"/>
      <sheetName val="2_342"/>
      <sheetName val="3_142"/>
      <sheetName val="3_242"/>
      <sheetName val="3_342"/>
      <sheetName val="4_142"/>
      <sheetName val="4_242"/>
      <sheetName val="4_342"/>
      <sheetName val="5_142"/>
      <sheetName val="5_242"/>
      <sheetName val="5_342"/>
      <sheetName val="6_042"/>
      <sheetName val="6_142"/>
      <sheetName val="6_242"/>
      <sheetName val="6_342"/>
      <sheetName val="7_142"/>
      <sheetName val="7_242"/>
      <sheetName val="7_342"/>
      <sheetName val="8_142"/>
      <sheetName val="8_242"/>
      <sheetName val="Liebman_13430"/>
      <sheetName val="PROYECTOS_2015_29"/>
      <sheetName val="P_U_29"/>
      <sheetName val="G_G_ESTRUC_29"/>
      <sheetName val="RESUMEN_CLIENTE29"/>
      <sheetName val="pu_Estructuras29"/>
      <sheetName val="Formato_de_Pedido29"/>
      <sheetName val="Condiciones_Generales_de_Vent29"/>
      <sheetName val="Codigo_de_Diseño29"/>
      <sheetName val="ANÁLISIS_GG29"/>
      <sheetName val="wagerate_by_craft29"/>
      <sheetName val="PPTO_29"/>
      <sheetName val="A_P_U29"/>
      <sheetName val="Sol_Val17"/>
      <sheetName val="Res_Val17"/>
      <sheetName val="OBRAS_PROV__Y_PRELIM_17"/>
      <sheetName val="EST_ESCALERAS17"/>
      <sheetName val="PC-19053_RP_PURUCHUCO17"/>
      <sheetName val="Hoja_de_Recursos29"/>
      <sheetName val="Provisionales_29"/>
      <sheetName val="Columnas_de__Cerco29"/>
      <sheetName val="Losa_postensado_h=_0_2029"/>
      <sheetName val="Base_de_Equipos29"/>
      <sheetName val="LOSA_DE_PISO_E=_029"/>
      <sheetName val="Columnas_29"/>
      <sheetName val="Muros_de_Cerco29"/>
      <sheetName val="Muros_de_Contencion29"/>
      <sheetName val="Muros_Pantalla_29"/>
      <sheetName val="Cimiento_Corrido29"/>
      <sheetName val="V_C_29"/>
      <sheetName val="Vigas_y_Cortes29"/>
      <sheetName val="Cimentacion_Armada29"/>
      <sheetName val="VIGAS_DE_AMARRE_Y_DINTELES29"/>
      <sheetName val="Relleno_Rampa29"/>
      <sheetName val="Viguetas_Firth29"/>
      <sheetName val="B__equipos29"/>
      <sheetName val="Pump_Calcs29"/>
      <sheetName val="Metrado_0114"/>
      <sheetName val="Metrado_0214"/>
      <sheetName val="RESUMEN_METRADOS_(2)14"/>
      <sheetName val="L_MACIZAS14"/>
      <sheetName val="PLACAS_MP14"/>
      <sheetName val="PLACAS_EDIF14"/>
      <sheetName val="O_CIVIL14"/>
      <sheetName val="IIMM_LIQ14"/>
      <sheetName val="PLANILA_OC14"/>
      <sheetName val="INST_COM15"/>
      <sheetName val="RESUMEN_AJUSTADO15"/>
      <sheetName val="PRECIOS_14"/>
      <sheetName val="DISTR_MANT_ELECTRICA"/>
      <sheetName val="Programa_Producción"/>
      <sheetName val="BASE_DE_DATOS"/>
      <sheetName val="SIN_IGV_GR_(2)5"/>
      <sheetName val="ANALISIS_ALQUILER_FERREYROS5"/>
      <sheetName val="1_0_Partidas"/>
      <sheetName val="1__Precio_Unitarios"/>
      <sheetName val="2__APU"/>
      <sheetName val="Tarifa_Equipos"/>
      <sheetName val="Mano_de_Obra"/>
      <sheetName val="Áreas"/>
      <sheetName val="TCambio"/>
      <sheetName val="Postes de concreto 3ø 35mm²_N"/>
      <sheetName val="Anexo F.3.1 "/>
    </sheetNames>
    <sheetDataSet>
      <sheetData sheetId="0" refreshError="1">
        <row r="7">
          <cell r="C7">
            <v>2</v>
          </cell>
        </row>
        <row r="8">
          <cell r="C8">
            <v>61.5</v>
          </cell>
        </row>
        <row r="9">
          <cell r="C9">
            <v>1.78</v>
          </cell>
        </row>
        <row r="10">
          <cell r="C10">
            <v>1.58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C7">
            <v>2</v>
          </cell>
        </row>
      </sheetData>
      <sheetData sheetId="12">
        <row r="7">
          <cell r="C7">
            <v>2</v>
          </cell>
        </row>
      </sheetData>
      <sheetData sheetId="13">
        <row r="7">
          <cell r="C7">
            <v>2</v>
          </cell>
        </row>
      </sheetData>
      <sheetData sheetId="14">
        <row r="7">
          <cell r="C7">
            <v>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C7">
            <v>2</v>
          </cell>
        </row>
      </sheetData>
      <sheetData sheetId="26">
        <row r="7">
          <cell r="C7">
            <v>2</v>
          </cell>
        </row>
      </sheetData>
      <sheetData sheetId="27">
        <row r="7">
          <cell r="C7">
            <v>2</v>
          </cell>
        </row>
      </sheetData>
      <sheetData sheetId="28">
        <row r="7">
          <cell r="C7">
            <v>2</v>
          </cell>
        </row>
      </sheetData>
      <sheetData sheetId="29">
        <row r="7">
          <cell r="C7">
            <v>2</v>
          </cell>
        </row>
      </sheetData>
      <sheetData sheetId="30">
        <row r="7">
          <cell r="C7">
            <v>2</v>
          </cell>
        </row>
      </sheetData>
      <sheetData sheetId="31">
        <row r="7">
          <cell r="C7">
            <v>2</v>
          </cell>
        </row>
      </sheetData>
      <sheetData sheetId="32">
        <row r="7">
          <cell r="C7">
            <v>2</v>
          </cell>
        </row>
      </sheetData>
      <sheetData sheetId="33">
        <row r="7">
          <cell r="C7">
            <v>2</v>
          </cell>
        </row>
      </sheetData>
      <sheetData sheetId="34">
        <row r="7">
          <cell r="C7">
            <v>2</v>
          </cell>
        </row>
      </sheetData>
      <sheetData sheetId="35">
        <row r="7">
          <cell r="C7">
            <v>2</v>
          </cell>
        </row>
      </sheetData>
      <sheetData sheetId="36">
        <row r="7">
          <cell r="C7">
            <v>2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7">
          <cell r="C7">
            <v>2</v>
          </cell>
        </row>
      </sheetData>
      <sheetData sheetId="269">
        <row r="7">
          <cell r="C7">
            <v>2</v>
          </cell>
        </row>
      </sheetData>
      <sheetData sheetId="270">
        <row r="7">
          <cell r="C7">
            <v>2</v>
          </cell>
        </row>
      </sheetData>
      <sheetData sheetId="271">
        <row r="7">
          <cell r="C7">
            <v>2</v>
          </cell>
        </row>
      </sheetData>
      <sheetData sheetId="272">
        <row r="7">
          <cell r="C7">
            <v>2</v>
          </cell>
        </row>
      </sheetData>
      <sheetData sheetId="273">
        <row r="7">
          <cell r="C7">
            <v>2</v>
          </cell>
        </row>
      </sheetData>
      <sheetData sheetId="274">
        <row r="7">
          <cell r="C7">
            <v>2</v>
          </cell>
        </row>
      </sheetData>
      <sheetData sheetId="275">
        <row r="7">
          <cell r="C7">
            <v>2</v>
          </cell>
        </row>
      </sheetData>
      <sheetData sheetId="276">
        <row r="7">
          <cell r="C7">
            <v>2</v>
          </cell>
        </row>
      </sheetData>
      <sheetData sheetId="277">
        <row r="7">
          <cell r="C7">
            <v>2</v>
          </cell>
        </row>
      </sheetData>
      <sheetData sheetId="278">
        <row r="7">
          <cell r="C7">
            <v>2</v>
          </cell>
        </row>
      </sheetData>
      <sheetData sheetId="279">
        <row r="7">
          <cell r="C7">
            <v>2</v>
          </cell>
        </row>
      </sheetData>
      <sheetData sheetId="280">
        <row r="7">
          <cell r="C7">
            <v>2</v>
          </cell>
        </row>
      </sheetData>
      <sheetData sheetId="281">
        <row r="7">
          <cell r="C7">
            <v>2</v>
          </cell>
        </row>
      </sheetData>
      <sheetData sheetId="282">
        <row r="7">
          <cell r="C7">
            <v>2</v>
          </cell>
        </row>
      </sheetData>
      <sheetData sheetId="283">
        <row r="7">
          <cell r="C7">
            <v>2</v>
          </cell>
        </row>
      </sheetData>
      <sheetData sheetId="284">
        <row r="7">
          <cell r="C7">
            <v>2</v>
          </cell>
        </row>
      </sheetData>
      <sheetData sheetId="285">
        <row r="7">
          <cell r="C7">
            <v>2</v>
          </cell>
        </row>
      </sheetData>
      <sheetData sheetId="286">
        <row r="7">
          <cell r="C7">
            <v>2</v>
          </cell>
        </row>
      </sheetData>
      <sheetData sheetId="287">
        <row r="7">
          <cell r="C7">
            <v>2</v>
          </cell>
        </row>
      </sheetData>
      <sheetData sheetId="288">
        <row r="7">
          <cell r="C7">
            <v>2</v>
          </cell>
        </row>
      </sheetData>
      <sheetData sheetId="289">
        <row r="7">
          <cell r="C7">
            <v>2</v>
          </cell>
        </row>
      </sheetData>
      <sheetData sheetId="290">
        <row r="7">
          <cell r="C7">
            <v>2</v>
          </cell>
        </row>
      </sheetData>
      <sheetData sheetId="291">
        <row r="7">
          <cell r="C7">
            <v>2</v>
          </cell>
        </row>
      </sheetData>
      <sheetData sheetId="292">
        <row r="7">
          <cell r="C7">
            <v>2</v>
          </cell>
        </row>
      </sheetData>
      <sheetData sheetId="293">
        <row r="7">
          <cell r="C7">
            <v>2</v>
          </cell>
        </row>
      </sheetData>
      <sheetData sheetId="294">
        <row r="7">
          <cell r="C7">
            <v>2</v>
          </cell>
        </row>
      </sheetData>
      <sheetData sheetId="295">
        <row r="7">
          <cell r="C7">
            <v>2</v>
          </cell>
        </row>
      </sheetData>
      <sheetData sheetId="296">
        <row r="7">
          <cell r="C7">
            <v>2</v>
          </cell>
        </row>
      </sheetData>
      <sheetData sheetId="297">
        <row r="7">
          <cell r="C7">
            <v>2</v>
          </cell>
        </row>
      </sheetData>
      <sheetData sheetId="298">
        <row r="7">
          <cell r="C7">
            <v>2</v>
          </cell>
        </row>
      </sheetData>
      <sheetData sheetId="299">
        <row r="7">
          <cell r="C7">
            <v>2</v>
          </cell>
        </row>
      </sheetData>
      <sheetData sheetId="300">
        <row r="7">
          <cell r="C7">
            <v>2</v>
          </cell>
        </row>
      </sheetData>
      <sheetData sheetId="301">
        <row r="7">
          <cell r="C7">
            <v>2</v>
          </cell>
        </row>
      </sheetData>
      <sheetData sheetId="302">
        <row r="7">
          <cell r="C7">
            <v>2</v>
          </cell>
        </row>
      </sheetData>
      <sheetData sheetId="303">
        <row r="7">
          <cell r="C7">
            <v>2</v>
          </cell>
        </row>
      </sheetData>
      <sheetData sheetId="304">
        <row r="7">
          <cell r="C7">
            <v>2</v>
          </cell>
        </row>
      </sheetData>
      <sheetData sheetId="305">
        <row r="7">
          <cell r="C7">
            <v>2</v>
          </cell>
        </row>
      </sheetData>
      <sheetData sheetId="306">
        <row r="7">
          <cell r="C7">
            <v>2</v>
          </cell>
        </row>
      </sheetData>
      <sheetData sheetId="307">
        <row r="7">
          <cell r="C7">
            <v>2</v>
          </cell>
        </row>
      </sheetData>
      <sheetData sheetId="308">
        <row r="7">
          <cell r="C7">
            <v>2</v>
          </cell>
        </row>
      </sheetData>
      <sheetData sheetId="309">
        <row r="7">
          <cell r="C7">
            <v>2</v>
          </cell>
        </row>
      </sheetData>
      <sheetData sheetId="310">
        <row r="7">
          <cell r="C7">
            <v>2</v>
          </cell>
        </row>
      </sheetData>
      <sheetData sheetId="311">
        <row r="7">
          <cell r="C7">
            <v>2</v>
          </cell>
        </row>
      </sheetData>
      <sheetData sheetId="312">
        <row r="7">
          <cell r="C7">
            <v>2</v>
          </cell>
        </row>
      </sheetData>
      <sheetData sheetId="313">
        <row r="7">
          <cell r="C7">
            <v>2</v>
          </cell>
        </row>
      </sheetData>
      <sheetData sheetId="314">
        <row r="7">
          <cell r="C7">
            <v>2</v>
          </cell>
        </row>
      </sheetData>
      <sheetData sheetId="315">
        <row r="7">
          <cell r="C7">
            <v>2</v>
          </cell>
        </row>
      </sheetData>
      <sheetData sheetId="316">
        <row r="7">
          <cell r="C7">
            <v>2</v>
          </cell>
        </row>
      </sheetData>
      <sheetData sheetId="317">
        <row r="7">
          <cell r="C7">
            <v>2</v>
          </cell>
        </row>
      </sheetData>
      <sheetData sheetId="318">
        <row r="7">
          <cell r="C7">
            <v>2</v>
          </cell>
        </row>
      </sheetData>
      <sheetData sheetId="319">
        <row r="7">
          <cell r="C7">
            <v>2</v>
          </cell>
        </row>
      </sheetData>
      <sheetData sheetId="320">
        <row r="7">
          <cell r="C7">
            <v>2</v>
          </cell>
        </row>
      </sheetData>
      <sheetData sheetId="321">
        <row r="7">
          <cell r="C7">
            <v>2</v>
          </cell>
        </row>
      </sheetData>
      <sheetData sheetId="322">
        <row r="7">
          <cell r="C7">
            <v>2</v>
          </cell>
        </row>
      </sheetData>
      <sheetData sheetId="323">
        <row r="7">
          <cell r="C7">
            <v>2</v>
          </cell>
        </row>
      </sheetData>
      <sheetData sheetId="324">
        <row r="7">
          <cell r="C7">
            <v>2</v>
          </cell>
        </row>
      </sheetData>
      <sheetData sheetId="325">
        <row r="7">
          <cell r="C7">
            <v>2</v>
          </cell>
        </row>
      </sheetData>
      <sheetData sheetId="326">
        <row r="7">
          <cell r="C7">
            <v>2</v>
          </cell>
        </row>
      </sheetData>
      <sheetData sheetId="327">
        <row r="7">
          <cell r="C7">
            <v>2</v>
          </cell>
        </row>
      </sheetData>
      <sheetData sheetId="328">
        <row r="7">
          <cell r="C7">
            <v>2</v>
          </cell>
        </row>
      </sheetData>
      <sheetData sheetId="329">
        <row r="7">
          <cell r="C7">
            <v>2</v>
          </cell>
        </row>
      </sheetData>
      <sheetData sheetId="330">
        <row r="7">
          <cell r="C7">
            <v>2</v>
          </cell>
        </row>
      </sheetData>
      <sheetData sheetId="331">
        <row r="7">
          <cell r="C7">
            <v>2</v>
          </cell>
        </row>
      </sheetData>
      <sheetData sheetId="332">
        <row r="7">
          <cell r="C7">
            <v>2</v>
          </cell>
        </row>
      </sheetData>
      <sheetData sheetId="333">
        <row r="7">
          <cell r="C7">
            <v>2</v>
          </cell>
        </row>
      </sheetData>
      <sheetData sheetId="334">
        <row r="7">
          <cell r="C7">
            <v>2</v>
          </cell>
        </row>
      </sheetData>
      <sheetData sheetId="335">
        <row r="7">
          <cell r="C7">
            <v>2</v>
          </cell>
        </row>
      </sheetData>
      <sheetData sheetId="336">
        <row r="7">
          <cell r="C7">
            <v>2</v>
          </cell>
        </row>
      </sheetData>
      <sheetData sheetId="337">
        <row r="7">
          <cell r="C7">
            <v>2</v>
          </cell>
        </row>
      </sheetData>
      <sheetData sheetId="338">
        <row r="7">
          <cell r="C7">
            <v>2</v>
          </cell>
        </row>
      </sheetData>
      <sheetData sheetId="339">
        <row r="7">
          <cell r="C7">
            <v>2</v>
          </cell>
        </row>
      </sheetData>
      <sheetData sheetId="340">
        <row r="7">
          <cell r="C7">
            <v>2</v>
          </cell>
        </row>
      </sheetData>
      <sheetData sheetId="341">
        <row r="7">
          <cell r="C7">
            <v>2</v>
          </cell>
        </row>
      </sheetData>
      <sheetData sheetId="342">
        <row r="7">
          <cell r="C7">
            <v>2</v>
          </cell>
        </row>
      </sheetData>
      <sheetData sheetId="343">
        <row r="7">
          <cell r="C7">
            <v>2</v>
          </cell>
        </row>
      </sheetData>
      <sheetData sheetId="344">
        <row r="7">
          <cell r="C7">
            <v>2</v>
          </cell>
        </row>
      </sheetData>
      <sheetData sheetId="345">
        <row r="7">
          <cell r="C7">
            <v>2</v>
          </cell>
        </row>
      </sheetData>
      <sheetData sheetId="346">
        <row r="7">
          <cell r="C7">
            <v>2</v>
          </cell>
        </row>
      </sheetData>
      <sheetData sheetId="347">
        <row r="7">
          <cell r="C7">
            <v>2</v>
          </cell>
        </row>
      </sheetData>
      <sheetData sheetId="348">
        <row r="7">
          <cell r="C7">
            <v>2</v>
          </cell>
        </row>
      </sheetData>
      <sheetData sheetId="349">
        <row r="7">
          <cell r="C7">
            <v>2</v>
          </cell>
        </row>
      </sheetData>
      <sheetData sheetId="350">
        <row r="7">
          <cell r="C7">
            <v>2</v>
          </cell>
        </row>
      </sheetData>
      <sheetData sheetId="351">
        <row r="7">
          <cell r="C7">
            <v>2</v>
          </cell>
        </row>
      </sheetData>
      <sheetData sheetId="352">
        <row r="7">
          <cell r="C7">
            <v>2</v>
          </cell>
        </row>
      </sheetData>
      <sheetData sheetId="353">
        <row r="7">
          <cell r="C7">
            <v>2</v>
          </cell>
        </row>
      </sheetData>
      <sheetData sheetId="354">
        <row r="7">
          <cell r="C7">
            <v>2</v>
          </cell>
        </row>
      </sheetData>
      <sheetData sheetId="355">
        <row r="7">
          <cell r="C7">
            <v>2</v>
          </cell>
        </row>
      </sheetData>
      <sheetData sheetId="356">
        <row r="7">
          <cell r="C7">
            <v>2</v>
          </cell>
        </row>
      </sheetData>
      <sheetData sheetId="357">
        <row r="7">
          <cell r="C7">
            <v>2</v>
          </cell>
        </row>
      </sheetData>
      <sheetData sheetId="358">
        <row r="7">
          <cell r="C7">
            <v>2</v>
          </cell>
        </row>
      </sheetData>
      <sheetData sheetId="359">
        <row r="7">
          <cell r="C7">
            <v>2</v>
          </cell>
        </row>
      </sheetData>
      <sheetData sheetId="360">
        <row r="7">
          <cell r="C7">
            <v>2</v>
          </cell>
        </row>
      </sheetData>
      <sheetData sheetId="361">
        <row r="7">
          <cell r="C7">
            <v>2</v>
          </cell>
        </row>
      </sheetData>
      <sheetData sheetId="362">
        <row r="7">
          <cell r="C7">
            <v>2</v>
          </cell>
        </row>
      </sheetData>
      <sheetData sheetId="363">
        <row r="7">
          <cell r="C7">
            <v>2</v>
          </cell>
        </row>
      </sheetData>
      <sheetData sheetId="364">
        <row r="7">
          <cell r="C7">
            <v>2</v>
          </cell>
        </row>
      </sheetData>
      <sheetData sheetId="365">
        <row r="7">
          <cell r="C7">
            <v>2</v>
          </cell>
        </row>
      </sheetData>
      <sheetData sheetId="366">
        <row r="7">
          <cell r="C7">
            <v>2</v>
          </cell>
        </row>
      </sheetData>
      <sheetData sheetId="367">
        <row r="7">
          <cell r="C7">
            <v>2</v>
          </cell>
        </row>
      </sheetData>
      <sheetData sheetId="368">
        <row r="7">
          <cell r="C7">
            <v>2</v>
          </cell>
        </row>
      </sheetData>
      <sheetData sheetId="369">
        <row r="7">
          <cell r="C7">
            <v>2</v>
          </cell>
        </row>
      </sheetData>
      <sheetData sheetId="370">
        <row r="7">
          <cell r="C7">
            <v>2</v>
          </cell>
        </row>
      </sheetData>
      <sheetData sheetId="371">
        <row r="7">
          <cell r="C7">
            <v>2</v>
          </cell>
        </row>
      </sheetData>
      <sheetData sheetId="372">
        <row r="7">
          <cell r="C7">
            <v>2</v>
          </cell>
        </row>
      </sheetData>
      <sheetData sheetId="373">
        <row r="7">
          <cell r="C7">
            <v>2</v>
          </cell>
        </row>
      </sheetData>
      <sheetData sheetId="374">
        <row r="7">
          <cell r="C7">
            <v>2</v>
          </cell>
        </row>
      </sheetData>
      <sheetData sheetId="375">
        <row r="7">
          <cell r="C7">
            <v>2</v>
          </cell>
        </row>
      </sheetData>
      <sheetData sheetId="376">
        <row r="7">
          <cell r="C7">
            <v>2</v>
          </cell>
        </row>
      </sheetData>
      <sheetData sheetId="377">
        <row r="7">
          <cell r="C7">
            <v>2</v>
          </cell>
        </row>
      </sheetData>
      <sheetData sheetId="378">
        <row r="7">
          <cell r="C7">
            <v>2</v>
          </cell>
        </row>
      </sheetData>
      <sheetData sheetId="379">
        <row r="7">
          <cell r="C7">
            <v>2</v>
          </cell>
        </row>
      </sheetData>
      <sheetData sheetId="380">
        <row r="7">
          <cell r="C7">
            <v>2</v>
          </cell>
        </row>
      </sheetData>
      <sheetData sheetId="381">
        <row r="7">
          <cell r="C7">
            <v>2</v>
          </cell>
        </row>
      </sheetData>
      <sheetData sheetId="382">
        <row r="7">
          <cell r="C7">
            <v>2</v>
          </cell>
        </row>
      </sheetData>
      <sheetData sheetId="383">
        <row r="7">
          <cell r="C7">
            <v>2</v>
          </cell>
        </row>
      </sheetData>
      <sheetData sheetId="384">
        <row r="7">
          <cell r="C7">
            <v>2</v>
          </cell>
        </row>
      </sheetData>
      <sheetData sheetId="385">
        <row r="7">
          <cell r="C7">
            <v>2</v>
          </cell>
        </row>
      </sheetData>
      <sheetData sheetId="386">
        <row r="7">
          <cell r="C7">
            <v>2</v>
          </cell>
        </row>
      </sheetData>
      <sheetData sheetId="387">
        <row r="7">
          <cell r="C7">
            <v>2</v>
          </cell>
        </row>
      </sheetData>
      <sheetData sheetId="388">
        <row r="7">
          <cell r="C7">
            <v>2</v>
          </cell>
        </row>
      </sheetData>
      <sheetData sheetId="389">
        <row r="7">
          <cell r="C7">
            <v>2</v>
          </cell>
        </row>
      </sheetData>
      <sheetData sheetId="390">
        <row r="7">
          <cell r="C7">
            <v>2</v>
          </cell>
        </row>
      </sheetData>
      <sheetData sheetId="391">
        <row r="7">
          <cell r="C7">
            <v>2</v>
          </cell>
        </row>
      </sheetData>
      <sheetData sheetId="392">
        <row r="7">
          <cell r="C7">
            <v>2</v>
          </cell>
        </row>
      </sheetData>
      <sheetData sheetId="393">
        <row r="7">
          <cell r="C7">
            <v>2</v>
          </cell>
        </row>
      </sheetData>
      <sheetData sheetId="394">
        <row r="7">
          <cell r="C7">
            <v>2</v>
          </cell>
        </row>
      </sheetData>
      <sheetData sheetId="395">
        <row r="7">
          <cell r="C7">
            <v>2</v>
          </cell>
        </row>
      </sheetData>
      <sheetData sheetId="396">
        <row r="7">
          <cell r="C7">
            <v>2</v>
          </cell>
        </row>
      </sheetData>
      <sheetData sheetId="397">
        <row r="7">
          <cell r="C7">
            <v>2</v>
          </cell>
        </row>
      </sheetData>
      <sheetData sheetId="398">
        <row r="7">
          <cell r="C7">
            <v>2</v>
          </cell>
        </row>
      </sheetData>
      <sheetData sheetId="399">
        <row r="7">
          <cell r="C7">
            <v>2</v>
          </cell>
        </row>
      </sheetData>
      <sheetData sheetId="400">
        <row r="7">
          <cell r="C7">
            <v>2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>
        <row r="7">
          <cell r="C7">
            <v>2</v>
          </cell>
        </row>
      </sheetData>
      <sheetData sheetId="408">
        <row r="7">
          <cell r="C7">
            <v>2</v>
          </cell>
        </row>
      </sheetData>
      <sheetData sheetId="409">
        <row r="7">
          <cell r="C7">
            <v>2</v>
          </cell>
        </row>
      </sheetData>
      <sheetData sheetId="410">
        <row r="7">
          <cell r="C7">
            <v>2</v>
          </cell>
        </row>
      </sheetData>
      <sheetData sheetId="411">
        <row r="7">
          <cell r="C7">
            <v>2</v>
          </cell>
        </row>
      </sheetData>
      <sheetData sheetId="412">
        <row r="7">
          <cell r="C7">
            <v>2</v>
          </cell>
        </row>
      </sheetData>
      <sheetData sheetId="413">
        <row r="7">
          <cell r="C7">
            <v>2</v>
          </cell>
        </row>
      </sheetData>
      <sheetData sheetId="414">
        <row r="7">
          <cell r="C7">
            <v>2</v>
          </cell>
        </row>
      </sheetData>
      <sheetData sheetId="415">
        <row r="7">
          <cell r="C7">
            <v>2</v>
          </cell>
        </row>
      </sheetData>
      <sheetData sheetId="416">
        <row r="7">
          <cell r="C7">
            <v>2</v>
          </cell>
        </row>
      </sheetData>
      <sheetData sheetId="417">
        <row r="7">
          <cell r="C7">
            <v>2</v>
          </cell>
        </row>
      </sheetData>
      <sheetData sheetId="418">
        <row r="7">
          <cell r="C7">
            <v>2</v>
          </cell>
        </row>
      </sheetData>
      <sheetData sheetId="419">
        <row r="7">
          <cell r="C7">
            <v>2</v>
          </cell>
        </row>
      </sheetData>
      <sheetData sheetId="420">
        <row r="7">
          <cell r="C7">
            <v>2</v>
          </cell>
        </row>
      </sheetData>
      <sheetData sheetId="421">
        <row r="7">
          <cell r="C7">
            <v>2</v>
          </cell>
        </row>
      </sheetData>
      <sheetData sheetId="422">
        <row r="7">
          <cell r="C7">
            <v>2</v>
          </cell>
        </row>
      </sheetData>
      <sheetData sheetId="423">
        <row r="7">
          <cell r="C7">
            <v>2</v>
          </cell>
        </row>
      </sheetData>
      <sheetData sheetId="424">
        <row r="7">
          <cell r="C7">
            <v>2</v>
          </cell>
        </row>
      </sheetData>
      <sheetData sheetId="425">
        <row r="7">
          <cell r="C7">
            <v>2</v>
          </cell>
        </row>
      </sheetData>
      <sheetData sheetId="426">
        <row r="7">
          <cell r="C7">
            <v>2</v>
          </cell>
        </row>
      </sheetData>
      <sheetData sheetId="427">
        <row r="7">
          <cell r="C7">
            <v>2</v>
          </cell>
        </row>
      </sheetData>
      <sheetData sheetId="428">
        <row r="7">
          <cell r="C7">
            <v>2</v>
          </cell>
        </row>
      </sheetData>
      <sheetData sheetId="429">
        <row r="7">
          <cell r="C7">
            <v>2</v>
          </cell>
        </row>
      </sheetData>
      <sheetData sheetId="430">
        <row r="7">
          <cell r="C7">
            <v>2</v>
          </cell>
        </row>
      </sheetData>
      <sheetData sheetId="431">
        <row r="7">
          <cell r="C7">
            <v>2</v>
          </cell>
        </row>
      </sheetData>
      <sheetData sheetId="432">
        <row r="7">
          <cell r="C7">
            <v>2</v>
          </cell>
        </row>
      </sheetData>
      <sheetData sheetId="433">
        <row r="7">
          <cell r="C7">
            <v>2</v>
          </cell>
        </row>
      </sheetData>
      <sheetData sheetId="434">
        <row r="7">
          <cell r="C7">
            <v>2</v>
          </cell>
        </row>
      </sheetData>
      <sheetData sheetId="435">
        <row r="7">
          <cell r="C7">
            <v>2</v>
          </cell>
        </row>
      </sheetData>
      <sheetData sheetId="436">
        <row r="7">
          <cell r="C7">
            <v>2</v>
          </cell>
        </row>
      </sheetData>
      <sheetData sheetId="437">
        <row r="7">
          <cell r="C7">
            <v>2</v>
          </cell>
        </row>
      </sheetData>
      <sheetData sheetId="438">
        <row r="7">
          <cell r="C7">
            <v>2</v>
          </cell>
        </row>
      </sheetData>
      <sheetData sheetId="439">
        <row r="7">
          <cell r="C7">
            <v>2</v>
          </cell>
        </row>
      </sheetData>
      <sheetData sheetId="440">
        <row r="7">
          <cell r="C7">
            <v>2</v>
          </cell>
        </row>
      </sheetData>
      <sheetData sheetId="441">
        <row r="7">
          <cell r="C7">
            <v>2</v>
          </cell>
        </row>
      </sheetData>
      <sheetData sheetId="442">
        <row r="7">
          <cell r="C7">
            <v>2</v>
          </cell>
        </row>
      </sheetData>
      <sheetData sheetId="443">
        <row r="7">
          <cell r="C7">
            <v>2</v>
          </cell>
        </row>
      </sheetData>
      <sheetData sheetId="444">
        <row r="7">
          <cell r="C7">
            <v>2</v>
          </cell>
        </row>
      </sheetData>
      <sheetData sheetId="445">
        <row r="7">
          <cell r="C7" t="str">
            <v xml:space="preserve">Alejandro Vidal / Percy Humala </v>
          </cell>
        </row>
      </sheetData>
      <sheetData sheetId="446">
        <row r="7">
          <cell r="C7" t="str">
            <v xml:space="preserve">Alejandro Vidal / Percy Humala </v>
          </cell>
        </row>
      </sheetData>
      <sheetData sheetId="447">
        <row r="7">
          <cell r="C7" t="str">
            <v xml:space="preserve">Alejandro Vidal / Percy Humala </v>
          </cell>
        </row>
      </sheetData>
      <sheetData sheetId="448">
        <row r="7">
          <cell r="C7" t="str">
            <v xml:space="preserve">Alejandro Vidal / Percy Humala </v>
          </cell>
        </row>
      </sheetData>
      <sheetData sheetId="449">
        <row r="7">
          <cell r="C7" t="str">
            <v xml:space="preserve">Alejandro Vidal / Percy Humala </v>
          </cell>
        </row>
      </sheetData>
      <sheetData sheetId="450">
        <row r="7">
          <cell r="C7" t="str">
            <v xml:space="preserve">Alejandro Vidal / Percy Humala 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7">
          <cell r="C7">
            <v>0</v>
          </cell>
        </row>
      </sheetData>
      <sheetData sheetId="475">
        <row r="7">
          <cell r="C7">
            <v>0</v>
          </cell>
        </row>
      </sheetData>
      <sheetData sheetId="476">
        <row r="7">
          <cell r="C7">
            <v>0</v>
          </cell>
        </row>
      </sheetData>
      <sheetData sheetId="477">
        <row r="7">
          <cell r="C7">
            <v>0</v>
          </cell>
        </row>
      </sheetData>
      <sheetData sheetId="478">
        <row r="7">
          <cell r="C7">
            <v>0</v>
          </cell>
        </row>
      </sheetData>
      <sheetData sheetId="479">
        <row r="7">
          <cell r="C7">
            <v>2</v>
          </cell>
        </row>
      </sheetData>
      <sheetData sheetId="480">
        <row r="7">
          <cell r="C7">
            <v>2</v>
          </cell>
        </row>
      </sheetData>
      <sheetData sheetId="481" refreshError="1"/>
      <sheetData sheetId="482">
        <row r="7">
          <cell r="C7">
            <v>0</v>
          </cell>
        </row>
      </sheetData>
      <sheetData sheetId="483">
        <row r="7">
          <cell r="C7">
            <v>0</v>
          </cell>
        </row>
      </sheetData>
      <sheetData sheetId="484">
        <row r="7">
          <cell r="C7">
            <v>2</v>
          </cell>
        </row>
      </sheetData>
      <sheetData sheetId="485" refreshError="1"/>
      <sheetData sheetId="486">
        <row r="7">
          <cell r="C7">
            <v>2</v>
          </cell>
        </row>
      </sheetData>
      <sheetData sheetId="487">
        <row r="7">
          <cell r="C7">
            <v>2</v>
          </cell>
        </row>
      </sheetData>
      <sheetData sheetId="488">
        <row r="7">
          <cell r="C7">
            <v>2</v>
          </cell>
        </row>
      </sheetData>
      <sheetData sheetId="489">
        <row r="7">
          <cell r="C7">
            <v>0</v>
          </cell>
        </row>
      </sheetData>
      <sheetData sheetId="490">
        <row r="7">
          <cell r="C7">
            <v>2</v>
          </cell>
        </row>
      </sheetData>
      <sheetData sheetId="491">
        <row r="7">
          <cell r="C7">
            <v>2</v>
          </cell>
        </row>
      </sheetData>
      <sheetData sheetId="492">
        <row r="7">
          <cell r="C7">
            <v>2</v>
          </cell>
        </row>
      </sheetData>
      <sheetData sheetId="493">
        <row r="7">
          <cell r="C7">
            <v>2</v>
          </cell>
        </row>
      </sheetData>
      <sheetData sheetId="494">
        <row r="7">
          <cell r="C7">
            <v>2</v>
          </cell>
        </row>
      </sheetData>
      <sheetData sheetId="495">
        <row r="7">
          <cell r="C7">
            <v>2</v>
          </cell>
        </row>
      </sheetData>
      <sheetData sheetId="496">
        <row r="7">
          <cell r="C7">
            <v>2</v>
          </cell>
        </row>
      </sheetData>
      <sheetData sheetId="497">
        <row r="7">
          <cell r="C7">
            <v>2</v>
          </cell>
        </row>
      </sheetData>
      <sheetData sheetId="498">
        <row r="7">
          <cell r="C7">
            <v>2</v>
          </cell>
        </row>
      </sheetData>
      <sheetData sheetId="499">
        <row r="7">
          <cell r="C7">
            <v>2</v>
          </cell>
        </row>
      </sheetData>
      <sheetData sheetId="500">
        <row r="7">
          <cell r="C7">
            <v>2</v>
          </cell>
        </row>
      </sheetData>
      <sheetData sheetId="501">
        <row r="7">
          <cell r="C7">
            <v>0</v>
          </cell>
        </row>
      </sheetData>
      <sheetData sheetId="502">
        <row r="7">
          <cell r="C7">
            <v>2</v>
          </cell>
        </row>
      </sheetData>
      <sheetData sheetId="503">
        <row r="7">
          <cell r="C7">
            <v>2</v>
          </cell>
        </row>
      </sheetData>
      <sheetData sheetId="504">
        <row r="7">
          <cell r="C7">
            <v>2</v>
          </cell>
        </row>
      </sheetData>
      <sheetData sheetId="505">
        <row r="7">
          <cell r="C7">
            <v>2</v>
          </cell>
        </row>
      </sheetData>
      <sheetData sheetId="506">
        <row r="7">
          <cell r="C7">
            <v>2</v>
          </cell>
        </row>
      </sheetData>
      <sheetData sheetId="507">
        <row r="7">
          <cell r="C7">
            <v>2</v>
          </cell>
        </row>
      </sheetData>
      <sheetData sheetId="508">
        <row r="7">
          <cell r="C7">
            <v>0</v>
          </cell>
        </row>
      </sheetData>
      <sheetData sheetId="509">
        <row r="7">
          <cell r="C7">
            <v>2</v>
          </cell>
        </row>
      </sheetData>
      <sheetData sheetId="510">
        <row r="7">
          <cell r="C7">
            <v>2</v>
          </cell>
        </row>
      </sheetData>
      <sheetData sheetId="511">
        <row r="7">
          <cell r="C7">
            <v>2</v>
          </cell>
        </row>
      </sheetData>
      <sheetData sheetId="512">
        <row r="7">
          <cell r="C7">
            <v>2</v>
          </cell>
        </row>
      </sheetData>
      <sheetData sheetId="513">
        <row r="7">
          <cell r="C7">
            <v>0</v>
          </cell>
        </row>
      </sheetData>
      <sheetData sheetId="514">
        <row r="7">
          <cell r="C7">
            <v>0</v>
          </cell>
        </row>
      </sheetData>
      <sheetData sheetId="515">
        <row r="7">
          <cell r="C7">
            <v>2</v>
          </cell>
        </row>
      </sheetData>
      <sheetData sheetId="516">
        <row r="7">
          <cell r="C7">
            <v>0</v>
          </cell>
        </row>
      </sheetData>
      <sheetData sheetId="517">
        <row r="7">
          <cell r="C7">
            <v>2</v>
          </cell>
        </row>
      </sheetData>
      <sheetData sheetId="518">
        <row r="7">
          <cell r="C7">
            <v>2</v>
          </cell>
        </row>
      </sheetData>
      <sheetData sheetId="519">
        <row r="7">
          <cell r="C7">
            <v>2</v>
          </cell>
        </row>
      </sheetData>
      <sheetData sheetId="520">
        <row r="7">
          <cell r="C7">
            <v>2</v>
          </cell>
        </row>
      </sheetData>
      <sheetData sheetId="521">
        <row r="7">
          <cell r="C7">
            <v>2</v>
          </cell>
        </row>
      </sheetData>
      <sheetData sheetId="522">
        <row r="7">
          <cell r="C7">
            <v>2</v>
          </cell>
        </row>
      </sheetData>
      <sheetData sheetId="523">
        <row r="7">
          <cell r="C7">
            <v>0</v>
          </cell>
        </row>
      </sheetData>
      <sheetData sheetId="524">
        <row r="7">
          <cell r="C7">
            <v>2</v>
          </cell>
        </row>
      </sheetData>
      <sheetData sheetId="525">
        <row r="7">
          <cell r="C7">
            <v>0</v>
          </cell>
        </row>
      </sheetData>
      <sheetData sheetId="526">
        <row r="7">
          <cell r="C7">
            <v>2</v>
          </cell>
        </row>
      </sheetData>
      <sheetData sheetId="527">
        <row r="7">
          <cell r="C7">
            <v>2</v>
          </cell>
        </row>
      </sheetData>
      <sheetData sheetId="528">
        <row r="7">
          <cell r="C7">
            <v>0</v>
          </cell>
        </row>
      </sheetData>
      <sheetData sheetId="529">
        <row r="7">
          <cell r="C7">
            <v>2</v>
          </cell>
        </row>
      </sheetData>
      <sheetData sheetId="530">
        <row r="7">
          <cell r="C7">
            <v>2</v>
          </cell>
        </row>
      </sheetData>
      <sheetData sheetId="531">
        <row r="7">
          <cell r="C7">
            <v>0</v>
          </cell>
        </row>
      </sheetData>
      <sheetData sheetId="532">
        <row r="7">
          <cell r="C7">
            <v>2</v>
          </cell>
        </row>
      </sheetData>
      <sheetData sheetId="533">
        <row r="7">
          <cell r="C7">
            <v>2</v>
          </cell>
        </row>
      </sheetData>
      <sheetData sheetId="534">
        <row r="7">
          <cell r="C7">
            <v>2</v>
          </cell>
        </row>
      </sheetData>
      <sheetData sheetId="535">
        <row r="7">
          <cell r="C7">
            <v>2</v>
          </cell>
        </row>
      </sheetData>
      <sheetData sheetId="536">
        <row r="7">
          <cell r="C7">
            <v>2</v>
          </cell>
        </row>
      </sheetData>
      <sheetData sheetId="537">
        <row r="7">
          <cell r="C7">
            <v>2</v>
          </cell>
        </row>
      </sheetData>
      <sheetData sheetId="538">
        <row r="7">
          <cell r="C7">
            <v>2</v>
          </cell>
        </row>
      </sheetData>
      <sheetData sheetId="539">
        <row r="7">
          <cell r="C7">
            <v>2</v>
          </cell>
        </row>
      </sheetData>
      <sheetData sheetId="540">
        <row r="7">
          <cell r="C7">
            <v>0</v>
          </cell>
        </row>
      </sheetData>
      <sheetData sheetId="541">
        <row r="7">
          <cell r="C7">
            <v>2</v>
          </cell>
        </row>
      </sheetData>
      <sheetData sheetId="542">
        <row r="7">
          <cell r="C7">
            <v>0</v>
          </cell>
        </row>
      </sheetData>
      <sheetData sheetId="543">
        <row r="7">
          <cell r="C7">
            <v>2</v>
          </cell>
        </row>
      </sheetData>
      <sheetData sheetId="544">
        <row r="7">
          <cell r="C7">
            <v>2</v>
          </cell>
        </row>
      </sheetData>
      <sheetData sheetId="545">
        <row r="7">
          <cell r="C7">
            <v>0</v>
          </cell>
        </row>
      </sheetData>
      <sheetData sheetId="546">
        <row r="7">
          <cell r="C7">
            <v>0</v>
          </cell>
        </row>
      </sheetData>
      <sheetData sheetId="547">
        <row r="7">
          <cell r="C7">
            <v>2</v>
          </cell>
        </row>
      </sheetData>
      <sheetData sheetId="548">
        <row r="7">
          <cell r="C7">
            <v>2</v>
          </cell>
        </row>
      </sheetData>
      <sheetData sheetId="549">
        <row r="7">
          <cell r="C7">
            <v>2</v>
          </cell>
        </row>
      </sheetData>
      <sheetData sheetId="550">
        <row r="7">
          <cell r="C7">
            <v>2</v>
          </cell>
        </row>
      </sheetData>
      <sheetData sheetId="551">
        <row r="7">
          <cell r="C7">
            <v>2</v>
          </cell>
        </row>
      </sheetData>
      <sheetData sheetId="552">
        <row r="7">
          <cell r="C7">
            <v>2</v>
          </cell>
        </row>
      </sheetData>
      <sheetData sheetId="553">
        <row r="7">
          <cell r="C7">
            <v>2</v>
          </cell>
        </row>
      </sheetData>
      <sheetData sheetId="554">
        <row r="7">
          <cell r="C7">
            <v>2</v>
          </cell>
        </row>
      </sheetData>
      <sheetData sheetId="555">
        <row r="7">
          <cell r="C7">
            <v>0</v>
          </cell>
        </row>
      </sheetData>
      <sheetData sheetId="556">
        <row r="7">
          <cell r="C7">
            <v>0</v>
          </cell>
        </row>
      </sheetData>
      <sheetData sheetId="557">
        <row r="7">
          <cell r="C7">
            <v>2</v>
          </cell>
        </row>
      </sheetData>
      <sheetData sheetId="558">
        <row r="7">
          <cell r="C7">
            <v>2</v>
          </cell>
        </row>
      </sheetData>
      <sheetData sheetId="559">
        <row r="7">
          <cell r="C7">
            <v>0</v>
          </cell>
        </row>
      </sheetData>
      <sheetData sheetId="560">
        <row r="7">
          <cell r="C7">
            <v>0</v>
          </cell>
        </row>
      </sheetData>
      <sheetData sheetId="561">
        <row r="7">
          <cell r="C7">
            <v>0</v>
          </cell>
        </row>
      </sheetData>
      <sheetData sheetId="562">
        <row r="7">
          <cell r="C7">
            <v>0</v>
          </cell>
        </row>
      </sheetData>
      <sheetData sheetId="563">
        <row r="7">
          <cell r="C7">
            <v>2</v>
          </cell>
        </row>
      </sheetData>
      <sheetData sheetId="564">
        <row r="7">
          <cell r="C7">
            <v>2</v>
          </cell>
        </row>
      </sheetData>
      <sheetData sheetId="565">
        <row r="7">
          <cell r="C7">
            <v>2</v>
          </cell>
        </row>
      </sheetData>
      <sheetData sheetId="566">
        <row r="7">
          <cell r="C7">
            <v>2</v>
          </cell>
        </row>
      </sheetData>
      <sheetData sheetId="567">
        <row r="7">
          <cell r="C7">
            <v>0</v>
          </cell>
        </row>
      </sheetData>
      <sheetData sheetId="568">
        <row r="7">
          <cell r="C7">
            <v>2</v>
          </cell>
        </row>
      </sheetData>
      <sheetData sheetId="569">
        <row r="7">
          <cell r="C7">
            <v>2</v>
          </cell>
        </row>
      </sheetData>
      <sheetData sheetId="570">
        <row r="7">
          <cell r="C7">
            <v>0</v>
          </cell>
        </row>
      </sheetData>
      <sheetData sheetId="571">
        <row r="7">
          <cell r="C7">
            <v>2</v>
          </cell>
        </row>
      </sheetData>
      <sheetData sheetId="572">
        <row r="7">
          <cell r="C7">
            <v>0</v>
          </cell>
        </row>
      </sheetData>
      <sheetData sheetId="573">
        <row r="7">
          <cell r="C7">
            <v>2</v>
          </cell>
        </row>
      </sheetData>
      <sheetData sheetId="574">
        <row r="7">
          <cell r="C7">
            <v>0</v>
          </cell>
        </row>
      </sheetData>
      <sheetData sheetId="575">
        <row r="7">
          <cell r="C7">
            <v>2</v>
          </cell>
        </row>
      </sheetData>
      <sheetData sheetId="576">
        <row r="7">
          <cell r="C7">
            <v>2</v>
          </cell>
        </row>
      </sheetData>
      <sheetData sheetId="577">
        <row r="7">
          <cell r="C7">
            <v>2</v>
          </cell>
        </row>
      </sheetData>
      <sheetData sheetId="578">
        <row r="7">
          <cell r="C7">
            <v>2</v>
          </cell>
        </row>
      </sheetData>
      <sheetData sheetId="579">
        <row r="7">
          <cell r="C7">
            <v>2</v>
          </cell>
        </row>
      </sheetData>
      <sheetData sheetId="580">
        <row r="7">
          <cell r="C7">
            <v>2</v>
          </cell>
        </row>
      </sheetData>
      <sheetData sheetId="581">
        <row r="7">
          <cell r="C7">
            <v>2</v>
          </cell>
        </row>
      </sheetData>
      <sheetData sheetId="582">
        <row r="7">
          <cell r="C7">
            <v>2</v>
          </cell>
        </row>
      </sheetData>
      <sheetData sheetId="583">
        <row r="7">
          <cell r="C7">
            <v>2</v>
          </cell>
        </row>
      </sheetData>
      <sheetData sheetId="584">
        <row r="7">
          <cell r="C7">
            <v>2</v>
          </cell>
        </row>
      </sheetData>
      <sheetData sheetId="585">
        <row r="7">
          <cell r="C7">
            <v>2</v>
          </cell>
        </row>
      </sheetData>
      <sheetData sheetId="586">
        <row r="7">
          <cell r="C7">
            <v>0</v>
          </cell>
        </row>
      </sheetData>
      <sheetData sheetId="587">
        <row r="7">
          <cell r="C7">
            <v>2</v>
          </cell>
        </row>
      </sheetData>
      <sheetData sheetId="588">
        <row r="7">
          <cell r="C7">
            <v>2</v>
          </cell>
        </row>
      </sheetData>
      <sheetData sheetId="589">
        <row r="7">
          <cell r="C7">
            <v>2</v>
          </cell>
        </row>
      </sheetData>
      <sheetData sheetId="590">
        <row r="7">
          <cell r="C7">
            <v>2</v>
          </cell>
        </row>
      </sheetData>
      <sheetData sheetId="591">
        <row r="7">
          <cell r="C7">
            <v>2</v>
          </cell>
        </row>
      </sheetData>
      <sheetData sheetId="592">
        <row r="7">
          <cell r="C7">
            <v>2</v>
          </cell>
        </row>
      </sheetData>
      <sheetData sheetId="593">
        <row r="7">
          <cell r="C7">
            <v>2</v>
          </cell>
        </row>
      </sheetData>
      <sheetData sheetId="594">
        <row r="7">
          <cell r="C7">
            <v>2</v>
          </cell>
        </row>
      </sheetData>
      <sheetData sheetId="595">
        <row r="7">
          <cell r="C7">
            <v>2</v>
          </cell>
        </row>
      </sheetData>
      <sheetData sheetId="596">
        <row r="7">
          <cell r="C7">
            <v>2</v>
          </cell>
        </row>
      </sheetData>
      <sheetData sheetId="597">
        <row r="7">
          <cell r="C7">
            <v>2</v>
          </cell>
        </row>
      </sheetData>
      <sheetData sheetId="598">
        <row r="7">
          <cell r="C7">
            <v>2</v>
          </cell>
        </row>
      </sheetData>
      <sheetData sheetId="599">
        <row r="7">
          <cell r="C7">
            <v>2</v>
          </cell>
        </row>
      </sheetData>
      <sheetData sheetId="600">
        <row r="7">
          <cell r="C7">
            <v>2</v>
          </cell>
        </row>
      </sheetData>
      <sheetData sheetId="601">
        <row r="7">
          <cell r="C7">
            <v>2</v>
          </cell>
        </row>
      </sheetData>
      <sheetData sheetId="602">
        <row r="7">
          <cell r="C7">
            <v>2</v>
          </cell>
        </row>
      </sheetData>
      <sheetData sheetId="603">
        <row r="7">
          <cell r="C7">
            <v>2</v>
          </cell>
        </row>
      </sheetData>
      <sheetData sheetId="604">
        <row r="7">
          <cell r="C7">
            <v>2</v>
          </cell>
        </row>
      </sheetData>
      <sheetData sheetId="605">
        <row r="7">
          <cell r="C7">
            <v>2</v>
          </cell>
        </row>
      </sheetData>
      <sheetData sheetId="606">
        <row r="7">
          <cell r="C7">
            <v>2</v>
          </cell>
        </row>
      </sheetData>
      <sheetData sheetId="607">
        <row r="7">
          <cell r="C7">
            <v>2</v>
          </cell>
        </row>
      </sheetData>
      <sheetData sheetId="608">
        <row r="7">
          <cell r="C7">
            <v>2</v>
          </cell>
        </row>
      </sheetData>
      <sheetData sheetId="609">
        <row r="7">
          <cell r="C7">
            <v>2</v>
          </cell>
        </row>
      </sheetData>
      <sheetData sheetId="610">
        <row r="7">
          <cell r="C7">
            <v>2</v>
          </cell>
        </row>
      </sheetData>
      <sheetData sheetId="611">
        <row r="7">
          <cell r="C7">
            <v>2</v>
          </cell>
        </row>
      </sheetData>
      <sheetData sheetId="612">
        <row r="7">
          <cell r="C7">
            <v>2</v>
          </cell>
        </row>
      </sheetData>
      <sheetData sheetId="613">
        <row r="7">
          <cell r="C7">
            <v>2</v>
          </cell>
        </row>
      </sheetData>
      <sheetData sheetId="614">
        <row r="7">
          <cell r="C7">
            <v>2</v>
          </cell>
        </row>
      </sheetData>
      <sheetData sheetId="615">
        <row r="7">
          <cell r="C7">
            <v>2</v>
          </cell>
        </row>
      </sheetData>
      <sheetData sheetId="616">
        <row r="7">
          <cell r="C7">
            <v>2</v>
          </cell>
        </row>
      </sheetData>
      <sheetData sheetId="617">
        <row r="7">
          <cell r="C7">
            <v>2</v>
          </cell>
        </row>
      </sheetData>
      <sheetData sheetId="618">
        <row r="7">
          <cell r="C7">
            <v>2</v>
          </cell>
        </row>
      </sheetData>
      <sheetData sheetId="619">
        <row r="7">
          <cell r="C7">
            <v>2</v>
          </cell>
        </row>
      </sheetData>
      <sheetData sheetId="620">
        <row r="7">
          <cell r="C7">
            <v>2</v>
          </cell>
        </row>
      </sheetData>
      <sheetData sheetId="621">
        <row r="7">
          <cell r="C7">
            <v>2</v>
          </cell>
        </row>
      </sheetData>
      <sheetData sheetId="622">
        <row r="7">
          <cell r="C7">
            <v>2</v>
          </cell>
        </row>
      </sheetData>
      <sheetData sheetId="623">
        <row r="7">
          <cell r="C7">
            <v>2</v>
          </cell>
        </row>
      </sheetData>
      <sheetData sheetId="624">
        <row r="7">
          <cell r="C7">
            <v>2</v>
          </cell>
        </row>
      </sheetData>
      <sheetData sheetId="625">
        <row r="7">
          <cell r="C7">
            <v>2</v>
          </cell>
        </row>
      </sheetData>
      <sheetData sheetId="626">
        <row r="7">
          <cell r="C7">
            <v>2</v>
          </cell>
        </row>
      </sheetData>
      <sheetData sheetId="627">
        <row r="7">
          <cell r="C7">
            <v>2</v>
          </cell>
        </row>
      </sheetData>
      <sheetData sheetId="628">
        <row r="7">
          <cell r="C7">
            <v>2</v>
          </cell>
        </row>
      </sheetData>
      <sheetData sheetId="629">
        <row r="7">
          <cell r="C7">
            <v>2</v>
          </cell>
        </row>
      </sheetData>
      <sheetData sheetId="630">
        <row r="7">
          <cell r="C7">
            <v>2</v>
          </cell>
        </row>
      </sheetData>
      <sheetData sheetId="631">
        <row r="7">
          <cell r="C7">
            <v>2</v>
          </cell>
        </row>
      </sheetData>
      <sheetData sheetId="632">
        <row r="7">
          <cell r="C7">
            <v>2</v>
          </cell>
        </row>
      </sheetData>
      <sheetData sheetId="633">
        <row r="7">
          <cell r="C7">
            <v>2</v>
          </cell>
        </row>
      </sheetData>
      <sheetData sheetId="634">
        <row r="7">
          <cell r="C7">
            <v>2</v>
          </cell>
        </row>
      </sheetData>
      <sheetData sheetId="635">
        <row r="7">
          <cell r="C7">
            <v>2</v>
          </cell>
        </row>
      </sheetData>
      <sheetData sheetId="636">
        <row r="7">
          <cell r="C7">
            <v>2</v>
          </cell>
        </row>
      </sheetData>
      <sheetData sheetId="637">
        <row r="7">
          <cell r="C7">
            <v>2</v>
          </cell>
        </row>
      </sheetData>
      <sheetData sheetId="638">
        <row r="7">
          <cell r="C7">
            <v>2</v>
          </cell>
        </row>
      </sheetData>
      <sheetData sheetId="639">
        <row r="7">
          <cell r="C7">
            <v>2</v>
          </cell>
        </row>
      </sheetData>
      <sheetData sheetId="640">
        <row r="7">
          <cell r="C7">
            <v>2</v>
          </cell>
        </row>
      </sheetData>
      <sheetData sheetId="641">
        <row r="7">
          <cell r="C7">
            <v>2</v>
          </cell>
        </row>
      </sheetData>
      <sheetData sheetId="642">
        <row r="7">
          <cell r="C7">
            <v>2</v>
          </cell>
        </row>
      </sheetData>
      <sheetData sheetId="643">
        <row r="7">
          <cell r="C7">
            <v>2</v>
          </cell>
        </row>
      </sheetData>
      <sheetData sheetId="644">
        <row r="7">
          <cell r="C7">
            <v>2</v>
          </cell>
        </row>
      </sheetData>
      <sheetData sheetId="645">
        <row r="7">
          <cell r="C7">
            <v>2</v>
          </cell>
        </row>
      </sheetData>
      <sheetData sheetId="646">
        <row r="7">
          <cell r="C7">
            <v>2</v>
          </cell>
        </row>
      </sheetData>
      <sheetData sheetId="647">
        <row r="7">
          <cell r="C7">
            <v>2</v>
          </cell>
        </row>
      </sheetData>
      <sheetData sheetId="648">
        <row r="7">
          <cell r="C7">
            <v>2</v>
          </cell>
        </row>
      </sheetData>
      <sheetData sheetId="649">
        <row r="7">
          <cell r="C7">
            <v>2</v>
          </cell>
        </row>
      </sheetData>
      <sheetData sheetId="650">
        <row r="7">
          <cell r="C7">
            <v>2</v>
          </cell>
        </row>
      </sheetData>
      <sheetData sheetId="651">
        <row r="7">
          <cell r="C7">
            <v>2</v>
          </cell>
        </row>
      </sheetData>
      <sheetData sheetId="652">
        <row r="7">
          <cell r="C7">
            <v>2</v>
          </cell>
        </row>
      </sheetData>
      <sheetData sheetId="653">
        <row r="7">
          <cell r="C7">
            <v>2</v>
          </cell>
        </row>
      </sheetData>
      <sheetData sheetId="654">
        <row r="7">
          <cell r="C7">
            <v>2</v>
          </cell>
        </row>
      </sheetData>
      <sheetData sheetId="655">
        <row r="7">
          <cell r="C7">
            <v>2</v>
          </cell>
        </row>
      </sheetData>
      <sheetData sheetId="656">
        <row r="7">
          <cell r="C7">
            <v>2</v>
          </cell>
        </row>
      </sheetData>
      <sheetData sheetId="657">
        <row r="7">
          <cell r="C7">
            <v>2</v>
          </cell>
        </row>
      </sheetData>
      <sheetData sheetId="658">
        <row r="7">
          <cell r="C7">
            <v>2</v>
          </cell>
        </row>
      </sheetData>
      <sheetData sheetId="659">
        <row r="7">
          <cell r="C7">
            <v>2</v>
          </cell>
        </row>
      </sheetData>
      <sheetData sheetId="660">
        <row r="7">
          <cell r="C7">
            <v>2</v>
          </cell>
        </row>
      </sheetData>
      <sheetData sheetId="661">
        <row r="7">
          <cell r="C7">
            <v>2</v>
          </cell>
        </row>
      </sheetData>
      <sheetData sheetId="662">
        <row r="7">
          <cell r="C7">
            <v>2</v>
          </cell>
        </row>
      </sheetData>
      <sheetData sheetId="663">
        <row r="7">
          <cell r="C7">
            <v>2</v>
          </cell>
        </row>
      </sheetData>
      <sheetData sheetId="664">
        <row r="7">
          <cell r="C7">
            <v>2</v>
          </cell>
        </row>
      </sheetData>
      <sheetData sheetId="665">
        <row r="7">
          <cell r="C7">
            <v>2</v>
          </cell>
        </row>
      </sheetData>
      <sheetData sheetId="666">
        <row r="7">
          <cell r="C7">
            <v>2</v>
          </cell>
        </row>
      </sheetData>
      <sheetData sheetId="667">
        <row r="7">
          <cell r="C7">
            <v>2</v>
          </cell>
        </row>
      </sheetData>
      <sheetData sheetId="668">
        <row r="7">
          <cell r="C7">
            <v>2</v>
          </cell>
        </row>
      </sheetData>
      <sheetData sheetId="669">
        <row r="7">
          <cell r="C7">
            <v>2</v>
          </cell>
        </row>
      </sheetData>
      <sheetData sheetId="670">
        <row r="7">
          <cell r="C7">
            <v>2</v>
          </cell>
        </row>
      </sheetData>
      <sheetData sheetId="671">
        <row r="7">
          <cell r="C7">
            <v>2</v>
          </cell>
        </row>
      </sheetData>
      <sheetData sheetId="672">
        <row r="7">
          <cell r="C7">
            <v>2</v>
          </cell>
        </row>
      </sheetData>
      <sheetData sheetId="673">
        <row r="7">
          <cell r="C7">
            <v>2</v>
          </cell>
        </row>
      </sheetData>
      <sheetData sheetId="674">
        <row r="7">
          <cell r="C7">
            <v>2</v>
          </cell>
        </row>
      </sheetData>
      <sheetData sheetId="675">
        <row r="7">
          <cell r="C7">
            <v>2</v>
          </cell>
        </row>
      </sheetData>
      <sheetData sheetId="676">
        <row r="7">
          <cell r="C7">
            <v>2</v>
          </cell>
        </row>
      </sheetData>
      <sheetData sheetId="677">
        <row r="7">
          <cell r="C7">
            <v>2</v>
          </cell>
        </row>
      </sheetData>
      <sheetData sheetId="678">
        <row r="7">
          <cell r="C7">
            <v>2</v>
          </cell>
        </row>
      </sheetData>
      <sheetData sheetId="679">
        <row r="7">
          <cell r="C7">
            <v>2</v>
          </cell>
        </row>
      </sheetData>
      <sheetData sheetId="680">
        <row r="7">
          <cell r="C7">
            <v>2</v>
          </cell>
        </row>
      </sheetData>
      <sheetData sheetId="681">
        <row r="7">
          <cell r="C7">
            <v>2</v>
          </cell>
        </row>
      </sheetData>
      <sheetData sheetId="682">
        <row r="7">
          <cell r="C7">
            <v>2</v>
          </cell>
        </row>
      </sheetData>
      <sheetData sheetId="683">
        <row r="7">
          <cell r="C7">
            <v>2</v>
          </cell>
        </row>
      </sheetData>
      <sheetData sheetId="684">
        <row r="7">
          <cell r="C7">
            <v>2</v>
          </cell>
        </row>
      </sheetData>
      <sheetData sheetId="685">
        <row r="7">
          <cell r="C7">
            <v>2</v>
          </cell>
        </row>
      </sheetData>
      <sheetData sheetId="686">
        <row r="7">
          <cell r="C7">
            <v>2</v>
          </cell>
        </row>
      </sheetData>
      <sheetData sheetId="687">
        <row r="7">
          <cell r="C7">
            <v>2</v>
          </cell>
        </row>
      </sheetData>
      <sheetData sheetId="688">
        <row r="7">
          <cell r="C7">
            <v>2</v>
          </cell>
        </row>
      </sheetData>
      <sheetData sheetId="689">
        <row r="7">
          <cell r="C7">
            <v>2</v>
          </cell>
        </row>
      </sheetData>
      <sheetData sheetId="690">
        <row r="7">
          <cell r="C7">
            <v>2</v>
          </cell>
        </row>
      </sheetData>
      <sheetData sheetId="691">
        <row r="7">
          <cell r="C7">
            <v>2</v>
          </cell>
        </row>
      </sheetData>
      <sheetData sheetId="692">
        <row r="7">
          <cell r="C7">
            <v>2</v>
          </cell>
        </row>
      </sheetData>
      <sheetData sheetId="693">
        <row r="7">
          <cell r="C7">
            <v>2</v>
          </cell>
        </row>
      </sheetData>
      <sheetData sheetId="694">
        <row r="7">
          <cell r="C7">
            <v>2</v>
          </cell>
        </row>
      </sheetData>
      <sheetData sheetId="695">
        <row r="7">
          <cell r="C7">
            <v>2</v>
          </cell>
        </row>
      </sheetData>
      <sheetData sheetId="696">
        <row r="7">
          <cell r="C7">
            <v>2</v>
          </cell>
        </row>
      </sheetData>
      <sheetData sheetId="697">
        <row r="7">
          <cell r="C7">
            <v>2</v>
          </cell>
        </row>
      </sheetData>
      <sheetData sheetId="698">
        <row r="7">
          <cell r="C7">
            <v>2</v>
          </cell>
        </row>
      </sheetData>
      <sheetData sheetId="699">
        <row r="7">
          <cell r="C7">
            <v>2</v>
          </cell>
        </row>
      </sheetData>
      <sheetData sheetId="700">
        <row r="7">
          <cell r="C7">
            <v>2</v>
          </cell>
        </row>
      </sheetData>
      <sheetData sheetId="701">
        <row r="7">
          <cell r="C7">
            <v>2</v>
          </cell>
        </row>
      </sheetData>
      <sheetData sheetId="702">
        <row r="7">
          <cell r="C7">
            <v>2</v>
          </cell>
        </row>
      </sheetData>
      <sheetData sheetId="703">
        <row r="7">
          <cell r="C7">
            <v>2</v>
          </cell>
        </row>
      </sheetData>
      <sheetData sheetId="704">
        <row r="7">
          <cell r="C7">
            <v>2</v>
          </cell>
        </row>
      </sheetData>
      <sheetData sheetId="705">
        <row r="7">
          <cell r="C7">
            <v>2</v>
          </cell>
        </row>
      </sheetData>
      <sheetData sheetId="706">
        <row r="7">
          <cell r="C7">
            <v>2</v>
          </cell>
        </row>
      </sheetData>
      <sheetData sheetId="707">
        <row r="7">
          <cell r="C7">
            <v>2</v>
          </cell>
        </row>
      </sheetData>
      <sheetData sheetId="708">
        <row r="7">
          <cell r="C7">
            <v>2</v>
          </cell>
        </row>
      </sheetData>
      <sheetData sheetId="709">
        <row r="7">
          <cell r="C7">
            <v>2</v>
          </cell>
        </row>
      </sheetData>
      <sheetData sheetId="710">
        <row r="7">
          <cell r="C7">
            <v>2</v>
          </cell>
        </row>
      </sheetData>
      <sheetData sheetId="711">
        <row r="7">
          <cell r="C7">
            <v>2</v>
          </cell>
        </row>
      </sheetData>
      <sheetData sheetId="712">
        <row r="7">
          <cell r="C7">
            <v>2</v>
          </cell>
        </row>
      </sheetData>
      <sheetData sheetId="713">
        <row r="7">
          <cell r="C7">
            <v>2</v>
          </cell>
        </row>
      </sheetData>
      <sheetData sheetId="714">
        <row r="7">
          <cell r="C7">
            <v>2</v>
          </cell>
        </row>
      </sheetData>
      <sheetData sheetId="715">
        <row r="7">
          <cell r="C7">
            <v>2</v>
          </cell>
        </row>
      </sheetData>
      <sheetData sheetId="716">
        <row r="7">
          <cell r="C7">
            <v>2</v>
          </cell>
        </row>
      </sheetData>
      <sheetData sheetId="717">
        <row r="7">
          <cell r="C7">
            <v>2</v>
          </cell>
        </row>
      </sheetData>
      <sheetData sheetId="718">
        <row r="7">
          <cell r="C7">
            <v>2</v>
          </cell>
        </row>
      </sheetData>
      <sheetData sheetId="719">
        <row r="7">
          <cell r="C7">
            <v>0</v>
          </cell>
        </row>
      </sheetData>
      <sheetData sheetId="720">
        <row r="7">
          <cell r="C7">
            <v>2</v>
          </cell>
        </row>
      </sheetData>
      <sheetData sheetId="721">
        <row r="7">
          <cell r="C7">
            <v>2</v>
          </cell>
        </row>
      </sheetData>
      <sheetData sheetId="722">
        <row r="7">
          <cell r="C7">
            <v>2</v>
          </cell>
        </row>
      </sheetData>
      <sheetData sheetId="723">
        <row r="7">
          <cell r="C7">
            <v>2</v>
          </cell>
        </row>
      </sheetData>
      <sheetData sheetId="724">
        <row r="7">
          <cell r="C7">
            <v>2</v>
          </cell>
        </row>
      </sheetData>
      <sheetData sheetId="725">
        <row r="7">
          <cell r="C7">
            <v>2</v>
          </cell>
        </row>
      </sheetData>
      <sheetData sheetId="726">
        <row r="7">
          <cell r="C7">
            <v>2</v>
          </cell>
        </row>
      </sheetData>
      <sheetData sheetId="727">
        <row r="7">
          <cell r="C7">
            <v>2</v>
          </cell>
        </row>
      </sheetData>
      <sheetData sheetId="728">
        <row r="7">
          <cell r="C7">
            <v>2</v>
          </cell>
        </row>
      </sheetData>
      <sheetData sheetId="729">
        <row r="7">
          <cell r="C7">
            <v>2</v>
          </cell>
        </row>
      </sheetData>
      <sheetData sheetId="730">
        <row r="7">
          <cell r="C7">
            <v>2</v>
          </cell>
        </row>
      </sheetData>
      <sheetData sheetId="731">
        <row r="7">
          <cell r="C7">
            <v>0</v>
          </cell>
        </row>
      </sheetData>
      <sheetData sheetId="732">
        <row r="7">
          <cell r="C7">
            <v>2</v>
          </cell>
        </row>
      </sheetData>
      <sheetData sheetId="733">
        <row r="7">
          <cell r="C7">
            <v>0</v>
          </cell>
        </row>
      </sheetData>
      <sheetData sheetId="734">
        <row r="7">
          <cell r="C7">
            <v>2</v>
          </cell>
        </row>
      </sheetData>
      <sheetData sheetId="735">
        <row r="7">
          <cell r="C7">
            <v>2</v>
          </cell>
        </row>
      </sheetData>
      <sheetData sheetId="736">
        <row r="7">
          <cell r="C7">
            <v>2</v>
          </cell>
        </row>
      </sheetData>
      <sheetData sheetId="737">
        <row r="7">
          <cell r="C7">
            <v>2</v>
          </cell>
        </row>
      </sheetData>
      <sheetData sheetId="738">
        <row r="7">
          <cell r="C7">
            <v>2</v>
          </cell>
        </row>
      </sheetData>
      <sheetData sheetId="739">
        <row r="7">
          <cell r="C7">
            <v>2</v>
          </cell>
        </row>
      </sheetData>
      <sheetData sheetId="740">
        <row r="7">
          <cell r="C7">
            <v>2</v>
          </cell>
        </row>
      </sheetData>
      <sheetData sheetId="741">
        <row r="7">
          <cell r="C7">
            <v>2</v>
          </cell>
        </row>
      </sheetData>
      <sheetData sheetId="742">
        <row r="7">
          <cell r="C7" t="str">
            <v>: 7,203.17 m2</v>
          </cell>
        </row>
      </sheetData>
      <sheetData sheetId="743">
        <row r="7">
          <cell r="C7">
            <v>2</v>
          </cell>
        </row>
      </sheetData>
      <sheetData sheetId="744">
        <row r="7">
          <cell r="C7">
            <v>2</v>
          </cell>
        </row>
      </sheetData>
      <sheetData sheetId="745">
        <row r="7">
          <cell r="C7">
            <v>0</v>
          </cell>
        </row>
      </sheetData>
      <sheetData sheetId="746">
        <row r="7">
          <cell r="C7">
            <v>2</v>
          </cell>
        </row>
      </sheetData>
      <sheetData sheetId="747">
        <row r="7">
          <cell r="C7">
            <v>2</v>
          </cell>
        </row>
      </sheetData>
      <sheetData sheetId="748">
        <row r="7">
          <cell r="C7" t="str">
            <v>: 7,203.17 m2</v>
          </cell>
        </row>
      </sheetData>
      <sheetData sheetId="749">
        <row r="7">
          <cell r="C7">
            <v>2</v>
          </cell>
        </row>
      </sheetData>
      <sheetData sheetId="750">
        <row r="7">
          <cell r="C7">
            <v>2</v>
          </cell>
        </row>
      </sheetData>
      <sheetData sheetId="751">
        <row r="7">
          <cell r="C7">
            <v>0</v>
          </cell>
        </row>
      </sheetData>
      <sheetData sheetId="752">
        <row r="7">
          <cell r="C7">
            <v>0</v>
          </cell>
        </row>
      </sheetData>
      <sheetData sheetId="753">
        <row r="7">
          <cell r="C7">
            <v>2</v>
          </cell>
        </row>
      </sheetData>
      <sheetData sheetId="754">
        <row r="7">
          <cell r="C7">
            <v>2</v>
          </cell>
        </row>
      </sheetData>
      <sheetData sheetId="755">
        <row r="7">
          <cell r="C7">
            <v>2</v>
          </cell>
        </row>
      </sheetData>
      <sheetData sheetId="756">
        <row r="7">
          <cell r="C7">
            <v>2</v>
          </cell>
        </row>
      </sheetData>
      <sheetData sheetId="757">
        <row r="7">
          <cell r="C7">
            <v>2</v>
          </cell>
        </row>
      </sheetData>
      <sheetData sheetId="758">
        <row r="7">
          <cell r="C7">
            <v>2</v>
          </cell>
        </row>
      </sheetData>
      <sheetData sheetId="759">
        <row r="7">
          <cell r="C7">
            <v>2</v>
          </cell>
        </row>
      </sheetData>
      <sheetData sheetId="760">
        <row r="7">
          <cell r="C7">
            <v>0</v>
          </cell>
        </row>
      </sheetData>
      <sheetData sheetId="761">
        <row r="7">
          <cell r="C7">
            <v>2</v>
          </cell>
        </row>
      </sheetData>
      <sheetData sheetId="762">
        <row r="7">
          <cell r="C7">
            <v>2</v>
          </cell>
        </row>
      </sheetData>
      <sheetData sheetId="763">
        <row r="7">
          <cell r="C7">
            <v>2</v>
          </cell>
        </row>
      </sheetData>
      <sheetData sheetId="764">
        <row r="7">
          <cell r="C7">
            <v>0</v>
          </cell>
        </row>
      </sheetData>
      <sheetData sheetId="765">
        <row r="7">
          <cell r="C7">
            <v>2</v>
          </cell>
        </row>
      </sheetData>
      <sheetData sheetId="766">
        <row r="7">
          <cell r="C7">
            <v>2</v>
          </cell>
        </row>
      </sheetData>
      <sheetData sheetId="767">
        <row r="7">
          <cell r="C7">
            <v>2</v>
          </cell>
        </row>
      </sheetData>
      <sheetData sheetId="768">
        <row r="7">
          <cell r="C7" t="str">
            <v>: 7,203.17 m2</v>
          </cell>
        </row>
      </sheetData>
      <sheetData sheetId="769">
        <row r="7">
          <cell r="C7" t="str">
            <v>: 7,203.17 m2</v>
          </cell>
        </row>
      </sheetData>
      <sheetData sheetId="770">
        <row r="7">
          <cell r="C7">
            <v>2</v>
          </cell>
        </row>
      </sheetData>
      <sheetData sheetId="771">
        <row r="7">
          <cell r="C7">
            <v>2</v>
          </cell>
        </row>
      </sheetData>
      <sheetData sheetId="772">
        <row r="7">
          <cell r="C7">
            <v>0</v>
          </cell>
        </row>
      </sheetData>
      <sheetData sheetId="773">
        <row r="7">
          <cell r="C7">
            <v>2</v>
          </cell>
        </row>
      </sheetData>
      <sheetData sheetId="774">
        <row r="7">
          <cell r="C7" t="str">
            <v>: 7,203.17 m2</v>
          </cell>
        </row>
      </sheetData>
      <sheetData sheetId="775">
        <row r="7">
          <cell r="C7" t="str">
            <v>: 7,203.17 m2</v>
          </cell>
        </row>
      </sheetData>
      <sheetData sheetId="776">
        <row r="7">
          <cell r="C7">
            <v>2</v>
          </cell>
        </row>
      </sheetData>
      <sheetData sheetId="777">
        <row r="7">
          <cell r="C7">
            <v>0</v>
          </cell>
        </row>
      </sheetData>
      <sheetData sheetId="778">
        <row r="7">
          <cell r="C7">
            <v>2</v>
          </cell>
        </row>
      </sheetData>
      <sheetData sheetId="779">
        <row r="7">
          <cell r="C7">
            <v>2</v>
          </cell>
        </row>
      </sheetData>
      <sheetData sheetId="780">
        <row r="7">
          <cell r="C7">
            <v>2</v>
          </cell>
        </row>
      </sheetData>
      <sheetData sheetId="781">
        <row r="7">
          <cell r="C7">
            <v>2</v>
          </cell>
        </row>
      </sheetData>
      <sheetData sheetId="782">
        <row r="7">
          <cell r="C7">
            <v>2</v>
          </cell>
        </row>
      </sheetData>
      <sheetData sheetId="783">
        <row r="7">
          <cell r="C7">
            <v>2</v>
          </cell>
        </row>
      </sheetData>
      <sheetData sheetId="784">
        <row r="7">
          <cell r="C7">
            <v>2</v>
          </cell>
        </row>
      </sheetData>
      <sheetData sheetId="785">
        <row r="7">
          <cell r="C7">
            <v>0</v>
          </cell>
        </row>
      </sheetData>
      <sheetData sheetId="786">
        <row r="7">
          <cell r="C7" t="str">
            <v>: 7,203.17 m2</v>
          </cell>
        </row>
      </sheetData>
      <sheetData sheetId="787">
        <row r="7">
          <cell r="C7">
            <v>0</v>
          </cell>
        </row>
      </sheetData>
      <sheetData sheetId="788">
        <row r="7">
          <cell r="C7" t="str">
            <v>: 7,203.17 m2</v>
          </cell>
        </row>
      </sheetData>
      <sheetData sheetId="789">
        <row r="7">
          <cell r="C7">
            <v>2</v>
          </cell>
        </row>
      </sheetData>
      <sheetData sheetId="790">
        <row r="7">
          <cell r="C7">
            <v>0</v>
          </cell>
        </row>
      </sheetData>
      <sheetData sheetId="791">
        <row r="7">
          <cell r="C7">
            <v>2</v>
          </cell>
        </row>
      </sheetData>
      <sheetData sheetId="792">
        <row r="7">
          <cell r="C7">
            <v>2</v>
          </cell>
        </row>
      </sheetData>
      <sheetData sheetId="793">
        <row r="7">
          <cell r="C7" t="str">
            <v>: 7,203.17 m2</v>
          </cell>
        </row>
      </sheetData>
      <sheetData sheetId="794">
        <row r="7">
          <cell r="C7">
            <v>0</v>
          </cell>
        </row>
      </sheetData>
      <sheetData sheetId="795">
        <row r="7">
          <cell r="C7">
            <v>2</v>
          </cell>
        </row>
      </sheetData>
      <sheetData sheetId="796">
        <row r="7">
          <cell r="C7">
            <v>0</v>
          </cell>
        </row>
      </sheetData>
      <sheetData sheetId="797">
        <row r="7">
          <cell r="C7" t="str">
            <v>: 7,203.17 m2</v>
          </cell>
        </row>
      </sheetData>
      <sheetData sheetId="798">
        <row r="7">
          <cell r="C7">
            <v>0</v>
          </cell>
        </row>
      </sheetData>
      <sheetData sheetId="799">
        <row r="7">
          <cell r="C7" t="str">
            <v>: 7,203.17 m2</v>
          </cell>
        </row>
      </sheetData>
      <sheetData sheetId="800">
        <row r="7">
          <cell r="C7">
            <v>2</v>
          </cell>
        </row>
      </sheetData>
      <sheetData sheetId="801">
        <row r="7">
          <cell r="C7">
            <v>0</v>
          </cell>
        </row>
      </sheetData>
      <sheetData sheetId="802">
        <row r="7">
          <cell r="C7" t="str">
            <v>: 7,203.17 m2</v>
          </cell>
        </row>
      </sheetData>
      <sheetData sheetId="803">
        <row r="7">
          <cell r="C7">
            <v>0</v>
          </cell>
        </row>
      </sheetData>
      <sheetData sheetId="804">
        <row r="7">
          <cell r="C7">
            <v>2</v>
          </cell>
        </row>
      </sheetData>
      <sheetData sheetId="805">
        <row r="7">
          <cell r="C7">
            <v>2</v>
          </cell>
        </row>
      </sheetData>
      <sheetData sheetId="806">
        <row r="7">
          <cell r="C7" t="str">
            <v>: 7,203.17 m2</v>
          </cell>
        </row>
      </sheetData>
      <sheetData sheetId="807">
        <row r="7">
          <cell r="C7" t="str">
            <v>: 7,203.17 m2</v>
          </cell>
        </row>
      </sheetData>
      <sheetData sheetId="808">
        <row r="7">
          <cell r="C7">
            <v>2</v>
          </cell>
        </row>
      </sheetData>
      <sheetData sheetId="809">
        <row r="7">
          <cell r="C7">
            <v>2</v>
          </cell>
        </row>
      </sheetData>
      <sheetData sheetId="810">
        <row r="7">
          <cell r="C7">
            <v>2</v>
          </cell>
        </row>
      </sheetData>
      <sheetData sheetId="811">
        <row r="7">
          <cell r="C7" t="str">
            <v>: 7,203.17 m2</v>
          </cell>
        </row>
      </sheetData>
      <sheetData sheetId="812">
        <row r="7">
          <cell r="C7">
            <v>0</v>
          </cell>
        </row>
      </sheetData>
      <sheetData sheetId="813">
        <row r="7">
          <cell r="C7">
            <v>0</v>
          </cell>
        </row>
      </sheetData>
      <sheetData sheetId="814">
        <row r="7">
          <cell r="C7">
            <v>0</v>
          </cell>
        </row>
      </sheetData>
      <sheetData sheetId="815">
        <row r="7">
          <cell r="C7">
            <v>0</v>
          </cell>
        </row>
      </sheetData>
      <sheetData sheetId="816">
        <row r="7">
          <cell r="C7">
            <v>0</v>
          </cell>
        </row>
      </sheetData>
      <sheetData sheetId="817">
        <row r="7">
          <cell r="C7">
            <v>2</v>
          </cell>
        </row>
      </sheetData>
      <sheetData sheetId="818">
        <row r="7">
          <cell r="C7" t="str">
            <v>: 7,203.17 m2</v>
          </cell>
        </row>
      </sheetData>
      <sheetData sheetId="819">
        <row r="7">
          <cell r="C7">
            <v>2</v>
          </cell>
        </row>
      </sheetData>
      <sheetData sheetId="820">
        <row r="7">
          <cell r="C7" t="str">
            <v>: 7,203.17 m2</v>
          </cell>
        </row>
      </sheetData>
      <sheetData sheetId="821" refreshError="1"/>
      <sheetData sheetId="822" refreshError="1"/>
      <sheetData sheetId="823" refreshError="1"/>
      <sheetData sheetId="824">
        <row r="7">
          <cell r="C7" t="str">
            <v>: 7,203.17 m2</v>
          </cell>
        </row>
      </sheetData>
      <sheetData sheetId="825">
        <row r="7">
          <cell r="C7">
            <v>2</v>
          </cell>
        </row>
      </sheetData>
      <sheetData sheetId="826">
        <row r="7">
          <cell r="C7" t="str">
            <v>: 7,203.17 m2</v>
          </cell>
        </row>
      </sheetData>
      <sheetData sheetId="827">
        <row r="7">
          <cell r="C7">
            <v>2</v>
          </cell>
        </row>
      </sheetData>
      <sheetData sheetId="828">
        <row r="7">
          <cell r="C7">
            <v>0</v>
          </cell>
        </row>
      </sheetData>
      <sheetData sheetId="829">
        <row r="7">
          <cell r="C7">
            <v>2</v>
          </cell>
        </row>
      </sheetData>
      <sheetData sheetId="830">
        <row r="7">
          <cell r="C7">
            <v>0</v>
          </cell>
        </row>
      </sheetData>
      <sheetData sheetId="831">
        <row r="7">
          <cell r="C7">
            <v>2</v>
          </cell>
        </row>
      </sheetData>
      <sheetData sheetId="832">
        <row r="7">
          <cell r="C7">
            <v>0</v>
          </cell>
        </row>
      </sheetData>
      <sheetData sheetId="833">
        <row r="7">
          <cell r="C7">
            <v>2</v>
          </cell>
        </row>
      </sheetData>
      <sheetData sheetId="834">
        <row r="7">
          <cell r="C7">
            <v>2</v>
          </cell>
        </row>
      </sheetData>
      <sheetData sheetId="835">
        <row r="7">
          <cell r="C7">
            <v>2</v>
          </cell>
        </row>
      </sheetData>
      <sheetData sheetId="836">
        <row r="7">
          <cell r="C7">
            <v>2</v>
          </cell>
        </row>
      </sheetData>
      <sheetData sheetId="837">
        <row r="7">
          <cell r="C7">
            <v>2</v>
          </cell>
        </row>
      </sheetData>
      <sheetData sheetId="838">
        <row r="7">
          <cell r="C7">
            <v>2</v>
          </cell>
        </row>
      </sheetData>
      <sheetData sheetId="839">
        <row r="7">
          <cell r="C7">
            <v>2</v>
          </cell>
        </row>
      </sheetData>
      <sheetData sheetId="840">
        <row r="7">
          <cell r="C7">
            <v>2</v>
          </cell>
        </row>
      </sheetData>
      <sheetData sheetId="841">
        <row r="7">
          <cell r="C7">
            <v>2</v>
          </cell>
        </row>
      </sheetData>
      <sheetData sheetId="842">
        <row r="7">
          <cell r="C7">
            <v>2</v>
          </cell>
        </row>
      </sheetData>
      <sheetData sheetId="843">
        <row r="7">
          <cell r="C7">
            <v>2</v>
          </cell>
        </row>
      </sheetData>
      <sheetData sheetId="844">
        <row r="7">
          <cell r="C7">
            <v>2</v>
          </cell>
        </row>
      </sheetData>
      <sheetData sheetId="845">
        <row r="7">
          <cell r="C7">
            <v>2</v>
          </cell>
        </row>
      </sheetData>
      <sheetData sheetId="846">
        <row r="7">
          <cell r="C7">
            <v>2</v>
          </cell>
        </row>
      </sheetData>
      <sheetData sheetId="847">
        <row r="7">
          <cell r="C7">
            <v>2</v>
          </cell>
        </row>
      </sheetData>
      <sheetData sheetId="848">
        <row r="7">
          <cell r="C7">
            <v>2</v>
          </cell>
        </row>
      </sheetData>
      <sheetData sheetId="849">
        <row r="7">
          <cell r="C7">
            <v>2</v>
          </cell>
        </row>
      </sheetData>
      <sheetData sheetId="850">
        <row r="7">
          <cell r="C7">
            <v>2</v>
          </cell>
        </row>
      </sheetData>
      <sheetData sheetId="851">
        <row r="7">
          <cell r="C7">
            <v>2</v>
          </cell>
        </row>
      </sheetData>
      <sheetData sheetId="852" refreshError="1"/>
      <sheetData sheetId="853">
        <row r="7">
          <cell r="C7">
            <v>0</v>
          </cell>
        </row>
      </sheetData>
      <sheetData sheetId="854">
        <row r="7">
          <cell r="C7">
            <v>2</v>
          </cell>
        </row>
      </sheetData>
      <sheetData sheetId="855">
        <row r="7">
          <cell r="C7">
            <v>0</v>
          </cell>
        </row>
      </sheetData>
      <sheetData sheetId="856" refreshError="1"/>
      <sheetData sheetId="857" refreshError="1"/>
      <sheetData sheetId="858">
        <row r="7">
          <cell r="C7">
            <v>0</v>
          </cell>
        </row>
      </sheetData>
      <sheetData sheetId="859">
        <row r="7">
          <cell r="C7">
            <v>2</v>
          </cell>
        </row>
      </sheetData>
      <sheetData sheetId="860">
        <row r="7">
          <cell r="C7">
            <v>2</v>
          </cell>
        </row>
      </sheetData>
      <sheetData sheetId="861" refreshError="1"/>
      <sheetData sheetId="862">
        <row r="7">
          <cell r="C7">
            <v>2</v>
          </cell>
        </row>
      </sheetData>
      <sheetData sheetId="863">
        <row r="7">
          <cell r="C7">
            <v>2</v>
          </cell>
        </row>
      </sheetData>
      <sheetData sheetId="864">
        <row r="7">
          <cell r="C7">
            <v>2</v>
          </cell>
        </row>
      </sheetData>
      <sheetData sheetId="865">
        <row r="7">
          <cell r="C7">
            <v>2</v>
          </cell>
        </row>
      </sheetData>
      <sheetData sheetId="866">
        <row r="7">
          <cell r="C7">
            <v>2</v>
          </cell>
        </row>
      </sheetData>
      <sheetData sheetId="867">
        <row r="7">
          <cell r="C7">
            <v>0</v>
          </cell>
        </row>
      </sheetData>
      <sheetData sheetId="868">
        <row r="7">
          <cell r="C7">
            <v>0</v>
          </cell>
        </row>
      </sheetData>
      <sheetData sheetId="869">
        <row r="7">
          <cell r="C7">
            <v>0</v>
          </cell>
        </row>
      </sheetData>
      <sheetData sheetId="870">
        <row r="7">
          <cell r="C7">
            <v>0</v>
          </cell>
        </row>
      </sheetData>
      <sheetData sheetId="871">
        <row r="7">
          <cell r="C7">
            <v>2</v>
          </cell>
        </row>
      </sheetData>
      <sheetData sheetId="872">
        <row r="7">
          <cell r="C7">
            <v>2</v>
          </cell>
        </row>
      </sheetData>
      <sheetData sheetId="873">
        <row r="7">
          <cell r="C7">
            <v>2</v>
          </cell>
        </row>
      </sheetData>
      <sheetData sheetId="874">
        <row r="7">
          <cell r="C7">
            <v>2</v>
          </cell>
        </row>
      </sheetData>
      <sheetData sheetId="875">
        <row r="7">
          <cell r="C7">
            <v>2</v>
          </cell>
        </row>
      </sheetData>
      <sheetData sheetId="876">
        <row r="7">
          <cell r="C7">
            <v>2</v>
          </cell>
        </row>
      </sheetData>
      <sheetData sheetId="877">
        <row r="7">
          <cell r="C7">
            <v>2</v>
          </cell>
        </row>
      </sheetData>
      <sheetData sheetId="878">
        <row r="7">
          <cell r="C7">
            <v>2</v>
          </cell>
        </row>
      </sheetData>
      <sheetData sheetId="879">
        <row r="7">
          <cell r="C7">
            <v>2</v>
          </cell>
        </row>
      </sheetData>
      <sheetData sheetId="880">
        <row r="7">
          <cell r="C7">
            <v>0</v>
          </cell>
        </row>
      </sheetData>
      <sheetData sheetId="881">
        <row r="7">
          <cell r="C7">
            <v>0</v>
          </cell>
        </row>
      </sheetData>
      <sheetData sheetId="882">
        <row r="7">
          <cell r="C7">
            <v>0</v>
          </cell>
        </row>
      </sheetData>
      <sheetData sheetId="883">
        <row r="7">
          <cell r="C7">
            <v>2</v>
          </cell>
        </row>
      </sheetData>
      <sheetData sheetId="884">
        <row r="7">
          <cell r="C7">
            <v>2</v>
          </cell>
        </row>
      </sheetData>
      <sheetData sheetId="885">
        <row r="7">
          <cell r="C7">
            <v>2</v>
          </cell>
        </row>
      </sheetData>
      <sheetData sheetId="886">
        <row r="7">
          <cell r="C7">
            <v>2</v>
          </cell>
        </row>
      </sheetData>
      <sheetData sheetId="887">
        <row r="7">
          <cell r="C7">
            <v>2</v>
          </cell>
        </row>
      </sheetData>
      <sheetData sheetId="888">
        <row r="7">
          <cell r="C7">
            <v>2</v>
          </cell>
        </row>
      </sheetData>
      <sheetData sheetId="889">
        <row r="7">
          <cell r="C7">
            <v>2</v>
          </cell>
        </row>
      </sheetData>
      <sheetData sheetId="890">
        <row r="7">
          <cell r="C7">
            <v>2</v>
          </cell>
        </row>
      </sheetData>
      <sheetData sheetId="891">
        <row r="7">
          <cell r="C7">
            <v>2</v>
          </cell>
        </row>
      </sheetData>
      <sheetData sheetId="892">
        <row r="7">
          <cell r="C7">
            <v>2</v>
          </cell>
        </row>
      </sheetData>
      <sheetData sheetId="893">
        <row r="7">
          <cell r="C7">
            <v>2</v>
          </cell>
        </row>
      </sheetData>
      <sheetData sheetId="894">
        <row r="7">
          <cell r="C7">
            <v>0</v>
          </cell>
        </row>
      </sheetData>
      <sheetData sheetId="895">
        <row r="7">
          <cell r="C7">
            <v>2</v>
          </cell>
        </row>
      </sheetData>
      <sheetData sheetId="896">
        <row r="7">
          <cell r="C7">
            <v>2</v>
          </cell>
        </row>
      </sheetData>
      <sheetData sheetId="897">
        <row r="7">
          <cell r="C7">
            <v>2</v>
          </cell>
        </row>
      </sheetData>
      <sheetData sheetId="898">
        <row r="7">
          <cell r="C7">
            <v>2</v>
          </cell>
        </row>
      </sheetData>
      <sheetData sheetId="899">
        <row r="7">
          <cell r="C7">
            <v>2</v>
          </cell>
        </row>
      </sheetData>
      <sheetData sheetId="900">
        <row r="7">
          <cell r="C7">
            <v>2</v>
          </cell>
        </row>
      </sheetData>
      <sheetData sheetId="901">
        <row r="7">
          <cell r="C7">
            <v>2</v>
          </cell>
        </row>
      </sheetData>
      <sheetData sheetId="902">
        <row r="7">
          <cell r="C7">
            <v>2</v>
          </cell>
        </row>
      </sheetData>
      <sheetData sheetId="903">
        <row r="7">
          <cell r="C7">
            <v>2</v>
          </cell>
        </row>
      </sheetData>
      <sheetData sheetId="904">
        <row r="7">
          <cell r="C7">
            <v>2</v>
          </cell>
        </row>
      </sheetData>
      <sheetData sheetId="905">
        <row r="7">
          <cell r="C7">
            <v>2</v>
          </cell>
        </row>
      </sheetData>
      <sheetData sheetId="906">
        <row r="7">
          <cell r="C7">
            <v>2</v>
          </cell>
        </row>
      </sheetData>
      <sheetData sheetId="907">
        <row r="7">
          <cell r="C7">
            <v>2</v>
          </cell>
        </row>
      </sheetData>
      <sheetData sheetId="908">
        <row r="7">
          <cell r="C7">
            <v>2</v>
          </cell>
        </row>
      </sheetData>
      <sheetData sheetId="909">
        <row r="7">
          <cell r="C7">
            <v>2</v>
          </cell>
        </row>
      </sheetData>
      <sheetData sheetId="910">
        <row r="7">
          <cell r="C7">
            <v>2</v>
          </cell>
        </row>
      </sheetData>
      <sheetData sheetId="911">
        <row r="7">
          <cell r="C7">
            <v>2</v>
          </cell>
        </row>
      </sheetData>
      <sheetData sheetId="912">
        <row r="7">
          <cell r="C7">
            <v>2</v>
          </cell>
        </row>
      </sheetData>
      <sheetData sheetId="913">
        <row r="7">
          <cell r="C7">
            <v>2</v>
          </cell>
        </row>
      </sheetData>
      <sheetData sheetId="914">
        <row r="7">
          <cell r="C7">
            <v>2</v>
          </cell>
        </row>
      </sheetData>
      <sheetData sheetId="915">
        <row r="7">
          <cell r="C7">
            <v>2</v>
          </cell>
        </row>
      </sheetData>
      <sheetData sheetId="916">
        <row r="7">
          <cell r="C7">
            <v>2</v>
          </cell>
        </row>
      </sheetData>
      <sheetData sheetId="917">
        <row r="7">
          <cell r="C7">
            <v>2</v>
          </cell>
        </row>
      </sheetData>
      <sheetData sheetId="918">
        <row r="7">
          <cell r="C7">
            <v>2</v>
          </cell>
        </row>
      </sheetData>
      <sheetData sheetId="919">
        <row r="7">
          <cell r="C7">
            <v>2</v>
          </cell>
        </row>
      </sheetData>
      <sheetData sheetId="920">
        <row r="7">
          <cell r="C7">
            <v>2</v>
          </cell>
        </row>
      </sheetData>
      <sheetData sheetId="921">
        <row r="7">
          <cell r="C7">
            <v>2</v>
          </cell>
        </row>
      </sheetData>
      <sheetData sheetId="922">
        <row r="7">
          <cell r="C7">
            <v>2</v>
          </cell>
        </row>
      </sheetData>
      <sheetData sheetId="923">
        <row r="7">
          <cell r="C7">
            <v>2</v>
          </cell>
        </row>
      </sheetData>
      <sheetData sheetId="924">
        <row r="7">
          <cell r="C7">
            <v>2</v>
          </cell>
        </row>
      </sheetData>
      <sheetData sheetId="925">
        <row r="7">
          <cell r="C7">
            <v>2</v>
          </cell>
        </row>
      </sheetData>
      <sheetData sheetId="926">
        <row r="7">
          <cell r="C7">
            <v>2</v>
          </cell>
        </row>
      </sheetData>
      <sheetData sheetId="927">
        <row r="7">
          <cell r="C7">
            <v>2</v>
          </cell>
        </row>
      </sheetData>
      <sheetData sheetId="928">
        <row r="7">
          <cell r="C7">
            <v>2</v>
          </cell>
        </row>
      </sheetData>
      <sheetData sheetId="929">
        <row r="7">
          <cell r="C7">
            <v>2</v>
          </cell>
        </row>
      </sheetData>
      <sheetData sheetId="930">
        <row r="7">
          <cell r="C7">
            <v>2</v>
          </cell>
        </row>
      </sheetData>
      <sheetData sheetId="931">
        <row r="7">
          <cell r="C7">
            <v>2</v>
          </cell>
        </row>
      </sheetData>
      <sheetData sheetId="932">
        <row r="7">
          <cell r="C7">
            <v>2</v>
          </cell>
        </row>
      </sheetData>
      <sheetData sheetId="933">
        <row r="7">
          <cell r="C7">
            <v>2</v>
          </cell>
        </row>
      </sheetData>
      <sheetData sheetId="934">
        <row r="7">
          <cell r="C7">
            <v>2</v>
          </cell>
        </row>
      </sheetData>
      <sheetData sheetId="935">
        <row r="7">
          <cell r="C7">
            <v>2</v>
          </cell>
        </row>
      </sheetData>
      <sheetData sheetId="936">
        <row r="7">
          <cell r="C7">
            <v>2</v>
          </cell>
        </row>
      </sheetData>
      <sheetData sheetId="937">
        <row r="7">
          <cell r="C7">
            <v>2</v>
          </cell>
        </row>
      </sheetData>
      <sheetData sheetId="938">
        <row r="7">
          <cell r="C7">
            <v>2</v>
          </cell>
        </row>
      </sheetData>
      <sheetData sheetId="939">
        <row r="7">
          <cell r="C7">
            <v>2</v>
          </cell>
        </row>
      </sheetData>
      <sheetData sheetId="940">
        <row r="7">
          <cell r="C7">
            <v>2</v>
          </cell>
        </row>
      </sheetData>
      <sheetData sheetId="941">
        <row r="7">
          <cell r="C7">
            <v>2</v>
          </cell>
        </row>
      </sheetData>
      <sheetData sheetId="942">
        <row r="7">
          <cell r="C7">
            <v>2</v>
          </cell>
        </row>
      </sheetData>
      <sheetData sheetId="943">
        <row r="7">
          <cell r="C7">
            <v>2</v>
          </cell>
        </row>
      </sheetData>
      <sheetData sheetId="944">
        <row r="7">
          <cell r="C7">
            <v>2</v>
          </cell>
        </row>
      </sheetData>
      <sheetData sheetId="945">
        <row r="7">
          <cell r="C7">
            <v>2</v>
          </cell>
        </row>
      </sheetData>
      <sheetData sheetId="946">
        <row r="7">
          <cell r="C7">
            <v>2</v>
          </cell>
        </row>
      </sheetData>
      <sheetData sheetId="947">
        <row r="7">
          <cell r="C7">
            <v>2</v>
          </cell>
        </row>
      </sheetData>
      <sheetData sheetId="948">
        <row r="7">
          <cell r="C7">
            <v>2</v>
          </cell>
        </row>
      </sheetData>
      <sheetData sheetId="949">
        <row r="7">
          <cell r="C7">
            <v>2</v>
          </cell>
        </row>
      </sheetData>
      <sheetData sheetId="950">
        <row r="7">
          <cell r="C7">
            <v>2</v>
          </cell>
        </row>
      </sheetData>
      <sheetData sheetId="951">
        <row r="7">
          <cell r="C7">
            <v>2</v>
          </cell>
        </row>
      </sheetData>
      <sheetData sheetId="952">
        <row r="7">
          <cell r="C7">
            <v>2</v>
          </cell>
        </row>
      </sheetData>
      <sheetData sheetId="953">
        <row r="7">
          <cell r="C7">
            <v>2</v>
          </cell>
        </row>
      </sheetData>
      <sheetData sheetId="954">
        <row r="7">
          <cell r="C7">
            <v>2</v>
          </cell>
        </row>
      </sheetData>
      <sheetData sheetId="955">
        <row r="7">
          <cell r="C7">
            <v>2</v>
          </cell>
        </row>
      </sheetData>
      <sheetData sheetId="956">
        <row r="7">
          <cell r="C7">
            <v>2</v>
          </cell>
        </row>
      </sheetData>
      <sheetData sheetId="957">
        <row r="7">
          <cell r="C7">
            <v>2</v>
          </cell>
        </row>
      </sheetData>
      <sheetData sheetId="958">
        <row r="7">
          <cell r="C7">
            <v>2</v>
          </cell>
        </row>
      </sheetData>
      <sheetData sheetId="959">
        <row r="7">
          <cell r="C7">
            <v>2</v>
          </cell>
        </row>
      </sheetData>
      <sheetData sheetId="960">
        <row r="7">
          <cell r="C7">
            <v>2</v>
          </cell>
        </row>
      </sheetData>
      <sheetData sheetId="961">
        <row r="7">
          <cell r="C7">
            <v>2</v>
          </cell>
        </row>
      </sheetData>
      <sheetData sheetId="962">
        <row r="7">
          <cell r="C7">
            <v>2</v>
          </cell>
        </row>
      </sheetData>
      <sheetData sheetId="963">
        <row r="7">
          <cell r="C7">
            <v>2</v>
          </cell>
        </row>
      </sheetData>
      <sheetData sheetId="964">
        <row r="7">
          <cell r="C7">
            <v>2</v>
          </cell>
        </row>
      </sheetData>
      <sheetData sheetId="965">
        <row r="7">
          <cell r="C7">
            <v>2</v>
          </cell>
        </row>
      </sheetData>
      <sheetData sheetId="966">
        <row r="7">
          <cell r="C7">
            <v>2</v>
          </cell>
        </row>
      </sheetData>
      <sheetData sheetId="967">
        <row r="7">
          <cell r="C7">
            <v>2</v>
          </cell>
        </row>
      </sheetData>
      <sheetData sheetId="968">
        <row r="7">
          <cell r="C7">
            <v>2</v>
          </cell>
        </row>
      </sheetData>
      <sheetData sheetId="969">
        <row r="7">
          <cell r="C7">
            <v>2</v>
          </cell>
        </row>
      </sheetData>
      <sheetData sheetId="970">
        <row r="7">
          <cell r="C7">
            <v>2</v>
          </cell>
        </row>
      </sheetData>
      <sheetData sheetId="971">
        <row r="7">
          <cell r="C7">
            <v>2</v>
          </cell>
        </row>
      </sheetData>
      <sheetData sheetId="972">
        <row r="7">
          <cell r="C7">
            <v>2</v>
          </cell>
        </row>
      </sheetData>
      <sheetData sheetId="973">
        <row r="7">
          <cell r="C7">
            <v>2</v>
          </cell>
        </row>
      </sheetData>
      <sheetData sheetId="974">
        <row r="7">
          <cell r="C7">
            <v>2</v>
          </cell>
        </row>
      </sheetData>
      <sheetData sheetId="975">
        <row r="7">
          <cell r="C7">
            <v>2</v>
          </cell>
        </row>
      </sheetData>
      <sheetData sheetId="976">
        <row r="7">
          <cell r="C7">
            <v>2</v>
          </cell>
        </row>
      </sheetData>
      <sheetData sheetId="977">
        <row r="7">
          <cell r="C7">
            <v>2</v>
          </cell>
        </row>
      </sheetData>
      <sheetData sheetId="978">
        <row r="7">
          <cell r="C7">
            <v>2</v>
          </cell>
        </row>
      </sheetData>
      <sheetData sheetId="979">
        <row r="7">
          <cell r="C7">
            <v>2</v>
          </cell>
        </row>
      </sheetData>
      <sheetData sheetId="980">
        <row r="7">
          <cell r="C7">
            <v>2</v>
          </cell>
        </row>
      </sheetData>
      <sheetData sheetId="981">
        <row r="7">
          <cell r="C7">
            <v>2</v>
          </cell>
        </row>
      </sheetData>
      <sheetData sheetId="982">
        <row r="7">
          <cell r="C7">
            <v>2</v>
          </cell>
        </row>
      </sheetData>
      <sheetData sheetId="983">
        <row r="7">
          <cell r="C7">
            <v>2</v>
          </cell>
        </row>
      </sheetData>
      <sheetData sheetId="984">
        <row r="7">
          <cell r="C7">
            <v>2</v>
          </cell>
        </row>
      </sheetData>
      <sheetData sheetId="985">
        <row r="7">
          <cell r="C7">
            <v>2</v>
          </cell>
        </row>
      </sheetData>
      <sheetData sheetId="986">
        <row r="7">
          <cell r="C7">
            <v>2</v>
          </cell>
        </row>
      </sheetData>
      <sheetData sheetId="987">
        <row r="7">
          <cell r="C7">
            <v>2</v>
          </cell>
        </row>
      </sheetData>
      <sheetData sheetId="988">
        <row r="7">
          <cell r="C7">
            <v>2</v>
          </cell>
        </row>
      </sheetData>
      <sheetData sheetId="989">
        <row r="7">
          <cell r="C7">
            <v>2</v>
          </cell>
        </row>
      </sheetData>
      <sheetData sheetId="990">
        <row r="7">
          <cell r="C7">
            <v>2</v>
          </cell>
        </row>
      </sheetData>
      <sheetData sheetId="991">
        <row r="7">
          <cell r="C7">
            <v>2</v>
          </cell>
        </row>
      </sheetData>
      <sheetData sheetId="992">
        <row r="7">
          <cell r="C7">
            <v>2</v>
          </cell>
        </row>
      </sheetData>
      <sheetData sheetId="993">
        <row r="7">
          <cell r="C7">
            <v>2</v>
          </cell>
        </row>
      </sheetData>
      <sheetData sheetId="994">
        <row r="7">
          <cell r="C7">
            <v>2</v>
          </cell>
        </row>
      </sheetData>
      <sheetData sheetId="995">
        <row r="7">
          <cell r="C7">
            <v>2</v>
          </cell>
        </row>
      </sheetData>
      <sheetData sheetId="996">
        <row r="7">
          <cell r="C7">
            <v>2</v>
          </cell>
        </row>
      </sheetData>
      <sheetData sheetId="997">
        <row r="7">
          <cell r="C7">
            <v>2</v>
          </cell>
        </row>
      </sheetData>
      <sheetData sheetId="998">
        <row r="7">
          <cell r="C7">
            <v>2</v>
          </cell>
        </row>
      </sheetData>
      <sheetData sheetId="999">
        <row r="7">
          <cell r="C7">
            <v>2</v>
          </cell>
        </row>
      </sheetData>
      <sheetData sheetId="1000">
        <row r="7">
          <cell r="C7">
            <v>2</v>
          </cell>
        </row>
      </sheetData>
      <sheetData sheetId="1001">
        <row r="7">
          <cell r="C7">
            <v>2</v>
          </cell>
        </row>
      </sheetData>
      <sheetData sheetId="1002">
        <row r="7">
          <cell r="C7">
            <v>2</v>
          </cell>
        </row>
      </sheetData>
      <sheetData sheetId="1003">
        <row r="7">
          <cell r="C7">
            <v>2</v>
          </cell>
        </row>
      </sheetData>
      <sheetData sheetId="1004">
        <row r="7">
          <cell r="C7">
            <v>2</v>
          </cell>
        </row>
      </sheetData>
      <sheetData sheetId="1005">
        <row r="7">
          <cell r="C7">
            <v>2</v>
          </cell>
        </row>
      </sheetData>
      <sheetData sheetId="1006">
        <row r="7">
          <cell r="C7">
            <v>2</v>
          </cell>
        </row>
      </sheetData>
      <sheetData sheetId="1007">
        <row r="7">
          <cell r="C7">
            <v>2</v>
          </cell>
        </row>
      </sheetData>
      <sheetData sheetId="1008">
        <row r="7">
          <cell r="C7">
            <v>2</v>
          </cell>
        </row>
      </sheetData>
      <sheetData sheetId="1009">
        <row r="7">
          <cell r="C7">
            <v>2</v>
          </cell>
        </row>
      </sheetData>
      <sheetData sheetId="1010">
        <row r="7">
          <cell r="C7">
            <v>2</v>
          </cell>
        </row>
      </sheetData>
      <sheetData sheetId="1011">
        <row r="7">
          <cell r="C7">
            <v>2</v>
          </cell>
        </row>
      </sheetData>
      <sheetData sheetId="1012">
        <row r="7">
          <cell r="C7">
            <v>2</v>
          </cell>
        </row>
      </sheetData>
      <sheetData sheetId="1013">
        <row r="7">
          <cell r="C7">
            <v>2</v>
          </cell>
        </row>
      </sheetData>
      <sheetData sheetId="1014">
        <row r="7">
          <cell r="C7">
            <v>2</v>
          </cell>
        </row>
      </sheetData>
      <sheetData sheetId="1015">
        <row r="7">
          <cell r="C7">
            <v>2</v>
          </cell>
        </row>
      </sheetData>
      <sheetData sheetId="1016">
        <row r="7">
          <cell r="C7">
            <v>2</v>
          </cell>
        </row>
      </sheetData>
      <sheetData sheetId="1017">
        <row r="7">
          <cell r="C7">
            <v>2</v>
          </cell>
        </row>
      </sheetData>
      <sheetData sheetId="1018">
        <row r="7">
          <cell r="C7">
            <v>2</v>
          </cell>
        </row>
      </sheetData>
      <sheetData sheetId="1019">
        <row r="7">
          <cell r="C7">
            <v>2</v>
          </cell>
        </row>
      </sheetData>
      <sheetData sheetId="1020">
        <row r="7">
          <cell r="C7">
            <v>2</v>
          </cell>
        </row>
      </sheetData>
      <sheetData sheetId="1021">
        <row r="7">
          <cell r="C7">
            <v>2</v>
          </cell>
        </row>
      </sheetData>
      <sheetData sheetId="1022">
        <row r="7">
          <cell r="C7">
            <v>2</v>
          </cell>
        </row>
      </sheetData>
      <sheetData sheetId="1023">
        <row r="7">
          <cell r="C7">
            <v>2</v>
          </cell>
        </row>
      </sheetData>
      <sheetData sheetId="1024">
        <row r="7">
          <cell r="C7">
            <v>2</v>
          </cell>
        </row>
      </sheetData>
      <sheetData sheetId="1025">
        <row r="7">
          <cell r="C7">
            <v>2</v>
          </cell>
        </row>
      </sheetData>
      <sheetData sheetId="1026">
        <row r="7">
          <cell r="C7">
            <v>2</v>
          </cell>
        </row>
      </sheetData>
      <sheetData sheetId="1027">
        <row r="7">
          <cell r="C7">
            <v>2</v>
          </cell>
        </row>
      </sheetData>
      <sheetData sheetId="1028">
        <row r="7">
          <cell r="C7">
            <v>2</v>
          </cell>
        </row>
      </sheetData>
      <sheetData sheetId="1029">
        <row r="7">
          <cell r="C7">
            <v>2</v>
          </cell>
        </row>
      </sheetData>
      <sheetData sheetId="1030">
        <row r="7">
          <cell r="C7">
            <v>2</v>
          </cell>
        </row>
      </sheetData>
      <sheetData sheetId="1031">
        <row r="7">
          <cell r="C7">
            <v>2</v>
          </cell>
        </row>
      </sheetData>
      <sheetData sheetId="1032">
        <row r="7">
          <cell r="C7">
            <v>2</v>
          </cell>
        </row>
      </sheetData>
      <sheetData sheetId="1033">
        <row r="7">
          <cell r="C7">
            <v>2</v>
          </cell>
        </row>
      </sheetData>
      <sheetData sheetId="1034">
        <row r="7">
          <cell r="C7">
            <v>2</v>
          </cell>
        </row>
      </sheetData>
      <sheetData sheetId="1035">
        <row r="7">
          <cell r="C7">
            <v>2</v>
          </cell>
        </row>
      </sheetData>
      <sheetData sheetId="1036">
        <row r="7">
          <cell r="C7">
            <v>2</v>
          </cell>
        </row>
      </sheetData>
      <sheetData sheetId="1037">
        <row r="7">
          <cell r="C7">
            <v>2</v>
          </cell>
        </row>
      </sheetData>
      <sheetData sheetId="1038">
        <row r="7">
          <cell r="C7">
            <v>2</v>
          </cell>
        </row>
      </sheetData>
      <sheetData sheetId="1039">
        <row r="7">
          <cell r="C7">
            <v>2</v>
          </cell>
        </row>
      </sheetData>
      <sheetData sheetId="1040">
        <row r="7">
          <cell r="C7">
            <v>2</v>
          </cell>
        </row>
      </sheetData>
      <sheetData sheetId="1041">
        <row r="7">
          <cell r="C7">
            <v>2</v>
          </cell>
        </row>
      </sheetData>
      <sheetData sheetId="1042">
        <row r="7">
          <cell r="C7">
            <v>2</v>
          </cell>
        </row>
      </sheetData>
      <sheetData sheetId="1043">
        <row r="7">
          <cell r="C7">
            <v>2</v>
          </cell>
        </row>
      </sheetData>
      <sheetData sheetId="1044">
        <row r="7">
          <cell r="C7">
            <v>2</v>
          </cell>
        </row>
      </sheetData>
      <sheetData sheetId="1045">
        <row r="7">
          <cell r="C7">
            <v>2</v>
          </cell>
        </row>
      </sheetData>
      <sheetData sheetId="1046">
        <row r="7">
          <cell r="C7">
            <v>2</v>
          </cell>
        </row>
      </sheetData>
      <sheetData sheetId="1047">
        <row r="7">
          <cell r="C7">
            <v>2</v>
          </cell>
        </row>
      </sheetData>
      <sheetData sheetId="1048">
        <row r="7">
          <cell r="C7">
            <v>2</v>
          </cell>
        </row>
      </sheetData>
      <sheetData sheetId="1049">
        <row r="7">
          <cell r="C7">
            <v>2</v>
          </cell>
        </row>
      </sheetData>
      <sheetData sheetId="1050">
        <row r="7">
          <cell r="C7">
            <v>2</v>
          </cell>
        </row>
      </sheetData>
      <sheetData sheetId="1051">
        <row r="7">
          <cell r="C7">
            <v>2</v>
          </cell>
        </row>
      </sheetData>
      <sheetData sheetId="1052">
        <row r="7">
          <cell r="C7">
            <v>2</v>
          </cell>
        </row>
      </sheetData>
      <sheetData sheetId="1053">
        <row r="7">
          <cell r="C7">
            <v>2</v>
          </cell>
        </row>
      </sheetData>
      <sheetData sheetId="1054">
        <row r="7">
          <cell r="C7">
            <v>2</v>
          </cell>
        </row>
      </sheetData>
      <sheetData sheetId="1055">
        <row r="7">
          <cell r="C7">
            <v>2</v>
          </cell>
        </row>
      </sheetData>
      <sheetData sheetId="1056">
        <row r="7">
          <cell r="C7">
            <v>2</v>
          </cell>
        </row>
      </sheetData>
      <sheetData sheetId="1057">
        <row r="7">
          <cell r="C7">
            <v>2</v>
          </cell>
        </row>
      </sheetData>
      <sheetData sheetId="1058">
        <row r="7">
          <cell r="C7">
            <v>2</v>
          </cell>
        </row>
      </sheetData>
      <sheetData sheetId="1059">
        <row r="7">
          <cell r="C7">
            <v>2</v>
          </cell>
        </row>
      </sheetData>
      <sheetData sheetId="1060">
        <row r="7">
          <cell r="C7">
            <v>2</v>
          </cell>
        </row>
      </sheetData>
      <sheetData sheetId="1061">
        <row r="7">
          <cell r="C7">
            <v>2</v>
          </cell>
        </row>
      </sheetData>
      <sheetData sheetId="1062">
        <row r="7">
          <cell r="C7">
            <v>2</v>
          </cell>
        </row>
      </sheetData>
      <sheetData sheetId="1063">
        <row r="7">
          <cell r="C7">
            <v>2</v>
          </cell>
        </row>
      </sheetData>
      <sheetData sheetId="1064">
        <row r="7">
          <cell r="C7">
            <v>2</v>
          </cell>
        </row>
      </sheetData>
      <sheetData sheetId="1065">
        <row r="7">
          <cell r="C7">
            <v>2</v>
          </cell>
        </row>
      </sheetData>
      <sheetData sheetId="1066">
        <row r="7">
          <cell r="C7">
            <v>2</v>
          </cell>
        </row>
      </sheetData>
      <sheetData sheetId="1067">
        <row r="7">
          <cell r="C7">
            <v>2</v>
          </cell>
        </row>
      </sheetData>
      <sheetData sheetId="1068">
        <row r="7">
          <cell r="C7">
            <v>2</v>
          </cell>
        </row>
      </sheetData>
      <sheetData sheetId="1069">
        <row r="7">
          <cell r="C7">
            <v>2</v>
          </cell>
        </row>
      </sheetData>
      <sheetData sheetId="1070">
        <row r="7">
          <cell r="C7">
            <v>2</v>
          </cell>
        </row>
      </sheetData>
      <sheetData sheetId="1071">
        <row r="7">
          <cell r="C7">
            <v>2</v>
          </cell>
        </row>
      </sheetData>
      <sheetData sheetId="1072">
        <row r="7">
          <cell r="C7">
            <v>2</v>
          </cell>
        </row>
      </sheetData>
      <sheetData sheetId="1073">
        <row r="7">
          <cell r="C7">
            <v>2</v>
          </cell>
        </row>
      </sheetData>
      <sheetData sheetId="1074">
        <row r="7">
          <cell r="C7">
            <v>2</v>
          </cell>
        </row>
      </sheetData>
      <sheetData sheetId="1075">
        <row r="7">
          <cell r="C7">
            <v>2</v>
          </cell>
        </row>
      </sheetData>
      <sheetData sheetId="1076">
        <row r="7">
          <cell r="C7">
            <v>2</v>
          </cell>
        </row>
      </sheetData>
      <sheetData sheetId="1077">
        <row r="7">
          <cell r="C7">
            <v>2</v>
          </cell>
        </row>
      </sheetData>
      <sheetData sheetId="1078">
        <row r="7">
          <cell r="C7">
            <v>2</v>
          </cell>
        </row>
      </sheetData>
      <sheetData sheetId="1079">
        <row r="7">
          <cell r="C7">
            <v>2</v>
          </cell>
        </row>
      </sheetData>
      <sheetData sheetId="1080">
        <row r="7">
          <cell r="C7">
            <v>2</v>
          </cell>
        </row>
      </sheetData>
      <sheetData sheetId="1081">
        <row r="7">
          <cell r="C7">
            <v>2</v>
          </cell>
        </row>
      </sheetData>
      <sheetData sheetId="1082">
        <row r="7">
          <cell r="C7">
            <v>2</v>
          </cell>
        </row>
      </sheetData>
      <sheetData sheetId="1083">
        <row r="7">
          <cell r="C7">
            <v>2</v>
          </cell>
        </row>
      </sheetData>
      <sheetData sheetId="1084">
        <row r="7">
          <cell r="C7">
            <v>2</v>
          </cell>
        </row>
      </sheetData>
      <sheetData sheetId="1085">
        <row r="7">
          <cell r="C7">
            <v>2</v>
          </cell>
        </row>
      </sheetData>
      <sheetData sheetId="1086">
        <row r="7">
          <cell r="C7">
            <v>2</v>
          </cell>
        </row>
      </sheetData>
      <sheetData sheetId="1087">
        <row r="7">
          <cell r="C7">
            <v>2</v>
          </cell>
        </row>
      </sheetData>
      <sheetData sheetId="1088">
        <row r="7">
          <cell r="C7">
            <v>2</v>
          </cell>
        </row>
      </sheetData>
      <sheetData sheetId="1089">
        <row r="7">
          <cell r="C7">
            <v>2</v>
          </cell>
        </row>
      </sheetData>
      <sheetData sheetId="1090">
        <row r="7">
          <cell r="C7">
            <v>2</v>
          </cell>
        </row>
      </sheetData>
      <sheetData sheetId="1091">
        <row r="7">
          <cell r="C7">
            <v>2</v>
          </cell>
        </row>
      </sheetData>
      <sheetData sheetId="1092">
        <row r="7">
          <cell r="C7">
            <v>2</v>
          </cell>
        </row>
      </sheetData>
      <sheetData sheetId="1093">
        <row r="7">
          <cell r="C7">
            <v>2</v>
          </cell>
        </row>
      </sheetData>
      <sheetData sheetId="1094">
        <row r="7">
          <cell r="C7">
            <v>2</v>
          </cell>
        </row>
      </sheetData>
      <sheetData sheetId="1095">
        <row r="7">
          <cell r="C7">
            <v>2</v>
          </cell>
        </row>
      </sheetData>
      <sheetData sheetId="1096">
        <row r="7">
          <cell r="C7">
            <v>2</v>
          </cell>
        </row>
      </sheetData>
      <sheetData sheetId="1097">
        <row r="7">
          <cell r="C7">
            <v>2</v>
          </cell>
        </row>
      </sheetData>
      <sheetData sheetId="1098">
        <row r="7">
          <cell r="C7">
            <v>2</v>
          </cell>
        </row>
      </sheetData>
      <sheetData sheetId="1099">
        <row r="7">
          <cell r="C7">
            <v>2</v>
          </cell>
        </row>
      </sheetData>
      <sheetData sheetId="1100">
        <row r="7">
          <cell r="C7">
            <v>2</v>
          </cell>
        </row>
      </sheetData>
      <sheetData sheetId="1101">
        <row r="7">
          <cell r="C7">
            <v>2</v>
          </cell>
        </row>
      </sheetData>
      <sheetData sheetId="1102">
        <row r="7">
          <cell r="C7">
            <v>2</v>
          </cell>
        </row>
      </sheetData>
      <sheetData sheetId="1103">
        <row r="7">
          <cell r="C7">
            <v>2</v>
          </cell>
        </row>
      </sheetData>
      <sheetData sheetId="1104">
        <row r="7">
          <cell r="C7">
            <v>2</v>
          </cell>
        </row>
      </sheetData>
      <sheetData sheetId="1105">
        <row r="7">
          <cell r="C7">
            <v>2</v>
          </cell>
        </row>
      </sheetData>
      <sheetData sheetId="1106">
        <row r="7">
          <cell r="C7">
            <v>2</v>
          </cell>
        </row>
      </sheetData>
      <sheetData sheetId="1107">
        <row r="7">
          <cell r="C7">
            <v>2</v>
          </cell>
        </row>
      </sheetData>
      <sheetData sheetId="1108">
        <row r="7">
          <cell r="C7">
            <v>2</v>
          </cell>
        </row>
      </sheetData>
      <sheetData sheetId="1109">
        <row r="7">
          <cell r="C7">
            <v>2</v>
          </cell>
        </row>
      </sheetData>
      <sheetData sheetId="1110">
        <row r="7">
          <cell r="C7">
            <v>2</v>
          </cell>
        </row>
      </sheetData>
      <sheetData sheetId="1111">
        <row r="7">
          <cell r="C7">
            <v>2</v>
          </cell>
        </row>
      </sheetData>
      <sheetData sheetId="1112">
        <row r="7">
          <cell r="C7">
            <v>2</v>
          </cell>
        </row>
      </sheetData>
      <sheetData sheetId="1113">
        <row r="7">
          <cell r="C7">
            <v>2</v>
          </cell>
        </row>
      </sheetData>
      <sheetData sheetId="1114">
        <row r="7">
          <cell r="C7">
            <v>2</v>
          </cell>
        </row>
      </sheetData>
      <sheetData sheetId="1115">
        <row r="7">
          <cell r="C7">
            <v>2</v>
          </cell>
        </row>
      </sheetData>
      <sheetData sheetId="1116">
        <row r="7">
          <cell r="C7">
            <v>2</v>
          </cell>
        </row>
      </sheetData>
      <sheetData sheetId="1117">
        <row r="7">
          <cell r="C7">
            <v>2</v>
          </cell>
        </row>
      </sheetData>
      <sheetData sheetId="1118">
        <row r="7">
          <cell r="C7">
            <v>2</v>
          </cell>
        </row>
      </sheetData>
      <sheetData sheetId="1119">
        <row r="7">
          <cell r="C7">
            <v>2</v>
          </cell>
        </row>
      </sheetData>
      <sheetData sheetId="1120">
        <row r="7">
          <cell r="C7">
            <v>2</v>
          </cell>
        </row>
      </sheetData>
      <sheetData sheetId="1121">
        <row r="7">
          <cell r="C7">
            <v>2</v>
          </cell>
        </row>
      </sheetData>
      <sheetData sheetId="1122">
        <row r="7">
          <cell r="C7">
            <v>2</v>
          </cell>
        </row>
      </sheetData>
      <sheetData sheetId="1123">
        <row r="7">
          <cell r="C7">
            <v>2</v>
          </cell>
        </row>
      </sheetData>
      <sheetData sheetId="1124">
        <row r="7">
          <cell r="C7">
            <v>2</v>
          </cell>
        </row>
      </sheetData>
      <sheetData sheetId="1125">
        <row r="7">
          <cell r="C7">
            <v>2</v>
          </cell>
        </row>
      </sheetData>
      <sheetData sheetId="1126">
        <row r="7">
          <cell r="C7">
            <v>2</v>
          </cell>
        </row>
      </sheetData>
      <sheetData sheetId="1127">
        <row r="7">
          <cell r="C7">
            <v>2</v>
          </cell>
        </row>
      </sheetData>
      <sheetData sheetId="1128">
        <row r="7">
          <cell r="C7">
            <v>2</v>
          </cell>
        </row>
      </sheetData>
      <sheetData sheetId="1129">
        <row r="7">
          <cell r="C7">
            <v>2</v>
          </cell>
        </row>
      </sheetData>
      <sheetData sheetId="1130">
        <row r="7">
          <cell r="C7">
            <v>2</v>
          </cell>
        </row>
      </sheetData>
      <sheetData sheetId="1131">
        <row r="7">
          <cell r="C7">
            <v>2</v>
          </cell>
        </row>
      </sheetData>
      <sheetData sheetId="1132">
        <row r="7">
          <cell r="C7">
            <v>2</v>
          </cell>
        </row>
      </sheetData>
      <sheetData sheetId="1133">
        <row r="7">
          <cell r="C7">
            <v>2</v>
          </cell>
        </row>
      </sheetData>
      <sheetData sheetId="1134">
        <row r="7">
          <cell r="C7">
            <v>2</v>
          </cell>
        </row>
      </sheetData>
      <sheetData sheetId="1135">
        <row r="7">
          <cell r="C7">
            <v>2</v>
          </cell>
        </row>
      </sheetData>
      <sheetData sheetId="1136">
        <row r="7">
          <cell r="C7">
            <v>2</v>
          </cell>
        </row>
      </sheetData>
      <sheetData sheetId="1137">
        <row r="7">
          <cell r="C7">
            <v>2</v>
          </cell>
        </row>
      </sheetData>
      <sheetData sheetId="1138">
        <row r="7">
          <cell r="C7">
            <v>2</v>
          </cell>
        </row>
      </sheetData>
      <sheetData sheetId="1139">
        <row r="7">
          <cell r="C7">
            <v>2</v>
          </cell>
        </row>
      </sheetData>
      <sheetData sheetId="1140">
        <row r="7">
          <cell r="C7">
            <v>2</v>
          </cell>
        </row>
      </sheetData>
      <sheetData sheetId="1141">
        <row r="7">
          <cell r="C7">
            <v>2</v>
          </cell>
        </row>
      </sheetData>
      <sheetData sheetId="1142">
        <row r="7">
          <cell r="C7">
            <v>2</v>
          </cell>
        </row>
      </sheetData>
      <sheetData sheetId="1143">
        <row r="7">
          <cell r="C7">
            <v>2</v>
          </cell>
        </row>
      </sheetData>
      <sheetData sheetId="1144">
        <row r="7">
          <cell r="C7">
            <v>2</v>
          </cell>
        </row>
      </sheetData>
      <sheetData sheetId="1145">
        <row r="7">
          <cell r="C7">
            <v>2</v>
          </cell>
        </row>
      </sheetData>
      <sheetData sheetId="1146">
        <row r="7">
          <cell r="C7">
            <v>2</v>
          </cell>
        </row>
      </sheetData>
      <sheetData sheetId="1147">
        <row r="7">
          <cell r="C7">
            <v>2</v>
          </cell>
        </row>
      </sheetData>
      <sheetData sheetId="1148">
        <row r="7">
          <cell r="C7">
            <v>2</v>
          </cell>
        </row>
      </sheetData>
      <sheetData sheetId="1149">
        <row r="7">
          <cell r="C7">
            <v>2</v>
          </cell>
        </row>
      </sheetData>
      <sheetData sheetId="1150">
        <row r="7">
          <cell r="C7">
            <v>2</v>
          </cell>
        </row>
      </sheetData>
      <sheetData sheetId="1151">
        <row r="7">
          <cell r="C7">
            <v>2</v>
          </cell>
        </row>
      </sheetData>
      <sheetData sheetId="1152">
        <row r="7">
          <cell r="C7">
            <v>2</v>
          </cell>
        </row>
      </sheetData>
      <sheetData sheetId="1153">
        <row r="7">
          <cell r="C7">
            <v>2</v>
          </cell>
        </row>
      </sheetData>
      <sheetData sheetId="1154">
        <row r="7">
          <cell r="C7">
            <v>2</v>
          </cell>
        </row>
      </sheetData>
      <sheetData sheetId="1155">
        <row r="7">
          <cell r="C7">
            <v>2</v>
          </cell>
        </row>
      </sheetData>
      <sheetData sheetId="1156">
        <row r="7">
          <cell r="C7">
            <v>2</v>
          </cell>
        </row>
      </sheetData>
      <sheetData sheetId="1157">
        <row r="7">
          <cell r="C7">
            <v>2</v>
          </cell>
        </row>
      </sheetData>
      <sheetData sheetId="1158">
        <row r="7">
          <cell r="C7">
            <v>2</v>
          </cell>
        </row>
      </sheetData>
      <sheetData sheetId="1159">
        <row r="7">
          <cell r="C7">
            <v>2</v>
          </cell>
        </row>
      </sheetData>
      <sheetData sheetId="1160">
        <row r="7">
          <cell r="C7">
            <v>2</v>
          </cell>
        </row>
      </sheetData>
      <sheetData sheetId="1161">
        <row r="7">
          <cell r="C7">
            <v>2</v>
          </cell>
        </row>
      </sheetData>
      <sheetData sheetId="1162">
        <row r="7">
          <cell r="C7">
            <v>2</v>
          </cell>
        </row>
      </sheetData>
      <sheetData sheetId="1163">
        <row r="7">
          <cell r="C7">
            <v>2</v>
          </cell>
        </row>
      </sheetData>
      <sheetData sheetId="1164">
        <row r="7">
          <cell r="C7">
            <v>2</v>
          </cell>
        </row>
      </sheetData>
      <sheetData sheetId="1165">
        <row r="7">
          <cell r="C7">
            <v>2</v>
          </cell>
        </row>
      </sheetData>
      <sheetData sheetId="1166">
        <row r="7">
          <cell r="C7">
            <v>2</v>
          </cell>
        </row>
      </sheetData>
      <sheetData sheetId="1167">
        <row r="7">
          <cell r="C7">
            <v>2</v>
          </cell>
        </row>
      </sheetData>
      <sheetData sheetId="1168">
        <row r="7">
          <cell r="C7">
            <v>2</v>
          </cell>
        </row>
      </sheetData>
      <sheetData sheetId="1169">
        <row r="7">
          <cell r="C7">
            <v>2</v>
          </cell>
        </row>
      </sheetData>
      <sheetData sheetId="1170">
        <row r="7">
          <cell r="C7">
            <v>2</v>
          </cell>
        </row>
      </sheetData>
      <sheetData sheetId="1171">
        <row r="7">
          <cell r="C7">
            <v>2</v>
          </cell>
        </row>
      </sheetData>
      <sheetData sheetId="1172">
        <row r="7">
          <cell r="C7">
            <v>2</v>
          </cell>
        </row>
      </sheetData>
      <sheetData sheetId="1173">
        <row r="7">
          <cell r="C7">
            <v>2</v>
          </cell>
        </row>
      </sheetData>
      <sheetData sheetId="1174">
        <row r="7">
          <cell r="C7">
            <v>2</v>
          </cell>
        </row>
      </sheetData>
      <sheetData sheetId="1175">
        <row r="7">
          <cell r="C7">
            <v>2</v>
          </cell>
        </row>
      </sheetData>
      <sheetData sheetId="1176">
        <row r="7">
          <cell r="C7">
            <v>2</v>
          </cell>
        </row>
      </sheetData>
      <sheetData sheetId="1177">
        <row r="7">
          <cell r="C7">
            <v>2</v>
          </cell>
        </row>
      </sheetData>
      <sheetData sheetId="1178">
        <row r="7">
          <cell r="C7">
            <v>2</v>
          </cell>
        </row>
      </sheetData>
      <sheetData sheetId="1179">
        <row r="7">
          <cell r="C7">
            <v>2</v>
          </cell>
        </row>
      </sheetData>
      <sheetData sheetId="1180">
        <row r="7">
          <cell r="C7">
            <v>2</v>
          </cell>
        </row>
      </sheetData>
      <sheetData sheetId="1181">
        <row r="7">
          <cell r="C7">
            <v>2</v>
          </cell>
        </row>
      </sheetData>
      <sheetData sheetId="1182">
        <row r="7">
          <cell r="C7">
            <v>2</v>
          </cell>
        </row>
      </sheetData>
      <sheetData sheetId="1183">
        <row r="7">
          <cell r="C7">
            <v>2</v>
          </cell>
        </row>
      </sheetData>
      <sheetData sheetId="1184">
        <row r="7">
          <cell r="C7">
            <v>2</v>
          </cell>
        </row>
      </sheetData>
      <sheetData sheetId="1185">
        <row r="7">
          <cell r="C7">
            <v>2</v>
          </cell>
        </row>
      </sheetData>
      <sheetData sheetId="1186">
        <row r="7">
          <cell r="C7">
            <v>2</v>
          </cell>
        </row>
      </sheetData>
      <sheetData sheetId="1187">
        <row r="7">
          <cell r="C7">
            <v>2</v>
          </cell>
        </row>
      </sheetData>
      <sheetData sheetId="1188">
        <row r="7">
          <cell r="C7">
            <v>2</v>
          </cell>
        </row>
      </sheetData>
      <sheetData sheetId="1189">
        <row r="7">
          <cell r="C7">
            <v>2</v>
          </cell>
        </row>
      </sheetData>
      <sheetData sheetId="1190">
        <row r="7">
          <cell r="C7">
            <v>2</v>
          </cell>
        </row>
      </sheetData>
      <sheetData sheetId="1191">
        <row r="7">
          <cell r="C7">
            <v>2</v>
          </cell>
        </row>
      </sheetData>
      <sheetData sheetId="1192">
        <row r="7">
          <cell r="C7">
            <v>2</v>
          </cell>
        </row>
      </sheetData>
      <sheetData sheetId="1193">
        <row r="7">
          <cell r="C7">
            <v>2</v>
          </cell>
        </row>
      </sheetData>
      <sheetData sheetId="1194">
        <row r="7">
          <cell r="C7">
            <v>2</v>
          </cell>
        </row>
      </sheetData>
      <sheetData sheetId="1195">
        <row r="7">
          <cell r="C7">
            <v>2</v>
          </cell>
        </row>
      </sheetData>
      <sheetData sheetId="1196">
        <row r="7">
          <cell r="C7">
            <v>2</v>
          </cell>
        </row>
      </sheetData>
      <sheetData sheetId="1197">
        <row r="7">
          <cell r="C7">
            <v>2</v>
          </cell>
        </row>
      </sheetData>
      <sheetData sheetId="1198">
        <row r="7">
          <cell r="C7">
            <v>2</v>
          </cell>
        </row>
      </sheetData>
      <sheetData sheetId="1199">
        <row r="7">
          <cell r="C7">
            <v>2</v>
          </cell>
        </row>
      </sheetData>
      <sheetData sheetId="1200">
        <row r="7">
          <cell r="C7">
            <v>2</v>
          </cell>
        </row>
      </sheetData>
      <sheetData sheetId="1201">
        <row r="7">
          <cell r="C7">
            <v>2</v>
          </cell>
        </row>
      </sheetData>
      <sheetData sheetId="1202">
        <row r="7">
          <cell r="C7">
            <v>2</v>
          </cell>
        </row>
      </sheetData>
      <sheetData sheetId="1203">
        <row r="7">
          <cell r="C7">
            <v>2</v>
          </cell>
        </row>
      </sheetData>
      <sheetData sheetId="1204">
        <row r="7">
          <cell r="C7">
            <v>2</v>
          </cell>
        </row>
      </sheetData>
      <sheetData sheetId="1205">
        <row r="7">
          <cell r="C7">
            <v>2</v>
          </cell>
        </row>
      </sheetData>
      <sheetData sheetId="1206">
        <row r="7">
          <cell r="C7">
            <v>2</v>
          </cell>
        </row>
      </sheetData>
      <sheetData sheetId="1207">
        <row r="7">
          <cell r="C7">
            <v>2</v>
          </cell>
        </row>
      </sheetData>
      <sheetData sheetId="1208">
        <row r="7">
          <cell r="C7">
            <v>2</v>
          </cell>
        </row>
      </sheetData>
      <sheetData sheetId="1209">
        <row r="7">
          <cell r="C7">
            <v>2</v>
          </cell>
        </row>
      </sheetData>
      <sheetData sheetId="1210">
        <row r="7">
          <cell r="C7">
            <v>2</v>
          </cell>
        </row>
      </sheetData>
      <sheetData sheetId="1211">
        <row r="7">
          <cell r="C7">
            <v>2</v>
          </cell>
        </row>
      </sheetData>
      <sheetData sheetId="1212">
        <row r="7">
          <cell r="C7">
            <v>2</v>
          </cell>
        </row>
      </sheetData>
      <sheetData sheetId="1213">
        <row r="7">
          <cell r="C7">
            <v>2</v>
          </cell>
        </row>
      </sheetData>
      <sheetData sheetId="1214">
        <row r="7">
          <cell r="C7">
            <v>2</v>
          </cell>
        </row>
      </sheetData>
      <sheetData sheetId="1215">
        <row r="7">
          <cell r="C7">
            <v>2</v>
          </cell>
        </row>
      </sheetData>
      <sheetData sheetId="1216">
        <row r="7">
          <cell r="C7">
            <v>2</v>
          </cell>
        </row>
      </sheetData>
      <sheetData sheetId="1217">
        <row r="7">
          <cell r="C7">
            <v>2</v>
          </cell>
        </row>
      </sheetData>
      <sheetData sheetId="1218">
        <row r="7">
          <cell r="C7">
            <v>2</v>
          </cell>
        </row>
      </sheetData>
      <sheetData sheetId="1219">
        <row r="7">
          <cell r="C7">
            <v>2</v>
          </cell>
        </row>
      </sheetData>
      <sheetData sheetId="1220">
        <row r="7">
          <cell r="C7">
            <v>2</v>
          </cell>
        </row>
      </sheetData>
      <sheetData sheetId="1221">
        <row r="7">
          <cell r="C7">
            <v>2</v>
          </cell>
        </row>
      </sheetData>
      <sheetData sheetId="1222">
        <row r="7">
          <cell r="C7">
            <v>2</v>
          </cell>
        </row>
      </sheetData>
      <sheetData sheetId="1223">
        <row r="7">
          <cell r="C7">
            <v>2</v>
          </cell>
        </row>
      </sheetData>
      <sheetData sheetId="1224">
        <row r="7">
          <cell r="C7">
            <v>2</v>
          </cell>
        </row>
      </sheetData>
      <sheetData sheetId="1225">
        <row r="7">
          <cell r="C7">
            <v>2</v>
          </cell>
        </row>
      </sheetData>
      <sheetData sheetId="1226">
        <row r="7">
          <cell r="C7">
            <v>2</v>
          </cell>
        </row>
      </sheetData>
      <sheetData sheetId="1227">
        <row r="7">
          <cell r="C7">
            <v>2</v>
          </cell>
        </row>
      </sheetData>
      <sheetData sheetId="1228">
        <row r="7">
          <cell r="C7">
            <v>2</v>
          </cell>
        </row>
      </sheetData>
      <sheetData sheetId="1229">
        <row r="7">
          <cell r="C7">
            <v>2</v>
          </cell>
        </row>
      </sheetData>
      <sheetData sheetId="1230">
        <row r="7">
          <cell r="C7">
            <v>2</v>
          </cell>
        </row>
      </sheetData>
      <sheetData sheetId="1231">
        <row r="7">
          <cell r="C7">
            <v>2</v>
          </cell>
        </row>
      </sheetData>
      <sheetData sheetId="1232">
        <row r="7">
          <cell r="C7">
            <v>2</v>
          </cell>
        </row>
      </sheetData>
      <sheetData sheetId="1233">
        <row r="7">
          <cell r="C7">
            <v>2</v>
          </cell>
        </row>
      </sheetData>
      <sheetData sheetId="1234">
        <row r="7">
          <cell r="C7">
            <v>2</v>
          </cell>
        </row>
      </sheetData>
      <sheetData sheetId="1235">
        <row r="7">
          <cell r="C7">
            <v>2</v>
          </cell>
        </row>
      </sheetData>
      <sheetData sheetId="1236">
        <row r="7">
          <cell r="C7">
            <v>2</v>
          </cell>
        </row>
      </sheetData>
      <sheetData sheetId="1237">
        <row r="7">
          <cell r="C7">
            <v>2</v>
          </cell>
        </row>
      </sheetData>
      <sheetData sheetId="1238">
        <row r="7">
          <cell r="C7">
            <v>2</v>
          </cell>
        </row>
      </sheetData>
      <sheetData sheetId="1239">
        <row r="7">
          <cell r="C7">
            <v>2</v>
          </cell>
        </row>
      </sheetData>
      <sheetData sheetId="1240">
        <row r="7">
          <cell r="C7">
            <v>2</v>
          </cell>
        </row>
      </sheetData>
      <sheetData sheetId="1241">
        <row r="7">
          <cell r="C7">
            <v>2</v>
          </cell>
        </row>
      </sheetData>
      <sheetData sheetId="1242">
        <row r="7">
          <cell r="C7">
            <v>2</v>
          </cell>
        </row>
      </sheetData>
      <sheetData sheetId="1243">
        <row r="7">
          <cell r="C7">
            <v>2</v>
          </cell>
        </row>
      </sheetData>
      <sheetData sheetId="1244">
        <row r="7">
          <cell r="C7">
            <v>2</v>
          </cell>
        </row>
      </sheetData>
      <sheetData sheetId="1245">
        <row r="7">
          <cell r="C7">
            <v>2</v>
          </cell>
        </row>
      </sheetData>
      <sheetData sheetId="1246">
        <row r="7">
          <cell r="C7">
            <v>2</v>
          </cell>
        </row>
      </sheetData>
      <sheetData sheetId="1247">
        <row r="7">
          <cell r="C7">
            <v>2</v>
          </cell>
        </row>
      </sheetData>
      <sheetData sheetId="1248">
        <row r="7">
          <cell r="C7">
            <v>2</v>
          </cell>
        </row>
      </sheetData>
      <sheetData sheetId="1249">
        <row r="7">
          <cell r="C7">
            <v>2</v>
          </cell>
        </row>
      </sheetData>
      <sheetData sheetId="1250">
        <row r="7">
          <cell r="C7">
            <v>2</v>
          </cell>
        </row>
      </sheetData>
      <sheetData sheetId="1251">
        <row r="7">
          <cell r="C7">
            <v>2</v>
          </cell>
        </row>
      </sheetData>
      <sheetData sheetId="1252">
        <row r="7">
          <cell r="C7">
            <v>2</v>
          </cell>
        </row>
      </sheetData>
      <sheetData sheetId="1253">
        <row r="7">
          <cell r="C7">
            <v>2</v>
          </cell>
        </row>
      </sheetData>
      <sheetData sheetId="1254">
        <row r="7">
          <cell r="C7">
            <v>2</v>
          </cell>
        </row>
      </sheetData>
      <sheetData sheetId="1255">
        <row r="7">
          <cell r="C7">
            <v>2</v>
          </cell>
        </row>
      </sheetData>
      <sheetData sheetId="1256">
        <row r="7">
          <cell r="C7">
            <v>2</v>
          </cell>
        </row>
      </sheetData>
      <sheetData sheetId="1257">
        <row r="7">
          <cell r="C7">
            <v>2</v>
          </cell>
        </row>
      </sheetData>
      <sheetData sheetId="1258">
        <row r="7">
          <cell r="C7">
            <v>2</v>
          </cell>
        </row>
      </sheetData>
      <sheetData sheetId="1259">
        <row r="7">
          <cell r="C7">
            <v>2</v>
          </cell>
        </row>
      </sheetData>
      <sheetData sheetId="1260">
        <row r="7">
          <cell r="C7">
            <v>2</v>
          </cell>
        </row>
      </sheetData>
      <sheetData sheetId="1261">
        <row r="7">
          <cell r="C7">
            <v>2</v>
          </cell>
        </row>
      </sheetData>
      <sheetData sheetId="1262">
        <row r="7">
          <cell r="C7">
            <v>2</v>
          </cell>
        </row>
      </sheetData>
      <sheetData sheetId="1263">
        <row r="7">
          <cell r="C7">
            <v>2</v>
          </cell>
        </row>
      </sheetData>
      <sheetData sheetId="1264">
        <row r="7">
          <cell r="C7">
            <v>2</v>
          </cell>
        </row>
      </sheetData>
      <sheetData sheetId="1265">
        <row r="7">
          <cell r="C7">
            <v>2</v>
          </cell>
        </row>
      </sheetData>
      <sheetData sheetId="1266">
        <row r="7">
          <cell r="C7">
            <v>2</v>
          </cell>
        </row>
      </sheetData>
      <sheetData sheetId="1267">
        <row r="7">
          <cell r="C7">
            <v>2</v>
          </cell>
        </row>
      </sheetData>
      <sheetData sheetId="1268">
        <row r="7">
          <cell r="C7">
            <v>2</v>
          </cell>
        </row>
      </sheetData>
      <sheetData sheetId="1269">
        <row r="7">
          <cell r="C7">
            <v>2</v>
          </cell>
        </row>
      </sheetData>
      <sheetData sheetId="1270">
        <row r="7">
          <cell r="C7">
            <v>2</v>
          </cell>
        </row>
      </sheetData>
      <sheetData sheetId="1271">
        <row r="7">
          <cell r="C7">
            <v>2</v>
          </cell>
        </row>
      </sheetData>
      <sheetData sheetId="1272">
        <row r="7">
          <cell r="C7">
            <v>2</v>
          </cell>
        </row>
      </sheetData>
      <sheetData sheetId="1273">
        <row r="7">
          <cell r="C7">
            <v>2</v>
          </cell>
        </row>
      </sheetData>
      <sheetData sheetId="1274">
        <row r="7">
          <cell r="C7">
            <v>2</v>
          </cell>
        </row>
      </sheetData>
      <sheetData sheetId="1275">
        <row r="7">
          <cell r="C7">
            <v>2</v>
          </cell>
        </row>
      </sheetData>
      <sheetData sheetId="1276">
        <row r="7">
          <cell r="C7">
            <v>2</v>
          </cell>
        </row>
      </sheetData>
      <sheetData sheetId="1277">
        <row r="7">
          <cell r="C7">
            <v>2</v>
          </cell>
        </row>
      </sheetData>
      <sheetData sheetId="1278">
        <row r="7">
          <cell r="C7">
            <v>2</v>
          </cell>
        </row>
      </sheetData>
      <sheetData sheetId="1279">
        <row r="7">
          <cell r="C7">
            <v>2</v>
          </cell>
        </row>
      </sheetData>
      <sheetData sheetId="1280">
        <row r="7">
          <cell r="C7">
            <v>2</v>
          </cell>
        </row>
      </sheetData>
      <sheetData sheetId="1281">
        <row r="7">
          <cell r="C7">
            <v>2</v>
          </cell>
        </row>
      </sheetData>
      <sheetData sheetId="1282">
        <row r="7">
          <cell r="C7">
            <v>2</v>
          </cell>
        </row>
      </sheetData>
      <sheetData sheetId="1283">
        <row r="7">
          <cell r="C7">
            <v>2</v>
          </cell>
        </row>
      </sheetData>
      <sheetData sheetId="1284">
        <row r="7">
          <cell r="C7">
            <v>2</v>
          </cell>
        </row>
      </sheetData>
      <sheetData sheetId="1285">
        <row r="7">
          <cell r="C7">
            <v>2</v>
          </cell>
        </row>
      </sheetData>
      <sheetData sheetId="1286">
        <row r="7">
          <cell r="C7">
            <v>2</v>
          </cell>
        </row>
      </sheetData>
      <sheetData sheetId="1287">
        <row r="7">
          <cell r="C7">
            <v>2</v>
          </cell>
        </row>
      </sheetData>
      <sheetData sheetId="1288">
        <row r="7">
          <cell r="C7">
            <v>2</v>
          </cell>
        </row>
      </sheetData>
      <sheetData sheetId="1289">
        <row r="7">
          <cell r="C7">
            <v>2</v>
          </cell>
        </row>
      </sheetData>
      <sheetData sheetId="1290">
        <row r="7">
          <cell r="C7">
            <v>2</v>
          </cell>
        </row>
      </sheetData>
      <sheetData sheetId="1291">
        <row r="7">
          <cell r="C7">
            <v>2</v>
          </cell>
        </row>
      </sheetData>
      <sheetData sheetId="1292">
        <row r="7">
          <cell r="C7">
            <v>2</v>
          </cell>
        </row>
      </sheetData>
      <sheetData sheetId="1293">
        <row r="7">
          <cell r="C7">
            <v>2</v>
          </cell>
        </row>
      </sheetData>
      <sheetData sheetId="1294">
        <row r="7">
          <cell r="C7">
            <v>2</v>
          </cell>
        </row>
      </sheetData>
      <sheetData sheetId="1295">
        <row r="7">
          <cell r="C7">
            <v>2</v>
          </cell>
        </row>
      </sheetData>
      <sheetData sheetId="1296">
        <row r="7">
          <cell r="C7">
            <v>2</v>
          </cell>
        </row>
      </sheetData>
      <sheetData sheetId="1297">
        <row r="7">
          <cell r="C7">
            <v>2</v>
          </cell>
        </row>
      </sheetData>
      <sheetData sheetId="1298">
        <row r="7">
          <cell r="C7">
            <v>2</v>
          </cell>
        </row>
      </sheetData>
      <sheetData sheetId="1299">
        <row r="7">
          <cell r="C7">
            <v>2</v>
          </cell>
        </row>
      </sheetData>
      <sheetData sheetId="1300">
        <row r="7">
          <cell r="C7">
            <v>2</v>
          </cell>
        </row>
      </sheetData>
      <sheetData sheetId="1301">
        <row r="7">
          <cell r="C7">
            <v>2</v>
          </cell>
        </row>
      </sheetData>
      <sheetData sheetId="1302">
        <row r="7">
          <cell r="C7">
            <v>2</v>
          </cell>
        </row>
      </sheetData>
      <sheetData sheetId="1303">
        <row r="7">
          <cell r="C7">
            <v>2</v>
          </cell>
        </row>
      </sheetData>
      <sheetData sheetId="1304">
        <row r="7">
          <cell r="C7">
            <v>2</v>
          </cell>
        </row>
      </sheetData>
      <sheetData sheetId="1305">
        <row r="7">
          <cell r="C7">
            <v>2</v>
          </cell>
        </row>
      </sheetData>
      <sheetData sheetId="1306">
        <row r="7">
          <cell r="C7" t="str">
            <v>: 7,203.17 m2</v>
          </cell>
        </row>
      </sheetData>
      <sheetData sheetId="1307">
        <row r="7">
          <cell r="C7" t="str">
            <v>: 7,203.17 m2</v>
          </cell>
        </row>
      </sheetData>
      <sheetData sheetId="1308">
        <row r="7">
          <cell r="C7">
            <v>2</v>
          </cell>
        </row>
      </sheetData>
      <sheetData sheetId="1309">
        <row r="7">
          <cell r="C7">
            <v>2</v>
          </cell>
        </row>
      </sheetData>
      <sheetData sheetId="1310">
        <row r="7">
          <cell r="C7">
            <v>2</v>
          </cell>
        </row>
      </sheetData>
      <sheetData sheetId="1311">
        <row r="7">
          <cell r="C7" t="str">
            <v>: 7,203.17 m2</v>
          </cell>
        </row>
      </sheetData>
      <sheetData sheetId="1312">
        <row r="7">
          <cell r="C7">
            <v>2</v>
          </cell>
        </row>
      </sheetData>
      <sheetData sheetId="1313">
        <row r="7">
          <cell r="C7">
            <v>2</v>
          </cell>
        </row>
      </sheetData>
      <sheetData sheetId="1314">
        <row r="7">
          <cell r="C7">
            <v>2</v>
          </cell>
        </row>
      </sheetData>
      <sheetData sheetId="1315">
        <row r="7">
          <cell r="C7">
            <v>2</v>
          </cell>
        </row>
      </sheetData>
      <sheetData sheetId="1316">
        <row r="7">
          <cell r="C7" t="str">
            <v>: 7,203.17 m2</v>
          </cell>
        </row>
      </sheetData>
      <sheetData sheetId="1317">
        <row r="7">
          <cell r="C7">
            <v>2</v>
          </cell>
        </row>
      </sheetData>
      <sheetData sheetId="1318">
        <row r="7">
          <cell r="C7">
            <v>2</v>
          </cell>
        </row>
      </sheetData>
      <sheetData sheetId="1319">
        <row r="7">
          <cell r="C7">
            <v>2</v>
          </cell>
        </row>
      </sheetData>
      <sheetData sheetId="1320">
        <row r="7">
          <cell r="C7">
            <v>2</v>
          </cell>
        </row>
      </sheetData>
      <sheetData sheetId="1321">
        <row r="7">
          <cell r="C7">
            <v>0</v>
          </cell>
        </row>
      </sheetData>
      <sheetData sheetId="1322">
        <row r="7">
          <cell r="C7">
            <v>2</v>
          </cell>
        </row>
      </sheetData>
      <sheetData sheetId="1323">
        <row r="7">
          <cell r="C7">
            <v>0</v>
          </cell>
        </row>
      </sheetData>
      <sheetData sheetId="1324">
        <row r="7">
          <cell r="C7" t="str">
            <v>: 7,203.17 m2</v>
          </cell>
        </row>
      </sheetData>
      <sheetData sheetId="1325">
        <row r="7">
          <cell r="C7">
            <v>0</v>
          </cell>
        </row>
      </sheetData>
      <sheetData sheetId="1326">
        <row r="7">
          <cell r="C7">
            <v>2</v>
          </cell>
        </row>
      </sheetData>
      <sheetData sheetId="1327">
        <row r="7">
          <cell r="C7">
            <v>2</v>
          </cell>
        </row>
      </sheetData>
      <sheetData sheetId="1328">
        <row r="7">
          <cell r="C7" t="str">
            <v>: 7,203.17 m2</v>
          </cell>
        </row>
      </sheetData>
      <sheetData sheetId="1329">
        <row r="7">
          <cell r="C7" t="str">
            <v>: 7,203.17 m2</v>
          </cell>
        </row>
      </sheetData>
      <sheetData sheetId="1330">
        <row r="7">
          <cell r="C7">
            <v>0</v>
          </cell>
        </row>
      </sheetData>
      <sheetData sheetId="1331">
        <row r="7">
          <cell r="C7">
            <v>2</v>
          </cell>
        </row>
      </sheetData>
      <sheetData sheetId="1332">
        <row r="7">
          <cell r="C7">
            <v>2</v>
          </cell>
        </row>
      </sheetData>
      <sheetData sheetId="1333">
        <row r="7">
          <cell r="C7" t="str">
            <v>: 7,203.17 m2</v>
          </cell>
        </row>
      </sheetData>
      <sheetData sheetId="1334">
        <row r="7">
          <cell r="C7">
            <v>0</v>
          </cell>
        </row>
      </sheetData>
      <sheetData sheetId="1335">
        <row r="7">
          <cell r="C7">
            <v>0</v>
          </cell>
        </row>
      </sheetData>
      <sheetData sheetId="1336">
        <row r="7">
          <cell r="C7" t="str">
            <v>: 7,203.17 m2</v>
          </cell>
        </row>
      </sheetData>
      <sheetData sheetId="1337">
        <row r="7">
          <cell r="C7">
            <v>0</v>
          </cell>
        </row>
      </sheetData>
      <sheetData sheetId="1338">
        <row r="7">
          <cell r="C7" t="str">
            <v>: 7,203.17 m2</v>
          </cell>
        </row>
      </sheetData>
      <sheetData sheetId="1339">
        <row r="7">
          <cell r="C7">
            <v>0</v>
          </cell>
        </row>
      </sheetData>
      <sheetData sheetId="1340">
        <row r="7">
          <cell r="C7" t="str">
            <v>: 7,203.17 m2</v>
          </cell>
        </row>
      </sheetData>
      <sheetData sheetId="1341">
        <row r="7">
          <cell r="C7" t="str">
            <v>: 7,203.17 m2</v>
          </cell>
        </row>
      </sheetData>
      <sheetData sheetId="1342">
        <row r="7">
          <cell r="C7">
            <v>0</v>
          </cell>
        </row>
      </sheetData>
      <sheetData sheetId="1343">
        <row r="7">
          <cell r="C7">
            <v>0</v>
          </cell>
        </row>
      </sheetData>
      <sheetData sheetId="1344">
        <row r="7">
          <cell r="C7">
            <v>0</v>
          </cell>
        </row>
      </sheetData>
      <sheetData sheetId="1345">
        <row r="7">
          <cell r="C7">
            <v>0</v>
          </cell>
        </row>
      </sheetData>
      <sheetData sheetId="1346">
        <row r="7">
          <cell r="C7" t="str">
            <v>: 7,203.17 m2</v>
          </cell>
        </row>
      </sheetData>
      <sheetData sheetId="1347">
        <row r="7">
          <cell r="C7" t="str">
            <v>: 7,203.17 m2</v>
          </cell>
        </row>
      </sheetData>
      <sheetData sheetId="1348">
        <row r="7">
          <cell r="C7">
            <v>2</v>
          </cell>
        </row>
      </sheetData>
      <sheetData sheetId="1349">
        <row r="7">
          <cell r="C7" t="str">
            <v>: 7,203.17 m2</v>
          </cell>
        </row>
      </sheetData>
      <sheetData sheetId="1350">
        <row r="7">
          <cell r="C7" t="str">
            <v>: 7,203.17 m2</v>
          </cell>
        </row>
      </sheetData>
      <sheetData sheetId="1351">
        <row r="7">
          <cell r="C7" t="str">
            <v>: 7,203.17 m2</v>
          </cell>
        </row>
      </sheetData>
      <sheetData sheetId="1352">
        <row r="7">
          <cell r="C7">
            <v>0</v>
          </cell>
        </row>
      </sheetData>
      <sheetData sheetId="1353">
        <row r="7">
          <cell r="C7">
            <v>2</v>
          </cell>
        </row>
      </sheetData>
      <sheetData sheetId="1354">
        <row r="7">
          <cell r="C7">
            <v>0</v>
          </cell>
        </row>
      </sheetData>
      <sheetData sheetId="1355">
        <row r="7">
          <cell r="C7" t="str">
            <v>: 7,203.17 m2</v>
          </cell>
        </row>
      </sheetData>
      <sheetData sheetId="1356">
        <row r="7">
          <cell r="C7">
            <v>0</v>
          </cell>
        </row>
      </sheetData>
      <sheetData sheetId="1357">
        <row r="7">
          <cell r="C7">
            <v>0</v>
          </cell>
        </row>
      </sheetData>
      <sheetData sheetId="1358">
        <row r="7">
          <cell r="C7">
            <v>0</v>
          </cell>
        </row>
      </sheetData>
      <sheetData sheetId="1359">
        <row r="7">
          <cell r="C7">
            <v>0</v>
          </cell>
        </row>
      </sheetData>
      <sheetData sheetId="1360">
        <row r="7">
          <cell r="C7" t="str">
            <v>: 7,203.17 m2</v>
          </cell>
        </row>
      </sheetData>
      <sheetData sheetId="1361">
        <row r="7">
          <cell r="C7" t="str">
            <v>: 7,203.17 m2</v>
          </cell>
        </row>
      </sheetData>
      <sheetData sheetId="1362">
        <row r="7">
          <cell r="C7">
            <v>2</v>
          </cell>
        </row>
      </sheetData>
      <sheetData sheetId="1363">
        <row r="7">
          <cell r="C7" t="str">
            <v>: 7,203.17 m2</v>
          </cell>
        </row>
      </sheetData>
      <sheetData sheetId="1364">
        <row r="7">
          <cell r="C7" t="str">
            <v>: 7,203.17 m2</v>
          </cell>
        </row>
      </sheetData>
      <sheetData sheetId="1365">
        <row r="7">
          <cell r="C7">
            <v>2</v>
          </cell>
        </row>
      </sheetData>
      <sheetData sheetId="1366">
        <row r="7">
          <cell r="C7" t="str">
            <v>: 7,203.17 m2</v>
          </cell>
        </row>
      </sheetData>
      <sheetData sheetId="1367">
        <row r="7">
          <cell r="C7" t="str">
            <v>: 7,203.17 m2</v>
          </cell>
        </row>
      </sheetData>
      <sheetData sheetId="1368">
        <row r="7">
          <cell r="C7">
            <v>0</v>
          </cell>
        </row>
      </sheetData>
      <sheetData sheetId="1369">
        <row r="7">
          <cell r="C7">
            <v>0</v>
          </cell>
        </row>
      </sheetData>
      <sheetData sheetId="1370">
        <row r="7">
          <cell r="C7">
            <v>0</v>
          </cell>
        </row>
      </sheetData>
      <sheetData sheetId="1371">
        <row r="7">
          <cell r="C7">
            <v>0</v>
          </cell>
        </row>
      </sheetData>
      <sheetData sheetId="1372">
        <row r="7">
          <cell r="C7" t="str">
            <v>: 7,203.17 m2</v>
          </cell>
        </row>
      </sheetData>
      <sheetData sheetId="1373">
        <row r="7">
          <cell r="C7">
            <v>0</v>
          </cell>
        </row>
      </sheetData>
      <sheetData sheetId="1374">
        <row r="7">
          <cell r="C7" t="str">
            <v>: 7,203.17 m2</v>
          </cell>
        </row>
      </sheetData>
      <sheetData sheetId="1375">
        <row r="7">
          <cell r="C7">
            <v>0</v>
          </cell>
        </row>
      </sheetData>
      <sheetData sheetId="1376">
        <row r="7">
          <cell r="C7">
            <v>2</v>
          </cell>
        </row>
      </sheetData>
      <sheetData sheetId="1377">
        <row r="7">
          <cell r="C7" t="str">
            <v>: 7,203.17 m2</v>
          </cell>
        </row>
      </sheetData>
      <sheetData sheetId="1378">
        <row r="7">
          <cell r="C7" t="str">
            <v>: 7,203.17 m2</v>
          </cell>
        </row>
      </sheetData>
      <sheetData sheetId="1379">
        <row r="7">
          <cell r="C7">
            <v>2</v>
          </cell>
        </row>
      </sheetData>
      <sheetData sheetId="1380">
        <row r="7">
          <cell r="C7" t="str">
            <v>: 7,203.17 m2</v>
          </cell>
        </row>
      </sheetData>
      <sheetData sheetId="1381">
        <row r="7">
          <cell r="C7">
            <v>0</v>
          </cell>
        </row>
      </sheetData>
      <sheetData sheetId="1382">
        <row r="7">
          <cell r="C7">
            <v>0</v>
          </cell>
        </row>
      </sheetData>
      <sheetData sheetId="1383">
        <row r="7">
          <cell r="C7">
            <v>0</v>
          </cell>
        </row>
      </sheetData>
      <sheetData sheetId="1384">
        <row r="7">
          <cell r="C7">
            <v>0</v>
          </cell>
        </row>
      </sheetData>
      <sheetData sheetId="1385">
        <row r="7">
          <cell r="C7" t="str">
            <v>: 7,203.17 m2</v>
          </cell>
        </row>
      </sheetData>
      <sheetData sheetId="1386">
        <row r="7">
          <cell r="C7" t="str">
            <v>: 7,203.17 m2</v>
          </cell>
        </row>
      </sheetData>
      <sheetData sheetId="1387">
        <row r="7">
          <cell r="C7">
            <v>0</v>
          </cell>
        </row>
      </sheetData>
      <sheetData sheetId="1388">
        <row r="7">
          <cell r="C7">
            <v>0</v>
          </cell>
        </row>
      </sheetData>
      <sheetData sheetId="1389">
        <row r="7">
          <cell r="C7">
            <v>0</v>
          </cell>
        </row>
      </sheetData>
      <sheetData sheetId="1390">
        <row r="7">
          <cell r="C7" t="str">
            <v>: 7,203.17 m2</v>
          </cell>
        </row>
      </sheetData>
      <sheetData sheetId="1391">
        <row r="7">
          <cell r="C7" t="str">
            <v>: 7,203.17 m2</v>
          </cell>
        </row>
      </sheetData>
      <sheetData sheetId="1392">
        <row r="7">
          <cell r="C7">
            <v>0</v>
          </cell>
        </row>
      </sheetData>
      <sheetData sheetId="1393">
        <row r="7">
          <cell r="C7">
            <v>2</v>
          </cell>
        </row>
      </sheetData>
      <sheetData sheetId="1394">
        <row r="7">
          <cell r="C7" t="str">
            <v>: 7,203.17 m2</v>
          </cell>
        </row>
      </sheetData>
      <sheetData sheetId="1395">
        <row r="7">
          <cell r="C7">
            <v>0</v>
          </cell>
        </row>
      </sheetData>
      <sheetData sheetId="1396">
        <row r="7">
          <cell r="C7">
            <v>0</v>
          </cell>
        </row>
      </sheetData>
      <sheetData sheetId="1397">
        <row r="7">
          <cell r="C7">
            <v>0</v>
          </cell>
        </row>
      </sheetData>
      <sheetData sheetId="1398">
        <row r="7">
          <cell r="C7">
            <v>0</v>
          </cell>
        </row>
      </sheetData>
      <sheetData sheetId="1399">
        <row r="7">
          <cell r="C7">
            <v>0</v>
          </cell>
        </row>
      </sheetData>
      <sheetData sheetId="1400">
        <row r="7">
          <cell r="C7">
            <v>2</v>
          </cell>
        </row>
      </sheetData>
      <sheetData sheetId="1401">
        <row r="7">
          <cell r="C7" t="str">
            <v>: 7,203.17 m2</v>
          </cell>
        </row>
      </sheetData>
      <sheetData sheetId="1402">
        <row r="7">
          <cell r="C7" t="str">
            <v>: 7,203.17 m2</v>
          </cell>
        </row>
      </sheetData>
      <sheetData sheetId="1403">
        <row r="7">
          <cell r="C7" t="str">
            <v>: 7,203.17 m2</v>
          </cell>
        </row>
      </sheetData>
      <sheetData sheetId="1404">
        <row r="7">
          <cell r="C7" t="str">
            <v>: 7,203.17 m2</v>
          </cell>
        </row>
      </sheetData>
      <sheetData sheetId="1405">
        <row r="7">
          <cell r="C7">
            <v>0</v>
          </cell>
        </row>
      </sheetData>
      <sheetData sheetId="1406">
        <row r="7">
          <cell r="C7">
            <v>2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>
        <row r="7">
          <cell r="C7">
            <v>2</v>
          </cell>
        </row>
      </sheetData>
      <sheetData sheetId="1428" refreshError="1"/>
      <sheetData sheetId="1429">
        <row r="7">
          <cell r="C7">
            <v>0</v>
          </cell>
        </row>
      </sheetData>
      <sheetData sheetId="1430">
        <row r="7">
          <cell r="C7">
            <v>0</v>
          </cell>
        </row>
      </sheetData>
      <sheetData sheetId="1431">
        <row r="7">
          <cell r="C7">
            <v>2</v>
          </cell>
        </row>
      </sheetData>
      <sheetData sheetId="1432">
        <row r="7">
          <cell r="C7">
            <v>2</v>
          </cell>
        </row>
      </sheetData>
      <sheetData sheetId="1433">
        <row r="7">
          <cell r="C7">
            <v>2</v>
          </cell>
        </row>
      </sheetData>
      <sheetData sheetId="1434" refreshError="1"/>
      <sheetData sheetId="1435" refreshError="1"/>
      <sheetData sheetId="1436" refreshError="1"/>
      <sheetData sheetId="1437">
        <row r="7">
          <cell r="C7">
            <v>0</v>
          </cell>
        </row>
      </sheetData>
      <sheetData sheetId="1438">
        <row r="7">
          <cell r="C7">
            <v>0</v>
          </cell>
        </row>
      </sheetData>
      <sheetData sheetId="1439">
        <row r="7">
          <cell r="C7">
            <v>2</v>
          </cell>
        </row>
      </sheetData>
      <sheetData sheetId="1440" refreshError="1"/>
      <sheetData sheetId="1441" refreshError="1"/>
      <sheetData sheetId="1442">
        <row r="7">
          <cell r="C7">
            <v>0</v>
          </cell>
        </row>
      </sheetData>
      <sheetData sheetId="1443" refreshError="1"/>
      <sheetData sheetId="1444" refreshError="1"/>
      <sheetData sheetId="1445">
        <row r="7">
          <cell r="C7">
            <v>0</v>
          </cell>
        </row>
      </sheetData>
      <sheetData sheetId="1446">
        <row r="7">
          <cell r="C7">
            <v>0</v>
          </cell>
        </row>
      </sheetData>
      <sheetData sheetId="1447">
        <row r="7">
          <cell r="C7">
            <v>0</v>
          </cell>
        </row>
      </sheetData>
      <sheetData sheetId="1448">
        <row r="7">
          <cell r="C7">
            <v>0</v>
          </cell>
        </row>
      </sheetData>
      <sheetData sheetId="1449">
        <row r="7">
          <cell r="C7">
            <v>0</v>
          </cell>
        </row>
      </sheetData>
      <sheetData sheetId="1450">
        <row r="7">
          <cell r="C7">
            <v>0</v>
          </cell>
        </row>
      </sheetData>
      <sheetData sheetId="1451" refreshError="1"/>
      <sheetData sheetId="1452" refreshError="1"/>
      <sheetData sheetId="1453" refreshError="1"/>
      <sheetData sheetId="1454">
        <row r="7">
          <cell r="C7">
            <v>0</v>
          </cell>
        </row>
      </sheetData>
      <sheetData sheetId="1455">
        <row r="7">
          <cell r="C7">
            <v>0</v>
          </cell>
        </row>
      </sheetData>
      <sheetData sheetId="1456">
        <row r="7">
          <cell r="C7">
            <v>0</v>
          </cell>
        </row>
      </sheetData>
      <sheetData sheetId="1457" refreshError="1"/>
      <sheetData sheetId="1458" refreshError="1"/>
      <sheetData sheetId="1459" refreshError="1"/>
      <sheetData sheetId="1460">
        <row r="7">
          <cell r="C7">
            <v>2</v>
          </cell>
        </row>
      </sheetData>
      <sheetData sheetId="1461">
        <row r="7">
          <cell r="C7">
            <v>0</v>
          </cell>
        </row>
      </sheetData>
      <sheetData sheetId="1462">
        <row r="7">
          <cell r="C7">
            <v>2</v>
          </cell>
        </row>
      </sheetData>
      <sheetData sheetId="1463">
        <row r="7">
          <cell r="C7">
            <v>0</v>
          </cell>
        </row>
      </sheetData>
      <sheetData sheetId="1464">
        <row r="7">
          <cell r="C7">
            <v>0</v>
          </cell>
        </row>
      </sheetData>
      <sheetData sheetId="1465"/>
      <sheetData sheetId="1466">
        <row r="7">
          <cell r="C7">
            <v>0</v>
          </cell>
        </row>
      </sheetData>
      <sheetData sheetId="1467">
        <row r="7">
          <cell r="C7">
            <v>2</v>
          </cell>
        </row>
      </sheetData>
      <sheetData sheetId="1468"/>
      <sheetData sheetId="1469"/>
      <sheetData sheetId="1470">
        <row r="7">
          <cell r="C7">
            <v>0</v>
          </cell>
        </row>
      </sheetData>
      <sheetData sheetId="1471">
        <row r="7">
          <cell r="C7">
            <v>0</v>
          </cell>
        </row>
      </sheetData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>
        <row r="7">
          <cell r="C7">
            <v>2</v>
          </cell>
        </row>
      </sheetData>
      <sheetData sheetId="1482"/>
      <sheetData sheetId="1483">
        <row r="7">
          <cell r="C7">
            <v>0</v>
          </cell>
        </row>
      </sheetData>
      <sheetData sheetId="1484">
        <row r="7">
          <cell r="C7">
            <v>2</v>
          </cell>
        </row>
      </sheetData>
      <sheetData sheetId="1485">
        <row r="7">
          <cell r="C7">
            <v>0</v>
          </cell>
        </row>
      </sheetData>
      <sheetData sheetId="1486">
        <row r="7">
          <cell r="C7">
            <v>0</v>
          </cell>
        </row>
      </sheetData>
      <sheetData sheetId="1487">
        <row r="7">
          <cell r="C7">
            <v>0</v>
          </cell>
        </row>
      </sheetData>
      <sheetData sheetId="1488">
        <row r="7">
          <cell r="C7">
            <v>0</v>
          </cell>
        </row>
      </sheetData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>
        <row r="7">
          <cell r="C7">
            <v>0</v>
          </cell>
        </row>
      </sheetData>
      <sheetData sheetId="1501">
        <row r="7">
          <cell r="C7">
            <v>0</v>
          </cell>
        </row>
      </sheetData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>
        <row r="7">
          <cell r="C7">
            <v>0</v>
          </cell>
        </row>
      </sheetData>
      <sheetData sheetId="1533"/>
      <sheetData sheetId="1534"/>
      <sheetData sheetId="1535"/>
      <sheetData sheetId="1536">
        <row r="7">
          <cell r="C7">
            <v>0</v>
          </cell>
        </row>
      </sheetData>
      <sheetData sheetId="1537"/>
      <sheetData sheetId="1538"/>
      <sheetData sheetId="1539">
        <row r="7">
          <cell r="C7">
            <v>0</v>
          </cell>
        </row>
      </sheetData>
      <sheetData sheetId="1540">
        <row r="7">
          <cell r="C7">
            <v>2</v>
          </cell>
        </row>
      </sheetData>
      <sheetData sheetId="1541">
        <row r="7">
          <cell r="C7">
            <v>2</v>
          </cell>
        </row>
      </sheetData>
      <sheetData sheetId="1542">
        <row r="7">
          <cell r="C7">
            <v>0</v>
          </cell>
        </row>
      </sheetData>
      <sheetData sheetId="1543">
        <row r="7">
          <cell r="C7">
            <v>0</v>
          </cell>
        </row>
      </sheetData>
      <sheetData sheetId="1544"/>
      <sheetData sheetId="1545">
        <row r="7">
          <cell r="C7">
            <v>0</v>
          </cell>
        </row>
      </sheetData>
      <sheetData sheetId="1546">
        <row r="7">
          <cell r="C7">
            <v>0</v>
          </cell>
        </row>
      </sheetData>
      <sheetData sheetId="1547">
        <row r="7">
          <cell r="C7">
            <v>0</v>
          </cell>
        </row>
      </sheetData>
      <sheetData sheetId="1548">
        <row r="7">
          <cell r="C7">
            <v>0</v>
          </cell>
        </row>
      </sheetData>
      <sheetData sheetId="1549">
        <row r="7">
          <cell r="C7">
            <v>0</v>
          </cell>
        </row>
      </sheetData>
      <sheetData sheetId="1550">
        <row r="7">
          <cell r="C7">
            <v>0</v>
          </cell>
        </row>
      </sheetData>
      <sheetData sheetId="1551">
        <row r="7">
          <cell r="C7">
            <v>0</v>
          </cell>
        </row>
      </sheetData>
      <sheetData sheetId="1552">
        <row r="7">
          <cell r="C7">
            <v>2</v>
          </cell>
        </row>
      </sheetData>
      <sheetData sheetId="1553">
        <row r="7">
          <cell r="C7">
            <v>0</v>
          </cell>
        </row>
      </sheetData>
      <sheetData sheetId="1554">
        <row r="7">
          <cell r="C7">
            <v>2</v>
          </cell>
        </row>
      </sheetData>
      <sheetData sheetId="1555">
        <row r="7">
          <cell r="C7">
            <v>0</v>
          </cell>
        </row>
      </sheetData>
      <sheetData sheetId="1556">
        <row r="7">
          <cell r="C7">
            <v>0</v>
          </cell>
        </row>
      </sheetData>
      <sheetData sheetId="1557">
        <row r="7">
          <cell r="C7">
            <v>2</v>
          </cell>
        </row>
      </sheetData>
      <sheetData sheetId="1558">
        <row r="7">
          <cell r="C7">
            <v>0</v>
          </cell>
        </row>
      </sheetData>
      <sheetData sheetId="1559">
        <row r="7">
          <cell r="C7">
            <v>0</v>
          </cell>
        </row>
      </sheetData>
      <sheetData sheetId="1560">
        <row r="7">
          <cell r="C7">
            <v>0</v>
          </cell>
        </row>
      </sheetData>
      <sheetData sheetId="1561">
        <row r="7">
          <cell r="C7">
            <v>0</v>
          </cell>
        </row>
      </sheetData>
      <sheetData sheetId="1562">
        <row r="7">
          <cell r="C7">
            <v>2</v>
          </cell>
        </row>
      </sheetData>
      <sheetData sheetId="1563">
        <row r="7">
          <cell r="C7">
            <v>0</v>
          </cell>
        </row>
      </sheetData>
      <sheetData sheetId="1564">
        <row r="7">
          <cell r="C7">
            <v>2</v>
          </cell>
        </row>
      </sheetData>
      <sheetData sheetId="1565">
        <row r="7">
          <cell r="C7">
            <v>0</v>
          </cell>
        </row>
      </sheetData>
      <sheetData sheetId="1566">
        <row r="7">
          <cell r="C7">
            <v>2</v>
          </cell>
        </row>
      </sheetData>
      <sheetData sheetId="1567">
        <row r="7">
          <cell r="C7">
            <v>0</v>
          </cell>
        </row>
      </sheetData>
      <sheetData sheetId="1568">
        <row r="7">
          <cell r="C7">
            <v>0</v>
          </cell>
        </row>
      </sheetData>
      <sheetData sheetId="1569">
        <row r="7">
          <cell r="C7">
            <v>0</v>
          </cell>
        </row>
      </sheetData>
      <sheetData sheetId="1570">
        <row r="7">
          <cell r="C7">
            <v>0</v>
          </cell>
        </row>
      </sheetData>
      <sheetData sheetId="1571">
        <row r="7">
          <cell r="C7">
            <v>0</v>
          </cell>
        </row>
      </sheetData>
      <sheetData sheetId="1572">
        <row r="7">
          <cell r="C7">
            <v>0</v>
          </cell>
        </row>
      </sheetData>
      <sheetData sheetId="1573">
        <row r="7">
          <cell r="C7">
            <v>0</v>
          </cell>
        </row>
      </sheetData>
      <sheetData sheetId="1574">
        <row r="7">
          <cell r="C7">
            <v>2</v>
          </cell>
        </row>
      </sheetData>
      <sheetData sheetId="1575">
        <row r="7">
          <cell r="C7">
            <v>0</v>
          </cell>
        </row>
      </sheetData>
      <sheetData sheetId="1576">
        <row r="7">
          <cell r="C7">
            <v>0</v>
          </cell>
        </row>
      </sheetData>
      <sheetData sheetId="1577">
        <row r="7">
          <cell r="C7">
            <v>0</v>
          </cell>
        </row>
      </sheetData>
      <sheetData sheetId="1578">
        <row r="7">
          <cell r="C7">
            <v>0</v>
          </cell>
        </row>
      </sheetData>
      <sheetData sheetId="1579">
        <row r="7">
          <cell r="C7">
            <v>0</v>
          </cell>
        </row>
      </sheetData>
      <sheetData sheetId="1580">
        <row r="7">
          <cell r="C7">
            <v>0</v>
          </cell>
        </row>
      </sheetData>
      <sheetData sheetId="1581">
        <row r="7">
          <cell r="C7">
            <v>0</v>
          </cell>
        </row>
      </sheetData>
      <sheetData sheetId="1582">
        <row r="7">
          <cell r="C7">
            <v>0</v>
          </cell>
        </row>
      </sheetData>
      <sheetData sheetId="1583">
        <row r="7">
          <cell r="C7">
            <v>2</v>
          </cell>
        </row>
      </sheetData>
      <sheetData sheetId="1584">
        <row r="7">
          <cell r="C7">
            <v>0</v>
          </cell>
        </row>
      </sheetData>
      <sheetData sheetId="1585">
        <row r="7">
          <cell r="C7">
            <v>2</v>
          </cell>
        </row>
      </sheetData>
      <sheetData sheetId="1586">
        <row r="7">
          <cell r="C7">
            <v>0</v>
          </cell>
        </row>
      </sheetData>
      <sheetData sheetId="1587">
        <row r="7">
          <cell r="C7">
            <v>2</v>
          </cell>
        </row>
      </sheetData>
      <sheetData sheetId="1588">
        <row r="7">
          <cell r="C7">
            <v>0</v>
          </cell>
        </row>
      </sheetData>
      <sheetData sheetId="1589">
        <row r="7">
          <cell r="C7">
            <v>0</v>
          </cell>
        </row>
      </sheetData>
      <sheetData sheetId="1590">
        <row r="7">
          <cell r="C7">
            <v>2</v>
          </cell>
        </row>
      </sheetData>
      <sheetData sheetId="1591">
        <row r="7">
          <cell r="C7">
            <v>0</v>
          </cell>
        </row>
      </sheetData>
      <sheetData sheetId="1592">
        <row r="7">
          <cell r="C7">
            <v>2</v>
          </cell>
        </row>
      </sheetData>
      <sheetData sheetId="1593">
        <row r="7">
          <cell r="C7">
            <v>0</v>
          </cell>
        </row>
      </sheetData>
      <sheetData sheetId="1594">
        <row r="7">
          <cell r="C7">
            <v>0</v>
          </cell>
        </row>
      </sheetData>
      <sheetData sheetId="1595">
        <row r="7">
          <cell r="C7">
            <v>0</v>
          </cell>
        </row>
      </sheetData>
      <sheetData sheetId="1596">
        <row r="7">
          <cell r="C7">
            <v>0</v>
          </cell>
        </row>
      </sheetData>
      <sheetData sheetId="1597">
        <row r="7">
          <cell r="C7">
            <v>0</v>
          </cell>
        </row>
      </sheetData>
      <sheetData sheetId="1598">
        <row r="7">
          <cell r="C7">
            <v>0</v>
          </cell>
        </row>
      </sheetData>
      <sheetData sheetId="1599">
        <row r="7">
          <cell r="C7">
            <v>0</v>
          </cell>
        </row>
      </sheetData>
      <sheetData sheetId="1600">
        <row r="7">
          <cell r="C7">
            <v>0</v>
          </cell>
        </row>
      </sheetData>
      <sheetData sheetId="1601">
        <row r="7">
          <cell r="C7">
            <v>0</v>
          </cell>
        </row>
      </sheetData>
      <sheetData sheetId="1602">
        <row r="7">
          <cell r="C7">
            <v>0</v>
          </cell>
        </row>
      </sheetData>
      <sheetData sheetId="1603">
        <row r="7">
          <cell r="C7">
            <v>0</v>
          </cell>
        </row>
      </sheetData>
      <sheetData sheetId="1604"/>
      <sheetData sheetId="1605">
        <row r="7">
          <cell r="C7">
            <v>0</v>
          </cell>
        </row>
      </sheetData>
      <sheetData sheetId="1606">
        <row r="7">
          <cell r="C7">
            <v>2</v>
          </cell>
        </row>
      </sheetData>
      <sheetData sheetId="1607">
        <row r="7">
          <cell r="C7">
            <v>0</v>
          </cell>
        </row>
      </sheetData>
      <sheetData sheetId="1608">
        <row r="7">
          <cell r="C7">
            <v>2</v>
          </cell>
        </row>
      </sheetData>
      <sheetData sheetId="1609">
        <row r="7">
          <cell r="C7">
            <v>0</v>
          </cell>
        </row>
      </sheetData>
      <sheetData sheetId="1610">
        <row r="7">
          <cell r="C7">
            <v>0</v>
          </cell>
        </row>
      </sheetData>
      <sheetData sheetId="1611">
        <row r="7">
          <cell r="C7">
            <v>0</v>
          </cell>
        </row>
      </sheetData>
      <sheetData sheetId="1612">
        <row r="7">
          <cell r="C7">
            <v>0</v>
          </cell>
        </row>
      </sheetData>
      <sheetData sheetId="1613">
        <row r="7">
          <cell r="C7">
            <v>2</v>
          </cell>
        </row>
      </sheetData>
      <sheetData sheetId="1614">
        <row r="7">
          <cell r="C7">
            <v>0</v>
          </cell>
        </row>
      </sheetData>
      <sheetData sheetId="1615">
        <row r="7">
          <cell r="C7">
            <v>2</v>
          </cell>
        </row>
      </sheetData>
      <sheetData sheetId="1616">
        <row r="7">
          <cell r="C7">
            <v>0</v>
          </cell>
        </row>
      </sheetData>
      <sheetData sheetId="1617">
        <row r="7">
          <cell r="C7">
            <v>0</v>
          </cell>
        </row>
      </sheetData>
      <sheetData sheetId="1618">
        <row r="7">
          <cell r="C7">
            <v>0</v>
          </cell>
        </row>
      </sheetData>
      <sheetData sheetId="1619"/>
      <sheetData sheetId="1620">
        <row r="7">
          <cell r="C7">
            <v>0</v>
          </cell>
        </row>
      </sheetData>
      <sheetData sheetId="1621">
        <row r="7">
          <cell r="C7">
            <v>2</v>
          </cell>
        </row>
      </sheetData>
      <sheetData sheetId="1622"/>
      <sheetData sheetId="1623">
        <row r="7">
          <cell r="C7">
            <v>0</v>
          </cell>
        </row>
      </sheetData>
      <sheetData sheetId="1624">
        <row r="7">
          <cell r="C7">
            <v>2</v>
          </cell>
        </row>
      </sheetData>
      <sheetData sheetId="1625">
        <row r="7">
          <cell r="C7">
            <v>0</v>
          </cell>
        </row>
      </sheetData>
      <sheetData sheetId="1626">
        <row r="7">
          <cell r="C7">
            <v>0</v>
          </cell>
        </row>
      </sheetData>
      <sheetData sheetId="1627"/>
      <sheetData sheetId="1628">
        <row r="7">
          <cell r="C7">
            <v>2</v>
          </cell>
        </row>
      </sheetData>
      <sheetData sheetId="1629">
        <row r="7">
          <cell r="C7">
            <v>0</v>
          </cell>
        </row>
      </sheetData>
      <sheetData sheetId="1630">
        <row r="7">
          <cell r="C7">
            <v>2</v>
          </cell>
        </row>
      </sheetData>
      <sheetData sheetId="1631"/>
      <sheetData sheetId="1632"/>
      <sheetData sheetId="1633">
        <row r="7">
          <cell r="C7">
            <v>0</v>
          </cell>
        </row>
      </sheetData>
      <sheetData sheetId="1634"/>
      <sheetData sheetId="1635">
        <row r="7">
          <cell r="C7">
            <v>0</v>
          </cell>
        </row>
      </sheetData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>
        <row r="7">
          <cell r="C7">
            <v>0</v>
          </cell>
        </row>
      </sheetData>
      <sheetData sheetId="1648">
        <row r="7">
          <cell r="C7">
            <v>0</v>
          </cell>
        </row>
      </sheetData>
      <sheetData sheetId="1649"/>
      <sheetData sheetId="1650">
        <row r="7">
          <cell r="C7">
            <v>0</v>
          </cell>
        </row>
      </sheetData>
      <sheetData sheetId="1651">
        <row r="7">
          <cell r="C7">
            <v>0</v>
          </cell>
        </row>
      </sheetData>
      <sheetData sheetId="1652"/>
      <sheetData sheetId="1653"/>
      <sheetData sheetId="1654"/>
      <sheetData sheetId="1655"/>
      <sheetData sheetId="1656">
        <row r="7">
          <cell r="C7">
            <v>0</v>
          </cell>
        </row>
      </sheetData>
      <sheetData sheetId="1657"/>
      <sheetData sheetId="1658"/>
      <sheetData sheetId="1659">
        <row r="7">
          <cell r="C7">
            <v>0</v>
          </cell>
        </row>
      </sheetData>
      <sheetData sheetId="1660">
        <row r="7">
          <cell r="C7">
            <v>0</v>
          </cell>
        </row>
      </sheetData>
      <sheetData sheetId="1661"/>
      <sheetData sheetId="1662"/>
      <sheetData sheetId="1663"/>
      <sheetData sheetId="1664">
        <row r="7">
          <cell r="C7">
            <v>0</v>
          </cell>
        </row>
      </sheetData>
      <sheetData sheetId="1665">
        <row r="7">
          <cell r="C7">
            <v>0</v>
          </cell>
        </row>
      </sheetData>
      <sheetData sheetId="1666"/>
      <sheetData sheetId="1667">
        <row r="7">
          <cell r="C7">
            <v>0</v>
          </cell>
        </row>
      </sheetData>
      <sheetData sheetId="1668">
        <row r="7">
          <cell r="C7">
            <v>0</v>
          </cell>
        </row>
      </sheetData>
      <sheetData sheetId="1669">
        <row r="7">
          <cell r="C7">
            <v>0</v>
          </cell>
        </row>
      </sheetData>
      <sheetData sheetId="1670"/>
      <sheetData sheetId="1671">
        <row r="7">
          <cell r="C7">
            <v>0</v>
          </cell>
        </row>
      </sheetData>
      <sheetData sheetId="1672">
        <row r="7">
          <cell r="C7">
            <v>0</v>
          </cell>
        </row>
      </sheetData>
      <sheetData sheetId="1673">
        <row r="7">
          <cell r="C7">
            <v>0</v>
          </cell>
        </row>
      </sheetData>
      <sheetData sheetId="1674">
        <row r="7">
          <cell r="C7">
            <v>0</v>
          </cell>
        </row>
      </sheetData>
      <sheetData sheetId="1675">
        <row r="7">
          <cell r="C7">
            <v>0</v>
          </cell>
        </row>
      </sheetData>
      <sheetData sheetId="1676">
        <row r="7">
          <cell r="C7">
            <v>0</v>
          </cell>
        </row>
      </sheetData>
      <sheetData sheetId="1677">
        <row r="7">
          <cell r="C7">
            <v>2</v>
          </cell>
        </row>
      </sheetData>
      <sheetData sheetId="1678">
        <row r="7">
          <cell r="C7">
            <v>0</v>
          </cell>
        </row>
      </sheetData>
      <sheetData sheetId="1679">
        <row r="7">
          <cell r="C7">
            <v>2</v>
          </cell>
        </row>
      </sheetData>
      <sheetData sheetId="1680">
        <row r="7">
          <cell r="C7">
            <v>0</v>
          </cell>
        </row>
      </sheetData>
      <sheetData sheetId="1681">
        <row r="7">
          <cell r="C7">
            <v>0</v>
          </cell>
        </row>
      </sheetData>
      <sheetData sheetId="1682">
        <row r="7">
          <cell r="C7">
            <v>2</v>
          </cell>
        </row>
      </sheetData>
      <sheetData sheetId="1683">
        <row r="7">
          <cell r="C7">
            <v>0</v>
          </cell>
        </row>
      </sheetData>
      <sheetData sheetId="1684">
        <row r="7">
          <cell r="C7">
            <v>2</v>
          </cell>
        </row>
      </sheetData>
      <sheetData sheetId="1685">
        <row r="7">
          <cell r="C7">
            <v>0</v>
          </cell>
        </row>
      </sheetData>
      <sheetData sheetId="1686">
        <row r="7">
          <cell r="C7">
            <v>0</v>
          </cell>
        </row>
      </sheetData>
      <sheetData sheetId="1687">
        <row r="7">
          <cell r="C7">
            <v>2</v>
          </cell>
        </row>
      </sheetData>
      <sheetData sheetId="1688">
        <row r="7">
          <cell r="C7">
            <v>0</v>
          </cell>
        </row>
      </sheetData>
      <sheetData sheetId="1689">
        <row r="7">
          <cell r="C7">
            <v>2</v>
          </cell>
        </row>
      </sheetData>
      <sheetData sheetId="1690">
        <row r="7">
          <cell r="C7">
            <v>0</v>
          </cell>
        </row>
      </sheetData>
      <sheetData sheetId="1691">
        <row r="7">
          <cell r="C7">
            <v>2</v>
          </cell>
        </row>
      </sheetData>
      <sheetData sheetId="1692">
        <row r="7">
          <cell r="C7">
            <v>0</v>
          </cell>
        </row>
      </sheetData>
      <sheetData sheetId="1693">
        <row r="7">
          <cell r="C7">
            <v>0</v>
          </cell>
        </row>
      </sheetData>
      <sheetData sheetId="1694">
        <row r="7">
          <cell r="C7">
            <v>0</v>
          </cell>
        </row>
      </sheetData>
      <sheetData sheetId="1695">
        <row r="7">
          <cell r="C7">
            <v>0</v>
          </cell>
        </row>
      </sheetData>
      <sheetData sheetId="1696">
        <row r="7">
          <cell r="C7">
            <v>2</v>
          </cell>
        </row>
      </sheetData>
      <sheetData sheetId="1697">
        <row r="7">
          <cell r="C7">
            <v>0</v>
          </cell>
        </row>
      </sheetData>
      <sheetData sheetId="1698">
        <row r="7">
          <cell r="C7">
            <v>2</v>
          </cell>
        </row>
      </sheetData>
      <sheetData sheetId="1699">
        <row r="7">
          <cell r="C7">
            <v>0</v>
          </cell>
        </row>
      </sheetData>
      <sheetData sheetId="1700">
        <row r="7">
          <cell r="C7">
            <v>0</v>
          </cell>
        </row>
      </sheetData>
      <sheetData sheetId="1701">
        <row r="7">
          <cell r="C7">
            <v>0</v>
          </cell>
        </row>
      </sheetData>
      <sheetData sheetId="1702">
        <row r="7">
          <cell r="C7">
            <v>0</v>
          </cell>
        </row>
      </sheetData>
      <sheetData sheetId="1703">
        <row r="7">
          <cell r="C7">
            <v>2</v>
          </cell>
        </row>
      </sheetData>
      <sheetData sheetId="1704">
        <row r="7">
          <cell r="C7">
            <v>0</v>
          </cell>
        </row>
      </sheetData>
      <sheetData sheetId="1705">
        <row r="7">
          <cell r="C7">
            <v>2</v>
          </cell>
        </row>
      </sheetData>
      <sheetData sheetId="1706">
        <row r="7">
          <cell r="C7">
            <v>0</v>
          </cell>
        </row>
      </sheetData>
      <sheetData sheetId="1707">
        <row r="7">
          <cell r="C7">
            <v>0</v>
          </cell>
        </row>
      </sheetData>
      <sheetData sheetId="1708">
        <row r="7">
          <cell r="C7">
            <v>2</v>
          </cell>
        </row>
      </sheetData>
      <sheetData sheetId="1709">
        <row r="7">
          <cell r="C7">
            <v>0</v>
          </cell>
        </row>
      </sheetData>
      <sheetData sheetId="1710">
        <row r="7">
          <cell r="C7">
            <v>2</v>
          </cell>
        </row>
      </sheetData>
      <sheetData sheetId="1711">
        <row r="7">
          <cell r="C7">
            <v>0</v>
          </cell>
        </row>
      </sheetData>
      <sheetData sheetId="1712">
        <row r="7">
          <cell r="C7">
            <v>2</v>
          </cell>
        </row>
      </sheetData>
      <sheetData sheetId="1713">
        <row r="7">
          <cell r="C7">
            <v>0</v>
          </cell>
        </row>
      </sheetData>
      <sheetData sheetId="1714">
        <row r="7">
          <cell r="C7">
            <v>2</v>
          </cell>
        </row>
      </sheetData>
      <sheetData sheetId="1715">
        <row r="7">
          <cell r="C7">
            <v>0</v>
          </cell>
        </row>
      </sheetData>
      <sheetData sheetId="1716">
        <row r="7">
          <cell r="C7">
            <v>0</v>
          </cell>
        </row>
      </sheetData>
      <sheetData sheetId="1717">
        <row r="7">
          <cell r="C7">
            <v>0</v>
          </cell>
        </row>
      </sheetData>
      <sheetData sheetId="1718">
        <row r="7">
          <cell r="C7">
            <v>0</v>
          </cell>
        </row>
      </sheetData>
      <sheetData sheetId="1719">
        <row r="7">
          <cell r="C7">
            <v>2</v>
          </cell>
        </row>
      </sheetData>
      <sheetData sheetId="1720">
        <row r="7">
          <cell r="C7">
            <v>0</v>
          </cell>
        </row>
      </sheetData>
      <sheetData sheetId="1721">
        <row r="7">
          <cell r="C7">
            <v>2</v>
          </cell>
        </row>
      </sheetData>
      <sheetData sheetId="1722">
        <row r="7">
          <cell r="C7">
            <v>0</v>
          </cell>
        </row>
      </sheetData>
      <sheetData sheetId="1723">
        <row r="7">
          <cell r="C7">
            <v>2</v>
          </cell>
        </row>
      </sheetData>
      <sheetData sheetId="1724">
        <row r="7">
          <cell r="C7">
            <v>0</v>
          </cell>
        </row>
      </sheetData>
      <sheetData sheetId="1725">
        <row r="7">
          <cell r="C7">
            <v>2</v>
          </cell>
        </row>
      </sheetData>
      <sheetData sheetId="1726">
        <row r="7">
          <cell r="C7">
            <v>2</v>
          </cell>
        </row>
      </sheetData>
      <sheetData sheetId="1727">
        <row r="7">
          <cell r="C7">
            <v>2</v>
          </cell>
        </row>
      </sheetData>
      <sheetData sheetId="1728">
        <row r="7">
          <cell r="C7">
            <v>2</v>
          </cell>
        </row>
      </sheetData>
      <sheetData sheetId="1729">
        <row r="7">
          <cell r="C7">
            <v>0</v>
          </cell>
        </row>
      </sheetData>
      <sheetData sheetId="1730">
        <row r="7">
          <cell r="C7">
            <v>2</v>
          </cell>
        </row>
      </sheetData>
      <sheetData sheetId="1731"/>
      <sheetData sheetId="1732">
        <row r="7">
          <cell r="C7">
            <v>0</v>
          </cell>
        </row>
      </sheetData>
      <sheetData sheetId="1733">
        <row r="7">
          <cell r="C7">
            <v>2</v>
          </cell>
        </row>
      </sheetData>
      <sheetData sheetId="1734">
        <row r="7">
          <cell r="C7">
            <v>0</v>
          </cell>
        </row>
      </sheetData>
      <sheetData sheetId="1735">
        <row r="7">
          <cell r="C7">
            <v>2</v>
          </cell>
        </row>
      </sheetData>
      <sheetData sheetId="1736">
        <row r="7">
          <cell r="C7">
            <v>0</v>
          </cell>
        </row>
      </sheetData>
      <sheetData sheetId="1737">
        <row r="7">
          <cell r="C7">
            <v>2</v>
          </cell>
        </row>
      </sheetData>
      <sheetData sheetId="1738">
        <row r="7">
          <cell r="C7">
            <v>0</v>
          </cell>
        </row>
      </sheetData>
      <sheetData sheetId="1739">
        <row r="7">
          <cell r="C7">
            <v>0</v>
          </cell>
        </row>
      </sheetData>
      <sheetData sheetId="1740">
        <row r="7">
          <cell r="C7">
            <v>2</v>
          </cell>
        </row>
      </sheetData>
      <sheetData sheetId="1741">
        <row r="7">
          <cell r="C7">
            <v>0</v>
          </cell>
        </row>
      </sheetData>
      <sheetData sheetId="1742">
        <row r="7">
          <cell r="C7">
            <v>2</v>
          </cell>
        </row>
      </sheetData>
      <sheetData sheetId="1743">
        <row r="7">
          <cell r="C7">
            <v>0</v>
          </cell>
        </row>
      </sheetData>
      <sheetData sheetId="1744"/>
      <sheetData sheetId="1745">
        <row r="7">
          <cell r="C7">
            <v>0</v>
          </cell>
        </row>
      </sheetData>
      <sheetData sheetId="1746"/>
      <sheetData sheetId="1747">
        <row r="7">
          <cell r="C7">
            <v>0</v>
          </cell>
        </row>
      </sheetData>
      <sheetData sheetId="1748">
        <row r="7">
          <cell r="C7">
            <v>2</v>
          </cell>
        </row>
      </sheetData>
      <sheetData sheetId="1749"/>
      <sheetData sheetId="1750"/>
      <sheetData sheetId="1751">
        <row r="7">
          <cell r="C7">
            <v>0</v>
          </cell>
        </row>
      </sheetData>
      <sheetData sheetId="1752"/>
      <sheetData sheetId="1753">
        <row r="7">
          <cell r="C7">
            <v>2</v>
          </cell>
        </row>
      </sheetData>
      <sheetData sheetId="1754">
        <row r="7">
          <cell r="C7">
            <v>0</v>
          </cell>
        </row>
      </sheetData>
      <sheetData sheetId="1755">
        <row r="7">
          <cell r="C7">
            <v>2</v>
          </cell>
        </row>
      </sheetData>
      <sheetData sheetId="1756"/>
      <sheetData sheetId="1757"/>
      <sheetData sheetId="1758">
        <row r="7">
          <cell r="C7">
            <v>2</v>
          </cell>
        </row>
      </sheetData>
      <sheetData sheetId="1759"/>
      <sheetData sheetId="1760">
        <row r="7">
          <cell r="C7">
            <v>2</v>
          </cell>
        </row>
      </sheetData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7">
          <cell r="C7">
            <v>0</v>
          </cell>
        </row>
      </sheetData>
      <sheetData sheetId="1774">
        <row r="7">
          <cell r="C7">
            <v>0</v>
          </cell>
        </row>
      </sheetData>
      <sheetData sheetId="1775"/>
      <sheetData sheetId="1776">
        <row r="7">
          <cell r="C7">
            <v>0</v>
          </cell>
        </row>
      </sheetData>
      <sheetData sheetId="1777"/>
      <sheetData sheetId="1778">
        <row r="7">
          <cell r="C7">
            <v>2</v>
          </cell>
        </row>
      </sheetData>
      <sheetData sheetId="1779">
        <row r="7">
          <cell r="C7">
            <v>0</v>
          </cell>
        </row>
      </sheetData>
      <sheetData sheetId="1780">
        <row r="7">
          <cell r="C7">
            <v>2</v>
          </cell>
        </row>
      </sheetData>
      <sheetData sheetId="1781">
        <row r="7">
          <cell r="C7">
            <v>0</v>
          </cell>
        </row>
      </sheetData>
      <sheetData sheetId="1782"/>
      <sheetData sheetId="1783">
        <row r="7">
          <cell r="C7">
            <v>0</v>
          </cell>
        </row>
      </sheetData>
      <sheetData sheetId="1784">
        <row r="7">
          <cell r="C7">
            <v>0</v>
          </cell>
        </row>
      </sheetData>
      <sheetData sheetId="1785">
        <row r="7">
          <cell r="C7">
            <v>0</v>
          </cell>
        </row>
      </sheetData>
      <sheetData sheetId="1786">
        <row r="7">
          <cell r="C7">
            <v>0</v>
          </cell>
        </row>
      </sheetData>
      <sheetData sheetId="1787">
        <row r="7">
          <cell r="C7">
            <v>2</v>
          </cell>
        </row>
      </sheetData>
      <sheetData sheetId="1788">
        <row r="7">
          <cell r="C7">
            <v>0</v>
          </cell>
        </row>
      </sheetData>
      <sheetData sheetId="1789">
        <row r="7">
          <cell r="C7">
            <v>0</v>
          </cell>
        </row>
      </sheetData>
      <sheetData sheetId="1790">
        <row r="7">
          <cell r="C7">
            <v>0</v>
          </cell>
        </row>
      </sheetData>
      <sheetData sheetId="1791">
        <row r="7">
          <cell r="C7">
            <v>0</v>
          </cell>
        </row>
      </sheetData>
      <sheetData sheetId="1792">
        <row r="7">
          <cell r="C7">
            <v>0</v>
          </cell>
        </row>
      </sheetData>
      <sheetData sheetId="1793">
        <row r="7">
          <cell r="C7">
            <v>0</v>
          </cell>
        </row>
      </sheetData>
      <sheetData sheetId="1794">
        <row r="7">
          <cell r="C7">
            <v>0</v>
          </cell>
        </row>
      </sheetData>
      <sheetData sheetId="1795">
        <row r="7">
          <cell r="C7">
            <v>0</v>
          </cell>
        </row>
      </sheetData>
      <sheetData sheetId="1796"/>
      <sheetData sheetId="1797">
        <row r="7">
          <cell r="C7">
            <v>0</v>
          </cell>
        </row>
      </sheetData>
      <sheetData sheetId="1798">
        <row r="7">
          <cell r="C7">
            <v>0</v>
          </cell>
        </row>
      </sheetData>
      <sheetData sheetId="1799">
        <row r="7">
          <cell r="C7">
            <v>0</v>
          </cell>
        </row>
      </sheetData>
      <sheetData sheetId="1800">
        <row r="7">
          <cell r="C7">
            <v>0</v>
          </cell>
        </row>
      </sheetData>
      <sheetData sheetId="1801"/>
      <sheetData sheetId="1802">
        <row r="7">
          <cell r="C7">
            <v>0</v>
          </cell>
        </row>
      </sheetData>
      <sheetData sheetId="1803">
        <row r="7">
          <cell r="C7">
            <v>0</v>
          </cell>
        </row>
      </sheetData>
      <sheetData sheetId="1804">
        <row r="7">
          <cell r="C7">
            <v>0</v>
          </cell>
        </row>
      </sheetData>
      <sheetData sheetId="1805">
        <row r="7">
          <cell r="C7">
            <v>0</v>
          </cell>
        </row>
      </sheetData>
      <sheetData sheetId="1806">
        <row r="7">
          <cell r="C7">
            <v>0</v>
          </cell>
        </row>
      </sheetData>
      <sheetData sheetId="1807">
        <row r="7">
          <cell r="C7">
            <v>0</v>
          </cell>
        </row>
      </sheetData>
      <sheetData sheetId="1808"/>
      <sheetData sheetId="1809">
        <row r="7">
          <cell r="C7">
            <v>0</v>
          </cell>
        </row>
      </sheetData>
      <sheetData sheetId="1810">
        <row r="7">
          <cell r="C7">
            <v>0</v>
          </cell>
        </row>
      </sheetData>
      <sheetData sheetId="1811">
        <row r="7">
          <cell r="C7">
            <v>0</v>
          </cell>
        </row>
      </sheetData>
      <sheetData sheetId="1812">
        <row r="7">
          <cell r="C7">
            <v>0</v>
          </cell>
        </row>
      </sheetData>
      <sheetData sheetId="1813">
        <row r="7">
          <cell r="C7">
            <v>0</v>
          </cell>
        </row>
      </sheetData>
      <sheetData sheetId="1814">
        <row r="7">
          <cell r="C7">
            <v>0</v>
          </cell>
        </row>
      </sheetData>
      <sheetData sheetId="1815">
        <row r="7">
          <cell r="C7">
            <v>0</v>
          </cell>
        </row>
      </sheetData>
      <sheetData sheetId="1816">
        <row r="7">
          <cell r="C7">
            <v>0</v>
          </cell>
        </row>
      </sheetData>
      <sheetData sheetId="1817"/>
      <sheetData sheetId="1818">
        <row r="7">
          <cell r="C7">
            <v>0</v>
          </cell>
        </row>
      </sheetData>
      <sheetData sheetId="1819">
        <row r="7">
          <cell r="C7">
            <v>0</v>
          </cell>
        </row>
      </sheetData>
      <sheetData sheetId="1820">
        <row r="7">
          <cell r="C7">
            <v>0</v>
          </cell>
        </row>
      </sheetData>
      <sheetData sheetId="1821">
        <row r="7">
          <cell r="C7">
            <v>0</v>
          </cell>
        </row>
      </sheetData>
      <sheetData sheetId="1822">
        <row r="7">
          <cell r="C7">
            <v>0</v>
          </cell>
        </row>
      </sheetData>
      <sheetData sheetId="1823">
        <row r="7">
          <cell r="C7">
            <v>2</v>
          </cell>
        </row>
      </sheetData>
      <sheetData sheetId="1824">
        <row r="7">
          <cell r="C7" t="str">
            <v>: 7,203.17 m2</v>
          </cell>
        </row>
      </sheetData>
      <sheetData sheetId="1825">
        <row r="7">
          <cell r="C7">
            <v>2</v>
          </cell>
        </row>
      </sheetData>
      <sheetData sheetId="1826">
        <row r="7">
          <cell r="C7">
            <v>0</v>
          </cell>
        </row>
      </sheetData>
      <sheetData sheetId="1827">
        <row r="7">
          <cell r="C7">
            <v>0</v>
          </cell>
        </row>
      </sheetData>
      <sheetData sheetId="1828">
        <row r="7">
          <cell r="C7">
            <v>2</v>
          </cell>
        </row>
      </sheetData>
      <sheetData sheetId="1829">
        <row r="7">
          <cell r="C7">
            <v>0</v>
          </cell>
        </row>
      </sheetData>
      <sheetData sheetId="1830">
        <row r="7">
          <cell r="C7">
            <v>2</v>
          </cell>
        </row>
      </sheetData>
      <sheetData sheetId="1831">
        <row r="7">
          <cell r="C7">
            <v>2</v>
          </cell>
        </row>
      </sheetData>
      <sheetData sheetId="1832">
        <row r="7">
          <cell r="C7">
            <v>2</v>
          </cell>
        </row>
      </sheetData>
      <sheetData sheetId="1833">
        <row r="7">
          <cell r="C7">
            <v>2</v>
          </cell>
        </row>
      </sheetData>
      <sheetData sheetId="1834">
        <row r="7">
          <cell r="C7">
            <v>2</v>
          </cell>
        </row>
      </sheetData>
      <sheetData sheetId="1835">
        <row r="7">
          <cell r="C7">
            <v>2</v>
          </cell>
        </row>
      </sheetData>
      <sheetData sheetId="1836">
        <row r="7">
          <cell r="C7">
            <v>2</v>
          </cell>
        </row>
      </sheetData>
      <sheetData sheetId="1837">
        <row r="7">
          <cell r="C7">
            <v>2</v>
          </cell>
        </row>
      </sheetData>
      <sheetData sheetId="1838">
        <row r="7">
          <cell r="C7">
            <v>2</v>
          </cell>
        </row>
      </sheetData>
      <sheetData sheetId="1839">
        <row r="7">
          <cell r="C7">
            <v>2</v>
          </cell>
        </row>
      </sheetData>
      <sheetData sheetId="1840">
        <row r="7">
          <cell r="C7">
            <v>0</v>
          </cell>
        </row>
      </sheetData>
      <sheetData sheetId="1841">
        <row r="7">
          <cell r="C7">
            <v>0</v>
          </cell>
        </row>
      </sheetData>
      <sheetData sheetId="1842">
        <row r="7">
          <cell r="C7">
            <v>0</v>
          </cell>
        </row>
      </sheetData>
      <sheetData sheetId="1843">
        <row r="7">
          <cell r="C7">
            <v>2</v>
          </cell>
        </row>
      </sheetData>
      <sheetData sheetId="1844">
        <row r="7">
          <cell r="C7">
            <v>0</v>
          </cell>
        </row>
      </sheetData>
      <sheetData sheetId="1845">
        <row r="7">
          <cell r="C7">
            <v>2</v>
          </cell>
        </row>
      </sheetData>
      <sheetData sheetId="1846">
        <row r="7">
          <cell r="C7">
            <v>0</v>
          </cell>
        </row>
      </sheetData>
      <sheetData sheetId="1847"/>
      <sheetData sheetId="1848">
        <row r="7">
          <cell r="C7">
            <v>0</v>
          </cell>
        </row>
      </sheetData>
      <sheetData sheetId="1849"/>
      <sheetData sheetId="1850"/>
      <sheetData sheetId="1851">
        <row r="7">
          <cell r="C7">
            <v>0</v>
          </cell>
        </row>
      </sheetData>
      <sheetData sheetId="1852"/>
      <sheetData sheetId="1853">
        <row r="7">
          <cell r="C7">
            <v>0</v>
          </cell>
        </row>
      </sheetData>
      <sheetData sheetId="1854"/>
      <sheetData sheetId="1855"/>
      <sheetData sheetId="1856"/>
      <sheetData sheetId="1857"/>
      <sheetData sheetId="1858"/>
      <sheetData sheetId="1859">
        <row r="7">
          <cell r="C7">
            <v>2</v>
          </cell>
        </row>
      </sheetData>
      <sheetData sheetId="1860"/>
      <sheetData sheetId="1861">
        <row r="7">
          <cell r="C7">
            <v>2</v>
          </cell>
        </row>
      </sheetData>
      <sheetData sheetId="1862"/>
      <sheetData sheetId="1863">
        <row r="7">
          <cell r="C7">
            <v>2</v>
          </cell>
        </row>
      </sheetData>
      <sheetData sheetId="1864"/>
      <sheetData sheetId="1865">
        <row r="7">
          <cell r="C7">
            <v>0</v>
          </cell>
        </row>
      </sheetData>
      <sheetData sheetId="1866">
        <row r="7">
          <cell r="C7">
            <v>0</v>
          </cell>
        </row>
      </sheetData>
      <sheetData sheetId="1867"/>
      <sheetData sheetId="1868"/>
      <sheetData sheetId="1869">
        <row r="7">
          <cell r="C7">
            <v>0</v>
          </cell>
        </row>
      </sheetData>
      <sheetData sheetId="1870"/>
      <sheetData sheetId="1871"/>
      <sheetData sheetId="1872">
        <row r="7">
          <cell r="C7">
            <v>0</v>
          </cell>
        </row>
      </sheetData>
      <sheetData sheetId="1873">
        <row r="7">
          <cell r="C7">
            <v>2</v>
          </cell>
        </row>
      </sheetData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>
        <row r="7">
          <cell r="C7">
            <v>2</v>
          </cell>
        </row>
      </sheetData>
      <sheetData sheetId="1892"/>
      <sheetData sheetId="1893">
        <row r="7">
          <cell r="C7">
            <v>0</v>
          </cell>
        </row>
      </sheetData>
      <sheetData sheetId="1894">
        <row r="7">
          <cell r="C7">
            <v>0</v>
          </cell>
        </row>
      </sheetData>
      <sheetData sheetId="1895"/>
      <sheetData sheetId="1896">
        <row r="7">
          <cell r="C7">
            <v>0</v>
          </cell>
        </row>
      </sheetData>
      <sheetData sheetId="1897">
        <row r="7">
          <cell r="C7">
            <v>0</v>
          </cell>
        </row>
      </sheetData>
      <sheetData sheetId="1898">
        <row r="7">
          <cell r="C7">
            <v>2</v>
          </cell>
        </row>
      </sheetData>
      <sheetData sheetId="1899">
        <row r="7">
          <cell r="C7">
            <v>2</v>
          </cell>
        </row>
      </sheetData>
      <sheetData sheetId="1900">
        <row r="7">
          <cell r="C7">
            <v>0</v>
          </cell>
        </row>
      </sheetData>
      <sheetData sheetId="1901">
        <row r="7">
          <cell r="C7">
            <v>0</v>
          </cell>
        </row>
      </sheetData>
      <sheetData sheetId="1902">
        <row r="7">
          <cell r="C7">
            <v>0</v>
          </cell>
        </row>
      </sheetData>
      <sheetData sheetId="1903">
        <row r="7">
          <cell r="C7">
            <v>0</v>
          </cell>
        </row>
      </sheetData>
      <sheetData sheetId="1904">
        <row r="7">
          <cell r="C7">
            <v>0</v>
          </cell>
        </row>
      </sheetData>
      <sheetData sheetId="1905">
        <row r="7">
          <cell r="C7">
            <v>0</v>
          </cell>
        </row>
      </sheetData>
      <sheetData sheetId="1906">
        <row r="7">
          <cell r="C7">
            <v>0</v>
          </cell>
        </row>
      </sheetData>
      <sheetData sheetId="1907">
        <row r="7">
          <cell r="C7">
            <v>0</v>
          </cell>
        </row>
      </sheetData>
      <sheetData sheetId="1908">
        <row r="7">
          <cell r="C7">
            <v>0</v>
          </cell>
        </row>
      </sheetData>
      <sheetData sheetId="1909">
        <row r="7">
          <cell r="C7">
            <v>0</v>
          </cell>
        </row>
      </sheetData>
      <sheetData sheetId="1910">
        <row r="7">
          <cell r="C7">
            <v>2</v>
          </cell>
        </row>
      </sheetData>
      <sheetData sheetId="1911">
        <row r="7">
          <cell r="C7">
            <v>0</v>
          </cell>
        </row>
      </sheetData>
      <sheetData sheetId="1912">
        <row r="7">
          <cell r="C7">
            <v>2</v>
          </cell>
        </row>
      </sheetData>
      <sheetData sheetId="1913">
        <row r="7">
          <cell r="C7">
            <v>0</v>
          </cell>
        </row>
      </sheetData>
      <sheetData sheetId="1914">
        <row r="7">
          <cell r="C7">
            <v>0</v>
          </cell>
        </row>
      </sheetData>
      <sheetData sheetId="1915">
        <row r="7">
          <cell r="C7">
            <v>0</v>
          </cell>
        </row>
      </sheetData>
      <sheetData sheetId="1916">
        <row r="7">
          <cell r="C7">
            <v>0</v>
          </cell>
        </row>
      </sheetData>
      <sheetData sheetId="1917">
        <row r="7">
          <cell r="C7">
            <v>0</v>
          </cell>
        </row>
      </sheetData>
      <sheetData sheetId="1918">
        <row r="7">
          <cell r="C7">
            <v>0</v>
          </cell>
        </row>
      </sheetData>
      <sheetData sheetId="1919">
        <row r="7">
          <cell r="C7">
            <v>0</v>
          </cell>
        </row>
      </sheetData>
      <sheetData sheetId="1920">
        <row r="7">
          <cell r="C7">
            <v>0</v>
          </cell>
        </row>
      </sheetData>
      <sheetData sheetId="1921">
        <row r="7">
          <cell r="C7">
            <v>0</v>
          </cell>
        </row>
      </sheetData>
      <sheetData sheetId="1922">
        <row r="7">
          <cell r="C7">
            <v>2</v>
          </cell>
        </row>
      </sheetData>
      <sheetData sheetId="1923">
        <row r="7">
          <cell r="C7">
            <v>0</v>
          </cell>
        </row>
      </sheetData>
      <sheetData sheetId="1924">
        <row r="7">
          <cell r="C7">
            <v>2</v>
          </cell>
        </row>
      </sheetData>
      <sheetData sheetId="1925">
        <row r="7">
          <cell r="C7">
            <v>2</v>
          </cell>
        </row>
      </sheetData>
      <sheetData sheetId="1926">
        <row r="7">
          <cell r="C7">
            <v>0</v>
          </cell>
        </row>
      </sheetData>
      <sheetData sheetId="1927">
        <row r="7">
          <cell r="C7">
            <v>0</v>
          </cell>
        </row>
      </sheetData>
      <sheetData sheetId="1928">
        <row r="7">
          <cell r="C7">
            <v>0</v>
          </cell>
        </row>
      </sheetData>
      <sheetData sheetId="1929">
        <row r="7">
          <cell r="C7">
            <v>0</v>
          </cell>
        </row>
      </sheetData>
      <sheetData sheetId="1930">
        <row r="7">
          <cell r="C7">
            <v>0</v>
          </cell>
        </row>
      </sheetData>
      <sheetData sheetId="1931">
        <row r="7">
          <cell r="C7">
            <v>0</v>
          </cell>
        </row>
      </sheetData>
      <sheetData sheetId="1932">
        <row r="7">
          <cell r="C7">
            <v>2</v>
          </cell>
        </row>
      </sheetData>
      <sheetData sheetId="1933">
        <row r="7">
          <cell r="C7">
            <v>0</v>
          </cell>
        </row>
      </sheetData>
      <sheetData sheetId="1934">
        <row r="7">
          <cell r="C7">
            <v>0</v>
          </cell>
        </row>
      </sheetData>
      <sheetData sheetId="1935">
        <row r="7">
          <cell r="C7">
            <v>0</v>
          </cell>
        </row>
      </sheetData>
      <sheetData sheetId="1936">
        <row r="7">
          <cell r="C7">
            <v>0</v>
          </cell>
        </row>
      </sheetData>
      <sheetData sheetId="1937">
        <row r="7">
          <cell r="C7">
            <v>0</v>
          </cell>
        </row>
      </sheetData>
      <sheetData sheetId="1938">
        <row r="7">
          <cell r="C7">
            <v>0</v>
          </cell>
        </row>
      </sheetData>
      <sheetData sheetId="1939">
        <row r="7">
          <cell r="C7">
            <v>0</v>
          </cell>
        </row>
      </sheetData>
      <sheetData sheetId="1940">
        <row r="7">
          <cell r="C7">
            <v>0</v>
          </cell>
        </row>
      </sheetData>
      <sheetData sheetId="1941">
        <row r="7">
          <cell r="C7">
            <v>2</v>
          </cell>
        </row>
      </sheetData>
      <sheetData sheetId="1942">
        <row r="7">
          <cell r="C7">
            <v>0</v>
          </cell>
        </row>
      </sheetData>
      <sheetData sheetId="1943">
        <row r="7">
          <cell r="C7">
            <v>2</v>
          </cell>
        </row>
      </sheetData>
      <sheetData sheetId="1944">
        <row r="7">
          <cell r="C7">
            <v>0</v>
          </cell>
        </row>
      </sheetData>
      <sheetData sheetId="1945">
        <row r="7">
          <cell r="C7">
            <v>2</v>
          </cell>
        </row>
      </sheetData>
      <sheetData sheetId="1946">
        <row r="7">
          <cell r="C7">
            <v>0</v>
          </cell>
        </row>
      </sheetData>
      <sheetData sheetId="1947">
        <row r="7">
          <cell r="C7">
            <v>0</v>
          </cell>
        </row>
      </sheetData>
      <sheetData sheetId="1948">
        <row r="7">
          <cell r="C7">
            <v>0</v>
          </cell>
        </row>
      </sheetData>
      <sheetData sheetId="1949">
        <row r="7">
          <cell r="C7">
            <v>0</v>
          </cell>
        </row>
      </sheetData>
      <sheetData sheetId="1950">
        <row r="7">
          <cell r="C7">
            <v>2</v>
          </cell>
        </row>
      </sheetData>
      <sheetData sheetId="1951">
        <row r="7">
          <cell r="C7">
            <v>0</v>
          </cell>
        </row>
      </sheetData>
      <sheetData sheetId="1952">
        <row r="7">
          <cell r="C7">
            <v>0</v>
          </cell>
        </row>
      </sheetData>
      <sheetData sheetId="1953">
        <row r="7">
          <cell r="C7">
            <v>0</v>
          </cell>
        </row>
      </sheetData>
      <sheetData sheetId="1954">
        <row r="7">
          <cell r="C7">
            <v>0</v>
          </cell>
        </row>
      </sheetData>
      <sheetData sheetId="1955">
        <row r="7">
          <cell r="C7">
            <v>0</v>
          </cell>
        </row>
      </sheetData>
      <sheetData sheetId="1956">
        <row r="7">
          <cell r="C7">
            <v>0</v>
          </cell>
        </row>
      </sheetData>
      <sheetData sheetId="1957">
        <row r="7">
          <cell r="C7">
            <v>2</v>
          </cell>
        </row>
      </sheetData>
      <sheetData sheetId="1958">
        <row r="7">
          <cell r="C7">
            <v>0</v>
          </cell>
        </row>
      </sheetData>
      <sheetData sheetId="1959">
        <row r="7">
          <cell r="C7">
            <v>2</v>
          </cell>
        </row>
      </sheetData>
      <sheetData sheetId="1960"/>
      <sheetData sheetId="1961"/>
      <sheetData sheetId="1962"/>
      <sheetData sheetId="1963"/>
      <sheetData sheetId="1964"/>
      <sheetData sheetId="1965"/>
      <sheetData sheetId="1966">
        <row r="7">
          <cell r="C7">
            <v>0</v>
          </cell>
        </row>
      </sheetData>
      <sheetData sheetId="1967"/>
      <sheetData sheetId="1968">
        <row r="7">
          <cell r="C7">
            <v>0</v>
          </cell>
        </row>
      </sheetData>
      <sheetData sheetId="1969">
        <row r="7">
          <cell r="C7">
            <v>0</v>
          </cell>
        </row>
      </sheetData>
      <sheetData sheetId="1970"/>
      <sheetData sheetId="1971">
        <row r="7">
          <cell r="C7">
            <v>2</v>
          </cell>
        </row>
      </sheetData>
      <sheetData sheetId="1972">
        <row r="7">
          <cell r="C7">
            <v>0</v>
          </cell>
        </row>
      </sheetData>
      <sheetData sheetId="1973">
        <row r="7">
          <cell r="C7">
            <v>2</v>
          </cell>
        </row>
      </sheetData>
      <sheetData sheetId="1974">
        <row r="7">
          <cell r="C7">
            <v>0</v>
          </cell>
        </row>
      </sheetData>
      <sheetData sheetId="1975">
        <row r="7">
          <cell r="C7">
            <v>2</v>
          </cell>
        </row>
      </sheetData>
      <sheetData sheetId="1976"/>
      <sheetData sheetId="1977">
        <row r="7">
          <cell r="C7">
            <v>0</v>
          </cell>
        </row>
      </sheetData>
      <sheetData sheetId="1978"/>
      <sheetData sheetId="1979">
        <row r="7">
          <cell r="C7">
            <v>0</v>
          </cell>
        </row>
      </sheetData>
      <sheetData sheetId="1980">
        <row r="7">
          <cell r="C7">
            <v>0</v>
          </cell>
        </row>
      </sheetData>
      <sheetData sheetId="1981">
        <row r="7">
          <cell r="C7">
            <v>2</v>
          </cell>
        </row>
      </sheetData>
      <sheetData sheetId="1982"/>
      <sheetData sheetId="1983"/>
      <sheetData sheetId="1984">
        <row r="7">
          <cell r="C7">
            <v>0</v>
          </cell>
        </row>
      </sheetData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>
        <row r="7">
          <cell r="C7">
            <v>0</v>
          </cell>
        </row>
      </sheetData>
      <sheetData sheetId="2013"/>
      <sheetData sheetId="2014">
        <row r="7">
          <cell r="C7">
            <v>0</v>
          </cell>
        </row>
      </sheetData>
      <sheetData sheetId="2015"/>
      <sheetData sheetId="2016">
        <row r="7">
          <cell r="C7">
            <v>0</v>
          </cell>
        </row>
      </sheetData>
      <sheetData sheetId="2017">
        <row r="7">
          <cell r="C7">
            <v>0</v>
          </cell>
        </row>
      </sheetData>
      <sheetData sheetId="2018"/>
      <sheetData sheetId="2019">
        <row r="7">
          <cell r="C7">
            <v>2</v>
          </cell>
        </row>
      </sheetData>
      <sheetData sheetId="2020">
        <row r="7">
          <cell r="C7">
            <v>0</v>
          </cell>
        </row>
      </sheetData>
      <sheetData sheetId="2021">
        <row r="7">
          <cell r="C7">
            <v>0</v>
          </cell>
        </row>
      </sheetData>
      <sheetData sheetId="2022">
        <row r="7">
          <cell r="C7">
            <v>0</v>
          </cell>
        </row>
      </sheetData>
      <sheetData sheetId="2023">
        <row r="7">
          <cell r="C7">
            <v>0</v>
          </cell>
        </row>
      </sheetData>
      <sheetData sheetId="2024">
        <row r="7">
          <cell r="C7">
            <v>0</v>
          </cell>
        </row>
      </sheetData>
      <sheetData sheetId="2025">
        <row r="7">
          <cell r="C7">
            <v>0</v>
          </cell>
        </row>
      </sheetData>
      <sheetData sheetId="2026">
        <row r="7">
          <cell r="C7">
            <v>0</v>
          </cell>
        </row>
      </sheetData>
      <sheetData sheetId="2027">
        <row r="7">
          <cell r="C7">
            <v>0</v>
          </cell>
        </row>
      </sheetData>
      <sheetData sheetId="2028">
        <row r="7">
          <cell r="C7">
            <v>0</v>
          </cell>
        </row>
      </sheetData>
      <sheetData sheetId="2029">
        <row r="7">
          <cell r="C7">
            <v>0</v>
          </cell>
        </row>
      </sheetData>
      <sheetData sheetId="2030">
        <row r="7">
          <cell r="C7">
            <v>2</v>
          </cell>
        </row>
      </sheetData>
      <sheetData sheetId="2031">
        <row r="7">
          <cell r="C7">
            <v>0</v>
          </cell>
        </row>
      </sheetData>
      <sheetData sheetId="2032">
        <row r="7">
          <cell r="C7">
            <v>2</v>
          </cell>
        </row>
      </sheetData>
      <sheetData sheetId="2033">
        <row r="7">
          <cell r="C7">
            <v>0</v>
          </cell>
        </row>
      </sheetData>
      <sheetData sheetId="2034">
        <row r="7">
          <cell r="C7">
            <v>0</v>
          </cell>
        </row>
      </sheetData>
      <sheetData sheetId="2035">
        <row r="7">
          <cell r="C7">
            <v>0</v>
          </cell>
        </row>
      </sheetData>
      <sheetData sheetId="2036">
        <row r="7">
          <cell r="C7">
            <v>0</v>
          </cell>
        </row>
      </sheetData>
      <sheetData sheetId="2037">
        <row r="7">
          <cell r="C7">
            <v>0</v>
          </cell>
        </row>
      </sheetData>
      <sheetData sheetId="2038">
        <row r="7">
          <cell r="C7">
            <v>0</v>
          </cell>
        </row>
      </sheetData>
      <sheetData sheetId="2039">
        <row r="7">
          <cell r="C7">
            <v>0</v>
          </cell>
        </row>
      </sheetData>
      <sheetData sheetId="2040">
        <row r="7">
          <cell r="C7">
            <v>0</v>
          </cell>
        </row>
      </sheetData>
      <sheetData sheetId="2041">
        <row r="7">
          <cell r="C7">
            <v>0</v>
          </cell>
        </row>
      </sheetData>
      <sheetData sheetId="2042">
        <row r="7">
          <cell r="C7">
            <v>2</v>
          </cell>
        </row>
      </sheetData>
      <sheetData sheetId="2043">
        <row r="7">
          <cell r="C7">
            <v>0</v>
          </cell>
        </row>
      </sheetData>
      <sheetData sheetId="2044">
        <row r="7">
          <cell r="C7">
            <v>2</v>
          </cell>
        </row>
      </sheetData>
      <sheetData sheetId="2045">
        <row r="7">
          <cell r="C7">
            <v>2</v>
          </cell>
        </row>
      </sheetData>
      <sheetData sheetId="2046">
        <row r="7">
          <cell r="C7">
            <v>0</v>
          </cell>
        </row>
      </sheetData>
      <sheetData sheetId="2047">
        <row r="7">
          <cell r="C7">
            <v>0</v>
          </cell>
        </row>
      </sheetData>
      <sheetData sheetId="2048">
        <row r="7">
          <cell r="C7">
            <v>0</v>
          </cell>
        </row>
      </sheetData>
      <sheetData sheetId="2049">
        <row r="7">
          <cell r="C7">
            <v>0</v>
          </cell>
        </row>
      </sheetData>
      <sheetData sheetId="2050">
        <row r="7">
          <cell r="C7">
            <v>0</v>
          </cell>
        </row>
      </sheetData>
      <sheetData sheetId="2051">
        <row r="7">
          <cell r="C7">
            <v>0</v>
          </cell>
        </row>
      </sheetData>
      <sheetData sheetId="2052">
        <row r="7">
          <cell r="C7">
            <v>2</v>
          </cell>
        </row>
      </sheetData>
      <sheetData sheetId="2053">
        <row r="7">
          <cell r="C7">
            <v>0</v>
          </cell>
        </row>
      </sheetData>
      <sheetData sheetId="2054">
        <row r="7">
          <cell r="C7">
            <v>0</v>
          </cell>
        </row>
      </sheetData>
      <sheetData sheetId="2055">
        <row r="7">
          <cell r="C7">
            <v>0</v>
          </cell>
        </row>
      </sheetData>
      <sheetData sheetId="2056">
        <row r="7">
          <cell r="C7">
            <v>0</v>
          </cell>
        </row>
      </sheetData>
      <sheetData sheetId="2057">
        <row r="7">
          <cell r="C7">
            <v>0</v>
          </cell>
        </row>
      </sheetData>
      <sheetData sheetId="2058">
        <row r="7">
          <cell r="C7">
            <v>0</v>
          </cell>
        </row>
      </sheetData>
      <sheetData sheetId="2059">
        <row r="7">
          <cell r="C7">
            <v>0</v>
          </cell>
        </row>
      </sheetData>
      <sheetData sheetId="2060">
        <row r="7">
          <cell r="C7">
            <v>0</v>
          </cell>
        </row>
      </sheetData>
      <sheetData sheetId="2061">
        <row r="7">
          <cell r="C7">
            <v>2</v>
          </cell>
        </row>
      </sheetData>
      <sheetData sheetId="2062">
        <row r="7">
          <cell r="C7">
            <v>0</v>
          </cell>
        </row>
      </sheetData>
      <sheetData sheetId="2063">
        <row r="7">
          <cell r="C7">
            <v>2</v>
          </cell>
        </row>
      </sheetData>
      <sheetData sheetId="2064">
        <row r="7">
          <cell r="C7">
            <v>0</v>
          </cell>
        </row>
      </sheetData>
      <sheetData sheetId="2065">
        <row r="7">
          <cell r="C7">
            <v>2</v>
          </cell>
        </row>
      </sheetData>
      <sheetData sheetId="2066">
        <row r="7">
          <cell r="C7">
            <v>0</v>
          </cell>
        </row>
      </sheetData>
      <sheetData sheetId="2067">
        <row r="7">
          <cell r="C7">
            <v>0</v>
          </cell>
        </row>
      </sheetData>
      <sheetData sheetId="2068">
        <row r="7">
          <cell r="C7">
            <v>0</v>
          </cell>
        </row>
      </sheetData>
      <sheetData sheetId="2069">
        <row r="7">
          <cell r="C7">
            <v>0</v>
          </cell>
        </row>
      </sheetData>
      <sheetData sheetId="2070">
        <row r="7">
          <cell r="C7">
            <v>0</v>
          </cell>
        </row>
      </sheetData>
      <sheetData sheetId="2071">
        <row r="7">
          <cell r="C7">
            <v>0</v>
          </cell>
        </row>
      </sheetData>
      <sheetData sheetId="2072">
        <row r="7">
          <cell r="C7">
            <v>0</v>
          </cell>
        </row>
      </sheetData>
      <sheetData sheetId="2073">
        <row r="7">
          <cell r="C7">
            <v>0</v>
          </cell>
        </row>
      </sheetData>
      <sheetData sheetId="2074">
        <row r="7">
          <cell r="C7">
            <v>2</v>
          </cell>
        </row>
      </sheetData>
      <sheetData sheetId="2075">
        <row r="7">
          <cell r="C7">
            <v>0</v>
          </cell>
        </row>
      </sheetData>
      <sheetData sheetId="2076">
        <row r="7">
          <cell r="C7">
            <v>2</v>
          </cell>
        </row>
      </sheetData>
      <sheetData sheetId="2077">
        <row r="7">
          <cell r="C7">
            <v>0</v>
          </cell>
        </row>
      </sheetData>
      <sheetData sheetId="2078">
        <row r="7">
          <cell r="C7">
            <v>2</v>
          </cell>
        </row>
      </sheetData>
      <sheetData sheetId="2079">
        <row r="7">
          <cell r="C7">
            <v>2</v>
          </cell>
        </row>
      </sheetData>
      <sheetData sheetId="2080"/>
      <sheetData sheetId="2081"/>
      <sheetData sheetId="2082"/>
      <sheetData sheetId="2083"/>
      <sheetData sheetId="2084"/>
      <sheetData sheetId="2085"/>
      <sheetData sheetId="2086">
        <row r="7">
          <cell r="C7">
            <v>0</v>
          </cell>
        </row>
      </sheetData>
      <sheetData sheetId="2087">
        <row r="7">
          <cell r="C7">
            <v>0</v>
          </cell>
        </row>
      </sheetData>
      <sheetData sheetId="2088">
        <row r="7">
          <cell r="C7">
            <v>0</v>
          </cell>
        </row>
      </sheetData>
      <sheetData sheetId="2089">
        <row r="7">
          <cell r="C7">
            <v>0</v>
          </cell>
        </row>
      </sheetData>
      <sheetData sheetId="2090">
        <row r="7">
          <cell r="C7">
            <v>0</v>
          </cell>
        </row>
      </sheetData>
      <sheetData sheetId="2091">
        <row r="7">
          <cell r="C7">
            <v>2</v>
          </cell>
        </row>
      </sheetData>
      <sheetData sheetId="2092">
        <row r="7">
          <cell r="C7">
            <v>0</v>
          </cell>
        </row>
      </sheetData>
      <sheetData sheetId="2093">
        <row r="7">
          <cell r="C7">
            <v>2</v>
          </cell>
        </row>
      </sheetData>
      <sheetData sheetId="2094">
        <row r="7">
          <cell r="C7">
            <v>0</v>
          </cell>
        </row>
      </sheetData>
      <sheetData sheetId="2095">
        <row r="7">
          <cell r="C7">
            <v>2</v>
          </cell>
        </row>
      </sheetData>
      <sheetData sheetId="2096"/>
      <sheetData sheetId="2097"/>
      <sheetData sheetId="2098"/>
      <sheetData sheetId="2099">
        <row r="7">
          <cell r="C7">
            <v>0</v>
          </cell>
        </row>
      </sheetData>
      <sheetData sheetId="2100"/>
      <sheetData sheetId="2101"/>
      <sheetData sheetId="2102">
        <row r="7">
          <cell r="C7">
            <v>0</v>
          </cell>
        </row>
      </sheetData>
      <sheetData sheetId="2103"/>
      <sheetData sheetId="2104">
        <row r="7">
          <cell r="C7">
            <v>2</v>
          </cell>
        </row>
      </sheetData>
      <sheetData sheetId="2105">
        <row r="7">
          <cell r="C7">
            <v>0</v>
          </cell>
        </row>
      </sheetData>
      <sheetData sheetId="2106">
        <row r="7">
          <cell r="C7">
            <v>2</v>
          </cell>
        </row>
      </sheetData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>
        <row r="7">
          <cell r="C7">
            <v>0</v>
          </cell>
        </row>
      </sheetData>
      <sheetData sheetId="2134"/>
      <sheetData sheetId="2135"/>
      <sheetData sheetId="2136">
        <row r="7">
          <cell r="C7">
            <v>0</v>
          </cell>
        </row>
      </sheetData>
      <sheetData sheetId="2137">
        <row r="7">
          <cell r="C7">
            <v>0</v>
          </cell>
        </row>
      </sheetData>
      <sheetData sheetId="2138">
        <row r="7">
          <cell r="C7">
            <v>2</v>
          </cell>
        </row>
      </sheetData>
      <sheetData sheetId="2139">
        <row r="7">
          <cell r="C7">
            <v>0</v>
          </cell>
        </row>
      </sheetData>
      <sheetData sheetId="2140">
        <row r="7">
          <cell r="C7">
            <v>0</v>
          </cell>
        </row>
      </sheetData>
      <sheetData sheetId="2141">
        <row r="7">
          <cell r="C7">
            <v>2</v>
          </cell>
        </row>
      </sheetData>
      <sheetData sheetId="2142">
        <row r="7">
          <cell r="C7">
            <v>0</v>
          </cell>
        </row>
      </sheetData>
      <sheetData sheetId="2143">
        <row r="7">
          <cell r="C7">
            <v>0</v>
          </cell>
        </row>
      </sheetData>
      <sheetData sheetId="2144">
        <row r="7">
          <cell r="C7">
            <v>0</v>
          </cell>
        </row>
      </sheetData>
      <sheetData sheetId="2145">
        <row r="7">
          <cell r="C7">
            <v>2</v>
          </cell>
        </row>
      </sheetData>
      <sheetData sheetId="2146">
        <row r="7">
          <cell r="C7">
            <v>0</v>
          </cell>
        </row>
      </sheetData>
      <sheetData sheetId="2147">
        <row r="7">
          <cell r="C7">
            <v>0</v>
          </cell>
        </row>
      </sheetData>
      <sheetData sheetId="2148">
        <row r="7">
          <cell r="C7">
            <v>0</v>
          </cell>
        </row>
      </sheetData>
      <sheetData sheetId="2149">
        <row r="7">
          <cell r="C7">
            <v>0</v>
          </cell>
        </row>
      </sheetData>
      <sheetData sheetId="2150">
        <row r="7">
          <cell r="C7">
            <v>2</v>
          </cell>
        </row>
      </sheetData>
      <sheetData sheetId="2151">
        <row r="7">
          <cell r="C7">
            <v>0</v>
          </cell>
        </row>
      </sheetData>
      <sheetData sheetId="2152">
        <row r="7">
          <cell r="C7">
            <v>2</v>
          </cell>
        </row>
      </sheetData>
      <sheetData sheetId="2153">
        <row r="7">
          <cell r="C7">
            <v>2</v>
          </cell>
        </row>
      </sheetData>
      <sheetData sheetId="2154">
        <row r="7">
          <cell r="C7">
            <v>0</v>
          </cell>
        </row>
      </sheetData>
      <sheetData sheetId="2155">
        <row r="7">
          <cell r="C7">
            <v>0</v>
          </cell>
        </row>
      </sheetData>
      <sheetData sheetId="2156">
        <row r="7">
          <cell r="C7">
            <v>0</v>
          </cell>
        </row>
      </sheetData>
      <sheetData sheetId="2157">
        <row r="7">
          <cell r="C7">
            <v>2</v>
          </cell>
        </row>
      </sheetData>
      <sheetData sheetId="2158">
        <row r="7">
          <cell r="C7">
            <v>0</v>
          </cell>
        </row>
      </sheetData>
      <sheetData sheetId="2159">
        <row r="7">
          <cell r="C7">
            <v>0</v>
          </cell>
        </row>
      </sheetData>
      <sheetData sheetId="2160">
        <row r="7">
          <cell r="C7">
            <v>2</v>
          </cell>
        </row>
      </sheetData>
      <sheetData sheetId="2161">
        <row r="7">
          <cell r="C7">
            <v>0</v>
          </cell>
        </row>
      </sheetData>
      <sheetData sheetId="2162">
        <row r="7">
          <cell r="C7">
            <v>2</v>
          </cell>
        </row>
      </sheetData>
      <sheetData sheetId="2163">
        <row r="7">
          <cell r="C7">
            <v>0</v>
          </cell>
        </row>
      </sheetData>
      <sheetData sheetId="2164">
        <row r="7">
          <cell r="C7">
            <v>2</v>
          </cell>
        </row>
      </sheetData>
      <sheetData sheetId="2165">
        <row r="7">
          <cell r="C7">
            <v>0</v>
          </cell>
        </row>
      </sheetData>
      <sheetData sheetId="2166">
        <row r="7">
          <cell r="C7">
            <v>0</v>
          </cell>
        </row>
      </sheetData>
      <sheetData sheetId="2167">
        <row r="7">
          <cell r="C7">
            <v>2</v>
          </cell>
        </row>
      </sheetData>
      <sheetData sheetId="2168">
        <row r="7">
          <cell r="C7">
            <v>0</v>
          </cell>
        </row>
      </sheetData>
      <sheetData sheetId="2169">
        <row r="7">
          <cell r="C7">
            <v>0</v>
          </cell>
        </row>
      </sheetData>
      <sheetData sheetId="2170">
        <row r="7">
          <cell r="C7">
            <v>0</v>
          </cell>
        </row>
      </sheetData>
      <sheetData sheetId="2171">
        <row r="7">
          <cell r="C7">
            <v>0</v>
          </cell>
        </row>
      </sheetData>
      <sheetData sheetId="2172">
        <row r="7">
          <cell r="C7">
            <v>0</v>
          </cell>
        </row>
      </sheetData>
      <sheetData sheetId="2173">
        <row r="7">
          <cell r="C7">
            <v>0</v>
          </cell>
        </row>
      </sheetData>
      <sheetData sheetId="2174">
        <row r="7">
          <cell r="C7">
            <v>2</v>
          </cell>
        </row>
      </sheetData>
      <sheetData sheetId="2175">
        <row r="7">
          <cell r="C7">
            <v>0</v>
          </cell>
        </row>
      </sheetData>
      <sheetData sheetId="2176">
        <row r="7">
          <cell r="C7">
            <v>0</v>
          </cell>
        </row>
      </sheetData>
      <sheetData sheetId="2177">
        <row r="7">
          <cell r="C7">
            <v>0</v>
          </cell>
        </row>
      </sheetData>
      <sheetData sheetId="2178">
        <row r="7">
          <cell r="C7">
            <v>2</v>
          </cell>
        </row>
      </sheetData>
      <sheetData sheetId="2179">
        <row r="7">
          <cell r="C7">
            <v>0</v>
          </cell>
        </row>
      </sheetData>
      <sheetData sheetId="2180">
        <row r="7">
          <cell r="C7">
            <v>0</v>
          </cell>
        </row>
      </sheetData>
      <sheetData sheetId="2181">
        <row r="7">
          <cell r="C7">
            <v>2</v>
          </cell>
        </row>
      </sheetData>
      <sheetData sheetId="2182">
        <row r="7">
          <cell r="C7">
            <v>0</v>
          </cell>
        </row>
      </sheetData>
      <sheetData sheetId="2183">
        <row r="7">
          <cell r="C7">
            <v>2</v>
          </cell>
        </row>
      </sheetData>
      <sheetData sheetId="2184">
        <row r="7">
          <cell r="C7">
            <v>0</v>
          </cell>
        </row>
      </sheetData>
      <sheetData sheetId="2185">
        <row r="7">
          <cell r="C7">
            <v>2</v>
          </cell>
        </row>
      </sheetData>
      <sheetData sheetId="2186">
        <row r="7">
          <cell r="C7">
            <v>0</v>
          </cell>
        </row>
      </sheetData>
      <sheetData sheetId="2187">
        <row r="7">
          <cell r="C7">
            <v>0</v>
          </cell>
        </row>
      </sheetData>
      <sheetData sheetId="2188">
        <row r="7">
          <cell r="C7">
            <v>0</v>
          </cell>
        </row>
      </sheetData>
      <sheetData sheetId="2189">
        <row r="7">
          <cell r="C7">
            <v>0</v>
          </cell>
        </row>
      </sheetData>
      <sheetData sheetId="2190">
        <row r="7">
          <cell r="C7">
            <v>0</v>
          </cell>
        </row>
      </sheetData>
      <sheetData sheetId="2191">
        <row r="7">
          <cell r="C7">
            <v>0</v>
          </cell>
        </row>
      </sheetData>
      <sheetData sheetId="2192">
        <row r="7">
          <cell r="C7">
            <v>0</v>
          </cell>
        </row>
      </sheetData>
      <sheetData sheetId="2193">
        <row r="7">
          <cell r="C7">
            <v>0</v>
          </cell>
        </row>
      </sheetData>
      <sheetData sheetId="2194">
        <row r="7">
          <cell r="C7">
            <v>2</v>
          </cell>
        </row>
      </sheetData>
      <sheetData sheetId="2195">
        <row r="7">
          <cell r="C7">
            <v>0</v>
          </cell>
        </row>
      </sheetData>
      <sheetData sheetId="2196">
        <row r="7">
          <cell r="C7">
            <v>2</v>
          </cell>
        </row>
      </sheetData>
      <sheetData sheetId="2197">
        <row r="7">
          <cell r="C7">
            <v>0</v>
          </cell>
        </row>
      </sheetData>
      <sheetData sheetId="2198">
        <row r="7">
          <cell r="C7">
            <v>2</v>
          </cell>
        </row>
      </sheetData>
      <sheetData sheetId="2199">
        <row r="7">
          <cell r="C7">
            <v>2</v>
          </cell>
        </row>
      </sheetData>
      <sheetData sheetId="2200"/>
      <sheetData sheetId="2201"/>
      <sheetData sheetId="2202"/>
      <sheetData sheetId="2203"/>
      <sheetData sheetId="2204"/>
      <sheetData sheetId="2205">
        <row r="7">
          <cell r="C7">
            <v>0</v>
          </cell>
        </row>
      </sheetData>
      <sheetData sheetId="2206">
        <row r="7">
          <cell r="C7">
            <v>0</v>
          </cell>
        </row>
      </sheetData>
      <sheetData sheetId="2207">
        <row r="7">
          <cell r="C7">
            <v>0</v>
          </cell>
        </row>
      </sheetData>
      <sheetData sheetId="2208"/>
      <sheetData sheetId="2209">
        <row r="7">
          <cell r="C7">
            <v>0</v>
          </cell>
        </row>
      </sheetData>
      <sheetData sheetId="2210">
        <row r="7">
          <cell r="C7">
            <v>0</v>
          </cell>
        </row>
      </sheetData>
      <sheetData sheetId="2211">
        <row r="7">
          <cell r="C7">
            <v>0</v>
          </cell>
        </row>
      </sheetData>
      <sheetData sheetId="2212">
        <row r="7">
          <cell r="C7">
            <v>0</v>
          </cell>
        </row>
      </sheetData>
      <sheetData sheetId="2213">
        <row r="7">
          <cell r="C7">
            <v>2</v>
          </cell>
        </row>
      </sheetData>
      <sheetData sheetId="2214">
        <row r="7">
          <cell r="C7">
            <v>0</v>
          </cell>
        </row>
      </sheetData>
      <sheetData sheetId="2215">
        <row r="7">
          <cell r="C7">
            <v>2</v>
          </cell>
        </row>
      </sheetData>
      <sheetData sheetId="2216"/>
      <sheetData sheetId="2217"/>
      <sheetData sheetId="2218"/>
      <sheetData sheetId="2219">
        <row r="7">
          <cell r="C7">
            <v>0</v>
          </cell>
        </row>
      </sheetData>
      <sheetData sheetId="2220"/>
      <sheetData sheetId="2221"/>
      <sheetData sheetId="2222">
        <row r="7">
          <cell r="C7">
            <v>0</v>
          </cell>
        </row>
      </sheetData>
      <sheetData sheetId="2223"/>
      <sheetData sheetId="2224">
        <row r="7">
          <cell r="C7">
            <v>2</v>
          </cell>
        </row>
      </sheetData>
      <sheetData sheetId="2225">
        <row r="7">
          <cell r="C7">
            <v>0</v>
          </cell>
        </row>
      </sheetData>
      <sheetData sheetId="2226">
        <row r="7">
          <cell r="C7">
            <v>2</v>
          </cell>
        </row>
      </sheetData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>
        <row r="7">
          <cell r="C7">
            <v>0</v>
          </cell>
        </row>
      </sheetData>
      <sheetData sheetId="2253"/>
      <sheetData sheetId="2254">
        <row r="7">
          <cell r="C7">
            <v>0</v>
          </cell>
        </row>
      </sheetData>
      <sheetData sheetId="2255"/>
      <sheetData sheetId="2256">
        <row r="7">
          <cell r="C7">
            <v>0</v>
          </cell>
        </row>
      </sheetData>
      <sheetData sheetId="2257">
        <row r="7">
          <cell r="C7">
            <v>0</v>
          </cell>
        </row>
      </sheetData>
      <sheetData sheetId="2258"/>
      <sheetData sheetId="2259">
        <row r="7">
          <cell r="C7">
            <v>2</v>
          </cell>
        </row>
      </sheetData>
      <sheetData sheetId="2260">
        <row r="7">
          <cell r="C7">
            <v>0</v>
          </cell>
        </row>
      </sheetData>
      <sheetData sheetId="2261">
        <row r="7">
          <cell r="C7">
            <v>0</v>
          </cell>
        </row>
      </sheetData>
      <sheetData sheetId="2262">
        <row r="7">
          <cell r="C7">
            <v>0</v>
          </cell>
        </row>
      </sheetData>
      <sheetData sheetId="2263">
        <row r="7">
          <cell r="C7">
            <v>0</v>
          </cell>
        </row>
      </sheetData>
      <sheetData sheetId="2264">
        <row r="7">
          <cell r="C7">
            <v>0</v>
          </cell>
        </row>
      </sheetData>
      <sheetData sheetId="2265">
        <row r="7">
          <cell r="C7">
            <v>0</v>
          </cell>
        </row>
      </sheetData>
      <sheetData sheetId="2266">
        <row r="7">
          <cell r="C7">
            <v>0</v>
          </cell>
        </row>
      </sheetData>
      <sheetData sheetId="2267">
        <row r="7">
          <cell r="C7">
            <v>0</v>
          </cell>
        </row>
      </sheetData>
      <sheetData sheetId="2268">
        <row r="7">
          <cell r="C7">
            <v>0</v>
          </cell>
        </row>
      </sheetData>
      <sheetData sheetId="2269">
        <row r="7">
          <cell r="C7">
            <v>0</v>
          </cell>
        </row>
      </sheetData>
      <sheetData sheetId="2270">
        <row r="7">
          <cell r="C7">
            <v>2</v>
          </cell>
        </row>
      </sheetData>
      <sheetData sheetId="2271">
        <row r="7">
          <cell r="C7">
            <v>0</v>
          </cell>
        </row>
      </sheetData>
      <sheetData sheetId="2272">
        <row r="7">
          <cell r="C7">
            <v>2</v>
          </cell>
        </row>
      </sheetData>
      <sheetData sheetId="2273">
        <row r="7">
          <cell r="C7">
            <v>0</v>
          </cell>
        </row>
      </sheetData>
      <sheetData sheetId="2274">
        <row r="7">
          <cell r="C7">
            <v>0</v>
          </cell>
        </row>
      </sheetData>
      <sheetData sheetId="2275">
        <row r="7">
          <cell r="C7">
            <v>0</v>
          </cell>
        </row>
      </sheetData>
      <sheetData sheetId="2276">
        <row r="7">
          <cell r="C7">
            <v>0</v>
          </cell>
        </row>
      </sheetData>
      <sheetData sheetId="2277">
        <row r="7">
          <cell r="C7">
            <v>0</v>
          </cell>
        </row>
      </sheetData>
      <sheetData sheetId="2278">
        <row r="7">
          <cell r="C7">
            <v>0</v>
          </cell>
        </row>
      </sheetData>
      <sheetData sheetId="2279">
        <row r="7">
          <cell r="C7">
            <v>0</v>
          </cell>
        </row>
      </sheetData>
      <sheetData sheetId="2280">
        <row r="7">
          <cell r="C7">
            <v>0</v>
          </cell>
        </row>
      </sheetData>
      <sheetData sheetId="2281">
        <row r="7">
          <cell r="C7">
            <v>0</v>
          </cell>
        </row>
      </sheetData>
      <sheetData sheetId="2282">
        <row r="7">
          <cell r="C7">
            <v>2</v>
          </cell>
        </row>
      </sheetData>
      <sheetData sheetId="2283">
        <row r="7">
          <cell r="C7">
            <v>0</v>
          </cell>
        </row>
      </sheetData>
      <sheetData sheetId="2284">
        <row r="7">
          <cell r="C7">
            <v>2</v>
          </cell>
        </row>
      </sheetData>
      <sheetData sheetId="2285">
        <row r="7">
          <cell r="C7">
            <v>2</v>
          </cell>
        </row>
      </sheetData>
      <sheetData sheetId="2286">
        <row r="7">
          <cell r="C7">
            <v>0</v>
          </cell>
        </row>
      </sheetData>
      <sheetData sheetId="2287">
        <row r="7">
          <cell r="C7">
            <v>0</v>
          </cell>
        </row>
      </sheetData>
      <sheetData sheetId="2288">
        <row r="7">
          <cell r="C7">
            <v>0</v>
          </cell>
        </row>
      </sheetData>
      <sheetData sheetId="2289">
        <row r="7">
          <cell r="C7">
            <v>0</v>
          </cell>
        </row>
      </sheetData>
      <sheetData sheetId="2290">
        <row r="7">
          <cell r="C7">
            <v>0</v>
          </cell>
        </row>
      </sheetData>
      <sheetData sheetId="2291">
        <row r="7">
          <cell r="C7">
            <v>0</v>
          </cell>
        </row>
      </sheetData>
      <sheetData sheetId="2292">
        <row r="7">
          <cell r="C7">
            <v>2</v>
          </cell>
        </row>
      </sheetData>
      <sheetData sheetId="2293">
        <row r="7">
          <cell r="C7">
            <v>0</v>
          </cell>
        </row>
      </sheetData>
      <sheetData sheetId="2294">
        <row r="7">
          <cell r="C7">
            <v>0</v>
          </cell>
        </row>
      </sheetData>
      <sheetData sheetId="2295">
        <row r="7">
          <cell r="C7">
            <v>0</v>
          </cell>
        </row>
      </sheetData>
      <sheetData sheetId="2296">
        <row r="7">
          <cell r="C7">
            <v>0</v>
          </cell>
        </row>
      </sheetData>
      <sheetData sheetId="2297">
        <row r="7">
          <cell r="C7">
            <v>0</v>
          </cell>
        </row>
      </sheetData>
      <sheetData sheetId="2298">
        <row r="7">
          <cell r="C7">
            <v>0</v>
          </cell>
        </row>
      </sheetData>
      <sheetData sheetId="2299">
        <row r="7">
          <cell r="C7">
            <v>0</v>
          </cell>
        </row>
      </sheetData>
      <sheetData sheetId="2300">
        <row r="7">
          <cell r="C7">
            <v>0</v>
          </cell>
        </row>
      </sheetData>
      <sheetData sheetId="2301">
        <row r="7">
          <cell r="C7">
            <v>2</v>
          </cell>
        </row>
      </sheetData>
      <sheetData sheetId="2302">
        <row r="7">
          <cell r="C7">
            <v>0</v>
          </cell>
        </row>
      </sheetData>
      <sheetData sheetId="2303">
        <row r="7">
          <cell r="C7">
            <v>2</v>
          </cell>
        </row>
      </sheetData>
      <sheetData sheetId="2304">
        <row r="7">
          <cell r="C7">
            <v>0</v>
          </cell>
        </row>
      </sheetData>
      <sheetData sheetId="2305">
        <row r="7">
          <cell r="C7">
            <v>2</v>
          </cell>
        </row>
      </sheetData>
      <sheetData sheetId="2306">
        <row r="7">
          <cell r="C7">
            <v>0</v>
          </cell>
        </row>
      </sheetData>
      <sheetData sheetId="2307">
        <row r="7">
          <cell r="C7">
            <v>0</v>
          </cell>
        </row>
      </sheetData>
      <sheetData sheetId="2308">
        <row r="7">
          <cell r="C7">
            <v>0</v>
          </cell>
        </row>
      </sheetData>
      <sheetData sheetId="2309">
        <row r="7">
          <cell r="C7">
            <v>0</v>
          </cell>
        </row>
      </sheetData>
      <sheetData sheetId="2310">
        <row r="7">
          <cell r="C7">
            <v>0</v>
          </cell>
        </row>
      </sheetData>
      <sheetData sheetId="2311">
        <row r="7">
          <cell r="C7">
            <v>0</v>
          </cell>
        </row>
      </sheetData>
      <sheetData sheetId="2312">
        <row r="7">
          <cell r="C7">
            <v>0</v>
          </cell>
        </row>
      </sheetData>
      <sheetData sheetId="2313">
        <row r="7">
          <cell r="C7">
            <v>0</v>
          </cell>
        </row>
      </sheetData>
      <sheetData sheetId="2314">
        <row r="7">
          <cell r="C7">
            <v>0</v>
          </cell>
        </row>
      </sheetData>
      <sheetData sheetId="2315">
        <row r="7">
          <cell r="C7">
            <v>0</v>
          </cell>
        </row>
      </sheetData>
      <sheetData sheetId="2316">
        <row r="7">
          <cell r="C7">
            <v>2</v>
          </cell>
        </row>
      </sheetData>
      <sheetData sheetId="2317">
        <row r="7">
          <cell r="C7">
            <v>0</v>
          </cell>
        </row>
      </sheetData>
      <sheetData sheetId="2318">
        <row r="7">
          <cell r="C7">
            <v>2</v>
          </cell>
        </row>
      </sheetData>
      <sheetData sheetId="2319">
        <row r="7">
          <cell r="C7">
            <v>2</v>
          </cell>
        </row>
      </sheetData>
      <sheetData sheetId="2320"/>
      <sheetData sheetId="2321"/>
      <sheetData sheetId="2322"/>
      <sheetData sheetId="2323"/>
      <sheetData sheetId="2324"/>
      <sheetData sheetId="2325"/>
      <sheetData sheetId="2326">
        <row r="7">
          <cell r="C7">
            <v>0</v>
          </cell>
        </row>
      </sheetData>
      <sheetData sheetId="2327">
        <row r="7">
          <cell r="C7">
            <v>0</v>
          </cell>
        </row>
      </sheetData>
      <sheetData sheetId="2328">
        <row r="7">
          <cell r="C7">
            <v>0</v>
          </cell>
        </row>
      </sheetData>
      <sheetData sheetId="2329">
        <row r="7">
          <cell r="C7">
            <v>0</v>
          </cell>
        </row>
      </sheetData>
      <sheetData sheetId="2330">
        <row r="7">
          <cell r="C7">
            <v>0</v>
          </cell>
        </row>
      </sheetData>
      <sheetData sheetId="2331">
        <row r="7">
          <cell r="C7">
            <v>2</v>
          </cell>
        </row>
      </sheetData>
      <sheetData sheetId="2332">
        <row r="7">
          <cell r="C7">
            <v>0</v>
          </cell>
        </row>
      </sheetData>
      <sheetData sheetId="2333">
        <row r="7">
          <cell r="C7">
            <v>2</v>
          </cell>
        </row>
      </sheetData>
      <sheetData sheetId="2334">
        <row r="7">
          <cell r="C7">
            <v>0</v>
          </cell>
        </row>
      </sheetData>
      <sheetData sheetId="2335">
        <row r="7">
          <cell r="C7">
            <v>2</v>
          </cell>
        </row>
      </sheetData>
      <sheetData sheetId="2336"/>
      <sheetData sheetId="2337"/>
      <sheetData sheetId="2338">
        <row r="7">
          <cell r="C7">
            <v>0</v>
          </cell>
        </row>
      </sheetData>
      <sheetData sheetId="2339"/>
      <sheetData sheetId="2340"/>
      <sheetData sheetId="2341"/>
      <sheetData sheetId="2342">
        <row r="7">
          <cell r="C7">
            <v>0</v>
          </cell>
        </row>
      </sheetData>
      <sheetData sheetId="2343"/>
      <sheetData sheetId="2344"/>
      <sheetData sheetId="2345">
        <row r="7">
          <cell r="C7">
            <v>0</v>
          </cell>
        </row>
      </sheetData>
      <sheetData sheetId="2346">
        <row r="7">
          <cell r="C7">
            <v>2</v>
          </cell>
        </row>
      </sheetData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>
        <row r="7">
          <cell r="C7">
            <v>0</v>
          </cell>
        </row>
      </sheetData>
      <sheetData sheetId="2373">
        <row r="7">
          <cell r="C7">
            <v>0</v>
          </cell>
        </row>
      </sheetData>
      <sheetData sheetId="2374"/>
      <sheetData sheetId="2375"/>
      <sheetData sheetId="2376">
        <row r="7">
          <cell r="C7">
            <v>0</v>
          </cell>
        </row>
      </sheetData>
      <sheetData sheetId="2377">
        <row r="7">
          <cell r="C7">
            <v>0</v>
          </cell>
        </row>
      </sheetData>
      <sheetData sheetId="2378">
        <row r="7">
          <cell r="C7">
            <v>0</v>
          </cell>
        </row>
      </sheetData>
      <sheetData sheetId="2379">
        <row r="7">
          <cell r="C7">
            <v>0</v>
          </cell>
        </row>
      </sheetData>
      <sheetData sheetId="2380">
        <row r="7">
          <cell r="C7">
            <v>0</v>
          </cell>
        </row>
      </sheetData>
      <sheetData sheetId="2381">
        <row r="7">
          <cell r="C7">
            <v>2</v>
          </cell>
        </row>
      </sheetData>
      <sheetData sheetId="2382">
        <row r="7">
          <cell r="C7">
            <v>0</v>
          </cell>
        </row>
      </sheetData>
      <sheetData sheetId="2383">
        <row r="7">
          <cell r="C7">
            <v>0</v>
          </cell>
        </row>
      </sheetData>
      <sheetData sheetId="2384">
        <row r="7">
          <cell r="C7">
            <v>0</v>
          </cell>
        </row>
      </sheetData>
      <sheetData sheetId="2385">
        <row r="7">
          <cell r="C7">
            <v>0</v>
          </cell>
        </row>
      </sheetData>
      <sheetData sheetId="2386">
        <row r="7">
          <cell r="C7">
            <v>0</v>
          </cell>
        </row>
      </sheetData>
      <sheetData sheetId="2387">
        <row r="7">
          <cell r="C7">
            <v>0</v>
          </cell>
        </row>
      </sheetData>
      <sheetData sheetId="2388">
        <row r="7">
          <cell r="C7">
            <v>0</v>
          </cell>
        </row>
      </sheetData>
      <sheetData sheetId="2389">
        <row r="7">
          <cell r="C7">
            <v>0</v>
          </cell>
        </row>
      </sheetData>
      <sheetData sheetId="2390">
        <row r="7">
          <cell r="C7">
            <v>2</v>
          </cell>
        </row>
      </sheetData>
      <sheetData sheetId="2391">
        <row r="7">
          <cell r="C7">
            <v>0</v>
          </cell>
        </row>
      </sheetData>
      <sheetData sheetId="2392">
        <row r="7">
          <cell r="C7">
            <v>2</v>
          </cell>
        </row>
      </sheetData>
      <sheetData sheetId="2393">
        <row r="7">
          <cell r="C7">
            <v>2</v>
          </cell>
        </row>
      </sheetData>
      <sheetData sheetId="2394">
        <row r="7">
          <cell r="C7">
            <v>0</v>
          </cell>
        </row>
      </sheetData>
      <sheetData sheetId="2395">
        <row r="7">
          <cell r="C7">
            <v>2</v>
          </cell>
        </row>
      </sheetData>
      <sheetData sheetId="2396">
        <row r="7">
          <cell r="C7">
            <v>0</v>
          </cell>
        </row>
      </sheetData>
      <sheetData sheetId="2397">
        <row r="7">
          <cell r="C7">
            <v>2</v>
          </cell>
        </row>
      </sheetData>
      <sheetData sheetId="2398">
        <row r="7">
          <cell r="C7">
            <v>0</v>
          </cell>
        </row>
      </sheetData>
      <sheetData sheetId="2399">
        <row r="7">
          <cell r="C7">
            <v>0</v>
          </cell>
        </row>
      </sheetData>
      <sheetData sheetId="2400">
        <row r="7">
          <cell r="C7">
            <v>2</v>
          </cell>
        </row>
      </sheetData>
      <sheetData sheetId="2401">
        <row r="7">
          <cell r="C7">
            <v>0</v>
          </cell>
        </row>
      </sheetData>
      <sheetData sheetId="2402">
        <row r="7">
          <cell r="C7">
            <v>2</v>
          </cell>
        </row>
      </sheetData>
      <sheetData sheetId="2403">
        <row r="7">
          <cell r="C7">
            <v>0</v>
          </cell>
        </row>
      </sheetData>
      <sheetData sheetId="2404">
        <row r="7">
          <cell r="C7">
            <v>2</v>
          </cell>
        </row>
      </sheetData>
      <sheetData sheetId="2405">
        <row r="7">
          <cell r="C7">
            <v>0</v>
          </cell>
        </row>
      </sheetData>
      <sheetData sheetId="2406">
        <row r="7">
          <cell r="C7">
            <v>0</v>
          </cell>
        </row>
      </sheetData>
      <sheetData sheetId="2407">
        <row r="7">
          <cell r="C7">
            <v>2</v>
          </cell>
        </row>
      </sheetData>
      <sheetData sheetId="2408">
        <row r="7">
          <cell r="C7">
            <v>0</v>
          </cell>
        </row>
      </sheetData>
      <sheetData sheetId="2409">
        <row r="7">
          <cell r="C7">
            <v>2</v>
          </cell>
        </row>
      </sheetData>
      <sheetData sheetId="2410">
        <row r="7">
          <cell r="C7">
            <v>0</v>
          </cell>
        </row>
      </sheetData>
      <sheetData sheetId="2411"/>
      <sheetData sheetId="2412">
        <row r="7">
          <cell r="C7">
            <v>0</v>
          </cell>
        </row>
      </sheetData>
      <sheetData sheetId="2413">
        <row r="7">
          <cell r="C7">
            <v>0</v>
          </cell>
        </row>
      </sheetData>
      <sheetData sheetId="2414">
        <row r="7">
          <cell r="C7">
            <v>2</v>
          </cell>
        </row>
      </sheetData>
      <sheetData sheetId="2415">
        <row r="7">
          <cell r="C7">
            <v>0</v>
          </cell>
        </row>
      </sheetData>
      <sheetData sheetId="2416">
        <row r="7">
          <cell r="C7">
            <v>2</v>
          </cell>
        </row>
      </sheetData>
      <sheetData sheetId="2417">
        <row r="7">
          <cell r="C7">
            <v>0</v>
          </cell>
        </row>
      </sheetData>
      <sheetData sheetId="2418">
        <row r="7">
          <cell r="C7">
            <v>2</v>
          </cell>
        </row>
      </sheetData>
      <sheetData sheetId="2419">
        <row r="7">
          <cell r="C7">
            <v>0</v>
          </cell>
        </row>
      </sheetData>
      <sheetData sheetId="2420">
        <row r="7">
          <cell r="C7">
            <v>0</v>
          </cell>
        </row>
      </sheetData>
      <sheetData sheetId="2421">
        <row r="7">
          <cell r="C7">
            <v>2</v>
          </cell>
        </row>
      </sheetData>
      <sheetData sheetId="2422">
        <row r="7">
          <cell r="C7">
            <v>0</v>
          </cell>
        </row>
      </sheetData>
      <sheetData sheetId="2423">
        <row r="7">
          <cell r="C7">
            <v>2</v>
          </cell>
        </row>
      </sheetData>
      <sheetData sheetId="2424">
        <row r="7">
          <cell r="C7">
            <v>0</v>
          </cell>
        </row>
      </sheetData>
      <sheetData sheetId="2425">
        <row r="7">
          <cell r="C7">
            <v>2</v>
          </cell>
        </row>
      </sheetData>
      <sheetData sheetId="2426">
        <row r="7">
          <cell r="C7">
            <v>0</v>
          </cell>
        </row>
      </sheetData>
      <sheetData sheetId="2427">
        <row r="7">
          <cell r="C7">
            <v>0</v>
          </cell>
        </row>
      </sheetData>
      <sheetData sheetId="2428">
        <row r="7">
          <cell r="C7">
            <v>0</v>
          </cell>
        </row>
      </sheetData>
      <sheetData sheetId="2429">
        <row r="7">
          <cell r="C7">
            <v>0</v>
          </cell>
        </row>
      </sheetData>
      <sheetData sheetId="2430">
        <row r="7">
          <cell r="C7">
            <v>0</v>
          </cell>
        </row>
      </sheetData>
      <sheetData sheetId="2431">
        <row r="7">
          <cell r="C7">
            <v>0</v>
          </cell>
        </row>
      </sheetData>
      <sheetData sheetId="2432">
        <row r="7">
          <cell r="C7">
            <v>0</v>
          </cell>
        </row>
      </sheetData>
      <sheetData sheetId="2433">
        <row r="7">
          <cell r="C7">
            <v>0</v>
          </cell>
        </row>
      </sheetData>
      <sheetData sheetId="2434">
        <row r="7">
          <cell r="C7">
            <v>2</v>
          </cell>
        </row>
      </sheetData>
      <sheetData sheetId="2435">
        <row r="7">
          <cell r="C7">
            <v>0</v>
          </cell>
        </row>
      </sheetData>
      <sheetData sheetId="2436">
        <row r="7">
          <cell r="C7">
            <v>2</v>
          </cell>
        </row>
      </sheetData>
      <sheetData sheetId="2437">
        <row r="7">
          <cell r="C7">
            <v>0</v>
          </cell>
        </row>
      </sheetData>
      <sheetData sheetId="2438">
        <row r="7">
          <cell r="C7">
            <v>2</v>
          </cell>
        </row>
      </sheetData>
      <sheetData sheetId="2439">
        <row r="7">
          <cell r="C7">
            <v>2</v>
          </cell>
        </row>
      </sheetData>
      <sheetData sheetId="2440"/>
      <sheetData sheetId="2441"/>
      <sheetData sheetId="2442"/>
      <sheetData sheetId="2443"/>
      <sheetData sheetId="2444"/>
      <sheetData sheetId="2445">
        <row r="7">
          <cell r="C7">
            <v>0</v>
          </cell>
        </row>
      </sheetData>
      <sheetData sheetId="2446">
        <row r="7">
          <cell r="C7">
            <v>0</v>
          </cell>
        </row>
      </sheetData>
      <sheetData sheetId="2447">
        <row r="7">
          <cell r="C7">
            <v>0</v>
          </cell>
        </row>
      </sheetData>
      <sheetData sheetId="2448"/>
      <sheetData sheetId="2449">
        <row r="7">
          <cell r="C7">
            <v>0</v>
          </cell>
        </row>
      </sheetData>
      <sheetData sheetId="2450">
        <row r="7">
          <cell r="C7">
            <v>0</v>
          </cell>
        </row>
      </sheetData>
      <sheetData sheetId="2451">
        <row r="7">
          <cell r="C7">
            <v>0</v>
          </cell>
        </row>
      </sheetData>
      <sheetData sheetId="2452">
        <row r="7">
          <cell r="C7">
            <v>0</v>
          </cell>
        </row>
      </sheetData>
      <sheetData sheetId="2453">
        <row r="7">
          <cell r="C7">
            <v>2</v>
          </cell>
        </row>
      </sheetData>
      <sheetData sheetId="2454">
        <row r="7">
          <cell r="C7">
            <v>0</v>
          </cell>
        </row>
      </sheetData>
      <sheetData sheetId="2455">
        <row r="7">
          <cell r="C7">
            <v>2</v>
          </cell>
        </row>
      </sheetData>
      <sheetData sheetId="2456"/>
      <sheetData sheetId="2457"/>
      <sheetData sheetId="2458"/>
      <sheetData sheetId="2459">
        <row r="7">
          <cell r="C7">
            <v>0</v>
          </cell>
        </row>
      </sheetData>
      <sheetData sheetId="2460"/>
      <sheetData sheetId="2461"/>
      <sheetData sheetId="2462">
        <row r="7">
          <cell r="C7">
            <v>0</v>
          </cell>
        </row>
      </sheetData>
      <sheetData sheetId="2463"/>
      <sheetData sheetId="2464">
        <row r="7">
          <cell r="C7">
            <v>2</v>
          </cell>
        </row>
      </sheetData>
      <sheetData sheetId="2465">
        <row r="7">
          <cell r="C7">
            <v>0</v>
          </cell>
        </row>
      </sheetData>
      <sheetData sheetId="2466">
        <row r="7">
          <cell r="C7">
            <v>2</v>
          </cell>
        </row>
      </sheetData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>
        <row r="7">
          <cell r="C7">
            <v>0</v>
          </cell>
        </row>
      </sheetData>
      <sheetData sheetId="2493">
        <row r="7">
          <cell r="C7">
            <v>0</v>
          </cell>
        </row>
      </sheetData>
      <sheetData sheetId="2494"/>
      <sheetData sheetId="2495"/>
      <sheetData sheetId="2496">
        <row r="7">
          <cell r="C7">
            <v>0</v>
          </cell>
        </row>
      </sheetData>
      <sheetData sheetId="2497">
        <row r="7">
          <cell r="C7">
            <v>0</v>
          </cell>
        </row>
      </sheetData>
      <sheetData sheetId="2498">
        <row r="7">
          <cell r="C7">
            <v>0</v>
          </cell>
        </row>
      </sheetData>
      <sheetData sheetId="2499">
        <row r="7">
          <cell r="C7">
            <v>0</v>
          </cell>
        </row>
      </sheetData>
      <sheetData sheetId="2500">
        <row r="7">
          <cell r="C7">
            <v>0</v>
          </cell>
        </row>
      </sheetData>
      <sheetData sheetId="2501">
        <row r="7">
          <cell r="C7">
            <v>2</v>
          </cell>
        </row>
      </sheetData>
      <sheetData sheetId="2502">
        <row r="7">
          <cell r="C7">
            <v>0</v>
          </cell>
        </row>
      </sheetData>
      <sheetData sheetId="2503">
        <row r="7">
          <cell r="C7">
            <v>0</v>
          </cell>
        </row>
      </sheetData>
      <sheetData sheetId="2504">
        <row r="7">
          <cell r="C7">
            <v>0</v>
          </cell>
        </row>
      </sheetData>
      <sheetData sheetId="2505">
        <row r="7">
          <cell r="C7">
            <v>0</v>
          </cell>
        </row>
      </sheetData>
      <sheetData sheetId="2506">
        <row r="7">
          <cell r="C7">
            <v>0</v>
          </cell>
        </row>
      </sheetData>
      <sheetData sheetId="2507">
        <row r="7">
          <cell r="C7">
            <v>0</v>
          </cell>
        </row>
      </sheetData>
      <sheetData sheetId="2508">
        <row r="7">
          <cell r="C7">
            <v>0</v>
          </cell>
        </row>
      </sheetData>
      <sheetData sheetId="2509">
        <row r="7">
          <cell r="C7">
            <v>0</v>
          </cell>
        </row>
      </sheetData>
      <sheetData sheetId="2510">
        <row r="7">
          <cell r="C7">
            <v>2</v>
          </cell>
        </row>
      </sheetData>
      <sheetData sheetId="2511">
        <row r="7">
          <cell r="C7">
            <v>0</v>
          </cell>
        </row>
      </sheetData>
      <sheetData sheetId="2512">
        <row r="7">
          <cell r="C7">
            <v>2</v>
          </cell>
        </row>
      </sheetData>
      <sheetData sheetId="2513">
        <row r="7">
          <cell r="C7">
            <v>2</v>
          </cell>
        </row>
      </sheetData>
      <sheetData sheetId="2514">
        <row r="7">
          <cell r="C7">
            <v>0</v>
          </cell>
        </row>
      </sheetData>
      <sheetData sheetId="2515">
        <row r="7">
          <cell r="C7">
            <v>2</v>
          </cell>
        </row>
      </sheetData>
      <sheetData sheetId="2516">
        <row r="7">
          <cell r="C7">
            <v>0</v>
          </cell>
        </row>
      </sheetData>
      <sheetData sheetId="2517">
        <row r="7">
          <cell r="C7">
            <v>2</v>
          </cell>
        </row>
      </sheetData>
      <sheetData sheetId="2518">
        <row r="7">
          <cell r="C7">
            <v>0</v>
          </cell>
        </row>
      </sheetData>
      <sheetData sheetId="2519">
        <row r="7">
          <cell r="C7">
            <v>0</v>
          </cell>
        </row>
      </sheetData>
      <sheetData sheetId="2520">
        <row r="7">
          <cell r="C7">
            <v>2</v>
          </cell>
        </row>
      </sheetData>
      <sheetData sheetId="2521">
        <row r="7">
          <cell r="C7">
            <v>0</v>
          </cell>
        </row>
      </sheetData>
      <sheetData sheetId="2522">
        <row r="7">
          <cell r="C7">
            <v>2</v>
          </cell>
        </row>
      </sheetData>
      <sheetData sheetId="2523">
        <row r="7">
          <cell r="C7">
            <v>0</v>
          </cell>
        </row>
      </sheetData>
      <sheetData sheetId="2524">
        <row r="7">
          <cell r="C7">
            <v>2</v>
          </cell>
        </row>
      </sheetData>
      <sheetData sheetId="2525">
        <row r="7">
          <cell r="C7">
            <v>0</v>
          </cell>
        </row>
      </sheetData>
      <sheetData sheetId="2526">
        <row r="7">
          <cell r="C7">
            <v>0</v>
          </cell>
        </row>
      </sheetData>
      <sheetData sheetId="2527">
        <row r="7">
          <cell r="C7">
            <v>2</v>
          </cell>
        </row>
      </sheetData>
      <sheetData sheetId="2528">
        <row r="7">
          <cell r="C7">
            <v>0</v>
          </cell>
        </row>
      </sheetData>
      <sheetData sheetId="2529">
        <row r="7">
          <cell r="C7">
            <v>2</v>
          </cell>
        </row>
      </sheetData>
      <sheetData sheetId="2530">
        <row r="7">
          <cell r="C7">
            <v>0</v>
          </cell>
        </row>
      </sheetData>
      <sheetData sheetId="2531"/>
      <sheetData sheetId="2532">
        <row r="7">
          <cell r="C7">
            <v>0</v>
          </cell>
        </row>
      </sheetData>
      <sheetData sheetId="2533">
        <row r="7">
          <cell r="C7">
            <v>0</v>
          </cell>
        </row>
      </sheetData>
      <sheetData sheetId="2534">
        <row r="7">
          <cell r="C7">
            <v>2</v>
          </cell>
        </row>
      </sheetData>
      <sheetData sheetId="2535">
        <row r="7">
          <cell r="C7">
            <v>0</v>
          </cell>
        </row>
      </sheetData>
      <sheetData sheetId="2536">
        <row r="7">
          <cell r="C7">
            <v>2</v>
          </cell>
        </row>
      </sheetData>
      <sheetData sheetId="2537">
        <row r="7">
          <cell r="C7">
            <v>0</v>
          </cell>
        </row>
      </sheetData>
      <sheetData sheetId="2538">
        <row r="7">
          <cell r="C7">
            <v>2</v>
          </cell>
        </row>
      </sheetData>
      <sheetData sheetId="2539">
        <row r="7">
          <cell r="C7">
            <v>0</v>
          </cell>
        </row>
      </sheetData>
      <sheetData sheetId="2540">
        <row r="7">
          <cell r="C7">
            <v>0</v>
          </cell>
        </row>
      </sheetData>
      <sheetData sheetId="2541">
        <row r="7">
          <cell r="C7">
            <v>2</v>
          </cell>
        </row>
      </sheetData>
      <sheetData sheetId="2542">
        <row r="7">
          <cell r="C7">
            <v>0</v>
          </cell>
        </row>
      </sheetData>
      <sheetData sheetId="2543">
        <row r="7">
          <cell r="C7">
            <v>2</v>
          </cell>
        </row>
      </sheetData>
      <sheetData sheetId="2544">
        <row r="7">
          <cell r="C7">
            <v>0</v>
          </cell>
        </row>
      </sheetData>
      <sheetData sheetId="2545">
        <row r="7">
          <cell r="C7">
            <v>2</v>
          </cell>
        </row>
      </sheetData>
      <sheetData sheetId="2546">
        <row r="7">
          <cell r="C7">
            <v>0</v>
          </cell>
        </row>
      </sheetData>
      <sheetData sheetId="2547">
        <row r="7">
          <cell r="C7">
            <v>2</v>
          </cell>
        </row>
      </sheetData>
      <sheetData sheetId="2548">
        <row r="7">
          <cell r="C7">
            <v>0</v>
          </cell>
        </row>
      </sheetData>
      <sheetData sheetId="2549"/>
      <sheetData sheetId="2550">
        <row r="7">
          <cell r="C7">
            <v>0</v>
          </cell>
        </row>
      </sheetData>
      <sheetData sheetId="2551">
        <row r="7">
          <cell r="C7">
            <v>0</v>
          </cell>
        </row>
      </sheetData>
      <sheetData sheetId="2552">
        <row r="7">
          <cell r="C7">
            <v>0</v>
          </cell>
        </row>
      </sheetData>
      <sheetData sheetId="2553">
        <row r="7">
          <cell r="C7">
            <v>0</v>
          </cell>
        </row>
      </sheetData>
      <sheetData sheetId="2554">
        <row r="7">
          <cell r="C7">
            <v>0</v>
          </cell>
        </row>
      </sheetData>
      <sheetData sheetId="2555">
        <row r="7">
          <cell r="C7">
            <v>0</v>
          </cell>
        </row>
      </sheetData>
      <sheetData sheetId="2556">
        <row r="7">
          <cell r="C7">
            <v>2</v>
          </cell>
        </row>
      </sheetData>
      <sheetData sheetId="2557">
        <row r="7">
          <cell r="C7">
            <v>0</v>
          </cell>
        </row>
      </sheetData>
      <sheetData sheetId="2558">
        <row r="7">
          <cell r="C7">
            <v>2</v>
          </cell>
        </row>
      </sheetData>
      <sheetData sheetId="2559">
        <row r="7">
          <cell r="C7">
            <v>2</v>
          </cell>
        </row>
      </sheetData>
      <sheetData sheetId="2560"/>
      <sheetData sheetId="2561"/>
      <sheetData sheetId="2562"/>
      <sheetData sheetId="2563"/>
      <sheetData sheetId="2564"/>
      <sheetData sheetId="2565">
        <row r="7">
          <cell r="C7">
            <v>0</v>
          </cell>
        </row>
      </sheetData>
      <sheetData sheetId="2566">
        <row r="7">
          <cell r="C7">
            <v>0</v>
          </cell>
        </row>
      </sheetData>
      <sheetData sheetId="2567">
        <row r="7">
          <cell r="C7">
            <v>0</v>
          </cell>
        </row>
      </sheetData>
      <sheetData sheetId="2568"/>
      <sheetData sheetId="2569">
        <row r="7">
          <cell r="C7">
            <v>0</v>
          </cell>
        </row>
      </sheetData>
      <sheetData sheetId="2570">
        <row r="7">
          <cell r="C7">
            <v>0</v>
          </cell>
        </row>
      </sheetData>
      <sheetData sheetId="2571">
        <row r="7">
          <cell r="C7">
            <v>0</v>
          </cell>
        </row>
      </sheetData>
      <sheetData sheetId="2572">
        <row r="7">
          <cell r="C7">
            <v>0</v>
          </cell>
        </row>
      </sheetData>
      <sheetData sheetId="2573">
        <row r="7">
          <cell r="C7">
            <v>2</v>
          </cell>
        </row>
      </sheetData>
      <sheetData sheetId="2574">
        <row r="7">
          <cell r="C7">
            <v>0</v>
          </cell>
        </row>
      </sheetData>
      <sheetData sheetId="2575">
        <row r="7">
          <cell r="C7">
            <v>2</v>
          </cell>
        </row>
      </sheetData>
      <sheetData sheetId="2576"/>
      <sheetData sheetId="2577"/>
      <sheetData sheetId="2578">
        <row r="7">
          <cell r="C7">
            <v>0</v>
          </cell>
        </row>
      </sheetData>
      <sheetData sheetId="2579"/>
      <sheetData sheetId="2580"/>
      <sheetData sheetId="2581"/>
      <sheetData sheetId="2582">
        <row r="7">
          <cell r="C7">
            <v>0</v>
          </cell>
        </row>
      </sheetData>
      <sheetData sheetId="2583"/>
      <sheetData sheetId="2584"/>
      <sheetData sheetId="2585">
        <row r="7">
          <cell r="C7">
            <v>0</v>
          </cell>
        </row>
      </sheetData>
      <sheetData sheetId="2586">
        <row r="7">
          <cell r="C7">
            <v>2</v>
          </cell>
        </row>
      </sheetData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>
        <row r="7">
          <cell r="C7">
            <v>0</v>
          </cell>
        </row>
      </sheetData>
      <sheetData sheetId="2613">
        <row r="7">
          <cell r="C7">
            <v>0</v>
          </cell>
        </row>
      </sheetData>
      <sheetData sheetId="2614"/>
      <sheetData sheetId="2615"/>
      <sheetData sheetId="2616">
        <row r="7">
          <cell r="C7">
            <v>0</v>
          </cell>
        </row>
      </sheetData>
      <sheetData sheetId="2617">
        <row r="7">
          <cell r="C7">
            <v>0</v>
          </cell>
        </row>
      </sheetData>
      <sheetData sheetId="2618">
        <row r="7">
          <cell r="C7">
            <v>0</v>
          </cell>
        </row>
      </sheetData>
      <sheetData sheetId="2619">
        <row r="7">
          <cell r="C7">
            <v>0</v>
          </cell>
        </row>
      </sheetData>
      <sheetData sheetId="2620">
        <row r="7">
          <cell r="C7">
            <v>0</v>
          </cell>
        </row>
      </sheetData>
      <sheetData sheetId="2621">
        <row r="7">
          <cell r="C7">
            <v>2</v>
          </cell>
        </row>
      </sheetData>
      <sheetData sheetId="2622">
        <row r="7">
          <cell r="C7">
            <v>0</v>
          </cell>
        </row>
      </sheetData>
      <sheetData sheetId="2623">
        <row r="7">
          <cell r="C7">
            <v>0</v>
          </cell>
        </row>
      </sheetData>
      <sheetData sheetId="2624">
        <row r="7">
          <cell r="C7">
            <v>0</v>
          </cell>
        </row>
      </sheetData>
      <sheetData sheetId="2625">
        <row r="7">
          <cell r="C7">
            <v>0</v>
          </cell>
        </row>
      </sheetData>
      <sheetData sheetId="2626">
        <row r="7">
          <cell r="C7">
            <v>0</v>
          </cell>
        </row>
      </sheetData>
      <sheetData sheetId="2627">
        <row r="7">
          <cell r="C7">
            <v>0</v>
          </cell>
        </row>
      </sheetData>
      <sheetData sheetId="2628">
        <row r="7">
          <cell r="C7">
            <v>0</v>
          </cell>
        </row>
      </sheetData>
      <sheetData sheetId="2629">
        <row r="7">
          <cell r="C7">
            <v>0</v>
          </cell>
        </row>
      </sheetData>
      <sheetData sheetId="2630">
        <row r="7">
          <cell r="C7">
            <v>2</v>
          </cell>
        </row>
      </sheetData>
      <sheetData sheetId="2631">
        <row r="7">
          <cell r="C7">
            <v>0</v>
          </cell>
        </row>
      </sheetData>
      <sheetData sheetId="2632">
        <row r="7">
          <cell r="C7">
            <v>2</v>
          </cell>
        </row>
      </sheetData>
      <sheetData sheetId="2633">
        <row r="7">
          <cell r="C7">
            <v>2</v>
          </cell>
        </row>
      </sheetData>
      <sheetData sheetId="2634">
        <row r="7">
          <cell r="C7">
            <v>0</v>
          </cell>
        </row>
      </sheetData>
      <sheetData sheetId="2635">
        <row r="7">
          <cell r="C7">
            <v>2</v>
          </cell>
        </row>
      </sheetData>
      <sheetData sheetId="2636">
        <row r="7">
          <cell r="C7">
            <v>0</v>
          </cell>
        </row>
      </sheetData>
      <sheetData sheetId="2637">
        <row r="7">
          <cell r="C7">
            <v>2</v>
          </cell>
        </row>
      </sheetData>
      <sheetData sheetId="2638">
        <row r="7">
          <cell r="C7">
            <v>0</v>
          </cell>
        </row>
      </sheetData>
      <sheetData sheetId="2639">
        <row r="7">
          <cell r="C7">
            <v>0</v>
          </cell>
        </row>
      </sheetData>
      <sheetData sheetId="2640">
        <row r="7">
          <cell r="C7">
            <v>2</v>
          </cell>
        </row>
      </sheetData>
      <sheetData sheetId="2641">
        <row r="7">
          <cell r="C7">
            <v>0</v>
          </cell>
        </row>
      </sheetData>
      <sheetData sheetId="2642">
        <row r="7">
          <cell r="C7">
            <v>2</v>
          </cell>
        </row>
      </sheetData>
      <sheetData sheetId="2643">
        <row r="7">
          <cell r="C7">
            <v>0</v>
          </cell>
        </row>
      </sheetData>
      <sheetData sheetId="2644">
        <row r="7">
          <cell r="C7">
            <v>2</v>
          </cell>
        </row>
      </sheetData>
      <sheetData sheetId="2645">
        <row r="7">
          <cell r="C7">
            <v>0</v>
          </cell>
        </row>
      </sheetData>
      <sheetData sheetId="2646">
        <row r="7">
          <cell r="C7">
            <v>0</v>
          </cell>
        </row>
      </sheetData>
      <sheetData sheetId="2647">
        <row r="7">
          <cell r="C7">
            <v>2</v>
          </cell>
        </row>
      </sheetData>
      <sheetData sheetId="2648">
        <row r="7">
          <cell r="C7">
            <v>0</v>
          </cell>
        </row>
      </sheetData>
      <sheetData sheetId="2649">
        <row r="7">
          <cell r="C7">
            <v>2</v>
          </cell>
        </row>
      </sheetData>
      <sheetData sheetId="2650">
        <row r="7">
          <cell r="C7">
            <v>0</v>
          </cell>
        </row>
      </sheetData>
      <sheetData sheetId="2651"/>
      <sheetData sheetId="2652">
        <row r="7">
          <cell r="C7">
            <v>0</v>
          </cell>
        </row>
      </sheetData>
      <sheetData sheetId="2653">
        <row r="7">
          <cell r="C7">
            <v>0</v>
          </cell>
        </row>
      </sheetData>
      <sheetData sheetId="2654">
        <row r="7">
          <cell r="C7">
            <v>2</v>
          </cell>
        </row>
      </sheetData>
      <sheetData sheetId="2655">
        <row r="7">
          <cell r="C7">
            <v>0</v>
          </cell>
        </row>
      </sheetData>
      <sheetData sheetId="2656">
        <row r="7">
          <cell r="C7">
            <v>2</v>
          </cell>
        </row>
      </sheetData>
      <sheetData sheetId="2657">
        <row r="7">
          <cell r="C7">
            <v>0</v>
          </cell>
        </row>
      </sheetData>
      <sheetData sheetId="2658">
        <row r="7">
          <cell r="C7">
            <v>2</v>
          </cell>
        </row>
      </sheetData>
      <sheetData sheetId="2659">
        <row r="7">
          <cell r="C7">
            <v>0</v>
          </cell>
        </row>
      </sheetData>
      <sheetData sheetId="2660">
        <row r="7">
          <cell r="C7">
            <v>0</v>
          </cell>
        </row>
      </sheetData>
      <sheetData sheetId="2661">
        <row r="7">
          <cell r="C7">
            <v>2</v>
          </cell>
        </row>
      </sheetData>
      <sheetData sheetId="2662">
        <row r="7">
          <cell r="C7">
            <v>0</v>
          </cell>
        </row>
      </sheetData>
      <sheetData sheetId="2663">
        <row r="7">
          <cell r="C7">
            <v>2</v>
          </cell>
        </row>
      </sheetData>
      <sheetData sheetId="2664">
        <row r="7">
          <cell r="C7">
            <v>0</v>
          </cell>
        </row>
      </sheetData>
      <sheetData sheetId="2665">
        <row r="7">
          <cell r="C7">
            <v>2</v>
          </cell>
        </row>
      </sheetData>
      <sheetData sheetId="2666">
        <row r="7">
          <cell r="C7">
            <v>0</v>
          </cell>
        </row>
      </sheetData>
      <sheetData sheetId="2667">
        <row r="7">
          <cell r="C7">
            <v>2</v>
          </cell>
        </row>
      </sheetData>
      <sheetData sheetId="2668">
        <row r="7">
          <cell r="C7">
            <v>0</v>
          </cell>
        </row>
      </sheetData>
      <sheetData sheetId="2669"/>
      <sheetData sheetId="2670">
        <row r="7">
          <cell r="C7">
            <v>0</v>
          </cell>
        </row>
      </sheetData>
      <sheetData sheetId="2671">
        <row r="7">
          <cell r="C7">
            <v>0</v>
          </cell>
        </row>
      </sheetData>
      <sheetData sheetId="2672">
        <row r="7">
          <cell r="C7">
            <v>0</v>
          </cell>
        </row>
      </sheetData>
      <sheetData sheetId="2673">
        <row r="7">
          <cell r="C7">
            <v>0</v>
          </cell>
        </row>
      </sheetData>
      <sheetData sheetId="2674">
        <row r="7">
          <cell r="C7">
            <v>0</v>
          </cell>
        </row>
      </sheetData>
      <sheetData sheetId="2675">
        <row r="7">
          <cell r="C7">
            <v>0</v>
          </cell>
        </row>
      </sheetData>
      <sheetData sheetId="2676">
        <row r="7">
          <cell r="C7">
            <v>2</v>
          </cell>
        </row>
      </sheetData>
      <sheetData sheetId="2677">
        <row r="7">
          <cell r="C7">
            <v>0</v>
          </cell>
        </row>
      </sheetData>
      <sheetData sheetId="2678">
        <row r="7">
          <cell r="C7">
            <v>2</v>
          </cell>
        </row>
      </sheetData>
      <sheetData sheetId="2679">
        <row r="7">
          <cell r="C7">
            <v>2</v>
          </cell>
        </row>
      </sheetData>
      <sheetData sheetId="2680"/>
      <sheetData sheetId="2681"/>
      <sheetData sheetId="2682"/>
      <sheetData sheetId="2683"/>
      <sheetData sheetId="2684"/>
      <sheetData sheetId="2685">
        <row r="7">
          <cell r="C7">
            <v>0</v>
          </cell>
        </row>
      </sheetData>
      <sheetData sheetId="2686">
        <row r="7">
          <cell r="C7">
            <v>0</v>
          </cell>
        </row>
      </sheetData>
      <sheetData sheetId="2687">
        <row r="7">
          <cell r="C7">
            <v>0</v>
          </cell>
        </row>
      </sheetData>
      <sheetData sheetId="2688"/>
      <sheetData sheetId="2689">
        <row r="7">
          <cell r="C7">
            <v>0</v>
          </cell>
        </row>
      </sheetData>
      <sheetData sheetId="2690">
        <row r="7">
          <cell r="C7">
            <v>0</v>
          </cell>
        </row>
      </sheetData>
      <sheetData sheetId="2691">
        <row r="7">
          <cell r="C7">
            <v>0</v>
          </cell>
        </row>
      </sheetData>
      <sheetData sheetId="2692">
        <row r="7">
          <cell r="C7">
            <v>0</v>
          </cell>
        </row>
      </sheetData>
      <sheetData sheetId="2693">
        <row r="7">
          <cell r="C7">
            <v>2</v>
          </cell>
        </row>
      </sheetData>
      <sheetData sheetId="2694">
        <row r="7">
          <cell r="C7">
            <v>0</v>
          </cell>
        </row>
      </sheetData>
      <sheetData sheetId="2695">
        <row r="7">
          <cell r="C7">
            <v>2</v>
          </cell>
        </row>
      </sheetData>
      <sheetData sheetId="2696"/>
      <sheetData sheetId="2697"/>
      <sheetData sheetId="2698">
        <row r="7">
          <cell r="C7">
            <v>0</v>
          </cell>
        </row>
      </sheetData>
      <sheetData sheetId="2699"/>
      <sheetData sheetId="2700"/>
      <sheetData sheetId="2701"/>
      <sheetData sheetId="2702">
        <row r="7">
          <cell r="C7">
            <v>0</v>
          </cell>
        </row>
      </sheetData>
      <sheetData sheetId="2703"/>
      <sheetData sheetId="2704"/>
      <sheetData sheetId="2705">
        <row r="7">
          <cell r="C7">
            <v>0</v>
          </cell>
        </row>
      </sheetData>
      <sheetData sheetId="2706">
        <row r="7">
          <cell r="C7">
            <v>2</v>
          </cell>
        </row>
      </sheetData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>
        <row r="7">
          <cell r="C7">
            <v>0</v>
          </cell>
        </row>
      </sheetData>
      <sheetData sheetId="2733">
        <row r="7">
          <cell r="C7">
            <v>0</v>
          </cell>
        </row>
      </sheetData>
      <sheetData sheetId="2734"/>
      <sheetData sheetId="2735"/>
      <sheetData sheetId="2736">
        <row r="7">
          <cell r="C7">
            <v>0</v>
          </cell>
        </row>
      </sheetData>
      <sheetData sheetId="2737">
        <row r="7">
          <cell r="C7">
            <v>0</v>
          </cell>
        </row>
      </sheetData>
      <sheetData sheetId="2738">
        <row r="7">
          <cell r="C7">
            <v>0</v>
          </cell>
        </row>
      </sheetData>
      <sheetData sheetId="2739">
        <row r="7">
          <cell r="C7">
            <v>0</v>
          </cell>
        </row>
      </sheetData>
      <sheetData sheetId="2740">
        <row r="7">
          <cell r="C7">
            <v>0</v>
          </cell>
        </row>
      </sheetData>
      <sheetData sheetId="2741">
        <row r="7">
          <cell r="C7">
            <v>2</v>
          </cell>
        </row>
      </sheetData>
      <sheetData sheetId="2742">
        <row r="7">
          <cell r="C7">
            <v>0</v>
          </cell>
        </row>
      </sheetData>
      <sheetData sheetId="2743">
        <row r="7">
          <cell r="C7">
            <v>0</v>
          </cell>
        </row>
      </sheetData>
      <sheetData sheetId="2744">
        <row r="7">
          <cell r="C7">
            <v>0</v>
          </cell>
        </row>
      </sheetData>
      <sheetData sheetId="2745">
        <row r="7">
          <cell r="C7">
            <v>0</v>
          </cell>
        </row>
      </sheetData>
      <sheetData sheetId="2746">
        <row r="7">
          <cell r="C7">
            <v>0</v>
          </cell>
        </row>
      </sheetData>
      <sheetData sheetId="2747">
        <row r="7">
          <cell r="C7">
            <v>0</v>
          </cell>
        </row>
      </sheetData>
      <sheetData sheetId="2748">
        <row r="7">
          <cell r="C7">
            <v>0</v>
          </cell>
        </row>
      </sheetData>
      <sheetData sheetId="2749">
        <row r="7">
          <cell r="C7">
            <v>0</v>
          </cell>
        </row>
      </sheetData>
      <sheetData sheetId="2750">
        <row r="7">
          <cell r="C7">
            <v>2</v>
          </cell>
        </row>
      </sheetData>
      <sheetData sheetId="2751">
        <row r="7">
          <cell r="C7">
            <v>0</v>
          </cell>
        </row>
      </sheetData>
      <sheetData sheetId="2752">
        <row r="7">
          <cell r="C7">
            <v>2</v>
          </cell>
        </row>
      </sheetData>
      <sheetData sheetId="2753">
        <row r="7">
          <cell r="C7">
            <v>2</v>
          </cell>
        </row>
      </sheetData>
      <sheetData sheetId="2754">
        <row r="7">
          <cell r="C7">
            <v>0</v>
          </cell>
        </row>
      </sheetData>
      <sheetData sheetId="2755">
        <row r="7">
          <cell r="C7">
            <v>2</v>
          </cell>
        </row>
      </sheetData>
      <sheetData sheetId="2756">
        <row r="7">
          <cell r="C7">
            <v>0</v>
          </cell>
        </row>
      </sheetData>
      <sheetData sheetId="2757">
        <row r="7">
          <cell r="C7">
            <v>2</v>
          </cell>
        </row>
      </sheetData>
      <sheetData sheetId="2758">
        <row r="7">
          <cell r="C7">
            <v>0</v>
          </cell>
        </row>
      </sheetData>
      <sheetData sheetId="2759">
        <row r="7">
          <cell r="C7">
            <v>0</v>
          </cell>
        </row>
      </sheetData>
      <sheetData sheetId="2760">
        <row r="7">
          <cell r="C7">
            <v>2</v>
          </cell>
        </row>
      </sheetData>
      <sheetData sheetId="2761">
        <row r="7">
          <cell r="C7">
            <v>0</v>
          </cell>
        </row>
      </sheetData>
      <sheetData sheetId="2762">
        <row r="7">
          <cell r="C7">
            <v>2</v>
          </cell>
        </row>
      </sheetData>
      <sheetData sheetId="2763">
        <row r="7">
          <cell r="C7">
            <v>0</v>
          </cell>
        </row>
      </sheetData>
      <sheetData sheetId="2764">
        <row r="7">
          <cell r="C7">
            <v>2</v>
          </cell>
        </row>
      </sheetData>
      <sheetData sheetId="2765">
        <row r="7">
          <cell r="C7">
            <v>0</v>
          </cell>
        </row>
      </sheetData>
      <sheetData sheetId="2766">
        <row r="7">
          <cell r="C7">
            <v>0</v>
          </cell>
        </row>
      </sheetData>
      <sheetData sheetId="2767">
        <row r="7">
          <cell r="C7">
            <v>2</v>
          </cell>
        </row>
      </sheetData>
      <sheetData sheetId="2768">
        <row r="7">
          <cell r="C7">
            <v>0</v>
          </cell>
        </row>
      </sheetData>
      <sheetData sheetId="2769">
        <row r="7">
          <cell r="C7">
            <v>2</v>
          </cell>
        </row>
      </sheetData>
      <sheetData sheetId="2770">
        <row r="7">
          <cell r="C7">
            <v>0</v>
          </cell>
        </row>
      </sheetData>
      <sheetData sheetId="2771"/>
      <sheetData sheetId="2772">
        <row r="7">
          <cell r="C7">
            <v>0</v>
          </cell>
        </row>
      </sheetData>
      <sheetData sheetId="2773">
        <row r="7">
          <cell r="C7">
            <v>0</v>
          </cell>
        </row>
      </sheetData>
      <sheetData sheetId="2774">
        <row r="7">
          <cell r="C7">
            <v>2</v>
          </cell>
        </row>
      </sheetData>
      <sheetData sheetId="2775">
        <row r="7">
          <cell r="C7">
            <v>0</v>
          </cell>
        </row>
      </sheetData>
      <sheetData sheetId="2776">
        <row r="7">
          <cell r="C7">
            <v>2</v>
          </cell>
        </row>
      </sheetData>
      <sheetData sheetId="2777">
        <row r="7">
          <cell r="C7">
            <v>0</v>
          </cell>
        </row>
      </sheetData>
      <sheetData sheetId="2778">
        <row r="7">
          <cell r="C7">
            <v>2</v>
          </cell>
        </row>
      </sheetData>
      <sheetData sheetId="2779">
        <row r="7">
          <cell r="C7">
            <v>0</v>
          </cell>
        </row>
      </sheetData>
      <sheetData sheetId="2780">
        <row r="7">
          <cell r="C7">
            <v>0</v>
          </cell>
        </row>
      </sheetData>
      <sheetData sheetId="2781">
        <row r="7">
          <cell r="C7">
            <v>2</v>
          </cell>
        </row>
      </sheetData>
      <sheetData sheetId="2782">
        <row r="7">
          <cell r="C7">
            <v>0</v>
          </cell>
        </row>
      </sheetData>
      <sheetData sheetId="2783">
        <row r="7">
          <cell r="C7">
            <v>2</v>
          </cell>
        </row>
      </sheetData>
      <sheetData sheetId="2784">
        <row r="7">
          <cell r="C7">
            <v>0</v>
          </cell>
        </row>
      </sheetData>
      <sheetData sheetId="2785">
        <row r="7">
          <cell r="C7">
            <v>2</v>
          </cell>
        </row>
      </sheetData>
      <sheetData sheetId="2786">
        <row r="7">
          <cell r="C7">
            <v>0</v>
          </cell>
        </row>
      </sheetData>
      <sheetData sheetId="2787">
        <row r="7">
          <cell r="C7">
            <v>2</v>
          </cell>
        </row>
      </sheetData>
      <sheetData sheetId="2788">
        <row r="7">
          <cell r="C7">
            <v>0</v>
          </cell>
        </row>
      </sheetData>
      <sheetData sheetId="2789"/>
      <sheetData sheetId="2790">
        <row r="7">
          <cell r="C7">
            <v>0</v>
          </cell>
        </row>
      </sheetData>
      <sheetData sheetId="2791">
        <row r="7">
          <cell r="C7">
            <v>0</v>
          </cell>
        </row>
      </sheetData>
      <sheetData sheetId="2792">
        <row r="7">
          <cell r="C7">
            <v>0</v>
          </cell>
        </row>
      </sheetData>
      <sheetData sheetId="2793">
        <row r="7">
          <cell r="C7">
            <v>0</v>
          </cell>
        </row>
      </sheetData>
      <sheetData sheetId="2794">
        <row r="7">
          <cell r="C7">
            <v>0</v>
          </cell>
        </row>
      </sheetData>
      <sheetData sheetId="2795">
        <row r="7">
          <cell r="C7">
            <v>0</v>
          </cell>
        </row>
      </sheetData>
      <sheetData sheetId="2796">
        <row r="7">
          <cell r="C7">
            <v>0</v>
          </cell>
        </row>
      </sheetData>
      <sheetData sheetId="2797">
        <row r="7">
          <cell r="C7">
            <v>0</v>
          </cell>
        </row>
      </sheetData>
      <sheetData sheetId="2798">
        <row r="7">
          <cell r="C7">
            <v>0</v>
          </cell>
        </row>
      </sheetData>
      <sheetData sheetId="2799">
        <row r="7">
          <cell r="C7">
            <v>0</v>
          </cell>
        </row>
      </sheetData>
      <sheetData sheetId="2800">
        <row r="7">
          <cell r="C7">
            <v>0</v>
          </cell>
        </row>
      </sheetData>
      <sheetData sheetId="2801">
        <row r="7">
          <cell r="C7">
            <v>0</v>
          </cell>
        </row>
      </sheetData>
      <sheetData sheetId="2802">
        <row r="7">
          <cell r="C7">
            <v>0</v>
          </cell>
        </row>
      </sheetData>
      <sheetData sheetId="2803">
        <row r="7">
          <cell r="C7">
            <v>0</v>
          </cell>
        </row>
      </sheetData>
      <sheetData sheetId="2804"/>
      <sheetData sheetId="2805">
        <row r="7">
          <cell r="C7">
            <v>0</v>
          </cell>
        </row>
      </sheetData>
      <sheetData sheetId="2806">
        <row r="7">
          <cell r="C7">
            <v>0</v>
          </cell>
        </row>
      </sheetData>
      <sheetData sheetId="2807">
        <row r="7">
          <cell r="C7">
            <v>0</v>
          </cell>
        </row>
      </sheetData>
      <sheetData sheetId="2808"/>
      <sheetData sheetId="2809">
        <row r="7">
          <cell r="C7">
            <v>0</v>
          </cell>
        </row>
      </sheetData>
      <sheetData sheetId="2810">
        <row r="7">
          <cell r="C7">
            <v>0</v>
          </cell>
        </row>
      </sheetData>
      <sheetData sheetId="2811">
        <row r="7">
          <cell r="C7">
            <v>0</v>
          </cell>
        </row>
      </sheetData>
      <sheetData sheetId="2812">
        <row r="7">
          <cell r="C7">
            <v>0</v>
          </cell>
        </row>
      </sheetData>
      <sheetData sheetId="2813">
        <row r="7">
          <cell r="C7">
            <v>2</v>
          </cell>
        </row>
      </sheetData>
      <sheetData sheetId="2814">
        <row r="7">
          <cell r="C7">
            <v>0</v>
          </cell>
        </row>
      </sheetData>
      <sheetData sheetId="2815">
        <row r="7">
          <cell r="C7">
            <v>2</v>
          </cell>
        </row>
      </sheetData>
      <sheetData sheetId="2816"/>
      <sheetData sheetId="2817">
        <row r="7">
          <cell r="C7">
            <v>0</v>
          </cell>
        </row>
      </sheetData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>
        <row r="7">
          <cell r="C7">
            <v>0</v>
          </cell>
        </row>
      </sheetData>
      <sheetData sheetId="2854"/>
      <sheetData sheetId="2855"/>
      <sheetData sheetId="2856"/>
      <sheetData sheetId="2857">
        <row r="7">
          <cell r="C7">
            <v>0</v>
          </cell>
        </row>
      </sheetData>
      <sheetData sheetId="2858"/>
      <sheetData sheetId="2859"/>
      <sheetData sheetId="2860">
        <row r="7">
          <cell r="C7">
            <v>0</v>
          </cell>
        </row>
      </sheetData>
      <sheetData sheetId="2861">
        <row r="7">
          <cell r="C7">
            <v>2</v>
          </cell>
        </row>
      </sheetData>
      <sheetData sheetId="2862">
        <row r="7">
          <cell r="C7">
            <v>0</v>
          </cell>
        </row>
      </sheetData>
      <sheetData sheetId="2863"/>
      <sheetData sheetId="2864">
        <row r="7">
          <cell r="C7">
            <v>0</v>
          </cell>
        </row>
      </sheetData>
      <sheetData sheetId="2865">
        <row r="7">
          <cell r="C7">
            <v>2</v>
          </cell>
        </row>
      </sheetData>
      <sheetData sheetId="2866">
        <row r="7">
          <cell r="C7">
            <v>0</v>
          </cell>
        </row>
      </sheetData>
      <sheetData sheetId="2867">
        <row r="7">
          <cell r="C7">
            <v>0</v>
          </cell>
        </row>
      </sheetData>
      <sheetData sheetId="2868">
        <row r="7">
          <cell r="C7">
            <v>0</v>
          </cell>
        </row>
      </sheetData>
      <sheetData sheetId="2869">
        <row r="7">
          <cell r="C7">
            <v>0</v>
          </cell>
        </row>
      </sheetData>
      <sheetData sheetId="2870">
        <row r="7">
          <cell r="C7">
            <v>2</v>
          </cell>
        </row>
      </sheetData>
      <sheetData sheetId="2871">
        <row r="7">
          <cell r="C7">
            <v>0</v>
          </cell>
        </row>
      </sheetData>
      <sheetData sheetId="2872">
        <row r="7">
          <cell r="C7">
            <v>2</v>
          </cell>
        </row>
      </sheetData>
      <sheetData sheetId="2873">
        <row r="7">
          <cell r="C7">
            <v>2</v>
          </cell>
        </row>
      </sheetData>
      <sheetData sheetId="2874">
        <row r="7">
          <cell r="C7">
            <v>0</v>
          </cell>
        </row>
      </sheetData>
      <sheetData sheetId="2875">
        <row r="7">
          <cell r="C7">
            <v>2</v>
          </cell>
        </row>
      </sheetData>
      <sheetData sheetId="2876">
        <row r="7">
          <cell r="C7">
            <v>0</v>
          </cell>
        </row>
      </sheetData>
      <sheetData sheetId="2877">
        <row r="7">
          <cell r="C7">
            <v>0</v>
          </cell>
        </row>
      </sheetData>
      <sheetData sheetId="2878">
        <row r="7">
          <cell r="C7">
            <v>0</v>
          </cell>
        </row>
      </sheetData>
      <sheetData sheetId="2879">
        <row r="7">
          <cell r="C7">
            <v>0</v>
          </cell>
        </row>
      </sheetData>
      <sheetData sheetId="2880">
        <row r="7">
          <cell r="C7">
            <v>2</v>
          </cell>
        </row>
      </sheetData>
      <sheetData sheetId="2881">
        <row r="7">
          <cell r="C7">
            <v>0</v>
          </cell>
        </row>
      </sheetData>
      <sheetData sheetId="2882">
        <row r="7">
          <cell r="C7">
            <v>2</v>
          </cell>
        </row>
      </sheetData>
      <sheetData sheetId="2883">
        <row r="7">
          <cell r="C7">
            <v>0</v>
          </cell>
        </row>
      </sheetData>
      <sheetData sheetId="2884">
        <row r="7">
          <cell r="C7">
            <v>2</v>
          </cell>
        </row>
      </sheetData>
      <sheetData sheetId="2885">
        <row r="7">
          <cell r="C7">
            <v>0</v>
          </cell>
        </row>
      </sheetData>
      <sheetData sheetId="2886">
        <row r="7">
          <cell r="C7">
            <v>0</v>
          </cell>
        </row>
      </sheetData>
      <sheetData sheetId="2887">
        <row r="7">
          <cell r="C7">
            <v>2</v>
          </cell>
        </row>
      </sheetData>
      <sheetData sheetId="2888">
        <row r="7">
          <cell r="C7">
            <v>0</v>
          </cell>
        </row>
      </sheetData>
      <sheetData sheetId="2889">
        <row r="7">
          <cell r="C7">
            <v>2</v>
          </cell>
        </row>
      </sheetData>
      <sheetData sheetId="2890">
        <row r="7">
          <cell r="C7">
            <v>0</v>
          </cell>
        </row>
      </sheetData>
      <sheetData sheetId="2891">
        <row r="7">
          <cell r="C7">
            <v>0</v>
          </cell>
        </row>
      </sheetData>
      <sheetData sheetId="2892">
        <row r="7">
          <cell r="C7">
            <v>0</v>
          </cell>
        </row>
      </sheetData>
      <sheetData sheetId="2893">
        <row r="7">
          <cell r="C7">
            <v>0</v>
          </cell>
        </row>
      </sheetData>
      <sheetData sheetId="2894">
        <row r="7">
          <cell r="C7">
            <v>2</v>
          </cell>
        </row>
      </sheetData>
      <sheetData sheetId="2895">
        <row r="7">
          <cell r="C7">
            <v>0</v>
          </cell>
        </row>
      </sheetData>
      <sheetData sheetId="2896">
        <row r="7">
          <cell r="C7">
            <v>0</v>
          </cell>
        </row>
      </sheetData>
      <sheetData sheetId="2897">
        <row r="7">
          <cell r="C7">
            <v>0</v>
          </cell>
        </row>
      </sheetData>
      <sheetData sheetId="2898">
        <row r="7">
          <cell r="C7">
            <v>0</v>
          </cell>
        </row>
      </sheetData>
      <sheetData sheetId="2899">
        <row r="7">
          <cell r="C7">
            <v>0</v>
          </cell>
        </row>
      </sheetData>
      <sheetData sheetId="2900">
        <row r="7">
          <cell r="C7">
            <v>0</v>
          </cell>
        </row>
      </sheetData>
      <sheetData sheetId="2901">
        <row r="7">
          <cell r="C7">
            <v>2</v>
          </cell>
        </row>
      </sheetData>
      <sheetData sheetId="2902">
        <row r="7">
          <cell r="C7">
            <v>0</v>
          </cell>
        </row>
      </sheetData>
      <sheetData sheetId="2903">
        <row r="7">
          <cell r="C7">
            <v>2</v>
          </cell>
        </row>
      </sheetData>
      <sheetData sheetId="2904">
        <row r="7">
          <cell r="C7">
            <v>0</v>
          </cell>
        </row>
      </sheetData>
      <sheetData sheetId="2905">
        <row r="7">
          <cell r="C7">
            <v>2</v>
          </cell>
        </row>
      </sheetData>
      <sheetData sheetId="2906">
        <row r="7">
          <cell r="C7">
            <v>0</v>
          </cell>
        </row>
      </sheetData>
      <sheetData sheetId="2907">
        <row r="7">
          <cell r="C7">
            <v>0</v>
          </cell>
        </row>
      </sheetData>
      <sheetData sheetId="2908">
        <row r="7">
          <cell r="C7">
            <v>2</v>
          </cell>
        </row>
      </sheetData>
      <sheetData sheetId="2909">
        <row r="7">
          <cell r="C7">
            <v>0</v>
          </cell>
        </row>
      </sheetData>
      <sheetData sheetId="2910">
        <row r="7">
          <cell r="C7">
            <v>0</v>
          </cell>
        </row>
      </sheetData>
      <sheetData sheetId="2911">
        <row r="7">
          <cell r="C7">
            <v>0</v>
          </cell>
        </row>
      </sheetData>
      <sheetData sheetId="2912">
        <row r="7">
          <cell r="C7">
            <v>0</v>
          </cell>
        </row>
      </sheetData>
      <sheetData sheetId="2913">
        <row r="7">
          <cell r="C7">
            <v>0</v>
          </cell>
        </row>
      </sheetData>
      <sheetData sheetId="2914">
        <row r="7">
          <cell r="C7">
            <v>0</v>
          </cell>
        </row>
      </sheetData>
      <sheetData sheetId="2915"/>
      <sheetData sheetId="2916">
        <row r="7">
          <cell r="C7">
            <v>0</v>
          </cell>
        </row>
      </sheetData>
      <sheetData sheetId="2917"/>
      <sheetData sheetId="2918">
        <row r="7">
          <cell r="C7">
            <v>0</v>
          </cell>
        </row>
      </sheetData>
      <sheetData sheetId="2919">
        <row r="7">
          <cell r="C7">
            <v>0</v>
          </cell>
        </row>
      </sheetData>
      <sheetData sheetId="2920">
        <row r="7">
          <cell r="C7">
            <v>0</v>
          </cell>
        </row>
      </sheetData>
      <sheetData sheetId="2921">
        <row r="7">
          <cell r="C7">
            <v>0</v>
          </cell>
        </row>
      </sheetData>
      <sheetData sheetId="2922">
        <row r="7">
          <cell r="C7">
            <v>0</v>
          </cell>
        </row>
      </sheetData>
      <sheetData sheetId="2923">
        <row r="7">
          <cell r="C7">
            <v>2</v>
          </cell>
        </row>
      </sheetData>
      <sheetData sheetId="2924">
        <row r="7">
          <cell r="C7">
            <v>2</v>
          </cell>
        </row>
      </sheetData>
      <sheetData sheetId="2925">
        <row r="7">
          <cell r="C7">
            <v>0</v>
          </cell>
        </row>
      </sheetData>
      <sheetData sheetId="2926">
        <row r="7">
          <cell r="C7">
            <v>0</v>
          </cell>
        </row>
      </sheetData>
      <sheetData sheetId="2927">
        <row r="7">
          <cell r="C7">
            <v>0</v>
          </cell>
        </row>
      </sheetData>
      <sheetData sheetId="2928"/>
      <sheetData sheetId="2929">
        <row r="7">
          <cell r="C7">
            <v>0</v>
          </cell>
        </row>
      </sheetData>
      <sheetData sheetId="2930">
        <row r="7">
          <cell r="C7">
            <v>0</v>
          </cell>
        </row>
      </sheetData>
      <sheetData sheetId="2931">
        <row r="7">
          <cell r="C7">
            <v>0</v>
          </cell>
        </row>
      </sheetData>
      <sheetData sheetId="2932">
        <row r="7">
          <cell r="C7">
            <v>0</v>
          </cell>
        </row>
      </sheetData>
      <sheetData sheetId="2933">
        <row r="7">
          <cell r="C7">
            <v>2</v>
          </cell>
        </row>
      </sheetData>
      <sheetData sheetId="2934">
        <row r="7">
          <cell r="C7">
            <v>0</v>
          </cell>
        </row>
      </sheetData>
      <sheetData sheetId="2935">
        <row r="7">
          <cell r="C7">
            <v>2</v>
          </cell>
        </row>
      </sheetData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>
        <row r="7">
          <cell r="C7">
            <v>0</v>
          </cell>
        </row>
      </sheetData>
      <sheetData sheetId="2952">
        <row r="7">
          <cell r="C7">
            <v>0</v>
          </cell>
        </row>
      </sheetData>
      <sheetData sheetId="2953">
        <row r="7">
          <cell r="C7">
            <v>0</v>
          </cell>
        </row>
      </sheetData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>
        <row r="7">
          <cell r="C7">
            <v>0</v>
          </cell>
        </row>
      </sheetData>
      <sheetData sheetId="2979"/>
      <sheetData sheetId="2980"/>
      <sheetData sheetId="2981">
        <row r="7">
          <cell r="C7">
            <v>0</v>
          </cell>
        </row>
      </sheetData>
      <sheetData sheetId="2982">
        <row r="7">
          <cell r="C7">
            <v>0</v>
          </cell>
        </row>
      </sheetData>
      <sheetData sheetId="2983">
        <row r="7">
          <cell r="C7">
            <v>2</v>
          </cell>
        </row>
      </sheetData>
      <sheetData sheetId="2984">
        <row r="7">
          <cell r="C7">
            <v>0</v>
          </cell>
        </row>
      </sheetData>
      <sheetData sheetId="2985">
        <row r="7">
          <cell r="C7">
            <v>0</v>
          </cell>
        </row>
      </sheetData>
      <sheetData sheetId="2986">
        <row r="7">
          <cell r="C7">
            <v>2</v>
          </cell>
        </row>
      </sheetData>
      <sheetData sheetId="2987">
        <row r="7">
          <cell r="C7">
            <v>0</v>
          </cell>
        </row>
      </sheetData>
      <sheetData sheetId="2988">
        <row r="7">
          <cell r="C7">
            <v>0</v>
          </cell>
        </row>
      </sheetData>
      <sheetData sheetId="2989">
        <row r="7">
          <cell r="C7">
            <v>0</v>
          </cell>
        </row>
      </sheetData>
      <sheetData sheetId="2990">
        <row r="7">
          <cell r="C7">
            <v>2</v>
          </cell>
        </row>
      </sheetData>
      <sheetData sheetId="2991">
        <row r="7">
          <cell r="C7">
            <v>0</v>
          </cell>
        </row>
      </sheetData>
      <sheetData sheetId="2992">
        <row r="7">
          <cell r="C7">
            <v>0</v>
          </cell>
        </row>
      </sheetData>
      <sheetData sheetId="2993">
        <row r="7">
          <cell r="C7">
            <v>0</v>
          </cell>
        </row>
      </sheetData>
      <sheetData sheetId="2994">
        <row r="7">
          <cell r="C7">
            <v>0</v>
          </cell>
        </row>
      </sheetData>
      <sheetData sheetId="2995">
        <row r="7">
          <cell r="C7">
            <v>2</v>
          </cell>
        </row>
      </sheetData>
      <sheetData sheetId="2996">
        <row r="7">
          <cell r="C7">
            <v>0</v>
          </cell>
        </row>
      </sheetData>
      <sheetData sheetId="2997">
        <row r="7">
          <cell r="C7">
            <v>2</v>
          </cell>
        </row>
      </sheetData>
      <sheetData sheetId="2998">
        <row r="7">
          <cell r="C7">
            <v>2</v>
          </cell>
        </row>
      </sheetData>
      <sheetData sheetId="2999">
        <row r="7">
          <cell r="C7">
            <v>0</v>
          </cell>
        </row>
      </sheetData>
      <sheetData sheetId="3000">
        <row r="7">
          <cell r="C7">
            <v>2</v>
          </cell>
        </row>
      </sheetData>
      <sheetData sheetId="3001">
        <row r="7">
          <cell r="C7">
            <v>0</v>
          </cell>
        </row>
      </sheetData>
      <sheetData sheetId="3002">
        <row r="7">
          <cell r="C7">
            <v>0</v>
          </cell>
        </row>
      </sheetData>
      <sheetData sheetId="3003">
        <row r="7">
          <cell r="C7">
            <v>0</v>
          </cell>
        </row>
      </sheetData>
      <sheetData sheetId="3004">
        <row r="7">
          <cell r="C7">
            <v>0</v>
          </cell>
        </row>
      </sheetData>
      <sheetData sheetId="3005">
        <row r="7">
          <cell r="C7">
            <v>2</v>
          </cell>
        </row>
      </sheetData>
      <sheetData sheetId="3006">
        <row r="7">
          <cell r="C7">
            <v>0</v>
          </cell>
        </row>
      </sheetData>
      <sheetData sheetId="3007">
        <row r="7">
          <cell r="C7">
            <v>2</v>
          </cell>
        </row>
      </sheetData>
      <sheetData sheetId="3008">
        <row r="7">
          <cell r="C7">
            <v>0</v>
          </cell>
        </row>
      </sheetData>
      <sheetData sheetId="3009">
        <row r="7">
          <cell r="C7">
            <v>2</v>
          </cell>
        </row>
      </sheetData>
      <sheetData sheetId="3010">
        <row r="7">
          <cell r="C7">
            <v>0</v>
          </cell>
        </row>
      </sheetData>
      <sheetData sheetId="3011">
        <row r="7">
          <cell r="C7">
            <v>0</v>
          </cell>
        </row>
      </sheetData>
      <sheetData sheetId="3012"/>
      <sheetData sheetId="3013">
        <row r="7">
          <cell r="C7">
            <v>0</v>
          </cell>
        </row>
      </sheetData>
      <sheetData sheetId="3014">
        <row r="7">
          <cell r="C7">
            <v>0</v>
          </cell>
        </row>
      </sheetData>
      <sheetData sheetId="3015">
        <row r="7">
          <cell r="C7">
            <v>0</v>
          </cell>
        </row>
      </sheetData>
      <sheetData sheetId="3016">
        <row r="7">
          <cell r="C7">
            <v>0</v>
          </cell>
        </row>
      </sheetData>
      <sheetData sheetId="3017">
        <row r="7">
          <cell r="C7">
            <v>0</v>
          </cell>
        </row>
      </sheetData>
      <sheetData sheetId="3018">
        <row r="7">
          <cell r="C7">
            <v>0</v>
          </cell>
        </row>
      </sheetData>
      <sheetData sheetId="3019">
        <row r="7">
          <cell r="C7">
            <v>2</v>
          </cell>
        </row>
      </sheetData>
      <sheetData sheetId="3020">
        <row r="7">
          <cell r="C7">
            <v>0</v>
          </cell>
        </row>
      </sheetData>
      <sheetData sheetId="3021">
        <row r="7">
          <cell r="C7">
            <v>0</v>
          </cell>
        </row>
      </sheetData>
      <sheetData sheetId="3022">
        <row r="7">
          <cell r="C7">
            <v>0</v>
          </cell>
        </row>
      </sheetData>
      <sheetData sheetId="3023">
        <row r="7">
          <cell r="C7">
            <v>0</v>
          </cell>
        </row>
      </sheetData>
      <sheetData sheetId="3024">
        <row r="7">
          <cell r="C7">
            <v>0</v>
          </cell>
        </row>
      </sheetData>
      <sheetData sheetId="3025">
        <row r="7">
          <cell r="C7">
            <v>0</v>
          </cell>
        </row>
      </sheetData>
      <sheetData sheetId="3026">
        <row r="7">
          <cell r="C7">
            <v>2</v>
          </cell>
        </row>
      </sheetData>
      <sheetData sheetId="3027">
        <row r="7">
          <cell r="C7">
            <v>0</v>
          </cell>
        </row>
      </sheetData>
      <sheetData sheetId="3028">
        <row r="7">
          <cell r="C7">
            <v>2</v>
          </cell>
        </row>
      </sheetData>
      <sheetData sheetId="3029">
        <row r="7">
          <cell r="C7">
            <v>0</v>
          </cell>
        </row>
      </sheetData>
      <sheetData sheetId="3030">
        <row r="7">
          <cell r="C7">
            <v>2</v>
          </cell>
        </row>
      </sheetData>
      <sheetData sheetId="3031">
        <row r="7">
          <cell r="C7">
            <v>0</v>
          </cell>
        </row>
      </sheetData>
      <sheetData sheetId="3032">
        <row r="7">
          <cell r="C7">
            <v>2</v>
          </cell>
        </row>
      </sheetData>
      <sheetData sheetId="3033">
        <row r="7">
          <cell r="C7">
            <v>0</v>
          </cell>
        </row>
      </sheetData>
      <sheetData sheetId="3034"/>
      <sheetData sheetId="3035">
        <row r="7">
          <cell r="C7">
            <v>0</v>
          </cell>
        </row>
      </sheetData>
      <sheetData sheetId="3036">
        <row r="7">
          <cell r="C7">
            <v>0</v>
          </cell>
        </row>
      </sheetData>
      <sheetData sheetId="3037">
        <row r="7">
          <cell r="C7">
            <v>2</v>
          </cell>
        </row>
      </sheetData>
      <sheetData sheetId="3038">
        <row r="7">
          <cell r="C7">
            <v>0</v>
          </cell>
        </row>
      </sheetData>
      <sheetData sheetId="3039">
        <row r="7">
          <cell r="C7">
            <v>2</v>
          </cell>
        </row>
      </sheetData>
      <sheetData sheetId="3040">
        <row r="7">
          <cell r="C7">
            <v>0</v>
          </cell>
        </row>
      </sheetData>
      <sheetData sheetId="3041"/>
      <sheetData sheetId="3042">
        <row r="7">
          <cell r="C7">
            <v>2</v>
          </cell>
        </row>
      </sheetData>
      <sheetData sheetId="3043">
        <row r="7">
          <cell r="C7">
            <v>0</v>
          </cell>
        </row>
      </sheetData>
      <sheetData sheetId="3044">
        <row r="7">
          <cell r="C7">
            <v>2</v>
          </cell>
        </row>
      </sheetData>
      <sheetData sheetId="3045"/>
      <sheetData sheetId="3046">
        <row r="7">
          <cell r="C7">
            <v>0</v>
          </cell>
        </row>
      </sheetData>
      <sheetData sheetId="3047"/>
      <sheetData sheetId="3048">
        <row r="7">
          <cell r="C7">
            <v>0</v>
          </cell>
        </row>
      </sheetData>
      <sheetData sheetId="3049"/>
      <sheetData sheetId="3050">
        <row r="7">
          <cell r="C7">
            <v>0</v>
          </cell>
        </row>
      </sheetData>
      <sheetData sheetId="3051">
        <row r="7">
          <cell r="C7">
            <v>0</v>
          </cell>
        </row>
      </sheetData>
      <sheetData sheetId="3052">
        <row r="7">
          <cell r="C7">
            <v>0</v>
          </cell>
        </row>
      </sheetData>
      <sheetData sheetId="3053"/>
      <sheetData sheetId="3054">
        <row r="7">
          <cell r="C7">
            <v>0</v>
          </cell>
        </row>
      </sheetData>
      <sheetData sheetId="3055">
        <row r="7">
          <cell r="C7">
            <v>0</v>
          </cell>
        </row>
      </sheetData>
      <sheetData sheetId="3056">
        <row r="7">
          <cell r="C7">
            <v>0</v>
          </cell>
        </row>
      </sheetData>
      <sheetData sheetId="3057">
        <row r="7">
          <cell r="C7">
            <v>0</v>
          </cell>
        </row>
      </sheetData>
      <sheetData sheetId="3058">
        <row r="7">
          <cell r="C7">
            <v>2</v>
          </cell>
        </row>
      </sheetData>
      <sheetData sheetId="3059">
        <row r="7">
          <cell r="C7">
            <v>0</v>
          </cell>
        </row>
      </sheetData>
      <sheetData sheetId="3060">
        <row r="7">
          <cell r="C7">
            <v>2</v>
          </cell>
        </row>
      </sheetData>
      <sheetData sheetId="3061"/>
      <sheetData sheetId="3062">
        <row r="7">
          <cell r="C7">
            <v>0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>
        <row r="7">
          <cell r="C7">
            <v>0</v>
          </cell>
        </row>
      </sheetData>
      <sheetData sheetId="3099"/>
      <sheetData sheetId="3100"/>
      <sheetData sheetId="3101"/>
      <sheetData sheetId="3102">
        <row r="7">
          <cell r="C7">
            <v>0</v>
          </cell>
        </row>
      </sheetData>
      <sheetData sheetId="3103"/>
      <sheetData sheetId="3104"/>
      <sheetData sheetId="3105">
        <row r="7">
          <cell r="C7">
            <v>0</v>
          </cell>
        </row>
      </sheetData>
      <sheetData sheetId="3106">
        <row r="7">
          <cell r="C7">
            <v>2</v>
          </cell>
        </row>
      </sheetData>
      <sheetData sheetId="3107">
        <row r="7">
          <cell r="C7">
            <v>0</v>
          </cell>
        </row>
      </sheetData>
      <sheetData sheetId="3108">
        <row r="7">
          <cell r="C7">
            <v>0</v>
          </cell>
        </row>
      </sheetData>
      <sheetData sheetId="3109">
        <row r="7">
          <cell r="C7">
            <v>0</v>
          </cell>
        </row>
      </sheetData>
      <sheetData sheetId="3110">
        <row r="7">
          <cell r="C7">
            <v>2</v>
          </cell>
        </row>
      </sheetData>
      <sheetData sheetId="3111">
        <row r="7">
          <cell r="C7">
            <v>0</v>
          </cell>
        </row>
      </sheetData>
      <sheetData sheetId="3112">
        <row r="7">
          <cell r="C7">
            <v>0</v>
          </cell>
        </row>
      </sheetData>
      <sheetData sheetId="3113">
        <row r="7">
          <cell r="C7">
            <v>0</v>
          </cell>
        </row>
      </sheetData>
      <sheetData sheetId="3114">
        <row r="7">
          <cell r="C7">
            <v>0</v>
          </cell>
        </row>
      </sheetData>
      <sheetData sheetId="3115">
        <row r="7">
          <cell r="C7">
            <v>2</v>
          </cell>
        </row>
      </sheetData>
      <sheetData sheetId="3116">
        <row r="7">
          <cell r="C7">
            <v>0</v>
          </cell>
        </row>
      </sheetData>
      <sheetData sheetId="3117">
        <row r="7">
          <cell r="C7">
            <v>2</v>
          </cell>
        </row>
      </sheetData>
      <sheetData sheetId="3118">
        <row r="7">
          <cell r="C7">
            <v>2</v>
          </cell>
        </row>
      </sheetData>
      <sheetData sheetId="3119">
        <row r="7">
          <cell r="C7">
            <v>0</v>
          </cell>
        </row>
      </sheetData>
      <sheetData sheetId="3120">
        <row r="7">
          <cell r="C7">
            <v>2</v>
          </cell>
        </row>
      </sheetData>
      <sheetData sheetId="3121">
        <row r="7">
          <cell r="C7">
            <v>0</v>
          </cell>
        </row>
      </sheetData>
      <sheetData sheetId="3122">
        <row r="7">
          <cell r="C7">
            <v>0</v>
          </cell>
        </row>
      </sheetData>
      <sheetData sheetId="3123">
        <row r="7">
          <cell r="C7">
            <v>0</v>
          </cell>
        </row>
      </sheetData>
      <sheetData sheetId="3124">
        <row r="7">
          <cell r="C7">
            <v>0</v>
          </cell>
        </row>
      </sheetData>
      <sheetData sheetId="3125">
        <row r="7">
          <cell r="C7">
            <v>2</v>
          </cell>
        </row>
      </sheetData>
      <sheetData sheetId="3126">
        <row r="7">
          <cell r="C7">
            <v>0</v>
          </cell>
        </row>
      </sheetData>
      <sheetData sheetId="3127">
        <row r="7">
          <cell r="C7">
            <v>2</v>
          </cell>
        </row>
      </sheetData>
      <sheetData sheetId="3128">
        <row r="7">
          <cell r="C7">
            <v>0</v>
          </cell>
        </row>
      </sheetData>
      <sheetData sheetId="3129">
        <row r="7">
          <cell r="C7">
            <v>2</v>
          </cell>
        </row>
      </sheetData>
      <sheetData sheetId="3130">
        <row r="7">
          <cell r="C7">
            <v>2</v>
          </cell>
        </row>
      </sheetData>
      <sheetData sheetId="3131">
        <row r="7">
          <cell r="C7">
            <v>0</v>
          </cell>
        </row>
      </sheetData>
      <sheetData sheetId="3132">
        <row r="7">
          <cell r="C7">
            <v>2</v>
          </cell>
        </row>
      </sheetData>
      <sheetData sheetId="3133">
        <row r="7">
          <cell r="C7">
            <v>0</v>
          </cell>
        </row>
      </sheetData>
      <sheetData sheetId="3134">
        <row r="7">
          <cell r="C7">
            <v>0</v>
          </cell>
        </row>
      </sheetData>
      <sheetData sheetId="3135">
        <row r="7">
          <cell r="C7">
            <v>0</v>
          </cell>
        </row>
      </sheetData>
      <sheetData sheetId="3136">
        <row r="7">
          <cell r="C7">
            <v>0</v>
          </cell>
        </row>
      </sheetData>
      <sheetData sheetId="3137">
        <row r="7">
          <cell r="C7">
            <v>0</v>
          </cell>
        </row>
      </sheetData>
      <sheetData sheetId="3138">
        <row r="7">
          <cell r="C7">
            <v>0</v>
          </cell>
        </row>
      </sheetData>
      <sheetData sheetId="3139">
        <row r="7">
          <cell r="C7">
            <v>2</v>
          </cell>
        </row>
      </sheetData>
      <sheetData sheetId="3140">
        <row r="7">
          <cell r="C7">
            <v>0</v>
          </cell>
        </row>
      </sheetData>
      <sheetData sheetId="3141">
        <row r="7">
          <cell r="C7">
            <v>0</v>
          </cell>
        </row>
      </sheetData>
      <sheetData sheetId="3142">
        <row r="7">
          <cell r="C7">
            <v>0</v>
          </cell>
        </row>
      </sheetData>
      <sheetData sheetId="3143">
        <row r="7">
          <cell r="C7">
            <v>0</v>
          </cell>
        </row>
      </sheetData>
      <sheetData sheetId="3144">
        <row r="7">
          <cell r="C7">
            <v>0</v>
          </cell>
        </row>
      </sheetData>
      <sheetData sheetId="3145">
        <row r="7">
          <cell r="C7">
            <v>0</v>
          </cell>
        </row>
      </sheetData>
      <sheetData sheetId="3146">
        <row r="7">
          <cell r="C7">
            <v>2</v>
          </cell>
        </row>
      </sheetData>
      <sheetData sheetId="3147">
        <row r="7">
          <cell r="C7">
            <v>0</v>
          </cell>
        </row>
      </sheetData>
      <sheetData sheetId="3148">
        <row r="7">
          <cell r="C7">
            <v>2</v>
          </cell>
        </row>
      </sheetData>
      <sheetData sheetId="3149">
        <row r="7">
          <cell r="C7">
            <v>0</v>
          </cell>
        </row>
      </sheetData>
      <sheetData sheetId="3150">
        <row r="7">
          <cell r="C7">
            <v>2</v>
          </cell>
        </row>
      </sheetData>
      <sheetData sheetId="3151">
        <row r="7">
          <cell r="C7">
            <v>2</v>
          </cell>
        </row>
      </sheetData>
      <sheetData sheetId="3152">
        <row r="7">
          <cell r="C7">
            <v>0</v>
          </cell>
        </row>
      </sheetData>
      <sheetData sheetId="3153">
        <row r="7">
          <cell r="C7">
            <v>2</v>
          </cell>
        </row>
      </sheetData>
      <sheetData sheetId="3154">
        <row r="7">
          <cell r="C7">
            <v>0</v>
          </cell>
        </row>
      </sheetData>
      <sheetData sheetId="3155">
        <row r="7">
          <cell r="C7">
            <v>0</v>
          </cell>
        </row>
      </sheetData>
      <sheetData sheetId="3156">
        <row r="7">
          <cell r="C7">
            <v>0</v>
          </cell>
        </row>
      </sheetData>
      <sheetData sheetId="3157">
        <row r="7">
          <cell r="C7">
            <v>0</v>
          </cell>
        </row>
      </sheetData>
      <sheetData sheetId="3158">
        <row r="7">
          <cell r="C7">
            <v>0</v>
          </cell>
        </row>
      </sheetData>
      <sheetData sheetId="3159">
        <row r="7">
          <cell r="C7">
            <v>0</v>
          </cell>
        </row>
      </sheetData>
      <sheetData sheetId="3160"/>
      <sheetData sheetId="3161">
        <row r="7">
          <cell r="C7">
            <v>0</v>
          </cell>
        </row>
      </sheetData>
      <sheetData sheetId="3162"/>
      <sheetData sheetId="3163">
        <row r="7">
          <cell r="C7">
            <v>0</v>
          </cell>
        </row>
      </sheetData>
      <sheetData sheetId="3164">
        <row r="7">
          <cell r="C7">
            <v>0</v>
          </cell>
        </row>
      </sheetData>
      <sheetData sheetId="3165">
        <row r="7">
          <cell r="C7">
            <v>0</v>
          </cell>
        </row>
      </sheetData>
      <sheetData sheetId="3166">
        <row r="7">
          <cell r="C7">
            <v>0</v>
          </cell>
        </row>
      </sheetData>
      <sheetData sheetId="3167">
        <row r="7">
          <cell r="C7">
            <v>0</v>
          </cell>
        </row>
      </sheetData>
      <sheetData sheetId="3168">
        <row r="7">
          <cell r="C7">
            <v>0</v>
          </cell>
        </row>
      </sheetData>
      <sheetData sheetId="3169">
        <row r="7">
          <cell r="C7">
            <v>2</v>
          </cell>
        </row>
      </sheetData>
      <sheetData sheetId="3170">
        <row r="7">
          <cell r="C7">
            <v>0</v>
          </cell>
        </row>
      </sheetData>
      <sheetData sheetId="3171">
        <row r="7">
          <cell r="C7">
            <v>2</v>
          </cell>
        </row>
      </sheetData>
      <sheetData sheetId="3172">
        <row r="7">
          <cell r="C7">
            <v>0</v>
          </cell>
        </row>
      </sheetData>
      <sheetData sheetId="3173">
        <row r="7">
          <cell r="C7">
            <v>2</v>
          </cell>
        </row>
      </sheetData>
      <sheetData sheetId="3174">
        <row r="7">
          <cell r="C7">
            <v>0</v>
          </cell>
        </row>
      </sheetData>
      <sheetData sheetId="3175">
        <row r="7">
          <cell r="C7">
            <v>0</v>
          </cell>
        </row>
      </sheetData>
      <sheetData sheetId="3176">
        <row r="7">
          <cell r="C7">
            <v>0</v>
          </cell>
        </row>
      </sheetData>
      <sheetData sheetId="3177">
        <row r="7">
          <cell r="C7">
            <v>0</v>
          </cell>
        </row>
      </sheetData>
      <sheetData sheetId="3178">
        <row r="7">
          <cell r="C7">
            <v>2</v>
          </cell>
        </row>
      </sheetData>
      <sheetData sheetId="3179">
        <row r="7">
          <cell r="C7">
            <v>0</v>
          </cell>
        </row>
      </sheetData>
      <sheetData sheetId="3180">
        <row r="7">
          <cell r="C7">
            <v>2</v>
          </cell>
        </row>
      </sheetData>
      <sheetData sheetId="3181"/>
      <sheetData sheetId="3182"/>
      <sheetData sheetId="3183"/>
      <sheetData sheetId="3184"/>
      <sheetData sheetId="3185"/>
      <sheetData sheetId="3186"/>
      <sheetData sheetId="3187">
        <row r="7">
          <cell r="C7">
            <v>0</v>
          </cell>
        </row>
      </sheetData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>
        <row r="7">
          <cell r="C7">
            <v>0</v>
          </cell>
        </row>
      </sheetData>
      <sheetData sheetId="3197">
        <row r="7">
          <cell r="C7">
            <v>0</v>
          </cell>
        </row>
      </sheetData>
      <sheetData sheetId="3198">
        <row r="7">
          <cell r="C7">
            <v>0</v>
          </cell>
        </row>
      </sheetData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>
        <row r="7">
          <cell r="C7">
            <v>0</v>
          </cell>
        </row>
      </sheetData>
      <sheetData sheetId="3225"/>
      <sheetData sheetId="3226"/>
      <sheetData sheetId="3227">
        <row r="7">
          <cell r="C7">
            <v>0</v>
          </cell>
        </row>
      </sheetData>
      <sheetData sheetId="3228">
        <row r="7">
          <cell r="C7">
            <v>0</v>
          </cell>
        </row>
      </sheetData>
      <sheetData sheetId="3229">
        <row r="7">
          <cell r="C7">
            <v>2</v>
          </cell>
        </row>
      </sheetData>
      <sheetData sheetId="3230">
        <row r="7">
          <cell r="C7">
            <v>0</v>
          </cell>
        </row>
      </sheetData>
      <sheetData sheetId="3231">
        <row r="7">
          <cell r="C7">
            <v>0</v>
          </cell>
        </row>
      </sheetData>
      <sheetData sheetId="3232">
        <row r="7">
          <cell r="C7">
            <v>0</v>
          </cell>
        </row>
      </sheetData>
      <sheetData sheetId="3233">
        <row r="7">
          <cell r="C7">
            <v>0</v>
          </cell>
        </row>
      </sheetData>
      <sheetData sheetId="3234">
        <row r="7">
          <cell r="C7">
            <v>0</v>
          </cell>
        </row>
      </sheetData>
      <sheetData sheetId="3235">
        <row r="7">
          <cell r="C7">
            <v>0</v>
          </cell>
        </row>
      </sheetData>
      <sheetData sheetId="3236">
        <row r="7">
          <cell r="C7">
            <v>0</v>
          </cell>
        </row>
      </sheetData>
      <sheetData sheetId="3237">
        <row r="7">
          <cell r="C7">
            <v>0</v>
          </cell>
        </row>
      </sheetData>
      <sheetData sheetId="3238">
        <row r="7">
          <cell r="C7">
            <v>0</v>
          </cell>
        </row>
      </sheetData>
      <sheetData sheetId="3239">
        <row r="7">
          <cell r="C7">
            <v>0</v>
          </cell>
        </row>
      </sheetData>
      <sheetData sheetId="3240">
        <row r="7">
          <cell r="C7">
            <v>2</v>
          </cell>
        </row>
      </sheetData>
      <sheetData sheetId="3241">
        <row r="7">
          <cell r="C7">
            <v>0</v>
          </cell>
        </row>
      </sheetData>
      <sheetData sheetId="3242">
        <row r="7">
          <cell r="C7">
            <v>2</v>
          </cell>
        </row>
      </sheetData>
      <sheetData sheetId="3243">
        <row r="7">
          <cell r="C7">
            <v>0</v>
          </cell>
        </row>
      </sheetData>
      <sheetData sheetId="3244">
        <row r="7">
          <cell r="C7">
            <v>0</v>
          </cell>
        </row>
      </sheetData>
      <sheetData sheetId="3245">
        <row r="7">
          <cell r="C7">
            <v>0</v>
          </cell>
        </row>
      </sheetData>
      <sheetData sheetId="3246">
        <row r="7">
          <cell r="C7">
            <v>0</v>
          </cell>
        </row>
      </sheetData>
      <sheetData sheetId="3247">
        <row r="7">
          <cell r="C7">
            <v>0</v>
          </cell>
        </row>
      </sheetData>
      <sheetData sheetId="3248">
        <row r="7">
          <cell r="C7">
            <v>0</v>
          </cell>
        </row>
      </sheetData>
      <sheetData sheetId="3249">
        <row r="7">
          <cell r="C7">
            <v>0</v>
          </cell>
        </row>
      </sheetData>
      <sheetData sheetId="3250">
        <row r="7">
          <cell r="C7">
            <v>2</v>
          </cell>
        </row>
      </sheetData>
      <sheetData sheetId="3251">
        <row r="7">
          <cell r="C7">
            <v>0</v>
          </cell>
        </row>
      </sheetData>
      <sheetData sheetId="3252">
        <row r="7">
          <cell r="C7">
            <v>2</v>
          </cell>
        </row>
      </sheetData>
      <sheetData sheetId="3253">
        <row r="7">
          <cell r="C7">
            <v>0</v>
          </cell>
        </row>
      </sheetData>
      <sheetData sheetId="3254">
        <row r="7">
          <cell r="C7">
            <v>0</v>
          </cell>
        </row>
      </sheetData>
      <sheetData sheetId="3255">
        <row r="7">
          <cell r="C7">
            <v>0</v>
          </cell>
        </row>
      </sheetData>
      <sheetData sheetId="3256">
        <row r="7">
          <cell r="C7">
            <v>0</v>
          </cell>
        </row>
      </sheetData>
      <sheetData sheetId="3257">
        <row r="7">
          <cell r="C7">
            <v>0</v>
          </cell>
        </row>
      </sheetData>
      <sheetData sheetId="3258">
        <row r="7">
          <cell r="C7">
            <v>0</v>
          </cell>
        </row>
      </sheetData>
      <sheetData sheetId="3259">
        <row r="7">
          <cell r="C7">
            <v>0</v>
          </cell>
        </row>
      </sheetData>
      <sheetData sheetId="3260">
        <row r="7">
          <cell r="C7">
            <v>0</v>
          </cell>
        </row>
      </sheetData>
      <sheetData sheetId="3261"/>
      <sheetData sheetId="3262">
        <row r="7">
          <cell r="C7">
            <v>2</v>
          </cell>
        </row>
      </sheetData>
      <sheetData sheetId="3263">
        <row r="7">
          <cell r="C7">
            <v>0</v>
          </cell>
        </row>
      </sheetData>
      <sheetData sheetId="3264">
        <row r="7">
          <cell r="C7">
            <v>0</v>
          </cell>
        </row>
      </sheetData>
      <sheetData sheetId="3265">
        <row r="7">
          <cell r="C7">
            <v>0</v>
          </cell>
        </row>
      </sheetData>
      <sheetData sheetId="3266">
        <row r="7">
          <cell r="C7">
            <v>0</v>
          </cell>
        </row>
      </sheetData>
      <sheetData sheetId="3267">
        <row r="7">
          <cell r="C7">
            <v>0</v>
          </cell>
        </row>
      </sheetData>
      <sheetData sheetId="3268">
        <row r="7">
          <cell r="C7">
            <v>0</v>
          </cell>
        </row>
      </sheetData>
      <sheetData sheetId="3269">
        <row r="7">
          <cell r="C7">
            <v>0</v>
          </cell>
        </row>
      </sheetData>
      <sheetData sheetId="3270">
        <row r="7">
          <cell r="C7">
            <v>0</v>
          </cell>
        </row>
      </sheetData>
      <sheetData sheetId="3271">
        <row r="7">
          <cell r="C7">
            <v>2</v>
          </cell>
        </row>
      </sheetData>
      <sheetData sheetId="3272">
        <row r="7">
          <cell r="C7">
            <v>0</v>
          </cell>
        </row>
      </sheetData>
      <sheetData sheetId="3273">
        <row r="7">
          <cell r="C7">
            <v>2</v>
          </cell>
        </row>
      </sheetData>
      <sheetData sheetId="3274">
        <row r="7">
          <cell r="C7">
            <v>0</v>
          </cell>
        </row>
      </sheetData>
      <sheetData sheetId="3275">
        <row r="7">
          <cell r="C7">
            <v>2</v>
          </cell>
        </row>
      </sheetData>
      <sheetData sheetId="3276">
        <row r="7">
          <cell r="C7">
            <v>2</v>
          </cell>
        </row>
      </sheetData>
      <sheetData sheetId="3277">
        <row r="7">
          <cell r="C7">
            <v>2</v>
          </cell>
        </row>
      </sheetData>
      <sheetData sheetId="3278"/>
      <sheetData sheetId="3279"/>
      <sheetData sheetId="3280"/>
      <sheetData sheetId="3281"/>
      <sheetData sheetId="3282"/>
      <sheetData sheetId="3283">
        <row r="7">
          <cell r="C7">
            <v>0</v>
          </cell>
        </row>
      </sheetData>
      <sheetData sheetId="3284">
        <row r="7">
          <cell r="C7">
            <v>0</v>
          </cell>
        </row>
      </sheetData>
      <sheetData sheetId="3285">
        <row r="7">
          <cell r="C7">
            <v>0</v>
          </cell>
        </row>
      </sheetData>
      <sheetData sheetId="3286">
        <row r="7">
          <cell r="C7">
            <v>0</v>
          </cell>
        </row>
      </sheetData>
      <sheetData sheetId="3287">
        <row r="7">
          <cell r="C7">
            <v>0</v>
          </cell>
        </row>
      </sheetData>
      <sheetData sheetId="3288">
        <row r="7">
          <cell r="C7">
            <v>0</v>
          </cell>
        </row>
      </sheetData>
      <sheetData sheetId="3289">
        <row r="7">
          <cell r="C7">
            <v>0</v>
          </cell>
        </row>
      </sheetData>
      <sheetData sheetId="3290">
        <row r="7">
          <cell r="C7">
            <v>0</v>
          </cell>
        </row>
      </sheetData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>
        <row r="7">
          <cell r="C7">
            <v>2</v>
          </cell>
        </row>
      </sheetData>
      <sheetData sheetId="3301">
        <row r="7">
          <cell r="C7">
            <v>0</v>
          </cell>
        </row>
      </sheetData>
      <sheetData sheetId="3302">
        <row r="7">
          <cell r="C7">
            <v>0</v>
          </cell>
        </row>
      </sheetData>
      <sheetData sheetId="3303">
        <row r="7">
          <cell r="C7">
            <v>0</v>
          </cell>
        </row>
      </sheetData>
      <sheetData sheetId="3304">
        <row r="7">
          <cell r="C7">
            <v>0</v>
          </cell>
        </row>
      </sheetData>
      <sheetData sheetId="3305">
        <row r="7">
          <cell r="C7">
            <v>0</v>
          </cell>
        </row>
      </sheetData>
      <sheetData sheetId="3306">
        <row r="7">
          <cell r="C7">
            <v>0</v>
          </cell>
        </row>
      </sheetData>
      <sheetData sheetId="3307">
        <row r="7">
          <cell r="C7">
            <v>0</v>
          </cell>
        </row>
      </sheetData>
      <sheetData sheetId="3308">
        <row r="7">
          <cell r="C7">
            <v>0</v>
          </cell>
        </row>
      </sheetData>
      <sheetData sheetId="3309">
        <row r="7">
          <cell r="C7">
            <v>2</v>
          </cell>
        </row>
      </sheetData>
      <sheetData sheetId="3310">
        <row r="7">
          <cell r="C7">
            <v>2</v>
          </cell>
        </row>
      </sheetData>
      <sheetData sheetId="3311"/>
      <sheetData sheetId="3312">
        <row r="7">
          <cell r="C7">
            <v>2</v>
          </cell>
        </row>
      </sheetData>
      <sheetData sheetId="3313">
        <row r="7">
          <cell r="C7">
            <v>2</v>
          </cell>
        </row>
      </sheetData>
      <sheetData sheetId="3314">
        <row r="7">
          <cell r="C7">
            <v>2</v>
          </cell>
        </row>
      </sheetData>
      <sheetData sheetId="3315"/>
      <sheetData sheetId="3316">
        <row r="7">
          <cell r="C7">
            <v>2</v>
          </cell>
        </row>
      </sheetData>
      <sheetData sheetId="3317"/>
      <sheetData sheetId="3318"/>
      <sheetData sheetId="3319"/>
      <sheetData sheetId="3320"/>
      <sheetData sheetId="3321">
        <row r="7">
          <cell r="C7">
            <v>0</v>
          </cell>
        </row>
      </sheetData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>
        <row r="7">
          <cell r="C7">
            <v>0</v>
          </cell>
        </row>
      </sheetData>
      <sheetData sheetId="3392"/>
      <sheetData sheetId="3393">
        <row r="7">
          <cell r="C7">
            <v>0</v>
          </cell>
        </row>
      </sheetData>
      <sheetData sheetId="3394"/>
      <sheetData sheetId="3395">
        <row r="7">
          <cell r="C7">
            <v>0</v>
          </cell>
        </row>
      </sheetData>
      <sheetData sheetId="3396"/>
      <sheetData sheetId="3397">
        <row r="7">
          <cell r="C7">
            <v>0</v>
          </cell>
        </row>
      </sheetData>
      <sheetData sheetId="3398">
        <row r="7">
          <cell r="C7">
            <v>0</v>
          </cell>
        </row>
      </sheetData>
      <sheetData sheetId="3399">
        <row r="7">
          <cell r="C7">
            <v>0</v>
          </cell>
        </row>
      </sheetData>
      <sheetData sheetId="3400">
        <row r="7">
          <cell r="C7">
            <v>0</v>
          </cell>
        </row>
      </sheetData>
      <sheetData sheetId="3401">
        <row r="7">
          <cell r="C7">
            <v>2</v>
          </cell>
        </row>
      </sheetData>
      <sheetData sheetId="3402">
        <row r="7">
          <cell r="C7">
            <v>2</v>
          </cell>
        </row>
      </sheetData>
      <sheetData sheetId="3403">
        <row r="7">
          <cell r="C7">
            <v>0</v>
          </cell>
        </row>
      </sheetData>
      <sheetData sheetId="3404">
        <row r="7">
          <cell r="C7" t="str">
            <v>: 7,203.17 m2</v>
          </cell>
        </row>
      </sheetData>
      <sheetData sheetId="3405">
        <row r="7">
          <cell r="C7">
            <v>0</v>
          </cell>
        </row>
      </sheetData>
      <sheetData sheetId="3406">
        <row r="7">
          <cell r="C7">
            <v>0</v>
          </cell>
        </row>
      </sheetData>
      <sheetData sheetId="3407">
        <row r="7">
          <cell r="C7">
            <v>0</v>
          </cell>
        </row>
      </sheetData>
      <sheetData sheetId="3408">
        <row r="7">
          <cell r="C7">
            <v>2</v>
          </cell>
        </row>
      </sheetData>
      <sheetData sheetId="3409">
        <row r="7">
          <cell r="C7">
            <v>0</v>
          </cell>
        </row>
      </sheetData>
      <sheetData sheetId="3410">
        <row r="7">
          <cell r="C7">
            <v>0</v>
          </cell>
        </row>
      </sheetData>
      <sheetData sheetId="3411">
        <row r="7">
          <cell r="C7" t="str">
            <v>: 7,203.17 m2</v>
          </cell>
        </row>
      </sheetData>
      <sheetData sheetId="3412">
        <row r="7">
          <cell r="C7" t="str">
            <v>: 7,203.17 m2</v>
          </cell>
        </row>
      </sheetData>
      <sheetData sheetId="3413">
        <row r="7">
          <cell r="C7" t="str">
            <v>: 7,203.17 m2</v>
          </cell>
        </row>
      </sheetData>
      <sheetData sheetId="3414">
        <row r="7">
          <cell r="C7">
            <v>0</v>
          </cell>
        </row>
      </sheetData>
      <sheetData sheetId="3415">
        <row r="7">
          <cell r="C7">
            <v>2</v>
          </cell>
        </row>
      </sheetData>
      <sheetData sheetId="3416">
        <row r="7">
          <cell r="C7">
            <v>2</v>
          </cell>
        </row>
      </sheetData>
      <sheetData sheetId="3417">
        <row r="7">
          <cell r="C7">
            <v>0</v>
          </cell>
        </row>
      </sheetData>
      <sheetData sheetId="3418">
        <row r="7">
          <cell r="C7">
            <v>2</v>
          </cell>
        </row>
      </sheetData>
      <sheetData sheetId="3419">
        <row r="7">
          <cell r="C7">
            <v>2</v>
          </cell>
        </row>
      </sheetData>
      <sheetData sheetId="3420">
        <row r="7">
          <cell r="C7">
            <v>2</v>
          </cell>
        </row>
      </sheetData>
      <sheetData sheetId="3421">
        <row r="7">
          <cell r="C7">
            <v>2</v>
          </cell>
        </row>
      </sheetData>
      <sheetData sheetId="3422">
        <row r="7">
          <cell r="C7">
            <v>2</v>
          </cell>
        </row>
      </sheetData>
      <sheetData sheetId="3423">
        <row r="7">
          <cell r="C7">
            <v>2</v>
          </cell>
        </row>
      </sheetData>
      <sheetData sheetId="3424">
        <row r="7">
          <cell r="C7">
            <v>2</v>
          </cell>
        </row>
      </sheetData>
      <sheetData sheetId="3425">
        <row r="7">
          <cell r="C7">
            <v>2</v>
          </cell>
        </row>
      </sheetData>
      <sheetData sheetId="3426">
        <row r="7">
          <cell r="C7">
            <v>2</v>
          </cell>
        </row>
      </sheetData>
      <sheetData sheetId="3427">
        <row r="7">
          <cell r="C7">
            <v>2</v>
          </cell>
        </row>
      </sheetData>
      <sheetData sheetId="3428">
        <row r="7">
          <cell r="C7">
            <v>0</v>
          </cell>
        </row>
      </sheetData>
      <sheetData sheetId="3429">
        <row r="7">
          <cell r="C7">
            <v>0</v>
          </cell>
        </row>
      </sheetData>
      <sheetData sheetId="3430">
        <row r="7">
          <cell r="C7">
            <v>2</v>
          </cell>
        </row>
      </sheetData>
      <sheetData sheetId="3431">
        <row r="7">
          <cell r="C7">
            <v>2</v>
          </cell>
        </row>
      </sheetData>
      <sheetData sheetId="3432">
        <row r="7">
          <cell r="C7">
            <v>2</v>
          </cell>
        </row>
      </sheetData>
      <sheetData sheetId="3433">
        <row r="7">
          <cell r="C7">
            <v>0</v>
          </cell>
        </row>
      </sheetData>
      <sheetData sheetId="3434">
        <row r="7">
          <cell r="C7">
            <v>0</v>
          </cell>
        </row>
      </sheetData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>
        <row r="7">
          <cell r="C7">
            <v>2</v>
          </cell>
        </row>
      </sheetData>
      <sheetData sheetId="3446"/>
      <sheetData sheetId="3447"/>
      <sheetData sheetId="3448"/>
      <sheetData sheetId="3449"/>
      <sheetData sheetId="3450">
        <row r="7">
          <cell r="C7">
            <v>2</v>
          </cell>
        </row>
      </sheetData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>
        <row r="7">
          <cell r="C7">
            <v>0</v>
          </cell>
        </row>
      </sheetData>
      <sheetData sheetId="3536">
        <row r="7">
          <cell r="C7">
            <v>0</v>
          </cell>
        </row>
      </sheetData>
      <sheetData sheetId="3537">
        <row r="7">
          <cell r="C7">
            <v>2</v>
          </cell>
        </row>
      </sheetData>
      <sheetData sheetId="3538"/>
      <sheetData sheetId="3539"/>
      <sheetData sheetId="3540"/>
      <sheetData sheetId="3541">
        <row r="7">
          <cell r="C7">
            <v>0</v>
          </cell>
        </row>
      </sheetData>
      <sheetData sheetId="3542">
        <row r="7">
          <cell r="C7">
            <v>0</v>
          </cell>
        </row>
      </sheetData>
      <sheetData sheetId="3543"/>
      <sheetData sheetId="3544">
        <row r="7">
          <cell r="C7">
            <v>0</v>
          </cell>
        </row>
      </sheetData>
      <sheetData sheetId="3545">
        <row r="7">
          <cell r="C7">
            <v>2</v>
          </cell>
        </row>
      </sheetData>
      <sheetData sheetId="3546"/>
      <sheetData sheetId="3547">
        <row r="7">
          <cell r="C7">
            <v>0</v>
          </cell>
        </row>
      </sheetData>
      <sheetData sheetId="3548">
        <row r="7">
          <cell r="C7">
            <v>0</v>
          </cell>
        </row>
      </sheetData>
      <sheetData sheetId="3549">
        <row r="7">
          <cell r="C7">
            <v>2</v>
          </cell>
        </row>
      </sheetData>
      <sheetData sheetId="3550">
        <row r="7">
          <cell r="C7">
            <v>0</v>
          </cell>
        </row>
      </sheetData>
      <sheetData sheetId="3551">
        <row r="7">
          <cell r="C7">
            <v>2</v>
          </cell>
        </row>
      </sheetData>
      <sheetData sheetId="3552">
        <row r="7">
          <cell r="C7">
            <v>2</v>
          </cell>
        </row>
      </sheetData>
      <sheetData sheetId="3553">
        <row r="7">
          <cell r="C7">
            <v>0</v>
          </cell>
        </row>
      </sheetData>
      <sheetData sheetId="3554">
        <row r="7">
          <cell r="C7">
            <v>2</v>
          </cell>
        </row>
      </sheetData>
      <sheetData sheetId="3555">
        <row r="7">
          <cell r="C7">
            <v>2</v>
          </cell>
        </row>
      </sheetData>
      <sheetData sheetId="3556">
        <row r="7">
          <cell r="C7">
            <v>2</v>
          </cell>
        </row>
      </sheetData>
      <sheetData sheetId="3557">
        <row r="7">
          <cell r="C7">
            <v>0</v>
          </cell>
        </row>
      </sheetData>
      <sheetData sheetId="3558">
        <row r="7">
          <cell r="C7">
            <v>0</v>
          </cell>
        </row>
      </sheetData>
      <sheetData sheetId="3559">
        <row r="7">
          <cell r="C7">
            <v>0</v>
          </cell>
        </row>
      </sheetData>
      <sheetData sheetId="3560">
        <row r="7">
          <cell r="C7">
            <v>2</v>
          </cell>
        </row>
      </sheetData>
      <sheetData sheetId="3561">
        <row r="7">
          <cell r="C7" t="str">
            <v>: 7,203.17 m2</v>
          </cell>
        </row>
      </sheetData>
      <sheetData sheetId="3562">
        <row r="7">
          <cell r="C7">
            <v>2</v>
          </cell>
        </row>
      </sheetData>
      <sheetData sheetId="3563">
        <row r="7">
          <cell r="C7">
            <v>2</v>
          </cell>
        </row>
      </sheetData>
      <sheetData sheetId="3564"/>
      <sheetData sheetId="3565">
        <row r="7">
          <cell r="C7">
            <v>0</v>
          </cell>
        </row>
      </sheetData>
      <sheetData sheetId="3566">
        <row r="7">
          <cell r="C7">
            <v>0</v>
          </cell>
        </row>
      </sheetData>
      <sheetData sheetId="3567">
        <row r="7">
          <cell r="C7">
            <v>0</v>
          </cell>
        </row>
      </sheetData>
      <sheetData sheetId="3568">
        <row r="7">
          <cell r="C7">
            <v>0</v>
          </cell>
        </row>
      </sheetData>
      <sheetData sheetId="3569">
        <row r="7">
          <cell r="C7">
            <v>0</v>
          </cell>
        </row>
      </sheetData>
      <sheetData sheetId="3570">
        <row r="7">
          <cell r="C7">
            <v>0</v>
          </cell>
        </row>
      </sheetData>
      <sheetData sheetId="3571">
        <row r="7">
          <cell r="C7">
            <v>2</v>
          </cell>
        </row>
      </sheetData>
      <sheetData sheetId="3572">
        <row r="7">
          <cell r="C7">
            <v>2</v>
          </cell>
        </row>
      </sheetData>
      <sheetData sheetId="3573"/>
      <sheetData sheetId="3574"/>
      <sheetData sheetId="3575"/>
      <sheetData sheetId="3576"/>
      <sheetData sheetId="3577">
        <row r="7">
          <cell r="C7">
            <v>0</v>
          </cell>
        </row>
      </sheetData>
      <sheetData sheetId="3578"/>
      <sheetData sheetId="3579"/>
      <sheetData sheetId="3580"/>
      <sheetData sheetId="3581"/>
      <sheetData sheetId="3582"/>
      <sheetData sheetId="3583">
        <row r="7">
          <cell r="C7">
            <v>2</v>
          </cell>
        </row>
      </sheetData>
      <sheetData sheetId="3584"/>
      <sheetData sheetId="3585"/>
      <sheetData sheetId="3586"/>
      <sheetData sheetId="3587"/>
      <sheetData sheetId="3588">
        <row r="7">
          <cell r="C7">
            <v>2</v>
          </cell>
        </row>
      </sheetData>
      <sheetData sheetId="3589"/>
      <sheetData sheetId="3590">
        <row r="7">
          <cell r="C7">
            <v>2</v>
          </cell>
        </row>
      </sheetData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>
        <row r="7">
          <cell r="C7">
            <v>0</v>
          </cell>
        </row>
      </sheetData>
      <sheetData sheetId="3674">
        <row r="7">
          <cell r="C7">
            <v>0</v>
          </cell>
        </row>
      </sheetData>
      <sheetData sheetId="3675">
        <row r="7">
          <cell r="C7">
            <v>2</v>
          </cell>
        </row>
      </sheetData>
      <sheetData sheetId="3676"/>
      <sheetData sheetId="3677"/>
      <sheetData sheetId="3678"/>
      <sheetData sheetId="3679">
        <row r="7">
          <cell r="C7">
            <v>0</v>
          </cell>
        </row>
      </sheetData>
      <sheetData sheetId="3680">
        <row r="7">
          <cell r="C7">
            <v>0</v>
          </cell>
        </row>
      </sheetData>
      <sheetData sheetId="3681"/>
      <sheetData sheetId="3682">
        <row r="7">
          <cell r="C7">
            <v>0</v>
          </cell>
        </row>
      </sheetData>
      <sheetData sheetId="3683">
        <row r="7">
          <cell r="C7">
            <v>2</v>
          </cell>
        </row>
      </sheetData>
      <sheetData sheetId="3684"/>
      <sheetData sheetId="3685">
        <row r="7">
          <cell r="C7">
            <v>0</v>
          </cell>
        </row>
      </sheetData>
      <sheetData sheetId="3686">
        <row r="7">
          <cell r="C7" t="str">
            <v>: 7,203.17 m2</v>
          </cell>
        </row>
      </sheetData>
      <sheetData sheetId="3687">
        <row r="7">
          <cell r="C7">
            <v>2</v>
          </cell>
        </row>
      </sheetData>
      <sheetData sheetId="3688">
        <row r="7">
          <cell r="C7">
            <v>0</v>
          </cell>
        </row>
      </sheetData>
      <sheetData sheetId="3689">
        <row r="7">
          <cell r="C7">
            <v>2</v>
          </cell>
        </row>
      </sheetData>
      <sheetData sheetId="3690">
        <row r="7">
          <cell r="C7">
            <v>2</v>
          </cell>
        </row>
      </sheetData>
      <sheetData sheetId="3691">
        <row r="7">
          <cell r="C7">
            <v>2</v>
          </cell>
        </row>
      </sheetData>
      <sheetData sheetId="3692">
        <row r="7">
          <cell r="C7" t="str">
            <v>: 7,203.17 m2</v>
          </cell>
        </row>
      </sheetData>
      <sheetData sheetId="3693">
        <row r="7">
          <cell r="C7">
            <v>2</v>
          </cell>
        </row>
      </sheetData>
      <sheetData sheetId="3694">
        <row r="7">
          <cell r="C7">
            <v>2</v>
          </cell>
        </row>
      </sheetData>
      <sheetData sheetId="3695">
        <row r="7">
          <cell r="C7">
            <v>0</v>
          </cell>
        </row>
      </sheetData>
      <sheetData sheetId="3696">
        <row r="7">
          <cell r="C7">
            <v>0</v>
          </cell>
        </row>
      </sheetData>
      <sheetData sheetId="3697">
        <row r="7">
          <cell r="C7">
            <v>0</v>
          </cell>
        </row>
      </sheetData>
      <sheetData sheetId="3698">
        <row r="7">
          <cell r="C7">
            <v>0</v>
          </cell>
        </row>
      </sheetData>
      <sheetData sheetId="3699">
        <row r="7">
          <cell r="C7">
            <v>2</v>
          </cell>
        </row>
      </sheetData>
      <sheetData sheetId="3700">
        <row r="7">
          <cell r="C7" t="str">
            <v>: 7,203.17 m2</v>
          </cell>
        </row>
      </sheetData>
      <sheetData sheetId="3701">
        <row r="7">
          <cell r="C7">
            <v>2</v>
          </cell>
        </row>
      </sheetData>
      <sheetData sheetId="3702"/>
      <sheetData sheetId="3703">
        <row r="7">
          <cell r="C7">
            <v>0</v>
          </cell>
        </row>
      </sheetData>
      <sheetData sheetId="3704">
        <row r="7">
          <cell r="C7">
            <v>0</v>
          </cell>
        </row>
      </sheetData>
      <sheetData sheetId="3705">
        <row r="7">
          <cell r="C7">
            <v>2</v>
          </cell>
        </row>
      </sheetData>
      <sheetData sheetId="3706">
        <row r="7">
          <cell r="C7">
            <v>2</v>
          </cell>
        </row>
      </sheetData>
      <sheetData sheetId="3707">
        <row r="7">
          <cell r="C7">
            <v>2</v>
          </cell>
        </row>
      </sheetData>
      <sheetData sheetId="3708"/>
      <sheetData sheetId="3709"/>
      <sheetData sheetId="3710">
        <row r="7">
          <cell r="C7">
            <v>0</v>
          </cell>
        </row>
      </sheetData>
      <sheetData sheetId="3711">
        <row r="7">
          <cell r="C7">
            <v>0</v>
          </cell>
        </row>
      </sheetData>
      <sheetData sheetId="3712">
        <row r="7">
          <cell r="C7">
            <v>0</v>
          </cell>
        </row>
      </sheetData>
      <sheetData sheetId="3713">
        <row r="7">
          <cell r="C7">
            <v>0</v>
          </cell>
        </row>
      </sheetData>
      <sheetData sheetId="3714"/>
      <sheetData sheetId="3715">
        <row r="7">
          <cell r="C7">
            <v>0</v>
          </cell>
        </row>
      </sheetData>
      <sheetData sheetId="3716"/>
      <sheetData sheetId="3717">
        <row r="7">
          <cell r="C7">
            <v>2</v>
          </cell>
        </row>
      </sheetData>
      <sheetData sheetId="3718">
        <row r="7">
          <cell r="C7">
            <v>0</v>
          </cell>
        </row>
      </sheetData>
      <sheetData sheetId="3719"/>
      <sheetData sheetId="3720"/>
      <sheetData sheetId="3721">
        <row r="7">
          <cell r="C7">
            <v>2</v>
          </cell>
        </row>
      </sheetData>
      <sheetData sheetId="3722"/>
      <sheetData sheetId="3723"/>
      <sheetData sheetId="3724"/>
      <sheetData sheetId="3725"/>
      <sheetData sheetId="3726">
        <row r="7">
          <cell r="C7">
            <v>2</v>
          </cell>
        </row>
      </sheetData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>
        <row r="7">
          <cell r="C7">
            <v>0</v>
          </cell>
        </row>
      </sheetData>
      <sheetData sheetId="3812">
        <row r="7">
          <cell r="C7">
            <v>0</v>
          </cell>
        </row>
      </sheetData>
      <sheetData sheetId="3813">
        <row r="7">
          <cell r="C7">
            <v>2</v>
          </cell>
        </row>
      </sheetData>
      <sheetData sheetId="3814"/>
      <sheetData sheetId="3815"/>
      <sheetData sheetId="3816"/>
      <sheetData sheetId="3817">
        <row r="7">
          <cell r="C7">
            <v>0</v>
          </cell>
        </row>
      </sheetData>
      <sheetData sheetId="3818">
        <row r="7">
          <cell r="C7">
            <v>0</v>
          </cell>
        </row>
      </sheetData>
      <sheetData sheetId="3819"/>
      <sheetData sheetId="3820">
        <row r="7">
          <cell r="C7">
            <v>0</v>
          </cell>
        </row>
      </sheetData>
      <sheetData sheetId="3821">
        <row r="7">
          <cell r="C7">
            <v>2</v>
          </cell>
        </row>
      </sheetData>
      <sheetData sheetId="3822"/>
      <sheetData sheetId="3823">
        <row r="7">
          <cell r="C7">
            <v>0</v>
          </cell>
        </row>
      </sheetData>
      <sheetData sheetId="3824">
        <row r="7">
          <cell r="C7" t="str">
            <v>: 7,203.17 m2</v>
          </cell>
        </row>
      </sheetData>
      <sheetData sheetId="3825">
        <row r="7">
          <cell r="C7">
            <v>2</v>
          </cell>
        </row>
      </sheetData>
      <sheetData sheetId="3826">
        <row r="7">
          <cell r="C7">
            <v>0</v>
          </cell>
        </row>
      </sheetData>
      <sheetData sheetId="3827">
        <row r="7">
          <cell r="C7">
            <v>2</v>
          </cell>
        </row>
      </sheetData>
      <sheetData sheetId="3828">
        <row r="7">
          <cell r="C7">
            <v>2</v>
          </cell>
        </row>
      </sheetData>
      <sheetData sheetId="3829">
        <row r="7">
          <cell r="C7">
            <v>2</v>
          </cell>
        </row>
      </sheetData>
      <sheetData sheetId="3830">
        <row r="7">
          <cell r="C7" t="str">
            <v>: 7,203.17 m2</v>
          </cell>
        </row>
      </sheetData>
      <sheetData sheetId="3831">
        <row r="7">
          <cell r="C7">
            <v>2</v>
          </cell>
        </row>
      </sheetData>
      <sheetData sheetId="3832">
        <row r="7">
          <cell r="C7">
            <v>2</v>
          </cell>
        </row>
      </sheetData>
      <sheetData sheetId="3833">
        <row r="7">
          <cell r="C7">
            <v>0</v>
          </cell>
        </row>
      </sheetData>
      <sheetData sheetId="3834">
        <row r="7">
          <cell r="C7">
            <v>0</v>
          </cell>
        </row>
      </sheetData>
      <sheetData sheetId="3835">
        <row r="7">
          <cell r="C7">
            <v>0</v>
          </cell>
        </row>
      </sheetData>
      <sheetData sheetId="3836">
        <row r="7">
          <cell r="C7">
            <v>0</v>
          </cell>
        </row>
      </sheetData>
      <sheetData sheetId="3837">
        <row r="7">
          <cell r="C7">
            <v>2</v>
          </cell>
        </row>
      </sheetData>
      <sheetData sheetId="3838">
        <row r="7">
          <cell r="C7" t="str">
            <v>: 7,203.17 m2</v>
          </cell>
        </row>
      </sheetData>
      <sheetData sheetId="3839">
        <row r="7">
          <cell r="C7">
            <v>2</v>
          </cell>
        </row>
      </sheetData>
      <sheetData sheetId="3840"/>
      <sheetData sheetId="3841">
        <row r="7">
          <cell r="C7">
            <v>0</v>
          </cell>
        </row>
      </sheetData>
      <sheetData sheetId="3842">
        <row r="7">
          <cell r="C7">
            <v>0</v>
          </cell>
        </row>
      </sheetData>
      <sheetData sheetId="3843">
        <row r="7">
          <cell r="C7">
            <v>2</v>
          </cell>
        </row>
      </sheetData>
      <sheetData sheetId="3844">
        <row r="7">
          <cell r="C7">
            <v>2</v>
          </cell>
        </row>
      </sheetData>
      <sheetData sheetId="3845">
        <row r="7">
          <cell r="C7">
            <v>2</v>
          </cell>
        </row>
      </sheetData>
      <sheetData sheetId="3846"/>
      <sheetData sheetId="3847"/>
      <sheetData sheetId="3848">
        <row r="7">
          <cell r="C7">
            <v>0</v>
          </cell>
        </row>
      </sheetData>
      <sheetData sheetId="3849">
        <row r="7">
          <cell r="C7">
            <v>0</v>
          </cell>
        </row>
      </sheetData>
      <sheetData sheetId="3850">
        <row r="7">
          <cell r="C7">
            <v>0</v>
          </cell>
        </row>
      </sheetData>
      <sheetData sheetId="3851">
        <row r="7">
          <cell r="C7">
            <v>0</v>
          </cell>
        </row>
      </sheetData>
      <sheetData sheetId="3852"/>
      <sheetData sheetId="3853">
        <row r="7">
          <cell r="C7">
            <v>0</v>
          </cell>
        </row>
      </sheetData>
      <sheetData sheetId="3854"/>
      <sheetData sheetId="3855"/>
      <sheetData sheetId="3856"/>
      <sheetData sheetId="3857"/>
      <sheetData sheetId="3858"/>
      <sheetData sheetId="3859">
        <row r="7">
          <cell r="C7">
            <v>2</v>
          </cell>
        </row>
      </sheetData>
      <sheetData sheetId="3860"/>
      <sheetData sheetId="3861"/>
      <sheetData sheetId="3862"/>
      <sheetData sheetId="3863"/>
      <sheetData sheetId="3864">
        <row r="7">
          <cell r="C7">
            <v>2</v>
          </cell>
        </row>
      </sheetData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>
        <row r="7">
          <cell r="C7">
            <v>0</v>
          </cell>
        </row>
      </sheetData>
      <sheetData sheetId="3950">
        <row r="7">
          <cell r="C7">
            <v>0</v>
          </cell>
        </row>
      </sheetData>
      <sheetData sheetId="3951">
        <row r="7">
          <cell r="C7">
            <v>2</v>
          </cell>
        </row>
      </sheetData>
      <sheetData sheetId="3952"/>
      <sheetData sheetId="3953"/>
      <sheetData sheetId="3954"/>
      <sheetData sheetId="3955">
        <row r="7">
          <cell r="C7">
            <v>0</v>
          </cell>
        </row>
      </sheetData>
      <sheetData sheetId="3956">
        <row r="7">
          <cell r="C7">
            <v>0</v>
          </cell>
        </row>
      </sheetData>
      <sheetData sheetId="3957"/>
      <sheetData sheetId="3958">
        <row r="7">
          <cell r="C7">
            <v>0</v>
          </cell>
        </row>
      </sheetData>
      <sheetData sheetId="3959">
        <row r="7">
          <cell r="C7">
            <v>2</v>
          </cell>
        </row>
      </sheetData>
      <sheetData sheetId="3960"/>
      <sheetData sheetId="3961">
        <row r="7">
          <cell r="C7">
            <v>0</v>
          </cell>
        </row>
      </sheetData>
      <sheetData sheetId="3962">
        <row r="7">
          <cell r="C7" t="str">
            <v>: 7,203.17 m2</v>
          </cell>
        </row>
      </sheetData>
      <sheetData sheetId="3963">
        <row r="7">
          <cell r="C7">
            <v>2</v>
          </cell>
        </row>
      </sheetData>
      <sheetData sheetId="3964">
        <row r="7">
          <cell r="C7">
            <v>0</v>
          </cell>
        </row>
      </sheetData>
      <sheetData sheetId="3965">
        <row r="7">
          <cell r="C7">
            <v>2</v>
          </cell>
        </row>
      </sheetData>
      <sheetData sheetId="3966">
        <row r="7">
          <cell r="C7">
            <v>2</v>
          </cell>
        </row>
      </sheetData>
      <sheetData sheetId="3967">
        <row r="7">
          <cell r="C7">
            <v>2</v>
          </cell>
        </row>
      </sheetData>
      <sheetData sheetId="3968">
        <row r="7">
          <cell r="C7" t="str">
            <v>: 7,203.17 m2</v>
          </cell>
        </row>
      </sheetData>
      <sheetData sheetId="3969">
        <row r="7">
          <cell r="C7">
            <v>2</v>
          </cell>
        </row>
      </sheetData>
      <sheetData sheetId="3970">
        <row r="7">
          <cell r="C7">
            <v>2</v>
          </cell>
        </row>
      </sheetData>
      <sheetData sheetId="3971">
        <row r="7">
          <cell r="C7">
            <v>0</v>
          </cell>
        </row>
      </sheetData>
      <sheetData sheetId="3972">
        <row r="7">
          <cell r="C7">
            <v>0</v>
          </cell>
        </row>
      </sheetData>
      <sheetData sheetId="3973">
        <row r="7">
          <cell r="C7">
            <v>0</v>
          </cell>
        </row>
      </sheetData>
      <sheetData sheetId="3974">
        <row r="7">
          <cell r="C7">
            <v>0</v>
          </cell>
        </row>
      </sheetData>
      <sheetData sheetId="3975">
        <row r="7">
          <cell r="C7">
            <v>2</v>
          </cell>
        </row>
      </sheetData>
      <sheetData sheetId="3976">
        <row r="7">
          <cell r="C7" t="str">
            <v>: 7,203.17 m2</v>
          </cell>
        </row>
      </sheetData>
      <sheetData sheetId="3977">
        <row r="7">
          <cell r="C7">
            <v>2</v>
          </cell>
        </row>
      </sheetData>
      <sheetData sheetId="3978"/>
      <sheetData sheetId="3979">
        <row r="7">
          <cell r="C7">
            <v>0</v>
          </cell>
        </row>
      </sheetData>
      <sheetData sheetId="3980">
        <row r="7">
          <cell r="C7">
            <v>0</v>
          </cell>
        </row>
      </sheetData>
      <sheetData sheetId="3981">
        <row r="7">
          <cell r="C7">
            <v>2</v>
          </cell>
        </row>
      </sheetData>
      <sheetData sheetId="3982">
        <row r="7">
          <cell r="C7">
            <v>2</v>
          </cell>
        </row>
      </sheetData>
      <sheetData sheetId="3983">
        <row r="7">
          <cell r="C7">
            <v>2</v>
          </cell>
        </row>
      </sheetData>
      <sheetData sheetId="3984"/>
      <sheetData sheetId="3985"/>
      <sheetData sheetId="3986">
        <row r="7">
          <cell r="C7">
            <v>0</v>
          </cell>
        </row>
      </sheetData>
      <sheetData sheetId="3987">
        <row r="7">
          <cell r="C7">
            <v>0</v>
          </cell>
        </row>
      </sheetData>
      <sheetData sheetId="3988">
        <row r="7">
          <cell r="C7">
            <v>0</v>
          </cell>
        </row>
      </sheetData>
      <sheetData sheetId="3989">
        <row r="7">
          <cell r="C7">
            <v>0</v>
          </cell>
        </row>
      </sheetData>
      <sheetData sheetId="3990"/>
      <sheetData sheetId="3991">
        <row r="7">
          <cell r="C7">
            <v>0</v>
          </cell>
        </row>
      </sheetData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/>
      <sheetData sheetId="4001"/>
      <sheetData sheetId="4002">
        <row r="7">
          <cell r="C7">
            <v>2</v>
          </cell>
        </row>
      </sheetData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>
        <row r="7">
          <cell r="C7">
            <v>0</v>
          </cell>
        </row>
      </sheetData>
      <sheetData sheetId="4093">
        <row r="7">
          <cell r="C7">
            <v>2</v>
          </cell>
        </row>
      </sheetData>
      <sheetData sheetId="4094">
        <row r="7">
          <cell r="C7">
            <v>0</v>
          </cell>
        </row>
      </sheetData>
      <sheetData sheetId="4095">
        <row r="7">
          <cell r="C7">
            <v>0</v>
          </cell>
        </row>
      </sheetData>
      <sheetData sheetId="4096">
        <row r="7">
          <cell r="C7">
            <v>2</v>
          </cell>
        </row>
      </sheetData>
      <sheetData sheetId="4097">
        <row r="7">
          <cell r="C7">
            <v>0</v>
          </cell>
        </row>
      </sheetData>
      <sheetData sheetId="4098"/>
      <sheetData sheetId="4099"/>
      <sheetData sheetId="4100"/>
      <sheetData sheetId="4101"/>
      <sheetData sheetId="4102">
        <row r="7">
          <cell r="C7">
            <v>0</v>
          </cell>
        </row>
      </sheetData>
      <sheetData sheetId="4103">
        <row r="7">
          <cell r="C7">
            <v>0</v>
          </cell>
        </row>
      </sheetData>
      <sheetData sheetId="4104"/>
      <sheetData sheetId="4105"/>
      <sheetData sheetId="4106">
        <row r="7">
          <cell r="C7">
            <v>0</v>
          </cell>
        </row>
      </sheetData>
      <sheetData sheetId="4107">
        <row r="7">
          <cell r="C7">
            <v>2</v>
          </cell>
        </row>
      </sheetData>
      <sheetData sheetId="4108">
        <row r="7">
          <cell r="C7">
            <v>0</v>
          </cell>
        </row>
      </sheetData>
      <sheetData sheetId="4109">
        <row r="7">
          <cell r="C7">
            <v>2</v>
          </cell>
        </row>
      </sheetData>
      <sheetData sheetId="4110">
        <row r="7">
          <cell r="C7">
            <v>2</v>
          </cell>
        </row>
      </sheetData>
      <sheetData sheetId="4111">
        <row r="7">
          <cell r="C7">
            <v>0</v>
          </cell>
        </row>
      </sheetData>
      <sheetData sheetId="4112">
        <row r="7">
          <cell r="C7">
            <v>2</v>
          </cell>
        </row>
      </sheetData>
      <sheetData sheetId="4113">
        <row r="7">
          <cell r="C7">
            <v>2</v>
          </cell>
        </row>
      </sheetData>
      <sheetData sheetId="4114">
        <row r="7">
          <cell r="C7">
            <v>2</v>
          </cell>
        </row>
      </sheetData>
      <sheetData sheetId="4115">
        <row r="7">
          <cell r="C7">
            <v>0</v>
          </cell>
        </row>
      </sheetData>
      <sheetData sheetId="4116">
        <row r="7">
          <cell r="C7">
            <v>0</v>
          </cell>
        </row>
      </sheetData>
      <sheetData sheetId="4117">
        <row r="7">
          <cell r="C7">
            <v>0</v>
          </cell>
        </row>
      </sheetData>
      <sheetData sheetId="4118">
        <row r="7">
          <cell r="C7">
            <v>2</v>
          </cell>
        </row>
      </sheetData>
      <sheetData sheetId="4119">
        <row r="7">
          <cell r="C7" t="str">
            <v>: 7,203.17 m2</v>
          </cell>
        </row>
      </sheetData>
      <sheetData sheetId="4120">
        <row r="7">
          <cell r="C7">
            <v>2</v>
          </cell>
        </row>
      </sheetData>
      <sheetData sheetId="4121">
        <row r="7">
          <cell r="C7">
            <v>2</v>
          </cell>
        </row>
      </sheetData>
      <sheetData sheetId="4122">
        <row r="7">
          <cell r="C7">
            <v>0</v>
          </cell>
        </row>
      </sheetData>
      <sheetData sheetId="4123">
        <row r="7">
          <cell r="C7">
            <v>2</v>
          </cell>
        </row>
      </sheetData>
      <sheetData sheetId="4124">
        <row r="7">
          <cell r="C7">
            <v>2</v>
          </cell>
        </row>
      </sheetData>
      <sheetData sheetId="4125">
        <row r="7">
          <cell r="C7">
            <v>2</v>
          </cell>
        </row>
      </sheetData>
      <sheetData sheetId="4126">
        <row r="7">
          <cell r="C7">
            <v>2</v>
          </cell>
        </row>
      </sheetData>
      <sheetData sheetId="4127"/>
      <sheetData sheetId="4128"/>
      <sheetData sheetId="4129">
        <row r="7">
          <cell r="C7">
            <v>0</v>
          </cell>
        </row>
      </sheetData>
      <sheetData sheetId="4130">
        <row r="7">
          <cell r="C7">
            <v>0</v>
          </cell>
        </row>
      </sheetData>
      <sheetData sheetId="4131">
        <row r="7">
          <cell r="C7">
            <v>0</v>
          </cell>
        </row>
      </sheetData>
      <sheetData sheetId="4132">
        <row r="7">
          <cell r="C7">
            <v>0</v>
          </cell>
        </row>
      </sheetData>
      <sheetData sheetId="4133">
        <row r="7">
          <cell r="C7">
            <v>0</v>
          </cell>
        </row>
      </sheetData>
      <sheetData sheetId="4134">
        <row r="7">
          <cell r="C7">
            <v>0</v>
          </cell>
        </row>
      </sheetData>
      <sheetData sheetId="4135"/>
      <sheetData sheetId="4136"/>
      <sheetData sheetId="4137"/>
      <sheetData sheetId="4138"/>
      <sheetData sheetId="4139">
        <row r="7">
          <cell r="C7">
            <v>2</v>
          </cell>
        </row>
      </sheetData>
      <sheetData sheetId="4140"/>
      <sheetData sheetId="4141"/>
      <sheetData sheetId="4142"/>
      <sheetData sheetId="4143"/>
      <sheetData sheetId="4144">
        <row r="7">
          <cell r="C7">
            <v>2</v>
          </cell>
        </row>
      </sheetData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>
        <row r="7">
          <cell r="C7">
            <v>0</v>
          </cell>
        </row>
      </sheetData>
      <sheetData sheetId="4230">
        <row r="7">
          <cell r="C7">
            <v>2</v>
          </cell>
        </row>
      </sheetData>
      <sheetData sheetId="4231">
        <row r="7">
          <cell r="C7">
            <v>0</v>
          </cell>
        </row>
      </sheetData>
      <sheetData sheetId="4232">
        <row r="7">
          <cell r="C7">
            <v>0</v>
          </cell>
        </row>
      </sheetData>
      <sheetData sheetId="4233">
        <row r="7">
          <cell r="C7">
            <v>2</v>
          </cell>
        </row>
      </sheetData>
      <sheetData sheetId="4234">
        <row r="7">
          <cell r="C7">
            <v>0</v>
          </cell>
        </row>
      </sheetData>
      <sheetData sheetId="4235"/>
      <sheetData sheetId="4236"/>
      <sheetData sheetId="4237"/>
      <sheetData sheetId="4238"/>
      <sheetData sheetId="4239">
        <row r="7">
          <cell r="C7">
            <v>0</v>
          </cell>
        </row>
      </sheetData>
      <sheetData sheetId="4240">
        <row r="7">
          <cell r="C7">
            <v>0</v>
          </cell>
        </row>
      </sheetData>
      <sheetData sheetId="4241"/>
      <sheetData sheetId="4242"/>
      <sheetData sheetId="4243">
        <row r="7">
          <cell r="C7">
            <v>0</v>
          </cell>
        </row>
      </sheetData>
      <sheetData sheetId="4244">
        <row r="7">
          <cell r="C7">
            <v>2</v>
          </cell>
        </row>
      </sheetData>
      <sheetData sheetId="4245">
        <row r="7">
          <cell r="C7">
            <v>0</v>
          </cell>
        </row>
      </sheetData>
      <sheetData sheetId="4246">
        <row r="7">
          <cell r="C7">
            <v>2</v>
          </cell>
        </row>
      </sheetData>
      <sheetData sheetId="4247">
        <row r="7">
          <cell r="C7">
            <v>2</v>
          </cell>
        </row>
      </sheetData>
      <sheetData sheetId="4248">
        <row r="7">
          <cell r="C7">
            <v>0</v>
          </cell>
        </row>
      </sheetData>
      <sheetData sheetId="4249">
        <row r="7">
          <cell r="C7">
            <v>2</v>
          </cell>
        </row>
      </sheetData>
      <sheetData sheetId="4250">
        <row r="7">
          <cell r="C7">
            <v>2</v>
          </cell>
        </row>
      </sheetData>
      <sheetData sheetId="4251">
        <row r="7">
          <cell r="C7">
            <v>2</v>
          </cell>
        </row>
      </sheetData>
      <sheetData sheetId="4252">
        <row r="7">
          <cell r="C7">
            <v>0</v>
          </cell>
        </row>
      </sheetData>
      <sheetData sheetId="4253">
        <row r="7">
          <cell r="C7">
            <v>0</v>
          </cell>
        </row>
      </sheetData>
      <sheetData sheetId="4254">
        <row r="7">
          <cell r="C7">
            <v>0</v>
          </cell>
        </row>
      </sheetData>
      <sheetData sheetId="4255">
        <row r="7">
          <cell r="C7">
            <v>2</v>
          </cell>
        </row>
      </sheetData>
      <sheetData sheetId="4256">
        <row r="7">
          <cell r="C7" t="str">
            <v>: 7,203.17 m2</v>
          </cell>
        </row>
      </sheetData>
      <sheetData sheetId="4257">
        <row r="7">
          <cell r="C7">
            <v>2</v>
          </cell>
        </row>
      </sheetData>
      <sheetData sheetId="4258">
        <row r="7">
          <cell r="C7">
            <v>2</v>
          </cell>
        </row>
      </sheetData>
      <sheetData sheetId="4259">
        <row r="7">
          <cell r="C7">
            <v>0</v>
          </cell>
        </row>
      </sheetData>
      <sheetData sheetId="4260">
        <row r="7">
          <cell r="C7">
            <v>0</v>
          </cell>
        </row>
      </sheetData>
      <sheetData sheetId="4261">
        <row r="7">
          <cell r="C7">
            <v>2</v>
          </cell>
        </row>
      </sheetData>
      <sheetData sheetId="4262">
        <row r="7">
          <cell r="C7">
            <v>2</v>
          </cell>
        </row>
      </sheetData>
      <sheetData sheetId="4263">
        <row r="7">
          <cell r="C7">
            <v>2</v>
          </cell>
        </row>
      </sheetData>
      <sheetData sheetId="4264"/>
      <sheetData sheetId="4265"/>
      <sheetData sheetId="4266">
        <row r="7">
          <cell r="C7">
            <v>0</v>
          </cell>
        </row>
      </sheetData>
      <sheetData sheetId="4267">
        <row r="7">
          <cell r="C7">
            <v>0</v>
          </cell>
        </row>
      </sheetData>
      <sheetData sheetId="4268">
        <row r="7">
          <cell r="C7">
            <v>0</v>
          </cell>
        </row>
      </sheetData>
      <sheetData sheetId="4269">
        <row r="7">
          <cell r="C7">
            <v>0</v>
          </cell>
        </row>
      </sheetData>
      <sheetData sheetId="4270">
        <row r="7">
          <cell r="C7">
            <v>0</v>
          </cell>
        </row>
      </sheetData>
      <sheetData sheetId="4271">
        <row r="7">
          <cell r="C7">
            <v>0</v>
          </cell>
        </row>
      </sheetData>
      <sheetData sheetId="4272"/>
      <sheetData sheetId="4273"/>
      <sheetData sheetId="4274"/>
      <sheetData sheetId="4275"/>
      <sheetData sheetId="4276">
        <row r="7">
          <cell r="C7">
            <v>2</v>
          </cell>
        </row>
      </sheetData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>
        <row r="7">
          <cell r="C7">
            <v>0</v>
          </cell>
        </row>
      </sheetData>
      <sheetData sheetId="4367">
        <row r="7">
          <cell r="C7">
            <v>2</v>
          </cell>
        </row>
      </sheetData>
      <sheetData sheetId="4368">
        <row r="7">
          <cell r="C7">
            <v>0</v>
          </cell>
        </row>
      </sheetData>
      <sheetData sheetId="4369">
        <row r="7">
          <cell r="C7">
            <v>0</v>
          </cell>
        </row>
      </sheetData>
      <sheetData sheetId="4370">
        <row r="7">
          <cell r="C7">
            <v>2</v>
          </cell>
        </row>
      </sheetData>
      <sheetData sheetId="4371">
        <row r="7">
          <cell r="C7">
            <v>0</v>
          </cell>
        </row>
      </sheetData>
      <sheetData sheetId="4372"/>
      <sheetData sheetId="4373"/>
      <sheetData sheetId="4374"/>
      <sheetData sheetId="4375"/>
      <sheetData sheetId="4376">
        <row r="7">
          <cell r="C7">
            <v>0</v>
          </cell>
        </row>
      </sheetData>
      <sheetData sheetId="4377">
        <row r="7">
          <cell r="C7">
            <v>0</v>
          </cell>
        </row>
      </sheetData>
      <sheetData sheetId="4378"/>
      <sheetData sheetId="4379"/>
      <sheetData sheetId="4380">
        <row r="7">
          <cell r="C7">
            <v>0</v>
          </cell>
        </row>
      </sheetData>
      <sheetData sheetId="4381">
        <row r="7">
          <cell r="C7">
            <v>2</v>
          </cell>
        </row>
      </sheetData>
      <sheetData sheetId="4382">
        <row r="7">
          <cell r="C7">
            <v>0</v>
          </cell>
        </row>
      </sheetData>
      <sheetData sheetId="4383">
        <row r="7">
          <cell r="C7">
            <v>2</v>
          </cell>
        </row>
      </sheetData>
      <sheetData sheetId="4384">
        <row r="7">
          <cell r="C7">
            <v>2</v>
          </cell>
        </row>
      </sheetData>
      <sheetData sheetId="4385">
        <row r="7">
          <cell r="C7">
            <v>0</v>
          </cell>
        </row>
      </sheetData>
      <sheetData sheetId="4386">
        <row r="7">
          <cell r="C7">
            <v>2</v>
          </cell>
        </row>
      </sheetData>
      <sheetData sheetId="4387">
        <row r="7">
          <cell r="C7">
            <v>2</v>
          </cell>
        </row>
      </sheetData>
      <sheetData sheetId="4388">
        <row r="7">
          <cell r="C7">
            <v>2</v>
          </cell>
        </row>
      </sheetData>
      <sheetData sheetId="4389">
        <row r="7">
          <cell r="C7">
            <v>0</v>
          </cell>
        </row>
      </sheetData>
      <sheetData sheetId="4390">
        <row r="7">
          <cell r="C7">
            <v>0</v>
          </cell>
        </row>
      </sheetData>
      <sheetData sheetId="4391">
        <row r="7">
          <cell r="C7">
            <v>0</v>
          </cell>
        </row>
      </sheetData>
      <sheetData sheetId="4392">
        <row r="7">
          <cell r="C7">
            <v>2</v>
          </cell>
        </row>
      </sheetData>
      <sheetData sheetId="4393">
        <row r="7">
          <cell r="C7" t="str">
            <v>: 7,203.17 m2</v>
          </cell>
        </row>
      </sheetData>
      <sheetData sheetId="4394">
        <row r="7">
          <cell r="C7">
            <v>2</v>
          </cell>
        </row>
      </sheetData>
      <sheetData sheetId="4395">
        <row r="7">
          <cell r="C7">
            <v>2</v>
          </cell>
        </row>
      </sheetData>
      <sheetData sheetId="4396"/>
      <sheetData sheetId="4397"/>
      <sheetData sheetId="4398"/>
      <sheetData sheetId="4399"/>
      <sheetData sheetId="4400"/>
      <sheetData sheetId="4401"/>
      <sheetData sheetId="4402"/>
      <sheetData sheetId="4403">
        <row r="7">
          <cell r="C7">
            <v>0</v>
          </cell>
        </row>
      </sheetData>
      <sheetData sheetId="4404">
        <row r="7">
          <cell r="C7">
            <v>0</v>
          </cell>
        </row>
      </sheetData>
      <sheetData sheetId="4405">
        <row r="7">
          <cell r="C7">
            <v>0</v>
          </cell>
        </row>
      </sheetData>
      <sheetData sheetId="4406">
        <row r="7">
          <cell r="C7">
            <v>0</v>
          </cell>
        </row>
      </sheetData>
      <sheetData sheetId="4407"/>
      <sheetData sheetId="4408">
        <row r="7">
          <cell r="C7">
            <v>0</v>
          </cell>
        </row>
      </sheetData>
      <sheetData sheetId="4409"/>
      <sheetData sheetId="4410"/>
      <sheetData sheetId="4411"/>
      <sheetData sheetId="4412"/>
      <sheetData sheetId="4413"/>
      <sheetData sheetId="4414">
        <row r="7">
          <cell r="C7">
            <v>2</v>
          </cell>
        </row>
      </sheetData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>
        <row r="7">
          <cell r="C7">
            <v>0</v>
          </cell>
        </row>
      </sheetData>
      <sheetData sheetId="4505">
        <row r="7">
          <cell r="C7">
            <v>2</v>
          </cell>
        </row>
      </sheetData>
      <sheetData sheetId="4506">
        <row r="7">
          <cell r="C7">
            <v>0</v>
          </cell>
        </row>
      </sheetData>
      <sheetData sheetId="4507">
        <row r="7">
          <cell r="C7">
            <v>0</v>
          </cell>
        </row>
      </sheetData>
      <sheetData sheetId="4508">
        <row r="7">
          <cell r="C7">
            <v>2</v>
          </cell>
        </row>
      </sheetData>
      <sheetData sheetId="4509">
        <row r="7">
          <cell r="C7">
            <v>0</v>
          </cell>
        </row>
      </sheetData>
      <sheetData sheetId="4510"/>
      <sheetData sheetId="4511"/>
      <sheetData sheetId="4512"/>
      <sheetData sheetId="4513"/>
      <sheetData sheetId="4514">
        <row r="7">
          <cell r="C7">
            <v>0</v>
          </cell>
        </row>
      </sheetData>
      <sheetData sheetId="4515">
        <row r="7">
          <cell r="C7">
            <v>0</v>
          </cell>
        </row>
      </sheetData>
      <sheetData sheetId="4516"/>
      <sheetData sheetId="4517"/>
      <sheetData sheetId="4518">
        <row r="7">
          <cell r="C7">
            <v>0</v>
          </cell>
        </row>
      </sheetData>
      <sheetData sheetId="4519">
        <row r="7">
          <cell r="C7">
            <v>2</v>
          </cell>
        </row>
      </sheetData>
      <sheetData sheetId="4520">
        <row r="7">
          <cell r="C7">
            <v>0</v>
          </cell>
        </row>
      </sheetData>
      <sheetData sheetId="4521">
        <row r="7">
          <cell r="C7">
            <v>2</v>
          </cell>
        </row>
      </sheetData>
      <sheetData sheetId="4522">
        <row r="7">
          <cell r="C7">
            <v>2</v>
          </cell>
        </row>
      </sheetData>
      <sheetData sheetId="4523">
        <row r="7">
          <cell r="C7">
            <v>0</v>
          </cell>
        </row>
      </sheetData>
      <sheetData sheetId="4524">
        <row r="7">
          <cell r="C7">
            <v>2</v>
          </cell>
        </row>
      </sheetData>
      <sheetData sheetId="4525">
        <row r="7">
          <cell r="C7">
            <v>2</v>
          </cell>
        </row>
      </sheetData>
      <sheetData sheetId="4526">
        <row r="7">
          <cell r="C7">
            <v>2</v>
          </cell>
        </row>
      </sheetData>
      <sheetData sheetId="4527">
        <row r="7">
          <cell r="C7">
            <v>0</v>
          </cell>
        </row>
      </sheetData>
      <sheetData sheetId="4528">
        <row r="7">
          <cell r="C7">
            <v>0</v>
          </cell>
        </row>
      </sheetData>
      <sheetData sheetId="4529">
        <row r="7">
          <cell r="C7">
            <v>0</v>
          </cell>
        </row>
      </sheetData>
      <sheetData sheetId="4530">
        <row r="7">
          <cell r="C7">
            <v>2</v>
          </cell>
        </row>
      </sheetData>
      <sheetData sheetId="4531">
        <row r="7">
          <cell r="C7" t="str">
            <v>: 7,203.17 m2</v>
          </cell>
        </row>
      </sheetData>
      <sheetData sheetId="4532">
        <row r="7">
          <cell r="C7">
            <v>2</v>
          </cell>
        </row>
      </sheetData>
      <sheetData sheetId="4533">
        <row r="7">
          <cell r="C7">
            <v>2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7">
          <cell r="C7">
            <v>0</v>
          </cell>
        </row>
      </sheetData>
      <sheetData sheetId="4542">
        <row r="7">
          <cell r="C7">
            <v>0</v>
          </cell>
        </row>
      </sheetData>
      <sheetData sheetId="4543">
        <row r="7">
          <cell r="C7">
            <v>0</v>
          </cell>
        </row>
      </sheetData>
      <sheetData sheetId="4544">
        <row r="7">
          <cell r="C7">
            <v>0</v>
          </cell>
        </row>
      </sheetData>
      <sheetData sheetId="4545"/>
      <sheetData sheetId="4546">
        <row r="7">
          <cell r="C7">
            <v>0</v>
          </cell>
        </row>
      </sheetData>
      <sheetData sheetId="4547"/>
      <sheetData sheetId="4548">
        <row r="7">
          <cell r="C7">
            <v>2</v>
          </cell>
        </row>
      </sheetData>
      <sheetData sheetId="4549"/>
      <sheetData sheetId="4550"/>
      <sheetData sheetId="4551">
        <row r="7">
          <cell r="C7">
            <v>2</v>
          </cell>
        </row>
      </sheetData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>
        <row r="7">
          <cell r="C7">
            <v>0</v>
          </cell>
        </row>
      </sheetData>
      <sheetData sheetId="4642">
        <row r="7">
          <cell r="C7">
            <v>2</v>
          </cell>
        </row>
      </sheetData>
      <sheetData sheetId="4643">
        <row r="7">
          <cell r="C7">
            <v>0</v>
          </cell>
        </row>
      </sheetData>
      <sheetData sheetId="4644">
        <row r="7">
          <cell r="C7">
            <v>0</v>
          </cell>
        </row>
      </sheetData>
      <sheetData sheetId="4645">
        <row r="7">
          <cell r="C7">
            <v>2</v>
          </cell>
        </row>
      </sheetData>
      <sheetData sheetId="4646">
        <row r="7">
          <cell r="C7">
            <v>0</v>
          </cell>
        </row>
      </sheetData>
      <sheetData sheetId="4647"/>
      <sheetData sheetId="4648"/>
      <sheetData sheetId="4649"/>
      <sheetData sheetId="4650"/>
      <sheetData sheetId="4651">
        <row r="7">
          <cell r="C7">
            <v>0</v>
          </cell>
        </row>
      </sheetData>
      <sheetData sheetId="4652">
        <row r="7">
          <cell r="C7">
            <v>0</v>
          </cell>
        </row>
      </sheetData>
      <sheetData sheetId="4653"/>
      <sheetData sheetId="4654"/>
      <sheetData sheetId="4655">
        <row r="7">
          <cell r="C7">
            <v>0</v>
          </cell>
        </row>
      </sheetData>
      <sheetData sheetId="4656">
        <row r="7">
          <cell r="C7">
            <v>2</v>
          </cell>
        </row>
      </sheetData>
      <sheetData sheetId="4657">
        <row r="7">
          <cell r="C7">
            <v>0</v>
          </cell>
        </row>
      </sheetData>
      <sheetData sheetId="4658">
        <row r="7">
          <cell r="C7">
            <v>2</v>
          </cell>
        </row>
      </sheetData>
      <sheetData sheetId="4659">
        <row r="7">
          <cell r="C7">
            <v>2</v>
          </cell>
        </row>
      </sheetData>
      <sheetData sheetId="4660">
        <row r="7">
          <cell r="C7">
            <v>0</v>
          </cell>
        </row>
      </sheetData>
      <sheetData sheetId="4661">
        <row r="7">
          <cell r="C7">
            <v>2</v>
          </cell>
        </row>
      </sheetData>
      <sheetData sheetId="4662">
        <row r="7">
          <cell r="C7">
            <v>2</v>
          </cell>
        </row>
      </sheetData>
      <sheetData sheetId="4663">
        <row r="7">
          <cell r="C7">
            <v>2</v>
          </cell>
        </row>
      </sheetData>
      <sheetData sheetId="4664">
        <row r="7">
          <cell r="C7">
            <v>0</v>
          </cell>
        </row>
      </sheetData>
      <sheetData sheetId="4665">
        <row r="7">
          <cell r="C7">
            <v>0</v>
          </cell>
        </row>
      </sheetData>
      <sheetData sheetId="4666">
        <row r="7">
          <cell r="C7">
            <v>0</v>
          </cell>
        </row>
      </sheetData>
      <sheetData sheetId="4667">
        <row r="7">
          <cell r="C7">
            <v>2</v>
          </cell>
        </row>
      </sheetData>
      <sheetData sheetId="4668">
        <row r="7">
          <cell r="C7" t="str">
            <v>: 7,203.17 m2</v>
          </cell>
        </row>
      </sheetData>
      <sheetData sheetId="4669">
        <row r="7">
          <cell r="C7">
            <v>2</v>
          </cell>
        </row>
      </sheetData>
      <sheetData sheetId="4670">
        <row r="7">
          <cell r="C7">
            <v>2</v>
          </cell>
        </row>
      </sheetData>
      <sheetData sheetId="4671"/>
      <sheetData sheetId="4672"/>
      <sheetData sheetId="4673"/>
      <sheetData sheetId="4674"/>
      <sheetData sheetId="4675"/>
      <sheetData sheetId="4676"/>
      <sheetData sheetId="4677"/>
      <sheetData sheetId="4678">
        <row r="7">
          <cell r="C7">
            <v>0</v>
          </cell>
        </row>
      </sheetData>
      <sheetData sheetId="4679">
        <row r="7">
          <cell r="C7">
            <v>0</v>
          </cell>
        </row>
      </sheetData>
      <sheetData sheetId="4680">
        <row r="7">
          <cell r="C7">
            <v>0</v>
          </cell>
        </row>
      </sheetData>
      <sheetData sheetId="4681">
        <row r="7">
          <cell r="C7">
            <v>0</v>
          </cell>
        </row>
      </sheetData>
      <sheetData sheetId="4682"/>
      <sheetData sheetId="4683">
        <row r="7">
          <cell r="C7">
            <v>0</v>
          </cell>
        </row>
      </sheetData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>
        <row r="7">
          <cell r="C7">
            <v>0</v>
          </cell>
        </row>
      </sheetData>
      <sheetData sheetId="4779">
        <row r="7">
          <cell r="C7">
            <v>2</v>
          </cell>
        </row>
      </sheetData>
      <sheetData sheetId="4780">
        <row r="7">
          <cell r="C7">
            <v>0</v>
          </cell>
        </row>
      </sheetData>
      <sheetData sheetId="4781">
        <row r="7">
          <cell r="C7">
            <v>0</v>
          </cell>
        </row>
      </sheetData>
      <sheetData sheetId="4782">
        <row r="7">
          <cell r="C7">
            <v>2</v>
          </cell>
        </row>
      </sheetData>
      <sheetData sheetId="4783">
        <row r="7">
          <cell r="C7">
            <v>0</v>
          </cell>
        </row>
      </sheetData>
      <sheetData sheetId="4784"/>
      <sheetData sheetId="4785"/>
      <sheetData sheetId="4786"/>
      <sheetData sheetId="4787"/>
      <sheetData sheetId="4788">
        <row r="7">
          <cell r="C7">
            <v>0</v>
          </cell>
        </row>
      </sheetData>
      <sheetData sheetId="4789">
        <row r="7">
          <cell r="C7">
            <v>0</v>
          </cell>
        </row>
      </sheetData>
      <sheetData sheetId="4790"/>
      <sheetData sheetId="4791"/>
      <sheetData sheetId="4792">
        <row r="7">
          <cell r="C7">
            <v>0</v>
          </cell>
        </row>
      </sheetData>
      <sheetData sheetId="4793">
        <row r="7">
          <cell r="C7">
            <v>2</v>
          </cell>
        </row>
      </sheetData>
      <sheetData sheetId="4794">
        <row r="7">
          <cell r="C7">
            <v>0</v>
          </cell>
        </row>
      </sheetData>
      <sheetData sheetId="4795">
        <row r="7">
          <cell r="C7">
            <v>2</v>
          </cell>
        </row>
      </sheetData>
      <sheetData sheetId="4796">
        <row r="7">
          <cell r="C7">
            <v>2</v>
          </cell>
        </row>
      </sheetData>
      <sheetData sheetId="4797">
        <row r="7">
          <cell r="C7">
            <v>0</v>
          </cell>
        </row>
      </sheetData>
      <sheetData sheetId="4798">
        <row r="7">
          <cell r="C7">
            <v>2</v>
          </cell>
        </row>
      </sheetData>
      <sheetData sheetId="4799">
        <row r="7">
          <cell r="C7">
            <v>2</v>
          </cell>
        </row>
      </sheetData>
      <sheetData sheetId="4800">
        <row r="7">
          <cell r="C7">
            <v>2</v>
          </cell>
        </row>
      </sheetData>
      <sheetData sheetId="4801">
        <row r="7">
          <cell r="C7">
            <v>0</v>
          </cell>
        </row>
      </sheetData>
      <sheetData sheetId="4802">
        <row r="7">
          <cell r="C7">
            <v>0</v>
          </cell>
        </row>
      </sheetData>
      <sheetData sheetId="4803">
        <row r="7">
          <cell r="C7">
            <v>0</v>
          </cell>
        </row>
      </sheetData>
      <sheetData sheetId="4804">
        <row r="7">
          <cell r="C7">
            <v>2</v>
          </cell>
        </row>
      </sheetData>
      <sheetData sheetId="4805">
        <row r="7">
          <cell r="C7" t="str">
            <v>: 7,203.17 m2</v>
          </cell>
        </row>
      </sheetData>
      <sheetData sheetId="4806">
        <row r="7">
          <cell r="C7">
            <v>2</v>
          </cell>
        </row>
      </sheetData>
      <sheetData sheetId="4807">
        <row r="7">
          <cell r="C7">
            <v>2</v>
          </cell>
        </row>
      </sheetData>
      <sheetData sheetId="4808"/>
      <sheetData sheetId="4809"/>
      <sheetData sheetId="4810"/>
      <sheetData sheetId="4811"/>
      <sheetData sheetId="4812"/>
      <sheetData sheetId="4813"/>
      <sheetData sheetId="4814"/>
      <sheetData sheetId="4815">
        <row r="7">
          <cell r="C7">
            <v>0</v>
          </cell>
        </row>
      </sheetData>
      <sheetData sheetId="4816">
        <row r="7">
          <cell r="C7">
            <v>0</v>
          </cell>
        </row>
      </sheetData>
      <sheetData sheetId="4817">
        <row r="7">
          <cell r="C7">
            <v>0</v>
          </cell>
        </row>
      </sheetData>
      <sheetData sheetId="4818">
        <row r="7">
          <cell r="C7">
            <v>0</v>
          </cell>
        </row>
      </sheetData>
      <sheetData sheetId="4819"/>
      <sheetData sheetId="4820">
        <row r="7">
          <cell r="C7">
            <v>0</v>
          </cell>
        </row>
      </sheetData>
      <sheetData sheetId="4821"/>
      <sheetData sheetId="4822">
        <row r="7">
          <cell r="C7">
            <v>2</v>
          </cell>
        </row>
      </sheetData>
      <sheetData sheetId="4823"/>
      <sheetData sheetId="4824"/>
      <sheetData sheetId="4825"/>
      <sheetData sheetId="4826">
        <row r="7">
          <cell r="C7">
            <v>2</v>
          </cell>
        </row>
      </sheetData>
      <sheetData sheetId="4827"/>
      <sheetData sheetId="4828"/>
      <sheetData sheetId="4829"/>
      <sheetData sheetId="4830"/>
      <sheetData sheetId="4831">
        <row r="7">
          <cell r="C7">
            <v>2</v>
          </cell>
        </row>
      </sheetData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>
        <row r="7">
          <cell r="C7">
            <v>0</v>
          </cell>
        </row>
      </sheetData>
      <sheetData sheetId="4917">
        <row r="7">
          <cell r="C7">
            <v>2</v>
          </cell>
        </row>
      </sheetData>
      <sheetData sheetId="4918">
        <row r="7">
          <cell r="C7">
            <v>0</v>
          </cell>
        </row>
      </sheetData>
      <sheetData sheetId="4919">
        <row r="7">
          <cell r="C7">
            <v>0</v>
          </cell>
        </row>
      </sheetData>
      <sheetData sheetId="4920">
        <row r="7">
          <cell r="C7">
            <v>2</v>
          </cell>
        </row>
      </sheetData>
      <sheetData sheetId="4921">
        <row r="7">
          <cell r="C7">
            <v>0</v>
          </cell>
        </row>
      </sheetData>
      <sheetData sheetId="4922"/>
      <sheetData sheetId="4923"/>
      <sheetData sheetId="4924"/>
      <sheetData sheetId="4925"/>
      <sheetData sheetId="4926">
        <row r="7">
          <cell r="C7">
            <v>0</v>
          </cell>
        </row>
      </sheetData>
      <sheetData sheetId="4927">
        <row r="7">
          <cell r="C7">
            <v>0</v>
          </cell>
        </row>
      </sheetData>
      <sheetData sheetId="4928"/>
      <sheetData sheetId="4929"/>
      <sheetData sheetId="4930">
        <row r="7">
          <cell r="C7" t="str">
            <v>: 7,203.17 m2</v>
          </cell>
        </row>
      </sheetData>
      <sheetData sheetId="4931">
        <row r="7">
          <cell r="C7">
            <v>2</v>
          </cell>
        </row>
      </sheetData>
      <sheetData sheetId="4932">
        <row r="7">
          <cell r="C7">
            <v>0</v>
          </cell>
        </row>
      </sheetData>
      <sheetData sheetId="4933">
        <row r="7">
          <cell r="C7">
            <v>0</v>
          </cell>
        </row>
      </sheetData>
      <sheetData sheetId="4934">
        <row r="7">
          <cell r="C7">
            <v>2</v>
          </cell>
        </row>
      </sheetData>
      <sheetData sheetId="4935">
        <row r="7">
          <cell r="C7">
            <v>0</v>
          </cell>
        </row>
      </sheetData>
      <sheetData sheetId="4936">
        <row r="7">
          <cell r="C7">
            <v>2</v>
          </cell>
        </row>
      </sheetData>
      <sheetData sheetId="4937">
        <row r="7">
          <cell r="C7">
            <v>2</v>
          </cell>
        </row>
      </sheetData>
      <sheetData sheetId="4938">
        <row r="7">
          <cell r="C7">
            <v>2</v>
          </cell>
        </row>
      </sheetData>
      <sheetData sheetId="4939">
        <row r="7">
          <cell r="C7">
            <v>2</v>
          </cell>
        </row>
      </sheetData>
      <sheetData sheetId="4940">
        <row r="7">
          <cell r="C7">
            <v>2</v>
          </cell>
        </row>
      </sheetData>
      <sheetData sheetId="4941">
        <row r="7">
          <cell r="C7">
            <v>2</v>
          </cell>
        </row>
      </sheetData>
      <sheetData sheetId="4942">
        <row r="7">
          <cell r="C7">
            <v>2</v>
          </cell>
        </row>
      </sheetData>
      <sheetData sheetId="4943">
        <row r="7">
          <cell r="C7">
            <v>2</v>
          </cell>
        </row>
      </sheetData>
      <sheetData sheetId="4944">
        <row r="7">
          <cell r="C7">
            <v>2</v>
          </cell>
        </row>
      </sheetData>
      <sheetData sheetId="4945">
        <row r="7">
          <cell r="C7">
            <v>2</v>
          </cell>
        </row>
      </sheetData>
      <sheetData sheetId="4946">
        <row r="7">
          <cell r="C7">
            <v>0</v>
          </cell>
        </row>
      </sheetData>
      <sheetData sheetId="4947">
        <row r="7">
          <cell r="C7">
            <v>0</v>
          </cell>
        </row>
      </sheetData>
      <sheetData sheetId="4948">
        <row r="7">
          <cell r="C7">
            <v>2</v>
          </cell>
        </row>
      </sheetData>
      <sheetData sheetId="4949">
        <row r="7">
          <cell r="C7">
            <v>2</v>
          </cell>
        </row>
      </sheetData>
      <sheetData sheetId="4950"/>
      <sheetData sheetId="4951"/>
      <sheetData sheetId="4952"/>
      <sheetData sheetId="4953">
        <row r="7">
          <cell r="C7">
            <v>0</v>
          </cell>
        </row>
      </sheetData>
      <sheetData sheetId="4954">
        <row r="7">
          <cell r="C7">
            <v>0</v>
          </cell>
        </row>
      </sheetData>
      <sheetData sheetId="4955">
        <row r="7">
          <cell r="C7">
            <v>0</v>
          </cell>
        </row>
      </sheetData>
      <sheetData sheetId="4956">
        <row r="7">
          <cell r="C7">
            <v>0</v>
          </cell>
        </row>
      </sheetData>
      <sheetData sheetId="4957"/>
      <sheetData sheetId="4958">
        <row r="7">
          <cell r="C7">
            <v>0</v>
          </cell>
        </row>
      </sheetData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>
        <row r="7">
          <cell r="C7">
            <v>2</v>
          </cell>
        </row>
      </sheetData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>
        <row r="7">
          <cell r="C7">
            <v>0</v>
          </cell>
        </row>
      </sheetData>
      <sheetData sheetId="5055">
        <row r="7">
          <cell r="C7">
            <v>0</v>
          </cell>
        </row>
      </sheetData>
      <sheetData sheetId="5056">
        <row r="7">
          <cell r="C7">
            <v>2</v>
          </cell>
        </row>
      </sheetData>
      <sheetData sheetId="5057"/>
      <sheetData sheetId="5058">
        <row r="7">
          <cell r="C7">
            <v>0</v>
          </cell>
        </row>
      </sheetData>
      <sheetData sheetId="5059"/>
      <sheetData sheetId="5060"/>
      <sheetData sheetId="5061"/>
      <sheetData sheetId="5062">
        <row r="7">
          <cell r="C7">
            <v>0</v>
          </cell>
        </row>
      </sheetData>
      <sheetData sheetId="5063">
        <row r="7">
          <cell r="C7">
            <v>0</v>
          </cell>
        </row>
      </sheetData>
      <sheetData sheetId="5064"/>
      <sheetData sheetId="5065">
        <row r="7">
          <cell r="C7">
            <v>0</v>
          </cell>
        </row>
      </sheetData>
      <sheetData sheetId="5066">
        <row r="7">
          <cell r="C7">
            <v>2</v>
          </cell>
        </row>
      </sheetData>
      <sheetData sheetId="5067">
        <row r="7">
          <cell r="C7" t="str">
            <v>: 7,203.17 m2</v>
          </cell>
        </row>
      </sheetData>
      <sheetData sheetId="5068">
        <row r="7">
          <cell r="C7">
            <v>2</v>
          </cell>
        </row>
      </sheetData>
      <sheetData sheetId="5069">
        <row r="7">
          <cell r="C7">
            <v>0</v>
          </cell>
        </row>
      </sheetData>
      <sheetData sheetId="5070">
        <row r="7">
          <cell r="C7">
            <v>0</v>
          </cell>
        </row>
      </sheetData>
      <sheetData sheetId="5071">
        <row r="7">
          <cell r="C7">
            <v>2</v>
          </cell>
        </row>
      </sheetData>
      <sheetData sheetId="5072">
        <row r="7">
          <cell r="C7">
            <v>0</v>
          </cell>
        </row>
      </sheetData>
      <sheetData sheetId="5073">
        <row r="7">
          <cell r="C7">
            <v>2</v>
          </cell>
        </row>
      </sheetData>
      <sheetData sheetId="5074">
        <row r="7">
          <cell r="C7">
            <v>2</v>
          </cell>
        </row>
      </sheetData>
      <sheetData sheetId="5075">
        <row r="7">
          <cell r="C7">
            <v>2</v>
          </cell>
        </row>
      </sheetData>
      <sheetData sheetId="5076">
        <row r="7">
          <cell r="C7">
            <v>2</v>
          </cell>
        </row>
      </sheetData>
      <sheetData sheetId="5077">
        <row r="7">
          <cell r="C7">
            <v>2</v>
          </cell>
        </row>
      </sheetData>
      <sheetData sheetId="5078">
        <row r="7">
          <cell r="C7">
            <v>2</v>
          </cell>
        </row>
      </sheetData>
      <sheetData sheetId="5079">
        <row r="7">
          <cell r="C7">
            <v>2</v>
          </cell>
        </row>
      </sheetData>
      <sheetData sheetId="5080">
        <row r="7">
          <cell r="C7">
            <v>2</v>
          </cell>
        </row>
      </sheetData>
      <sheetData sheetId="5081">
        <row r="7">
          <cell r="C7">
            <v>2</v>
          </cell>
        </row>
      </sheetData>
      <sheetData sheetId="5082">
        <row r="7">
          <cell r="C7">
            <v>2</v>
          </cell>
        </row>
      </sheetData>
      <sheetData sheetId="5083"/>
      <sheetData sheetId="5084">
        <row r="7">
          <cell r="C7">
            <v>0</v>
          </cell>
        </row>
      </sheetData>
      <sheetData sheetId="5085">
        <row r="7">
          <cell r="C7">
            <v>0</v>
          </cell>
        </row>
      </sheetData>
      <sheetData sheetId="5086">
        <row r="7">
          <cell r="C7">
            <v>2</v>
          </cell>
        </row>
      </sheetData>
      <sheetData sheetId="5087">
        <row r="7">
          <cell r="C7">
            <v>2</v>
          </cell>
        </row>
      </sheetData>
      <sheetData sheetId="5088"/>
      <sheetData sheetId="5089"/>
      <sheetData sheetId="5090"/>
      <sheetData sheetId="5091"/>
      <sheetData sheetId="5092">
        <row r="7">
          <cell r="C7">
            <v>0</v>
          </cell>
        </row>
      </sheetData>
      <sheetData sheetId="5093">
        <row r="7">
          <cell r="C7">
            <v>0</v>
          </cell>
        </row>
      </sheetData>
      <sheetData sheetId="5094">
        <row r="7">
          <cell r="C7">
            <v>0</v>
          </cell>
        </row>
      </sheetData>
      <sheetData sheetId="5095"/>
      <sheetData sheetId="5096">
        <row r="7">
          <cell r="C7">
            <v>0</v>
          </cell>
        </row>
      </sheetData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>
        <row r="7">
          <cell r="C7">
            <v>2</v>
          </cell>
        </row>
      </sheetData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>
        <row r="7">
          <cell r="C7">
            <v>0</v>
          </cell>
        </row>
      </sheetData>
      <sheetData sheetId="5193">
        <row r="7">
          <cell r="C7">
            <v>0</v>
          </cell>
        </row>
      </sheetData>
      <sheetData sheetId="5194">
        <row r="7">
          <cell r="C7">
            <v>2</v>
          </cell>
        </row>
      </sheetData>
      <sheetData sheetId="5195"/>
      <sheetData sheetId="5196">
        <row r="7">
          <cell r="C7">
            <v>0</v>
          </cell>
        </row>
      </sheetData>
      <sheetData sheetId="5197"/>
      <sheetData sheetId="5198"/>
      <sheetData sheetId="5199"/>
      <sheetData sheetId="5200">
        <row r="7">
          <cell r="C7">
            <v>0</v>
          </cell>
        </row>
      </sheetData>
      <sheetData sheetId="5201">
        <row r="7">
          <cell r="C7">
            <v>0</v>
          </cell>
        </row>
      </sheetData>
      <sheetData sheetId="5202"/>
      <sheetData sheetId="5203">
        <row r="7">
          <cell r="C7">
            <v>0</v>
          </cell>
        </row>
      </sheetData>
      <sheetData sheetId="5204">
        <row r="7">
          <cell r="C7">
            <v>2</v>
          </cell>
        </row>
      </sheetData>
      <sheetData sheetId="5205">
        <row r="7">
          <cell r="C7" t="str">
            <v>: 7,203.17 m2</v>
          </cell>
        </row>
      </sheetData>
      <sheetData sheetId="5206">
        <row r="7">
          <cell r="C7">
            <v>2</v>
          </cell>
        </row>
      </sheetData>
      <sheetData sheetId="5207">
        <row r="7">
          <cell r="C7">
            <v>0</v>
          </cell>
        </row>
      </sheetData>
      <sheetData sheetId="5208">
        <row r="7">
          <cell r="C7">
            <v>0</v>
          </cell>
        </row>
      </sheetData>
      <sheetData sheetId="5209">
        <row r="7">
          <cell r="C7">
            <v>2</v>
          </cell>
        </row>
      </sheetData>
      <sheetData sheetId="5210">
        <row r="7">
          <cell r="C7">
            <v>0</v>
          </cell>
        </row>
      </sheetData>
      <sheetData sheetId="5211">
        <row r="7">
          <cell r="C7">
            <v>2</v>
          </cell>
        </row>
      </sheetData>
      <sheetData sheetId="5212">
        <row r="7">
          <cell r="C7">
            <v>2</v>
          </cell>
        </row>
      </sheetData>
      <sheetData sheetId="5213">
        <row r="7">
          <cell r="C7">
            <v>2</v>
          </cell>
        </row>
      </sheetData>
      <sheetData sheetId="5214">
        <row r="7">
          <cell r="C7">
            <v>2</v>
          </cell>
        </row>
      </sheetData>
      <sheetData sheetId="5215">
        <row r="7">
          <cell r="C7">
            <v>2</v>
          </cell>
        </row>
      </sheetData>
      <sheetData sheetId="5216">
        <row r="7">
          <cell r="C7">
            <v>2</v>
          </cell>
        </row>
      </sheetData>
      <sheetData sheetId="5217">
        <row r="7">
          <cell r="C7">
            <v>2</v>
          </cell>
        </row>
      </sheetData>
      <sheetData sheetId="5218">
        <row r="7">
          <cell r="C7">
            <v>2</v>
          </cell>
        </row>
      </sheetData>
      <sheetData sheetId="5219">
        <row r="7">
          <cell r="C7">
            <v>2</v>
          </cell>
        </row>
      </sheetData>
      <sheetData sheetId="5220">
        <row r="7">
          <cell r="C7">
            <v>2</v>
          </cell>
        </row>
      </sheetData>
      <sheetData sheetId="5221"/>
      <sheetData sheetId="5222">
        <row r="7">
          <cell r="C7">
            <v>0</v>
          </cell>
        </row>
      </sheetData>
      <sheetData sheetId="5223">
        <row r="7">
          <cell r="C7">
            <v>0</v>
          </cell>
        </row>
      </sheetData>
      <sheetData sheetId="5224">
        <row r="7">
          <cell r="C7">
            <v>2</v>
          </cell>
        </row>
      </sheetData>
      <sheetData sheetId="5225">
        <row r="7">
          <cell r="C7">
            <v>2</v>
          </cell>
        </row>
      </sheetData>
      <sheetData sheetId="5226"/>
      <sheetData sheetId="5227"/>
      <sheetData sheetId="5228"/>
      <sheetData sheetId="5229"/>
      <sheetData sheetId="5230">
        <row r="7">
          <cell r="C7">
            <v>0</v>
          </cell>
        </row>
      </sheetData>
      <sheetData sheetId="5231">
        <row r="7">
          <cell r="C7">
            <v>0</v>
          </cell>
        </row>
      </sheetData>
      <sheetData sheetId="5232">
        <row r="7">
          <cell r="C7">
            <v>0</v>
          </cell>
        </row>
      </sheetData>
      <sheetData sheetId="5233"/>
      <sheetData sheetId="5234">
        <row r="7">
          <cell r="C7">
            <v>0</v>
          </cell>
        </row>
      </sheetData>
      <sheetData sheetId="5235"/>
      <sheetData sheetId="5236"/>
      <sheetData sheetId="5237"/>
      <sheetData sheetId="5238"/>
      <sheetData sheetId="5239"/>
      <sheetData sheetId="5240"/>
      <sheetData sheetId="5241" refreshError="1"/>
      <sheetData sheetId="5242" refreshError="1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 refreshError="1"/>
      <sheetData sheetId="5252" refreshError="1"/>
      <sheetData sheetId="5253" refreshError="1"/>
      <sheetData sheetId="5254">
        <row r="7">
          <cell r="C7">
            <v>2</v>
          </cell>
        </row>
      </sheetData>
      <sheetData sheetId="5255"/>
      <sheetData sheetId="5256"/>
      <sheetData sheetId="5257"/>
      <sheetData sheetId="5258"/>
      <sheetData sheetId="5259">
        <row r="7">
          <cell r="C7">
            <v>2</v>
          </cell>
        </row>
      </sheetData>
      <sheetData sheetId="5260"/>
      <sheetData sheetId="5261">
        <row r="7">
          <cell r="C7">
            <v>2</v>
          </cell>
        </row>
      </sheetData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>
        <row r="7">
          <cell r="C7">
            <v>0</v>
          </cell>
        </row>
      </sheetData>
      <sheetData sheetId="5345">
        <row r="7">
          <cell r="C7">
            <v>2</v>
          </cell>
        </row>
      </sheetData>
      <sheetData sheetId="5346">
        <row r="7">
          <cell r="C7">
            <v>2</v>
          </cell>
        </row>
      </sheetData>
      <sheetData sheetId="5347"/>
      <sheetData sheetId="5348"/>
      <sheetData sheetId="5349"/>
      <sheetData sheetId="5350"/>
      <sheetData sheetId="5351">
        <row r="7">
          <cell r="C7">
            <v>0</v>
          </cell>
        </row>
      </sheetData>
      <sheetData sheetId="5352"/>
      <sheetData sheetId="5353">
        <row r="7">
          <cell r="C7">
            <v>0</v>
          </cell>
        </row>
      </sheetData>
      <sheetData sheetId="5354">
        <row r="7">
          <cell r="C7">
            <v>2</v>
          </cell>
        </row>
      </sheetData>
      <sheetData sheetId="5355">
        <row r="7">
          <cell r="C7">
            <v>0</v>
          </cell>
        </row>
      </sheetData>
      <sheetData sheetId="5356">
        <row r="7">
          <cell r="C7">
            <v>0</v>
          </cell>
        </row>
      </sheetData>
      <sheetData sheetId="5357">
        <row r="7">
          <cell r="C7">
            <v>2</v>
          </cell>
        </row>
      </sheetData>
      <sheetData sheetId="5358">
        <row r="7">
          <cell r="C7">
            <v>2</v>
          </cell>
        </row>
      </sheetData>
      <sheetData sheetId="5359">
        <row r="7">
          <cell r="C7">
            <v>2</v>
          </cell>
        </row>
      </sheetData>
      <sheetData sheetId="5360">
        <row r="7">
          <cell r="C7">
            <v>0</v>
          </cell>
        </row>
      </sheetData>
      <sheetData sheetId="5361">
        <row r="7">
          <cell r="C7">
            <v>0</v>
          </cell>
        </row>
      </sheetData>
      <sheetData sheetId="5362">
        <row r="7">
          <cell r="C7">
            <v>0</v>
          </cell>
        </row>
      </sheetData>
      <sheetData sheetId="5363">
        <row r="7">
          <cell r="C7">
            <v>2</v>
          </cell>
        </row>
      </sheetData>
      <sheetData sheetId="5364">
        <row r="7">
          <cell r="C7">
            <v>0</v>
          </cell>
        </row>
      </sheetData>
      <sheetData sheetId="5365">
        <row r="7">
          <cell r="C7">
            <v>2</v>
          </cell>
        </row>
      </sheetData>
      <sheetData sheetId="5366">
        <row r="7">
          <cell r="C7">
            <v>2</v>
          </cell>
        </row>
      </sheetData>
      <sheetData sheetId="5367">
        <row r="7">
          <cell r="C7">
            <v>2</v>
          </cell>
        </row>
      </sheetData>
      <sheetData sheetId="5368">
        <row r="7">
          <cell r="C7" t="str">
            <v>: 7,203.17 m2</v>
          </cell>
        </row>
      </sheetData>
      <sheetData sheetId="5369">
        <row r="7">
          <cell r="C7">
            <v>2</v>
          </cell>
        </row>
      </sheetData>
      <sheetData sheetId="5370">
        <row r="7">
          <cell r="C7">
            <v>2</v>
          </cell>
        </row>
      </sheetData>
      <sheetData sheetId="5371">
        <row r="7">
          <cell r="C7">
            <v>0</v>
          </cell>
        </row>
      </sheetData>
      <sheetData sheetId="5372">
        <row r="7">
          <cell r="C7">
            <v>0</v>
          </cell>
        </row>
      </sheetData>
      <sheetData sheetId="5373">
        <row r="7">
          <cell r="C7">
            <v>0</v>
          </cell>
        </row>
      </sheetData>
      <sheetData sheetId="5374">
        <row r="7">
          <cell r="C7">
            <v>2</v>
          </cell>
        </row>
      </sheetData>
      <sheetData sheetId="5375">
        <row r="7">
          <cell r="C7" t="str">
            <v>: 7,203.17 m2</v>
          </cell>
        </row>
      </sheetData>
      <sheetData sheetId="5376">
        <row r="7">
          <cell r="C7">
            <v>2</v>
          </cell>
        </row>
      </sheetData>
      <sheetData sheetId="5377">
        <row r="7">
          <cell r="C7">
            <v>2</v>
          </cell>
        </row>
      </sheetData>
      <sheetData sheetId="5378"/>
      <sheetData sheetId="5379"/>
      <sheetData sheetId="5380"/>
      <sheetData sheetId="5381">
        <row r="7">
          <cell r="C7">
            <v>0</v>
          </cell>
        </row>
      </sheetData>
      <sheetData sheetId="5382">
        <row r="7">
          <cell r="C7">
            <v>0</v>
          </cell>
        </row>
      </sheetData>
      <sheetData sheetId="5383">
        <row r="7">
          <cell r="C7">
            <v>0</v>
          </cell>
        </row>
      </sheetData>
      <sheetData sheetId="5384">
        <row r="7">
          <cell r="C7">
            <v>0</v>
          </cell>
        </row>
      </sheetData>
      <sheetData sheetId="5385"/>
      <sheetData sheetId="5386">
        <row r="7">
          <cell r="C7">
            <v>0</v>
          </cell>
        </row>
      </sheetData>
      <sheetData sheetId="5387"/>
      <sheetData sheetId="5388">
        <row r="7">
          <cell r="C7">
            <v>2</v>
          </cell>
        </row>
      </sheetData>
      <sheetData sheetId="5389">
        <row r="7">
          <cell r="C7">
            <v>0</v>
          </cell>
        </row>
      </sheetData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 refreshError="1"/>
      <sheetData sheetId="5402" refreshError="1"/>
      <sheetData sheetId="5403" refreshError="1"/>
      <sheetData sheetId="540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주관사업"/>
      <sheetName val="Hoja3"/>
      <sheetName val="Hoja2"/>
      <sheetName val="Viguetas 36 REAL"/>
      <sheetName val="Encofrado BVR Unispan"/>
      <sheetName val="Viguetas_36_REAL"/>
      <sheetName val="Sheet1"/>
      <sheetName val="Tiraje Mix"/>
      <sheetName val="EQUIPMENT -2"/>
      <sheetName val="EQUIPMENT_-2"/>
      <sheetName val="RESUMEN DE COTIZACION"/>
      <sheetName val="OBRA CIVIL"/>
      <sheetName val="ESTRUCTURA DE HORMIGON"/>
      <sheetName val="INFRAESTRUCTURA"/>
      <sheetName val="INSTALACION ELECTRICA"/>
      <sheetName val="VIZ4"/>
      <sheetName val="VIZ7"/>
      <sheetName val="UZ"/>
      <sheetName val="Viguetas_36_REAL1"/>
      <sheetName val="Encofrado_BVR_Unispan"/>
      <sheetName val="EQUIPMENT_-21"/>
      <sheetName val="RESUMEN_DE_COTIZACION"/>
      <sheetName val="OBRA_CIVIL"/>
      <sheetName val="ESTRUCTURA_DE_HORMIGON"/>
      <sheetName val="INSTALACION_ELECTRICA"/>
      <sheetName val="Tiraje_Mix"/>
      <sheetName val="Viguetas_36_REAL2"/>
      <sheetName val="Encofrado_BVR_Unispan1"/>
      <sheetName val="EQUIPMENT_-22"/>
      <sheetName val="RESUMEN_DE_COTIZACION1"/>
      <sheetName val="OBRA_CIVIL1"/>
      <sheetName val="ESTRUCTURA_DE_HORMIGON1"/>
      <sheetName val="INSTALACION_ELECTRICA1"/>
      <sheetName val="Tiraje_Mix1"/>
      <sheetName val="ESTRIBADO"/>
      <sheetName val="Viguetas_36_REAL6"/>
      <sheetName val="Encofrado_BVR_Unispan4"/>
      <sheetName val="Tiraje_Mix4"/>
      <sheetName val="EQUIPMENT_-25"/>
      <sheetName val="RESUMEN_DE_COTIZACION4"/>
      <sheetName val="OBRA_CIVIL4"/>
      <sheetName val="ESTRUCTURA_DE_HORMIGON4"/>
      <sheetName val="INSTALACION_ELECTRICA4"/>
      <sheetName val="Viguetas_36_REAL3"/>
      <sheetName val="Viguetas_36_REAL4"/>
      <sheetName val="Encofrado_BVR_Unispan2"/>
      <sheetName val="Tiraje_Mix2"/>
      <sheetName val="EQUIPMENT_-23"/>
      <sheetName val="RESUMEN_DE_COTIZACION2"/>
      <sheetName val="OBRA_CIVIL2"/>
      <sheetName val="ESTRUCTURA_DE_HORMIGON2"/>
      <sheetName val="INSTALACION_ELECTRICA2"/>
      <sheetName val="Viguetas_36_REAL5"/>
      <sheetName val="Encofrado_BVR_Unispan3"/>
      <sheetName val="Tiraje_Mix3"/>
      <sheetName val="EQUIPMENT_-24"/>
      <sheetName val="RESUMEN_DE_COTIZACION3"/>
      <sheetName val="OBRA_CIVIL3"/>
      <sheetName val="ESTRUCTURA_DE_HORMIGON3"/>
      <sheetName val="INSTALACION_ELECTRICA3"/>
      <sheetName val="Viguetas_36_REAL10"/>
      <sheetName val="Encofrado_BVR_Unispan8"/>
      <sheetName val="Tiraje_Mix8"/>
      <sheetName val="EQUIPMENT_-29"/>
      <sheetName val="RESUMEN_DE_COTIZACION8"/>
      <sheetName val="OBRA_CIVIL8"/>
      <sheetName val="ESTRUCTURA_DE_HORMIGON8"/>
      <sheetName val="INSTALACION_ELECTRICA8"/>
      <sheetName val="Viguetas_36_REAL7"/>
      <sheetName val="Encofrado_BVR_Unispan5"/>
      <sheetName val="Tiraje_Mix5"/>
      <sheetName val="EQUIPMENT_-26"/>
      <sheetName val="RESUMEN_DE_COTIZACION5"/>
      <sheetName val="OBRA_CIVIL5"/>
      <sheetName val="ESTRUCTURA_DE_HORMIGON5"/>
      <sheetName val="INSTALACION_ELECTRICA5"/>
      <sheetName val="Viguetas_36_REAL8"/>
      <sheetName val="Encofrado_BVR_Unispan6"/>
      <sheetName val="Tiraje_Mix6"/>
      <sheetName val="EQUIPMENT_-27"/>
      <sheetName val="RESUMEN_DE_COTIZACION6"/>
      <sheetName val="OBRA_CIVIL6"/>
      <sheetName val="ESTRUCTURA_DE_HORMIGON6"/>
      <sheetName val="INSTALACION_ELECTRICA6"/>
      <sheetName val="Viguetas_36_REAL9"/>
      <sheetName val="Encofrado_BVR_Unispan7"/>
      <sheetName val="Tiraje_Mix7"/>
      <sheetName val="EQUIPMENT_-28"/>
      <sheetName val="RESUMEN_DE_COTIZACION7"/>
      <sheetName val="OBRA_CIVIL7"/>
      <sheetName val="ESTRUCTURA_DE_HORMIGON7"/>
      <sheetName val="INSTALACION_ELECTRICA7"/>
      <sheetName val="Viguetas_36_REAL11"/>
      <sheetName val="Encofrado_BVR_Unispan9"/>
      <sheetName val="Tiraje_Mix9"/>
      <sheetName val="EQUIPMENT_-210"/>
      <sheetName val="RESUMEN_DE_COTIZACION9"/>
      <sheetName val="OBRA_CIVIL9"/>
      <sheetName val="ESTRUCTURA_DE_HORMIGON9"/>
      <sheetName val="INSTALACION_ELECTRICA9"/>
      <sheetName val="GENERAL"/>
      <sheetName val="Av Sem 45"/>
      <sheetName val="Av Sem 02"/>
      <sheetName val="Hoja1"/>
      <sheetName val="4. CORTE"/>
      <sheetName val="OS"/>
      <sheetName val="Applications"/>
      <sheetName val="7813H-SS"/>
      <sheetName val="EQUIPMENT_-211"/>
      <sheetName val="Av_Sem_45"/>
      <sheetName val="Av_Sem_02"/>
      <sheetName val=""/>
      <sheetName val="INDIRECTOS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Viguetas_36_REAL12"/>
      <sheetName val="APU-A. Inst. Elect.1"/>
      <sheetName val="Av_Sem_451"/>
      <sheetName val="Av_Sem_021"/>
      <sheetName val="4__CORTE"/>
      <sheetName val="Viguetas_36_REAL13"/>
      <sheetName val="Encofrado_BVR_Unispan11"/>
      <sheetName val="EQUIPMENT_-213"/>
      <sheetName val="RESUMEN_DE_COTIZACION11"/>
      <sheetName val="OBRA_CIVIL11"/>
      <sheetName val="ESTRUCTURA_DE_HORMIGON11"/>
      <sheetName val="INSTALACION_ELECTRICA11"/>
      <sheetName val="Tiraje_Mix11"/>
      <sheetName val="Av_Sem_452"/>
      <sheetName val="Av_Sem_022"/>
      <sheetName val="4__CORTE1"/>
      <sheetName val="F-05"/>
      <sheetName val="PRECIOS MATERIALES"/>
      <sheetName val="APU-A__Inst__Elect_1"/>
      <sheetName val="G"/>
      <sheetName val="ANÁLISIS GG"/>
      <sheetName val="Tuberia"/>
      <sheetName val="Viguetas_36_REAL14"/>
      <sheetName val="Encofrado_BVR_Unispan12"/>
      <sheetName val="EQUIPMENT_-214"/>
      <sheetName val="RESUMEN_DE_COTIZACION12"/>
      <sheetName val="OBRA_CIVIL12"/>
      <sheetName val="ESTRUCTURA_DE_HORMIGON12"/>
      <sheetName val="INSTALACION_ELECTRICA12"/>
      <sheetName val="Tiraje_Mix12"/>
      <sheetName val="4__CORTE2"/>
      <sheetName val="Av_Sem_453"/>
      <sheetName val="Av_Sem_023"/>
      <sheetName val="Viguetas_36_REAL15"/>
      <sheetName val="Encofrado_BVR_Unispan13"/>
      <sheetName val="EQUIPMENT_-215"/>
      <sheetName val="RESUMEN_DE_COTIZACION13"/>
      <sheetName val="OBRA_CIVIL13"/>
      <sheetName val="ESTRUCTURA_DE_HORMIGON13"/>
      <sheetName val="INSTALACION_ELECTRICA13"/>
      <sheetName val="Tiraje_Mix13"/>
      <sheetName val="4__CORTE3"/>
      <sheetName val="Av_Sem_454"/>
      <sheetName val="Av_Sem_024"/>
      <sheetName val="APU-A__Inst__Elect_11"/>
      <sheetName val="Viguetas_36_REAL17"/>
      <sheetName val="Encofrado_BVR_Unispan15"/>
      <sheetName val="EQUIPMENT_-217"/>
      <sheetName val="RESUMEN_DE_COTIZACION15"/>
      <sheetName val="OBRA_CIVIL15"/>
      <sheetName val="ESTRUCTURA_DE_HORMIGON15"/>
      <sheetName val="INSTALACION_ELECTRICA15"/>
      <sheetName val="Tiraje_Mix15"/>
      <sheetName val="4__CORTE5"/>
      <sheetName val="Av_Sem_456"/>
      <sheetName val="Av_Sem_026"/>
      <sheetName val="APU-A__Inst__Elect_13"/>
      <sheetName val="Viguetas_36_REAL16"/>
      <sheetName val="Encofrado_BVR_Unispan14"/>
      <sheetName val="EQUIPMENT_-216"/>
      <sheetName val="RESUMEN_DE_COTIZACION14"/>
      <sheetName val="OBRA_CIVIL14"/>
      <sheetName val="ESTRUCTURA_DE_HORMIGON14"/>
      <sheetName val="INSTALACION_ELECTRICA14"/>
      <sheetName val="Tiraje_Mix14"/>
      <sheetName val="4__CORTE4"/>
      <sheetName val="Av_Sem_455"/>
      <sheetName val="Av_Sem_025"/>
      <sheetName val="APU-A__Inst__Elect_12"/>
      <sheetName val="Viguetas_36_REAL18"/>
      <sheetName val="Encofrado_BVR_Unispan16"/>
      <sheetName val="EQUIPMENT_-218"/>
      <sheetName val="RESUMEN_DE_COTIZACION16"/>
      <sheetName val="OBRA_CIVIL16"/>
      <sheetName val="ESTRUCTURA_DE_HORMIGON16"/>
      <sheetName val="INSTALACION_ELECTRICA16"/>
      <sheetName val="Tiraje_Mix16"/>
      <sheetName val="4__CORTE6"/>
      <sheetName val="Av_Sem_457"/>
      <sheetName val="Av_Sem_027"/>
      <sheetName val="APU-A__Inst__Elect_14"/>
      <sheetName val="LIMA-CANT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OOPP"/>
      <sheetName val="N°1"/>
      <sheetName val="10241PIP1ON-SITE"/>
      <sheetName val="10241EQLIST"/>
      <sheetName val="PPTO "/>
      <sheetName val="A.P.U"/>
      <sheetName val="RESUMEN"/>
      <sheetName val="PPTO"/>
      <sheetName val="G.G."/>
      <sheetName val="WEEKBASE"/>
      <sheetName val="4 Week Sched"/>
      <sheetName val="analisis"/>
      <sheetName val="TABLEROS"/>
      <sheetName val="Data"/>
      <sheetName val="Sol.Val"/>
      <sheetName val="Res.Val"/>
      <sheetName val="OBRAS PROV. Y PRELIM."/>
      <sheetName val="EST ESCALERAS"/>
      <sheetName val="PC-19053 RP PURUCHUCO"/>
      <sheetName val="Datos"/>
      <sheetName val="Damper"/>
      <sheetName val="Basedatos"/>
      <sheetName val="Presup"/>
      <sheetName val="Viguetas_36_REAL19"/>
      <sheetName val="Encofrado_BVR_Unispan17"/>
      <sheetName val="Tiraje_Mix17"/>
      <sheetName val="EQUIPMENT_-219"/>
      <sheetName val="RESUMEN_DE_COTIZACION17"/>
      <sheetName val="OBRA_CIVIL17"/>
      <sheetName val="ESTRUCTURA_DE_HORMIGON17"/>
      <sheetName val="INSTALACION_ELECTRICA17"/>
      <sheetName val="4__CORTE7"/>
      <sheetName val="Av_Sem_458"/>
      <sheetName val="Av_Sem_028"/>
      <sheetName val="Viguetas_36_REAL22"/>
      <sheetName val="Encofrado_BVR_Unispan20"/>
      <sheetName val="EQUIPMENT_-222"/>
      <sheetName val="RESUMEN_DE_COTIZACION20"/>
      <sheetName val="OBRA_CIVIL20"/>
      <sheetName val="ESTRUCTURA_DE_HORMIGON20"/>
      <sheetName val="INSTALACION_ELECTRICA20"/>
      <sheetName val="Tiraje_Mix20"/>
      <sheetName val="4__CORTE10"/>
      <sheetName val="Av_Sem_4511"/>
      <sheetName val="Av_Sem_0211"/>
      <sheetName val="APU-A__Inst__Elect_17"/>
      <sheetName val="Viguetas_36_REAL20"/>
      <sheetName val="Encofrado_BVR_Unispan18"/>
      <sheetName val="EQUIPMENT_-220"/>
      <sheetName val="RESUMEN_DE_COTIZACION18"/>
      <sheetName val="OBRA_CIVIL18"/>
      <sheetName val="ESTRUCTURA_DE_HORMIGON18"/>
      <sheetName val="INSTALACION_ELECTRICA18"/>
      <sheetName val="Tiraje_Mix18"/>
      <sheetName val="4__CORTE8"/>
      <sheetName val="Av_Sem_459"/>
      <sheetName val="Av_Sem_029"/>
      <sheetName val="APU-A__Inst__Elect_15"/>
      <sheetName val="Viguetas_36_REAL21"/>
      <sheetName val="Encofrado_BVR_Unispan19"/>
      <sheetName val="EQUIPMENT_-221"/>
      <sheetName val="RESUMEN_DE_COTIZACION19"/>
      <sheetName val="OBRA_CIVIL19"/>
      <sheetName val="ESTRUCTURA_DE_HORMIGON19"/>
      <sheetName val="INSTALACION_ELECTRICA19"/>
      <sheetName val="Tiraje_Mix19"/>
      <sheetName val="4__CORTE9"/>
      <sheetName val="Av_Sem_4510"/>
      <sheetName val="Av_Sem_0210"/>
      <sheetName val="APU-A__Inst__Elect_16"/>
      <sheetName val="Viguetas_36_REAL23"/>
      <sheetName val="Encofrado_BVR_Unispan21"/>
      <sheetName val="EQUIPMENT_-223"/>
      <sheetName val="RESUMEN_DE_COTIZACION21"/>
      <sheetName val="OBRA_CIVIL21"/>
      <sheetName val="ESTRUCTURA_DE_HORMIGON21"/>
      <sheetName val="INSTALACION_ELECTRICA21"/>
      <sheetName val="Tiraje_Mix21"/>
      <sheetName val="4__CORTE11"/>
      <sheetName val="Av_Sem_4512"/>
      <sheetName val="Av_Sem_0212"/>
      <sheetName val="ANÁLISIS_GG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Hoja de Recursos"/>
      <sheetName val="Provisionales "/>
      <sheetName val="Estructuras"/>
      <sheetName val="Arquitectura"/>
      <sheetName val="pu Estructuras"/>
      <sheetName val="strsumm0"/>
      <sheetName val="RESUMEN METRADOS (2)"/>
      <sheetName val="VIGAS"/>
      <sheetName val="PRELOSA"/>
      <sheetName val="L MACIZAS"/>
      <sheetName val="PLACAS MP"/>
      <sheetName val="PLACAS EDIF"/>
      <sheetName val="#¡REF"/>
      <sheetName val="Av S50"/>
      <sheetName val="Pre"/>
      <sheetName val="APU"/>
      <sheetName val="A"/>
      <sheetName val="Action Required"/>
      <sheetName val="PPTO_"/>
      <sheetName val="A_P_U"/>
      <sheetName val="7422cw00"/>
      <sheetName val="liebman 134"/>
      <sheetName val="Losa Aligerada 1 Sent (JVH)"/>
      <sheetName val="ACOSTO_EST"/>
      <sheetName val="PRECIOS_MATERIALES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G_G_"/>
      <sheetName val="4_Week_Sched"/>
      <sheetName val="Sol_Val"/>
      <sheetName val="Res_Val"/>
      <sheetName val="OBRAS_PROV__Y_PRELIM_"/>
      <sheetName val="EST_ESCALERAS"/>
      <sheetName val="PC-19053_RP_PURUCHUCO"/>
      <sheetName val="inter"/>
      <sheetName val="Hoja4"/>
      <sheetName val="Accesorio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CS"/>
      <sheetName val="Pump Calcs"/>
      <sheetName val="Fluid"/>
      <sheetName val="Rouhness"/>
      <sheetName val="Material"/>
      <sheetName val="tank1"/>
      <sheetName val="fittings"/>
      <sheetName val="conv"/>
      <sheetName val="Personalizar"/>
      <sheetName val="PARTIDAS"/>
      <sheetName val="00-043.dat"/>
      <sheetName val="Riesgo en cambio"/>
      <sheetName val="Base"/>
      <sheetName val="prices"/>
      <sheetName val="EQUIPMENT_-224"/>
      <sheetName val="RESUMEN_DE_COTIZACION22"/>
      <sheetName val="OBRA_CIVIL22"/>
      <sheetName val="ESTRUCTURA_DE_HORMIGON22"/>
      <sheetName val="INSTALACION_ELECTRICA22"/>
      <sheetName val="Encofrado_BVR_Unispan22"/>
      <sheetName val="Viguetas_36_REAL24"/>
      <sheetName val="Tiraje_Mix22"/>
      <sheetName val="Av_Sem_4513"/>
      <sheetName val="Av_Sem_0213"/>
      <sheetName val="4__CORTE12"/>
      <sheetName val="APU-A__Inst__Elect_18"/>
      <sheetName val="ANÁLISIS_GG1"/>
      <sheetName val="Hoja_de_Recursos"/>
      <sheetName val="Provisionales_"/>
      <sheetName val="O_CIVIL"/>
      <sheetName val="IIMM_LIQ"/>
      <sheetName val="PLANILA_OC"/>
      <sheetName val="PRECIOS_MATERIALES1"/>
      <sheetName val="ANÁLISIS_GG2"/>
      <sheetName val="ANÁLISIS_GG5"/>
      <sheetName val="ANÁLISIS_GG3"/>
      <sheetName val="ANÁLISIS_GG4"/>
      <sheetName val="ANÁLISIS_GG6"/>
      <sheetName val="ANÁLISIS_GG7"/>
      <sheetName val="ANÁLISIS_GG8"/>
      <sheetName val="APU-A__Inst__Elect_19"/>
      <sheetName val="ANÁLISIS_GG9"/>
      <sheetName val="1. Time &amp; Esc"/>
      <sheetName val="Input"/>
      <sheetName val="Fcst"/>
      <sheetName val="7 &amp; 8A. SandU"/>
      <sheetName val="2&amp;3 AeroRevs"/>
      <sheetName val="4. Non-AeroRevs"/>
      <sheetName val="2843 DATA"/>
      <sheetName val="Action_Required"/>
      <sheetName val="pu_Estructuras"/>
      <sheetName val="Viguetas_36_REAL25"/>
      <sheetName val="Encofrado_BVR_Unispan23"/>
      <sheetName val="EQUIPMENT_-225"/>
      <sheetName val="RESUMEN_DE_COTIZACION23"/>
      <sheetName val="OBRA_CIVIL23"/>
      <sheetName val="ESTRUCTURA_DE_HORMIGON23"/>
      <sheetName val="INSTALACION_ELECTRICA23"/>
      <sheetName val="Tiraje_Mix23"/>
      <sheetName val="Av_Sem_4514"/>
      <sheetName val="Av_Sem_0214"/>
      <sheetName val="4__CORTE13"/>
      <sheetName val="G_G_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Week_Sched1"/>
      <sheetName val="PPTO_1"/>
      <sheetName val="A_P_U1"/>
      <sheetName val="Sol_Val1"/>
      <sheetName val="Res_Val1"/>
      <sheetName val="OBRAS_PROV__Y_PRELIM_1"/>
      <sheetName val="EST_ESCALERAS1"/>
      <sheetName val="PC-19053_RP_PURUCHUCO1"/>
      <sheetName val="pu_Estructuras1"/>
      <sheetName val="O_CIVIL1"/>
      <sheetName val="IIMM_LIQ1"/>
      <sheetName val="PLANILA_OC1"/>
      <sheetName val="Hoja_de_Recursos1"/>
      <sheetName val="Provisionales_1"/>
      <sheetName val="Action_Required1"/>
      <sheetName val="1"/>
      <sheetName val="IARyPD"/>
      <sheetName val="PPTO_2"/>
      <sheetName val="A_P_U2"/>
      <sheetName val="Cdr 9"/>
      <sheetName val="ANÁLISIS_GG10"/>
      <sheetName val="PRECIOS_MATERIALES2"/>
      <sheetName val="liebman_134"/>
      <sheetName val="Pump_Calcs"/>
      <sheetName val="00-043_dat"/>
      <sheetName val="Riesgo_en_cambio"/>
      <sheetName val="2843_DATA"/>
      <sheetName val="Losa_Aligerada_1_Sent_(JVH)"/>
      <sheetName val="Viguetas_36_REAL27"/>
      <sheetName val="Encofrado_BVR_Unispan25"/>
      <sheetName val="EQUIPMENT_-227"/>
      <sheetName val="RESUMEN_DE_COTIZACION25"/>
      <sheetName val="OBRA_CIVIL25"/>
      <sheetName val="ESTRUCTURA_DE_HORMIGON25"/>
      <sheetName val="INSTALACION_ELECTRICA25"/>
      <sheetName val="Tiraje_Mix25"/>
      <sheetName val="Av_Sem_4516"/>
      <sheetName val="Av_Sem_0216"/>
      <sheetName val="4__CORTE15"/>
      <sheetName val="APU-A__Inst__Elect_111"/>
      <sheetName val="PRECIOS_MATERIALES3"/>
      <sheetName val="PPTO_4"/>
      <sheetName val="A_P_U4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G_G_3"/>
      <sheetName val="4_Week_Sched3"/>
      <sheetName val="Sol_Val3"/>
      <sheetName val="Res_Val3"/>
      <sheetName val="OBRAS_PROV__Y_PRELIM_3"/>
      <sheetName val="EST_ESCALERAS3"/>
      <sheetName val="PC-19053_RP_PURUCHUCO3"/>
      <sheetName val="pu_Estructuras3"/>
      <sheetName val="O_CIVIL3"/>
      <sheetName val="IIMM_LIQ3"/>
      <sheetName val="PLANILA_OC3"/>
      <sheetName val="Hoja_de_Recursos3"/>
      <sheetName val="Provisionales_3"/>
      <sheetName val="Viguetas_36_REAL26"/>
      <sheetName val="Encofrado_BVR_Unispan24"/>
      <sheetName val="EQUIPMENT_-226"/>
      <sheetName val="RESUMEN_DE_COTIZACION24"/>
      <sheetName val="OBRA_CIVIL24"/>
      <sheetName val="ESTRUCTURA_DE_HORMIGON24"/>
      <sheetName val="INSTALACION_ELECTRICA24"/>
      <sheetName val="Tiraje_Mix24"/>
      <sheetName val="Av_Sem_4515"/>
      <sheetName val="Av_Sem_0215"/>
      <sheetName val="4__CORTE14"/>
      <sheetName val="APU-A__Inst__Elect_110"/>
      <sheetName val="PPTO_3"/>
      <sheetName val="A_P_U3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G_G_2"/>
      <sheetName val="4_Week_Sched2"/>
      <sheetName val="Sol_Val2"/>
      <sheetName val="Res_Val2"/>
      <sheetName val="OBRAS_PROV__Y_PRELIM_2"/>
      <sheetName val="EST_ESCALERAS2"/>
      <sheetName val="PC-19053_RP_PURUCHUCO2"/>
      <sheetName val="O_CIVIL2"/>
      <sheetName val="IIMM_LIQ2"/>
      <sheetName val="PLANILA_OC2"/>
      <sheetName val="Hoja_de_Recursos2"/>
      <sheetName val="Provisionales_2"/>
      <sheetName val="pu_Estructuras2"/>
      <sheetName val="RESUMEN_METRADOS_(2)"/>
      <sheetName val="L_MACIZAS"/>
      <sheetName val="PLACAS_MP"/>
      <sheetName val="PLACAS_EDIF"/>
      <sheetName val="Av_S50"/>
      <sheetName val="Metrado 01"/>
      <sheetName val="Metrado 02"/>
      <sheetName val="Viguetas_36_REAL28"/>
      <sheetName val="Encofrado_BVR_Unispan26"/>
      <sheetName val="EQUIPMENT_-228"/>
      <sheetName val="RESUMEN_DE_COTIZACION26"/>
      <sheetName val="OBRA_CIVIL26"/>
      <sheetName val="ESTRUCTURA_DE_HORMIGON26"/>
      <sheetName val="INSTALACION_ELECTRICA26"/>
      <sheetName val="Tiraje_Mix26"/>
      <sheetName val="Av_Sem_4517"/>
      <sheetName val="Av_Sem_0217"/>
      <sheetName val="4__CORTE16"/>
      <sheetName val="APU-A__Inst__Elect_112"/>
      <sheetName val="PRECIOS_MATERIALES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G_G_4"/>
      <sheetName val="4_Week_Sched4"/>
      <sheetName val="PPTO_5"/>
      <sheetName val="A_P_U5"/>
      <sheetName val="Sol_Val4"/>
      <sheetName val="Res_Val4"/>
      <sheetName val="OBRAS_PROV__Y_PRELIM_4"/>
      <sheetName val="EST_ESCALERAS4"/>
      <sheetName val="PC-19053_RP_PURUCHUCO4"/>
      <sheetName val="Hoja_de_Recursos4"/>
      <sheetName val="Provisionales_4"/>
      <sheetName val="O_CIVIL4"/>
      <sheetName val="IIMM_LIQ4"/>
      <sheetName val="PLANILA_OC4"/>
      <sheetName val="pu_Estructuras4"/>
      <sheetName val="1__Time_&amp;_Esc"/>
      <sheetName val="7_&amp;_8A__SandU"/>
      <sheetName val="2&amp;3_AeroRevs"/>
      <sheetName val="4__Non-AeroRevs"/>
      <sheetName val="PUNIT"/>
      <sheetName val="PRECIOS_MATERIALES5"/>
      <sheetName val="Viguetas_36_REAL29"/>
      <sheetName val="Encofrado_BVR_Unispan27"/>
      <sheetName val="EQUIPMENT_-229"/>
      <sheetName val="RESUMEN_DE_COTIZACION27"/>
      <sheetName val="OBRA_CIVIL27"/>
      <sheetName val="ESTRUCTURA_DE_HORMIGON27"/>
      <sheetName val="INSTALACION_ELECTRICA27"/>
      <sheetName val="Tiraje_Mix27"/>
      <sheetName val="Av_Sem_4518"/>
      <sheetName val="Av_Sem_0218"/>
      <sheetName val="4__CORTE17"/>
      <sheetName val="APU-A__Inst__Elect_113"/>
      <sheetName val="PRECIOS_MATERIALES6"/>
      <sheetName val="G_G_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4_Week_Sched5"/>
      <sheetName val="Sol_Val5"/>
      <sheetName val="Res_Val5"/>
      <sheetName val="OBRAS_PROV__Y_PRELIM_5"/>
      <sheetName val="EST_ESCALERAS5"/>
      <sheetName val="PC-19053_RP_PURUCHUCO5"/>
      <sheetName val="Viguetas_36_REAL30"/>
      <sheetName val="Encofrado_BVR_Unispan28"/>
      <sheetName val="EQUIPMENT_-230"/>
      <sheetName val="RESUMEN_DE_COTIZACION28"/>
      <sheetName val="OBRA_CIVIL28"/>
      <sheetName val="ESTRUCTURA_DE_HORMIGON28"/>
      <sheetName val="INSTALACION_ELECTRICA28"/>
      <sheetName val="Tiraje_Mix28"/>
      <sheetName val="Av_Sem_4519"/>
      <sheetName val="Av_Sem_0219"/>
      <sheetName val="4__CORTE18"/>
      <sheetName val="APU-A__Inst__Elect_114"/>
      <sheetName val="PRECIOS_MATERIALES7"/>
      <sheetName val="G_G_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Sol_Val6"/>
      <sheetName val="Res_Val6"/>
      <sheetName val="OBRAS_PROV__Y_PRELIM_6"/>
      <sheetName val="EST_ESCALERAS6"/>
      <sheetName val="PC-19053_RP_PURUCHUCO6"/>
      <sheetName val="4_Week_Sched6"/>
      <sheetName val="PPTO_6"/>
      <sheetName val="A_P_U6"/>
      <sheetName val="O_CIVIL5"/>
      <sheetName val="IIMM_LIQ5"/>
      <sheetName val="PLANILA_OC5"/>
      <sheetName val="Hoja_de_Recursos5"/>
      <sheetName val="Provisionales_5"/>
      <sheetName val="pu_Estructuras5"/>
      <sheetName val="METRADO"/>
      <sheetName val="liebman_1341"/>
      <sheetName val="Action_Required2"/>
      <sheetName val="RS"/>
    </sheetNames>
    <sheetDataSet>
      <sheetData sheetId="0">
        <row r="51">
          <cell r="H51">
            <v>247.68</v>
          </cell>
        </row>
      </sheetData>
      <sheetData sheetId="1">
        <row r="51">
          <cell r="H51">
            <v>247.68</v>
          </cell>
        </row>
      </sheetData>
      <sheetData sheetId="2">
        <row r="51">
          <cell r="H51">
            <v>247.68</v>
          </cell>
        </row>
      </sheetData>
      <sheetData sheetId="3" refreshError="1">
        <row r="51">
          <cell r="H51">
            <v>247.68</v>
          </cell>
        </row>
        <row r="97">
          <cell r="H97">
            <v>56.13</v>
          </cell>
        </row>
        <row r="143">
          <cell r="H143">
            <v>116.34</v>
          </cell>
        </row>
        <row r="189">
          <cell r="H189">
            <v>173.26</v>
          </cell>
        </row>
        <row r="235">
          <cell r="H235">
            <v>173.26</v>
          </cell>
        </row>
        <row r="281">
          <cell r="H281">
            <v>256.11</v>
          </cell>
        </row>
        <row r="327">
          <cell r="H327">
            <v>207.55</v>
          </cell>
        </row>
        <row r="373">
          <cell r="H373">
            <v>196.69</v>
          </cell>
        </row>
        <row r="425">
          <cell r="H425">
            <v>0.78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>
        <row r="51">
          <cell r="H51">
            <v>0</v>
          </cell>
        </row>
      </sheetData>
      <sheetData sheetId="129">
        <row r="51">
          <cell r="H51">
            <v>0</v>
          </cell>
        </row>
      </sheetData>
      <sheetData sheetId="130">
        <row r="51">
          <cell r="H51">
            <v>0</v>
          </cell>
        </row>
      </sheetData>
      <sheetData sheetId="131">
        <row r="51">
          <cell r="H51">
            <v>0</v>
          </cell>
        </row>
      </sheetData>
      <sheetData sheetId="132">
        <row r="51">
          <cell r="H51">
            <v>0</v>
          </cell>
        </row>
      </sheetData>
      <sheetData sheetId="133">
        <row r="51">
          <cell r="H51">
            <v>0</v>
          </cell>
        </row>
      </sheetData>
      <sheetData sheetId="134">
        <row r="51">
          <cell r="H51">
            <v>0</v>
          </cell>
        </row>
      </sheetData>
      <sheetData sheetId="135">
        <row r="51">
          <cell r="H51">
            <v>0</v>
          </cell>
        </row>
      </sheetData>
      <sheetData sheetId="136">
        <row r="51">
          <cell r="H51">
            <v>0</v>
          </cell>
        </row>
      </sheetData>
      <sheetData sheetId="137">
        <row r="51">
          <cell r="H51">
            <v>0</v>
          </cell>
        </row>
      </sheetData>
      <sheetData sheetId="138">
        <row r="51">
          <cell r="H51">
            <v>0</v>
          </cell>
        </row>
      </sheetData>
      <sheetData sheetId="139">
        <row r="51">
          <cell r="H51">
            <v>0</v>
          </cell>
        </row>
      </sheetData>
      <sheetData sheetId="140">
        <row r="51">
          <cell r="H51">
            <v>0</v>
          </cell>
        </row>
      </sheetData>
      <sheetData sheetId="141">
        <row r="51">
          <cell r="H51">
            <v>0</v>
          </cell>
        </row>
      </sheetData>
      <sheetData sheetId="142" refreshError="1"/>
      <sheetData sheetId="143" refreshError="1"/>
      <sheetData sheetId="144">
        <row r="51">
          <cell r="H51">
            <v>0</v>
          </cell>
        </row>
      </sheetData>
      <sheetData sheetId="145">
        <row r="51">
          <cell r="H51">
            <v>0</v>
          </cell>
        </row>
      </sheetData>
      <sheetData sheetId="146">
        <row r="51">
          <cell r="H51">
            <v>0</v>
          </cell>
        </row>
      </sheetData>
      <sheetData sheetId="147">
        <row r="51">
          <cell r="H51">
            <v>0</v>
          </cell>
        </row>
      </sheetData>
      <sheetData sheetId="148">
        <row r="51">
          <cell r="H51">
            <v>0</v>
          </cell>
        </row>
      </sheetData>
      <sheetData sheetId="149">
        <row r="51">
          <cell r="H51">
            <v>0</v>
          </cell>
        </row>
      </sheetData>
      <sheetData sheetId="150">
        <row r="51">
          <cell r="H51">
            <v>0</v>
          </cell>
        </row>
      </sheetData>
      <sheetData sheetId="151">
        <row r="51">
          <cell r="H51">
            <v>0</v>
          </cell>
        </row>
      </sheetData>
      <sheetData sheetId="152">
        <row r="51">
          <cell r="H51">
            <v>0</v>
          </cell>
        </row>
      </sheetData>
      <sheetData sheetId="153">
        <row r="51">
          <cell r="H51">
            <v>0</v>
          </cell>
        </row>
      </sheetData>
      <sheetData sheetId="154">
        <row r="51">
          <cell r="H51">
            <v>0</v>
          </cell>
        </row>
      </sheetData>
      <sheetData sheetId="155">
        <row r="51">
          <cell r="H51">
            <v>0</v>
          </cell>
        </row>
      </sheetData>
      <sheetData sheetId="156">
        <row r="51">
          <cell r="H51">
            <v>0</v>
          </cell>
        </row>
      </sheetData>
      <sheetData sheetId="157">
        <row r="51">
          <cell r="H51">
            <v>0</v>
          </cell>
        </row>
      </sheetData>
      <sheetData sheetId="158">
        <row r="51">
          <cell r="H51">
            <v>0</v>
          </cell>
        </row>
      </sheetData>
      <sheetData sheetId="159">
        <row r="51">
          <cell r="H51">
            <v>0</v>
          </cell>
        </row>
      </sheetData>
      <sheetData sheetId="160">
        <row r="51">
          <cell r="H51">
            <v>0</v>
          </cell>
        </row>
      </sheetData>
      <sheetData sheetId="161">
        <row r="51">
          <cell r="H51">
            <v>0</v>
          </cell>
        </row>
      </sheetData>
      <sheetData sheetId="162">
        <row r="51">
          <cell r="H51">
            <v>0</v>
          </cell>
        </row>
      </sheetData>
      <sheetData sheetId="163">
        <row r="51">
          <cell r="H51">
            <v>0</v>
          </cell>
        </row>
      </sheetData>
      <sheetData sheetId="164">
        <row r="51">
          <cell r="H51">
            <v>0</v>
          </cell>
        </row>
      </sheetData>
      <sheetData sheetId="165">
        <row r="51">
          <cell r="H51">
            <v>0</v>
          </cell>
        </row>
      </sheetData>
      <sheetData sheetId="166">
        <row r="51">
          <cell r="H51">
            <v>0</v>
          </cell>
        </row>
      </sheetData>
      <sheetData sheetId="167">
        <row r="51">
          <cell r="H51">
            <v>0</v>
          </cell>
        </row>
      </sheetData>
      <sheetData sheetId="168">
        <row r="51">
          <cell r="H51">
            <v>0</v>
          </cell>
        </row>
      </sheetData>
      <sheetData sheetId="169">
        <row r="51">
          <cell r="H51">
            <v>0</v>
          </cell>
        </row>
      </sheetData>
      <sheetData sheetId="170">
        <row r="51">
          <cell r="H51">
            <v>0</v>
          </cell>
        </row>
      </sheetData>
      <sheetData sheetId="171">
        <row r="51">
          <cell r="H51">
            <v>0</v>
          </cell>
        </row>
      </sheetData>
      <sheetData sheetId="172">
        <row r="51">
          <cell r="H51">
            <v>0</v>
          </cell>
        </row>
      </sheetData>
      <sheetData sheetId="173">
        <row r="51">
          <cell r="H51">
            <v>0</v>
          </cell>
        </row>
      </sheetData>
      <sheetData sheetId="174">
        <row r="51">
          <cell r="H51">
            <v>0</v>
          </cell>
        </row>
      </sheetData>
      <sheetData sheetId="175">
        <row r="51">
          <cell r="H51">
            <v>0</v>
          </cell>
        </row>
      </sheetData>
      <sheetData sheetId="176">
        <row r="51">
          <cell r="H51">
            <v>0</v>
          </cell>
        </row>
      </sheetData>
      <sheetData sheetId="177">
        <row r="51">
          <cell r="H51">
            <v>0</v>
          </cell>
        </row>
      </sheetData>
      <sheetData sheetId="178">
        <row r="51">
          <cell r="H51">
            <v>0</v>
          </cell>
        </row>
      </sheetData>
      <sheetData sheetId="179">
        <row r="51">
          <cell r="H51">
            <v>0</v>
          </cell>
        </row>
      </sheetData>
      <sheetData sheetId="180">
        <row r="51">
          <cell r="H51">
            <v>0</v>
          </cell>
        </row>
      </sheetData>
      <sheetData sheetId="181">
        <row r="51">
          <cell r="H51">
            <v>0</v>
          </cell>
        </row>
      </sheetData>
      <sheetData sheetId="182">
        <row r="51">
          <cell r="H51">
            <v>0</v>
          </cell>
        </row>
      </sheetData>
      <sheetData sheetId="183">
        <row r="51">
          <cell r="H51">
            <v>0</v>
          </cell>
        </row>
      </sheetData>
      <sheetData sheetId="184">
        <row r="51">
          <cell r="H51">
            <v>0</v>
          </cell>
        </row>
      </sheetData>
      <sheetData sheetId="185">
        <row r="51">
          <cell r="H51">
            <v>0</v>
          </cell>
        </row>
      </sheetData>
      <sheetData sheetId="186">
        <row r="51">
          <cell r="H51">
            <v>0</v>
          </cell>
        </row>
      </sheetData>
      <sheetData sheetId="187" refreshError="1"/>
      <sheetData sheetId="188">
        <row r="51">
          <cell r="H51">
            <v>0</v>
          </cell>
        </row>
      </sheetData>
      <sheetData sheetId="189">
        <row r="51">
          <cell r="H51">
            <v>0</v>
          </cell>
        </row>
      </sheetData>
      <sheetData sheetId="190">
        <row r="51">
          <cell r="H51">
            <v>0</v>
          </cell>
        </row>
      </sheetData>
      <sheetData sheetId="191">
        <row r="51">
          <cell r="H51">
            <v>0</v>
          </cell>
        </row>
      </sheetData>
      <sheetData sheetId="192">
        <row r="51">
          <cell r="H51">
            <v>0</v>
          </cell>
        </row>
      </sheetData>
      <sheetData sheetId="193">
        <row r="51">
          <cell r="H51">
            <v>0</v>
          </cell>
        </row>
      </sheetData>
      <sheetData sheetId="194">
        <row r="51">
          <cell r="H51">
            <v>0</v>
          </cell>
        </row>
      </sheetData>
      <sheetData sheetId="195">
        <row r="51">
          <cell r="H51">
            <v>0</v>
          </cell>
        </row>
      </sheetData>
      <sheetData sheetId="196">
        <row r="51">
          <cell r="H51">
            <v>0</v>
          </cell>
        </row>
      </sheetData>
      <sheetData sheetId="197">
        <row r="51">
          <cell r="H51">
            <v>0</v>
          </cell>
        </row>
      </sheetData>
      <sheetData sheetId="198">
        <row r="51">
          <cell r="H51">
            <v>0</v>
          </cell>
        </row>
      </sheetData>
      <sheetData sheetId="199">
        <row r="51">
          <cell r="H51">
            <v>0</v>
          </cell>
        </row>
      </sheetData>
      <sheetData sheetId="200">
        <row r="51">
          <cell r="H51">
            <v>0</v>
          </cell>
        </row>
      </sheetData>
      <sheetData sheetId="201">
        <row r="51">
          <cell r="H51">
            <v>0</v>
          </cell>
        </row>
      </sheetData>
      <sheetData sheetId="202">
        <row r="51">
          <cell r="H51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51">
          <cell r="H51">
            <v>0</v>
          </cell>
        </row>
      </sheetData>
      <sheetData sheetId="209">
        <row r="51">
          <cell r="H51">
            <v>0</v>
          </cell>
        </row>
      </sheetData>
      <sheetData sheetId="210">
        <row r="51">
          <cell r="H51">
            <v>0</v>
          </cell>
        </row>
      </sheetData>
      <sheetData sheetId="211">
        <row r="51">
          <cell r="H51">
            <v>0</v>
          </cell>
        </row>
      </sheetData>
      <sheetData sheetId="212">
        <row r="51">
          <cell r="H51">
            <v>0</v>
          </cell>
        </row>
      </sheetData>
      <sheetData sheetId="213">
        <row r="51">
          <cell r="H51">
            <v>0</v>
          </cell>
        </row>
      </sheetData>
      <sheetData sheetId="214">
        <row r="51">
          <cell r="H51">
            <v>0</v>
          </cell>
        </row>
      </sheetData>
      <sheetData sheetId="215">
        <row r="51">
          <cell r="H51">
            <v>0</v>
          </cell>
        </row>
      </sheetData>
      <sheetData sheetId="216">
        <row r="51">
          <cell r="H51">
            <v>0</v>
          </cell>
        </row>
      </sheetData>
      <sheetData sheetId="217">
        <row r="51">
          <cell r="H51">
            <v>0</v>
          </cell>
        </row>
      </sheetData>
      <sheetData sheetId="218">
        <row r="51">
          <cell r="H51">
            <v>0</v>
          </cell>
        </row>
      </sheetData>
      <sheetData sheetId="219">
        <row r="51">
          <cell r="H51">
            <v>0</v>
          </cell>
        </row>
      </sheetData>
      <sheetData sheetId="220">
        <row r="51">
          <cell r="H51">
            <v>0</v>
          </cell>
        </row>
      </sheetData>
      <sheetData sheetId="221">
        <row r="51">
          <cell r="H51">
            <v>0</v>
          </cell>
        </row>
      </sheetData>
      <sheetData sheetId="222">
        <row r="51">
          <cell r="H51">
            <v>0</v>
          </cell>
        </row>
      </sheetData>
      <sheetData sheetId="223" refreshError="1"/>
      <sheetData sheetId="224" refreshError="1"/>
      <sheetData sheetId="225"/>
      <sheetData sheetId="226"/>
      <sheetData sheetId="227">
        <row r="51">
          <cell r="H51">
            <v>0</v>
          </cell>
        </row>
      </sheetData>
      <sheetData sheetId="228">
        <row r="51">
          <cell r="H51">
            <v>0</v>
          </cell>
        </row>
      </sheetData>
      <sheetData sheetId="229">
        <row r="51">
          <cell r="H51">
            <v>0</v>
          </cell>
        </row>
      </sheetData>
      <sheetData sheetId="230">
        <row r="51">
          <cell r="H51">
            <v>0</v>
          </cell>
        </row>
      </sheetData>
      <sheetData sheetId="231">
        <row r="51">
          <cell r="H51">
            <v>0</v>
          </cell>
        </row>
      </sheetData>
      <sheetData sheetId="232">
        <row r="51">
          <cell r="H51">
            <v>0</v>
          </cell>
        </row>
      </sheetData>
      <sheetData sheetId="233">
        <row r="51">
          <cell r="H51">
            <v>0</v>
          </cell>
        </row>
      </sheetData>
      <sheetData sheetId="234">
        <row r="51">
          <cell r="H51">
            <v>0</v>
          </cell>
        </row>
      </sheetData>
      <sheetData sheetId="235">
        <row r="51">
          <cell r="H51">
            <v>0</v>
          </cell>
        </row>
      </sheetData>
      <sheetData sheetId="236" refreshError="1"/>
      <sheetData sheetId="237">
        <row r="51">
          <cell r="H51">
            <v>0</v>
          </cell>
        </row>
      </sheetData>
      <sheetData sheetId="238">
        <row r="51">
          <cell r="H51">
            <v>0</v>
          </cell>
        </row>
      </sheetData>
      <sheetData sheetId="239">
        <row r="51">
          <cell r="H51">
            <v>0</v>
          </cell>
        </row>
      </sheetData>
      <sheetData sheetId="240">
        <row r="51">
          <cell r="H51">
            <v>0</v>
          </cell>
        </row>
      </sheetData>
      <sheetData sheetId="241">
        <row r="51">
          <cell r="H51">
            <v>0</v>
          </cell>
        </row>
      </sheetData>
      <sheetData sheetId="242" refreshError="1"/>
      <sheetData sheetId="243">
        <row r="51">
          <cell r="H51">
            <v>0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51">
          <cell r="H51">
            <v>0</v>
          </cell>
        </row>
      </sheetData>
      <sheetData sheetId="305">
        <row r="51">
          <cell r="H51">
            <v>0</v>
          </cell>
        </row>
      </sheetData>
      <sheetData sheetId="306">
        <row r="51">
          <cell r="H51">
            <v>0</v>
          </cell>
        </row>
      </sheetData>
      <sheetData sheetId="307">
        <row r="51">
          <cell r="H51">
            <v>0</v>
          </cell>
        </row>
      </sheetData>
      <sheetData sheetId="308">
        <row r="51">
          <cell r="H51">
            <v>0</v>
          </cell>
        </row>
      </sheetData>
      <sheetData sheetId="309">
        <row r="51">
          <cell r="H51">
            <v>0</v>
          </cell>
        </row>
      </sheetData>
      <sheetData sheetId="310">
        <row r="51">
          <cell r="H51">
            <v>0</v>
          </cell>
        </row>
      </sheetData>
      <sheetData sheetId="311">
        <row r="51">
          <cell r="H51">
            <v>0</v>
          </cell>
        </row>
      </sheetData>
      <sheetData sheetId="312">
        <row r="51">
          <cell r="H51">
            <v>0</v>
          </cell>
        </row>
      </sheetData>
      <sheetData sheetId="313">
        <row r="51">
          <cell r="H51">
            <v>0</v>
          </cell>
        </row>
      </sheetData>
      <sheetData sheetId="314">
        <row r="51">
          <cell r="H51">
            <v>0</v>
          </cell>
        </row>
      </sheetData>
      <sheetData sheetId="315">
        <row r="51">
          <cell r="H51">
            <v>0</v>
          </cell>
        </row>
      </sheetData>
      <sheetData sheetId="316">
        <row r="51">
          <cell r="H51">
            <v>0</v>
          </cell>
        </row>
      </sheetData>
      <sheetData sheetId="317"/>
      <sheetData sheetId="318" refreshError="1"/>
      <sheetData sheetId="319" refreshError="1"/>
      <sheetData sheetId="320"/>
      <sheetData sheetId="321">
        <row r="51">
          <cell r="H51">
            <v>0</v>
          </cell>
        </row>
      </sheetData>
      <sheetData sheetId="322">
        <row r="51">
          <cell r="H51">
            <v>0</v>
          </cell>
        </row>
      </sheetData>
      <sheetData sheetId="323">
        <row r="51">
          <cell r="H51"/>
        </row>
      </sheetData>
      <sheetData sheetId="324">
        <row r="51">
          <cell r="H51">
            <v>0</v>
          </cell>
        </row>
      </sheetData>
      <sheetData sheetId="325">
        <row r="51">
          <cell r="H51">
            <v>0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51">
          <cell r="H51">
            <v>0</v>
          </cell>
        </row>
      </sheetData>
      <sheetData sheetId="333">
        <row r="51">
          <cell r="H51">
            <v>0</v>
          </cell>
        </row>
      </sheetData>
      <sheetData sheetId="334" refreshError="1"/>
      <sheetData sheetId="335" refreshError="1"/>
      <sheetData sheetId="336"/>
      <sheetData sheetId="337" refreshError="1"/>
      <sheetData sheetId="338">
        <row r="51">
          <cell r="H51">
            <v>0</v>
          </cell>
        </row>
      </sheetData>
      <sheetData sheetId="339">
        <row r="51">
          <cell r="H51">
            <v>0</v>
          </cell>
        </row>
      </sheetData>
      <sheetData sheetId="340">
        <row r="51">
          <cell r="H51">
            <v>0</v>
          </cell>
        </row>
      </sheetData>
      <sheetData sheetId="341"/>
      <sheetData sheetId="342">
        <row r="51">
          <cell r="H51">
            <v>0</v>
          </cell>
        </row>
      </sheetData>
      <sheetData sheetId="343">
        <row r="51">
          <cell r="H51">
            <v>0</v>
          </cell>
        </row>
      </sheetData>
      <sheetData sheetId="344">
        <row r="51">
          <cell r="H51">
            <v>0</v>
          </cell>
        </row>
      </sheetData>
      <sheetData sheetId="345">
        <row r="51">
          <cell r="H51">
            <v>0</v>
          </cell>
        </row>
      </sheetData>
      <sheetData sheetId="346">
        <row r="51">
          <cell r="H51">
            <v>0</v>
          </cell>
        </row>
      </sheetData>
      <sheetData sheetId="347">
        <row r="51">
          <cell r="H51">
            <v>0</v>
          </cell>
        </row>
      </sheetData>
      <sheetData sheetId="348">
        <row r="51">
          <cell r="H51">
            <v>0</v>
          </cell>
        </row>
      </sheetData>
      <sheetData sheetId="349">
        <row r="51">
          <cell r="H51">
            <v>0</v>
          </cell>
        </row>
      </sheetData>
      <sheetData sheetId="350">
        <row r="51">
          <cell r="H51">
            <v>0</v>
          </cell>
        </row>
      </sheetData>
      <sheetData sheetId="351">
        <row r="51">
          <cell r="H51">
            <v>0</v>
          </cell>
        </row>
      </sheetData>
      <sheetData sheetId="352">
        <row r="51">
          <cell r="H51">
            <v>0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>
        <row r="51">
          <cell r="H51">
            <v>0</v>
          </cell>
        </row>
      </sheetData>
      <sheetData sheetId="381">
        <row r="51">
          <cell r="H51">
            <v>0</v>
          </cell>
        </row>
      </sheetData>
      <sheetData sheetId="382">
        <row r="51">
          <cell r="H51">
            <v>0</v>
          </cell>
        </row>
      </sheetData>
      <sheetData sheetId="383">
        <row r="51">
          <cell r="H51">
            <v>0</v>
          </cell>
        </row>
      </sheetData>
      <sheetData sheetId="384">
        <row r="51">
          <cell r="H51">
            <v>0</v>
          </cell>
        </row>
      </sheetData>
      <sheetData sheetId="385">
        <row r="51">
          <cell r="H51">
            <v>0</v>
          </cell>
        </row>
      </sheetData>
      <sheetData sheetId="386"/>
      <sheetData sheetId="387"/>
      <sheetData sheetId="388"/>
      <sheetData sheetId="389"/>
      <sheetData sheetId="390">
        <row r="51">
          <cell r="H51">
            <v>0</v>
          </cell>
        </row>
      </sheetData>
      <sheetData sheetId="391"/>
      <sheetData sheetId="392">
        <row r="51">
          <cell r="H51">
            <v>0</v>
          </cell>
        </row>
      </sheetData>
      <sheetData sheetId="393"/>
      <sheetData sheetId="394"/>
      <sheetData sheetId="395"/>
      <sheetData sheetId="396"/>
      <sheetData sheetId="397"/>
      <sheetData sheetId="398" refreshError="1"/>
      <sheetData sheetId="399">
        <row r="51">
          <cell r="H51">
            <v>0</v>
          </cell>
        </row>
      </sheetData>
      <sheetData sheetId="400">
        <row r="51">
          <cell r="H51">
            <v>0</v>
          </cell>
        </row>
      </sheetData>
      <sheetData sheetId="401">
        <row r="51">
          <cell r="H51">
            <v>0</v>
          </cell>
        </row>
      </sheetData>
      <sheetData sheetId="402">
        <row r="51">
          <cell r="H51">
            <v>0</v>
          </cell>
        </row>
      </sheetData>
      <sheetData sheetId="403">
        <row r="51">
          <cell r="H51">
            <v>0</v>
          </cell>
        </row>
      </sheetData>
      <sheetData sheetId="404">
        <row r="51">
          <cell r="H51">
            <v>0</v>
          </cell>
        </row>
      </sheetData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>
        <row r="51">
          <cell r="H51">
            <v>0</v>
          </cell>
        </row>
      </sheetData>
      <sheetData sheetId="429">
        <row r="51">
          <cell r="H51">
            <v>0</v>
          </cell>
        </row>
      </sheetData>
      <sheetData sheetId="430">
        <row r="51">
          <cell r="H51">
            <v>0</v>
          </cell>
        </row>
      </sheetData>
      <sheetData sheetId="431">
        <row r="51">
          <cell r="H51">
            <v>0</v>
          </cell>
        </row>
      </sheetData>
      <sheetData sheetId="432">
        <row r="51">
          <cell r="H51">
            <v>0</v>
          </cell>
        </row>
      </sheetData>
      <sheetData sheetId="433">
        <row r="51">
          <cell r="H51">
            <v>0</v>
          </cell>
        </row>
      </sheetData>
      <sheetData sheetId="434">
        <row r="51">
          <cell r="H51">
            <v>0</v>
          </cell>
        </row>
      </sheetData>
      <sheetData sheetId="435">
        <row r="51">
          <cell r="H51">
            <v>0</v>
          </cell>
        </row>
      </sheetData>
      <sheetData sheetId="436">
        <row r="51">
          <cell r="H51">
            <v>0</v>
          </cell>
        </row>
      </sheetData>
      <sheetData sheetId="437">
        <row r="51">
          <cell r="H51">
            <v>0</v>
          </cell>
        </row>
      </sheetData>
      <sheetData sheetId="438">
        <row r="51">
          <cell r="H51">
            <v>0</v>
          </cell>
        </row>
      </sheetData>
      <sheetData sheetId="439">
        <row r="51">
          <cell r="H51">
            <v>0</v>
          </cell>
        </row>
      </sheetData>
      <sheetData sheetId="440">
        <row r="51">
          <cell r="H51">
            <v>0</v>
          </cell>
        </row>
      </sheetData>
      <sheetData sheetId="441">
        <row r="51">
          <cell r="H51">
            <v>0</v>
          </cell>
        </row>
      </sheetData>
      <sheetData sheetId="442">
        <row r="51">
          <cell r="H51">
            <v>0</v>
          </cell>
        </row>
      </sheetData>
      <sheetData sheetId="443">
        <row r="51">
          <cell r="H51">
            <v>0</v>
          </cell>
        </row>
      </sheetData>
      <sheetData sheetId="444"/>
      <sheetData sheetId="445">
        <row r="51">
          <cell r="H51">
            <v>0</v>
          </cell>
        </row>
      </sheetData>
      <sheetData sheetId="446"/>
      <sheetData sheetId="447">
        <row r="51">
          <cell r="H51">
            <v>0</v>
          </cell>
        </row>
      </sheetData>
      <sheetData sheetId="448"/>
      <sheetData sheetId="449"/>
      <sheetData sheetId="450"/>
      <sheetData sheetId="451" refreshError="1"/>
      <sheetData sheetId="452" refreshError="1"/>
      <sheetData sheetId="453">
        <row r="51">
          <cell r="H51">
            <v>0</v>
          </cell>
        </row>
      </sheetData>
      <sheetData sheetId="454">
        <row r="51">
          <cell r="H51">
            <v>0</v>
          </cell>
        </row>
      </sheetData>
      <sheetData sheetId="455"/>
      <sheetData sheetId="456">
        <row r="51">
          <cell r="H51">
            <v>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51">
          <cell r="H51">
            <v>0</v>
          </cell>
        </row>
      </sheetData>
      <sheetData sheetId="478">
        <row r="51">
          <cell r="H51">
            <v>0</v>
          </cell>
        </row>
      </sheetData>
      <sheetData sheetId="479">
        <row r="51">
          <cell r="H51">
            <v>0</v>
          </cell>
        </row>
      </sheetData>
      <sheetData sheetId="480"/>
      <sheetData sheetId="481"/>
      <sheetData sheetId="482"/>
      <sheetData sheetId="483"/>
      <sheetData sheetId="484"/>
      <sheetData sheetId="485"/>
      <sheetData sheetId="486">
        <row r="51">
          <cell r="H51">
            <v>0</v>
          </cell>
        </row>
      </sheetData>
      <sheetData sheetId="487">
        <row r="51">
          <cell r="H51">
            <v>0</v>
          </cell>
        </row>
      </sheetData>
      <sheetData sheetId="488">
        <row r="51">
          <cell r="H51">
            <v>0</v>
          </cell>
        </row>
      </sheetData>
      <sheetData sheetId="489">
        <row r="51">
          <cell r="H51">
            <v>0</v>
          </cell>
        </row>
      </sheetData>
      <sheetData sheetId="490">
        <row r="51">
          <cell r="H51">
            <v>0</v>
          </cell>
        </row>
      </sheetData>
      <sheetData sheetId="491">
        <row r="51">
          <cell r="H51">
            <v>0</v>
          </cell>
        </row>
      </sheetData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>
        <row r="51">
          <cell r="H51">
            <v>0</v>
          </cell>
        </row>
      </sheetData>
      <sheetData sheetId="512">
        <row r="51">
          <cell r="H51">
            <v>0</v>
          </cell>
        </row>
      </sheetData>
      <sheetData sheetId="513">
        <row r="51">
          <cell r="H51">
            <v>0</v>
          </cell>
        </row>
      </sheetData>
      <sheetData sheetId="514">
        <row r="51">
          <cell r="H51">
            <v>0</v>
          </cell>
        </row>
      </sheetData>
      <sheetData sheetId="515">
        <row r="51">
          <cell r="H51">
            <v>0</v>
          </cell>
        </row>
      </sheetData>
      <sheetData sheetId="516">
        <row r="51">
          <cell r="H51">
            <v>0</v>
          </cell>
        </row>
      </sheetData>
      <sheetData sheetId="517">
        <row r="51">
          <cell r="H51">
            <v>0</v>
          </cell>
        </row>
      </sheetData>
      <sheetData sheetId="518">
        <row r="51">
          <cell r="H51">
            <v>0</v>
          </cell>
        </row>
      </sheetData>
      <sheetData sheetId="519">
        <row r="51">
          <cell r="H51">
            <v>0</v>
          </cell>
        </row>
      </sheetData>
      <sheetData sheetId="520">
        <row r="51">
          <cell r="H51">
            <v>0</v>
          </cell>
        </row>
      </sheetData>
      <sheetData sheetId="521">
        <row r="51">
          <cell r="H51">
            <v>0</v>
          </cell>
        </row>
      </sheetData>
      <sheetData sheetId="522">
        <row r="51">
          <cell r="H51">
            <v>0</v>
          </cell>
        </row>
      </sheetData>
      <sheetData sheetId="523">
        <row r="51">
          <cell r="H51">
            <v>0</v>
          </cell>
        </row>
      </sheetData>
      <sheetData sheetId="524">
        <row r="51">
          <cell r="H51">
            <v>0</v>
          </cell>
        </row>
      </sheetData>
      <sheetData sheetId="525">
        <row r="51">
          <cell r="H51">
            <v>0</v>
          </cell>
        </row>
      </sheetData>
      <sheetData sheetId="526">
        <row r="51">
          <cell r="H51">
            <v>0</v>
          </cell>
        </row>
      </sheetData>
      <sheetData sheetId="527">
        <row r="51">
          <cell r="H51">
            <v>0</v>
          </cell>
        </row>
      </sheetData>
      <sheetData sheetId="528">
        <row r="51">
          <cell r="H51">
            <v>0</v>
          </cell>
        </row>
      </sheetData>
      <sheetData sheetId="529">
        <row r="51">
          <cell r="H51">
            <v>0</v>
          </cell>
        </row>
      </sheetData>
      <sheetData sheetId="530"/>
      <sheetData sheetId="531"/>
      <sheetData sheetId="532"/>
      <sheetData sheetId="533"/>
      <sheetData sheetId="534">
        <row r="51">
          <cell r="H51">
            <v>0</v>
          </cell>
        </row>
      </sheetData>
      <sheetData sheetId="535"/>
      <sheetData sheetId="536">
        <row r="51">
          <cell r="H51">
            <v>0</v>
          </cell>
        </row>
      </sheetData>
      <sheetData sheetId="537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>
        <row r="51">
          <cell r="H51">
            <v>0</v>
          </cell>
        </row>
      </sheetData>
      <sheetData sheetId="554">
        <row r="51">
          <cell r="H51">
            <v>0</v>
          </cell>
        </row>
      </sheetData>
      <sheetData sheetId="555">
        <row r="51">
          <cell r="H51">
            <v>0</v>
          </cell>
        </row>
      </sheetData>
      <sheetData sheetId="556">
        <row r="51">
          <cell r="H51">
            <v>0</v>
          </cell>
        </row>
      </sheetData>
      <sheetData sheetId="557">
        <row r="51">
          <cell r="H51">
            <v>0</v>
          </cell>
        </row>
      </sheetData>
      <sheetData sheetId="558">
        <row r="51">
          <cell r="H51">
            <v>0</v>
          </cell>
        </row>
      </sheetData>
      <sheetData sheetId="559">
        <row r="51">
          <cell r="H51">
            <v>0</v>
          </cell>
        </row>
      </sheetData>
      <sheetData sheetId="560">
        <row r="51">
          <cell r="H51">
            <v>0</v>
          </cell>
        </row>
      </sheetData>
      <sheetData sheetId="561">
        <row r="51">
          <cell r="H51">
            <v>0</v>
          </cell>
        </row>
      </sheetData>
      <sheetData sheetId="562">
        <row r="51">
          <cell r="H51">
            <v>0</v>
          </cell>
        </row>
      </sheetData>
      <sheetData sheetId="563">
        <row r="51">
          <cell r="H51">
            <v>0</v>
          </cell>
        </row>
      </sheetData>
      <sheetData sheetId="564">
        <row r="51">
          <cell r="H51">
            <v>0</v>
          </cell>
        </row>
      </sheetData>
      <sheetData sheetId="565">
        <row r="51">
          <cell r="H51">
            <v>0</v>
          </cell>
        </row>
      </sheetData>
      <sheetData sheetId="566">
        <row r="51">
          <cell r="H51">
            <v>0</v>
          </cell>
        </row>
      </sheetData>
      <sheetData sheetId="567">
        <row r="51">
          <cell r="H51">
            <v>0</v>
          </cell>
        </row>
      </sheetData>
      <sheetData sheetId="568">
        <row r="51">
          <cell r="H51">
            <v>0</v>
          </cell>
        </row>
      </sheetData>
      <sheetData sheetId="569"/>
      <sheetData sheetId="570">
        <row r="51">
          <cell r="H51">
            <v>0</v>
          </cell>
        </row>
      </sheetData>
      <sheetData sheetId="571">
        <row r="51">
          <cell r="H51">
            <v>0</v>
          </cell>
        </row>
      </sheetData>
      <sheetData sheetId="572"/>
      <sheetData sheetId="573">
        <row r="51">
          <cell r="H51">
            <v>0</v>
          </cell>
        </row>
      </sheetData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>
        <row r="51">
          <cell r="H51">
            <v>0</v>
          </cell>
        </row>
      </sheetData>
      <sheetData sheetId="595"/>
      <sheetData sheetId="596"/>
      <sheetData sheetId="597"/>
      <sheetData sheetId="598"/>
      <sheetData sheetId="599"/>
      <sheetData sheetId="600"/>
      <sheetData sheetId="601"/>
      <sheetData sheetId="602">
        <row r="51">
          <cell r="H51">
            <v>0</v>
          </cell>
        </row>
      </sheetData>
      <sheetData sheetId="603">
        <row r="51">
          <cell r="H51">
            <v>0</v>
          </cell>
        </row>
      </sheetData>
      <sheetData sheetId="604">
        <row r="51">
          <cell r="H51">
            <v>0</v>
          </cell>
        </row>
      </sheetData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>
        <row r="51">
          <cell r="H51">
            <v>0</v>
          </cell>
        </row>
      </sheetData>
      <sheetData sheetId="622"/>
      <sheetData sheetId="623"/>
      <sheetData sheetId="624"/>
      <sheetData sheetId="625"/>
      <sheetData sheetId="626"/>
      <sheetData sheetId="627"/>
      <sheetData sheetId="628"/>
      <sheetData sheetId="629">
        <row r="51">
          <cell r="H51">
            <v>0</v>
          </cell>
        </row>
      </sheetData>
      <sheetData sheetId="630">
        <row r="51">
          <cell r="H51">
            <v>0</v>
          </cell>
        </row>
      </sheetData>
      <sheetData sheetId="631"/>
      <sheetData sheetId="632"/>
      <sheetData sheetId="633"/>
      <sheetData sheetId="634">
        <row r="51">
          <cell r="H51">
            <v>0</v>
          </cell>
        </row>
      </sheetData>
      <sheetData sheetId="635">
        <row r="51">
          <cell r="H51">
            <v>0</v>
          </cell>
        </row>
      </sheetData>
      <sheetData sheetId="636">
        <row r="51">
          <cell r="H51">
            <v>0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/>
      <sheetData sheetId="645"/>
      <sheetData sheetId="64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EQUIPMENT -2"/>
      <sheetName val="EQUIPMENT_-2"/>
      <sheetName val="RESUMEN DE COTIZACION"/>
      <sheetName val="OBRA CIVIL"/>
      <sheetName val="ESTRUCTURA DE HORMIGON"/>
      <sheetName val="INFRAESTRUCTURA"/>
      <sheetName val="INSTALACION ELECTRICA"/>
      <sheetName val="Encofrado BVR Unispan"/>
      <sheetName val="주관사업"/>
      <sheetName val="Hoja3"/>
      <sheetName val="Hoja2"/>
      <sheetName val="Viguetas 36 REAL"/>
      <sheetName val="Viguetas_36_REAL"/>
      <sheetName val="Sheet1"/>
      <sheetName val="Tiraje Mix"/>
      <sheetName val="VIZ4"/>
      <sheetName val="VIZ7"/>
      <sheetName val="UZ"/>
      <sheetName val="EQUIPMENT_-21"/>
      <sheetName val="RESUMEN_DE_COTIZACION"/>
      <sheetName val="OBRA_CIVIL"/>
      <sheetName val="ESTRUCTURA_DE_HORMIGON"/>
      <sheetName val="INSTALACION_ELECTRICA"/>
      <sheetName val="Encofrado_BVR_Unispan"/>
      <sheetName val="Viguetas_36_REAL1"/>
      <sheetName val="EQUIPMENT_-22"/>
      <sheetName val="RESUMEN_DE_COTIZACION1"/>
      <sheetName val="OBRA_CIVIL1"/>
      <sheetName val="ESTRUCTURA_DE_HORMIGON1"/>
      <sheetName val="INSTALACION_ELECTRICA1"/>
      <sheetName val="Encofrado_BVR_Unispan1"/>
      <sheetName val="Viguetas_36_REAL2"/>
      <sheetName val="Tiraje_Mix"/>
      <sheetName val="Tiraje_Mix1"/>
      <sheetName val="ESTRIBADO"/>
      <sheetName val="Av Sem 45"/>
      <sheetName val="Av Sem 02"/>
      <sheetName val="Hoja1"/>
      <sheetName val="7813H-SS"/>
      <sheetName val="EQUIPMENT_-26"/>
      <sheetName val="RESUMEN_DE_COTIZACION4"/>
      <sheetName val="OBRA_CIVIL4"/>
      <sheetName val="ESTRUCTURA_DE_HORMIGON4"/>
      <sheetName val="INSTALACION_ELECTRICA4"/>
      <sheetName val="Encofrado_BVR_Unispan4"/>
      <sheetName val="Viguetas_36_REAL5"/>
      <sheetName val="Tiraje_Mix4"/>
      <sheetName val="EQUIPMENT_-23"/>
      <sheetName val="EQUIPMENT_-24"/>
      <sheetName val="RESUMEN_DE_COTIZACION2"/>
      <sheetName val="OBRA_CIVIL2"/>
      <sheetName val="ESTRUCTURA_DE_HORMIGON2"/>
      <sheetName val="INSTALACION_ELECTRICA2"/>
      <sheetName val="Encofrado_BVR_Unispan2"/>
      <sheetName val="Viguetas_36_REAL3"/>
      <sheetName val="Tiraje_Mix2"/>
      <sheetName val="EQUIPMENT_-25"/>
      <sheetName val="RESUMEN_DE_COTIZACION3"/>
      <sheetName val="OBRA_CIVIL3"/>
      <sheetName val="ESTRUCTURA_DE_HORMIGON3"/>
      <sheetName val="INSTALACION_ELECTRICA3"/>
      <sheetName val="Encofrado_BVR_Unispan3"/>
      <sheetName val="Viguetas_36_REAL4"/>
      <sheetName val="Tiraje_Mix3"/>
      <sheetName val="EQUIPMENT_-210"/>
      <sheetName val="RESUMEN_DE_COTIZACION8"/>
      <sheetName val="OBRA_CIVIL8"/>
      <sheetName val="ESTRUCTURA_DE_HORMIGON8"/>
      <sheetName val="INSTALACION_ELECTRICA8"/>
      <sheetName val="Encofrado_BVR_Unispan8"/>
      <sheetName val="Viguetas_36_REAL9"/>
      <sheetName val="Tiraje_Mix8"/>
      <sheetName val="EQUIPMENT_-27"/>
      <sheetName val="RESUMEN_DE_COTIZACION5"/>
      <sheetName val="OBRA_CIVIL5"/>
      <sheetName val="ESTRUCTURA_DE_HORMIGON5"/>
      <sheetName val="INSTALACION_ELECTRICA5"/>
      <sheetName val="Encofrado_BVR_Unispan5"/>
      <sheetName val="Viguetas_36_REAL6"/>
      <sheetName val="Tiraje_Mix5"/>
      <sheetName val="EQUIPMENT_-28"/>
      <sheetName val="RESUMEN_DE_COTIZACION6"/>
      <sheetName val="OBRA_CIVIL6"/>
      <sheetName val="ESTRUCTURA_DE_HORMIGON6"/>
      <sheetName val="INSTALACION_ELECTRICA6"/>
      <sheetName val="Encofrado_BVR_Unispan6"/>
      <sheetName val="Viguetas_36_REAL7"/>
      <sheetName val="Tiraje_Mix6"/>
      <sheetName val="EQUIPMENT_-29"/>
      <sheetName val="RESUMEN_DE_COTIZACION7"/>
      <sheetName val="OBRA_CIVIL7"/>
      <sheetName val="ESTRUCTURA_DE_HORMIGON7"/>
      <sheetName val="INSTALACION_ELECTRICA7"/>
      <sheetName val="Encofrado_BVR_Unispan7"/>
      <sheetName val="Viguetas_36_REAL8"/>
      <sheetName val="Tiraje_Mix7"/>
      <sheetName val="EQUIPMENT_-211"/>
      <sheetName val="RESUMEN_DE_COTIZACION9"/>
      <sheetName val="OBRA_CIVIL9"/>
      <sheetName val="ESTRUCTURA_DE_HORMIGON9"/>
      <sheetName val="INSTALACION_ELECTRICA9"/>
      <sheetName val="Encofrado_BVR_Unispan9"/>
      <sheetName val="Viguetas_36_REAL10"/>
      <sheetName val="Tiraje_Mix9"/>
      <sheetName val="Av_Sem_45"/>
      <sheetName val="Av_Sem_02"/>
      <sheetName val="Viguetas_36_REAL11"/>
      <sheetName val="GENERAL"/>
      <sheetName val="4. CORTE"/>
      <sheetName val="OS"/>
      <sheetName val="Applications"/>
      <sheetName val="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INDIRECTOS"/>
      <sheetName val="Viguetas_36_REAL12"/>
      <sheetName val="Av_Sem_451"/>
      <sheetName val="Av_Sem_021"/>
      <sheetName val="EQUIPMENT_-213"/>
      <sheetName val="RESUMEN_DE_COTIZACION11"/>
      <sheetName val="OBRA_CIVIL11"/>
      <sheetName val="ESTRUCTURA_DE_HORMIGON11"/>
      <sheetName val="INSTALACION_ELECTRICA11"/>
      <sheetName val="Encofrado_BVR_Unispan11"/>
      <sheetName val="Viguetas_36_REAL13"/>
      <sheetName val="Tiraje_Mix11"/>
      <sheetName val="Av_Sem_452"/>
      <sheetName val="Av_Sem_022"/>
      <sheetName val="APU-A. Inst. Elect.1"/>
      <sheetName val="F-05"/>
      <sheetName val="4__CORTE"/>
      <sheetName val="4__CORTE1"/>
      <sheetName val="10241PIP1ON-SITE"/>
      <sheetName val="10241EQLIST"/>
      <sheetName val="G"/>
      <sheetName val="ANÁLISIS GG"/>
      <sheetName val="Tuberia"/>
      <sheetName val="APU-A__Inst__Elect_1"/>
      <sheetName val="EQUIPMENT_-214"/>
      <sheetName val="Encofrado_BVR_Unispan12"/>
      <sheetName val="RESUMEN_DE_COTIZACION12"/>
      <sheetName val="OBRA_CIVIL12"/>
      <sheetName val="ESTRUCTURA_DE_HORMIGON12"/>
      <sheetName val="INSTALACION_ELECTRICA12"/>
      <sheetName val="Viguetas_36_REAL14"/>
      <sheetName val="Tiraje_Mix12"/>
      <sheetName val="Av_Sem_453"/>
      <sheetName val="Av_Sem_023"/>
      <sheetName val="EQUIPMENT_-215"/>
      <sheetName val="Encofrado_BVR_Unispan13"/>
      <sheetName val="RESUMEN_DE_COTIZACION13"/>
      <sheetName val="OBRA_CIVIL13"/>
      <sheetName val="ESTRUCTURA_DE_HORMIGON13"/>
      <sheetName val="INSTALACION_ELECTRICA13"/>
      <sheetName val="Viguetas_36_REAL15"/>
      <sheetName val="Tiraje_Mix13"/>
      <sheetName val="Av_Sem_454"/>
      <sheetName val="Av_Sem_024"/>
      <sheetName val="EQUIPMENT_-217"/>
      <sheetName val="Encofrado_BVR_Unispan15"/>
      <sheetName val="RESUMEN_DE_COTIZACION15"/>
      <sheetName val="OBRA_CIVIL15"/>
      <sheetName val="ESTRUCTURA_DE_HORMIGON15"/>
      <sheetName val="INSTALACION_ELECTRICA15"/>
      <sheetName val="Viguetas_36_REAL17"/>
      <sheetName val="Tiraje_Mix15"/>
      <sheetName val="Av_Sem_456"/>
      <sheetName val="Av_Sem_026"/>
      <sheetName val="4__CORTE3"/>
      <sheetName val="EQUIPMENT_-216"/>
      <sheetName val="Encofrado_BVR_Unispan14"/>
      <sheetName val="RESUMEN_DE_COTIZACION14"/>
      <sheetName val="OBRA_CIVIL14"/>
      <sheetName val="ESTRUCTURA_DE_HORMIGON14"/>
      <sheetName val="INSTALACION_ELECTRICA14"/>
      <sheetName val="Viguetas_36_REAL16"/>
      <sheetName val="Tiraje_Mix14"/>
      <sheetName val="Av_Sem_455"/>
      <sheetName val="Av_Sem_025"/>
      <sheetName val="4__CORTE2"/>
      <sheetName val="EQUIPMENT_-218"/>
      <sheetName val="Encofrado_BVR_Unispan16"/>
      <sheetName val="RESUMEN_DE_COTIZACION16"/>
      <sheetName val="OBRA_CIVIL16"/>
      <sheetName val="ESTRUCTURA_DE_HORMIGON16"/>
      <sheetName val="INSTALACION_ELECTRICA16"/>
      <sheetName val="Viguetas_36_REAL18"/>
      <sheetName val="Tiraje_Mix16"/>
      <sheetName val="Av_Sem_457"/>
      <sheetName val="Av_Sem_027"/>
      <sheetName val="4__CORTE4"/>
      <sheetName val="PRECIOS MATERIALES"/>
      <sheetName val="APU-A__Inst__Elect_11"/>
      <sheetName val="4__CORTE5"/>
      <sheetName val="APU-A__Inst__Elect_13"/>
      <sheetName val="APU-A__Inst__Elect_12"/>
      <sheetName val="4__CORTE6"/>
      <sheetName val="APU-A__Inst__Elect_14"/>
      <sheetName val="OOPP"/>
      <sheetName val="N°1"/>
      <sheetName val="PPTO "/>
      <sheetName val="A.P.U"/>
      <sheetName val="LIMA-CANTA"/>
      <sheetName val="WEEKBASE"/>
      <sheetName val="4 Week Sched"/>
      <sheetName val="RESUMEN"/>
      <sheetName val="analisis"/>
      <sheetName val="TABLEROS"/>
      <sheetName val="PPTO"/>
      <sheetName val="G.G.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Sol.Val"/>
      <sheetName val="Res.Val"/>
      <sheetName val="OBRAS PROV. Y PRELIM."/>
      <sheetName val="EST ESCALERAS"/>
      <sheetName val="PC-19053 RP PURUCHUCO"/>
      <sheetName val="ANÁLISIS_GG"/>
      <sheetName val="Datos"/>
      <sheetName val="Data"/>
      <sheetName val="EQUIPMENT_-219"/>
      <sheetName val="RESUMEN_DE_COTIZACION17"/>
      <sheetName val="OBRA_CIVIL17"/>
      <sheetName val="ESTRUCTURA_DE_HORMIGON17"/>
      <sheetName val="INSTALACION_ELECTRICA17"/>
      <sheetName val="Encofrado_BVR_Unispan17"/>
      <sheetName val="Viguetas_36_REAL19"/>
      <sheetName val="Tiraje_Mix17"/>
      <sheetName val="Av_Sem_458"/>
      <sheetName val="Av_Sem_028"/>
      <sheetName val="EQUIPMENT_-222"/>
      <sheetName val="Encofrado_BVR_Unispan20"/>
      <sheetName val="RESUMEN_DE_COTIZACION20"/>
      <sheetName val="OBRA_CIVIL20"/>
      <sheetName val="ESTRUCTURA_DE_HORMIGON20"/>
      <sheetName val="INSTALACION_ELECTRICA20"/>
      <sheetName val="Viguetas_36_REAL22"/>
      <sheetName val="Tiraje_Mix20"/>
      <sheetName val="Av_Sem_4511"/>
      <sheetName val="Av_Sem_0211"/>
      <sheetName val="4__CORTE7"/>
      <sheetName val="EQUIPMENT_-220"/>
      <sheetName val="Encofrado_BVR_Unispan18"/>
      <sheetName val="RESUMEN_DE_COTIZACION18"/>
      <sheetName val="OBRA_CIVIL18"/>
      <sheetName val="ESTRUCTURA_DE_HORMIGON18"/>
      <sheetName val="INSTALACION_ELECTRICA18"/>
      <sheetName val="Viguetas_36_REAL20"/>
      <sheetName val="Tiraje_Mix18"/>
      <sheetName val="Av_Sem_459"/>
      <sheetName val="Av_Sem_029"/>
      <sheetName val="EQUIPMENT_-221"/>
      <sheetName val="Encofrado_BVR_Unispan19"/>
      <sheetName val="RESUMEN_DE_COTIZACION19"/>
      <sheetName val="OBRA_CIVIL19"/>
      <sheetName val="ESTRUCTURA_DE_HORMIGON19"/>
      <sheetName val="INSTALACION_ELECTRICA19"/>
      <sheetName val="Viguetas_36_REAL21"/>
      <sheetName val="Tiraje_Mix19"/>
      <sheetName val="Av_Sem_4510"/>
      <sheetName val="Av_Sem_0210"/>
      <sheetName val="EQUIPMENT_-223"/>
      <sheetName val="Encofrado_BVR_Unispan21"/>
      <sheetName val="RESUMEN_DE_COTIZACION21"/>
      <sheetName val="OBRA_CIVIL21"/>
      <sheetName val="ESTRUCTURA_DE_HORMIGON21"/>
      <sheetName val="INSTALACION_ELECTRICA21"/>
      <sheetName val="Viguetas_36_REAL23"/>
      <sheetName val="Tiraje_Mix21"/>
      <sheetName val="Av_Sem_4512"/>
      <sheetName val="Av_Sem_0212"/>
      <sheetName val="4__CORTE8"/>
      <sheetName val="Hoja de Recursos"/>
      <sheetName val="Provisionales "/>
      <sheetName val="Estructuras"/>
      <sheetName val="Arquitectura"/>
      <sheetName val="Presup"/>
      <sheetName val="4__CORTE10"/>
      <sheetName val="APU-A__Inst__Elect_17"/>
      <sheetName val="APU-A__Inst__Elect_15"/>
      <sheetName val="4__CORTE9"/>
      <sheetName val="APU-A__Inst__Elect_16"/>
      <sheetName val="4__CORTE11"/>
      <sheetName val="Basedatos"/>
      <sheetName val="7422cw00"/>
      <sheetName val="liebman 134"/>
      <sheetName val="Damper"/>
      <sheetName val="Hoja4"/>
      <sheetName val="Accesorio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CS"/>
      <sheetName val="Pump Calcs"/>
      <sheetName val="Fluid"/>
      <sheetName val="Rouhness"/>
      <sheetName val="Material"/>
      <sheetName val="tank1"/>
      <sheetName val="fittings"/>
      <sheetName val="conv"/>
      <sheetName val="Personalizar"/>
      <sheetName val="PARTIDAS"/>
      <sheetName val="00-043.dat"/>
      <sheetName val="Riesgo en cambio"/>
      <sheetName val="#¡REF"/>
      <sheetName val="Base"/>
      <sheetName val="prices"/>
      <sheetName val="PPTO_"/>
      <sheetName val="A_P_U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pu Estructuras"/>
      <sheetName val="strsumm0"/>
      <sheetName val="ACOSTO_EST"/>
      <sheetName val="2843 DATA"/>
      <sheetName val="EQUIPMENT_-224"/>
      <sheetName val="Encofrado_BVR_Unispan22"/>
      <sheetName val="RESUMEN_DE_COTIZACION22"/>
      <sheetName val="OBRA_CIVIL22"/>
      <sheetName val="ESTRUCTURA_DE_HORMIGON22"/>
      <sheetName val="INSTALACION_ELECTRICA22"/>
      <sheetName val="Viguetas_36_REAL24"/>
      <sheetName val="Tiraje_Mix22"/>
      <sheetName val="Av_Sem_4513"/>
      <sheetName val="Av_Sem_0213"/>
      <sheetName val="4__CORTE12"/>
      <sheetName val="APU-A__Inst__Elect_18"/>
      <sheetName val="ANÁLISIS_GG1"/>
      <sheetName val="G_G_"/>
      <sheetName val="4_Week_Sched"/>
      <sheetName val="Sol_Val"/>
      <sheetName val="Res_Val"/>
      <sheetName val="OBRAS_PROV__Y_PRELIM_"/>
      <sheetName val="EST_ESCALERAS"/>
      <sheetName val="PC-19053_RP_PURUCHUCO"/>
      <sheetName val="PRECIOS_MATERIALES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Hoja_de_Recursos"/>
      <sheetName val="Provisionales_"/>
      <sheetName val="Losa Aligerada 1 Sent (JVH)"/>
      <sheetName val="PRECIOS_MATERIALES1"/>
      <sheetName val="ANÁLISIS_GG5"/>
      <sheetName val="ANÁLISIS_GG2"/>
      <sheetName val="ANÁLISIS_GG3"/>
      <sheetName val="ANÁLISIS_GG4"/>
      <sheetName val="ANÁLISIS_GG6"/>
      <sheetName val="ANÁLISIS_GG7"/>
      <sheetName val="ANÁLISIS_GG8"/>
      <sheetName val="ANÁLISIS_GG9"/>
      <sheetName val="EQUIPMENT_-225"/>
      <sheetName val="Encofrado_BVR_Unispan23"/>
      <sheetName val="RESUMEN_DE_COTIZACION23"/>
      <sheetName val="OBRA_CIVIL23"/>
      <sheetName val="ESTRUCTURA_DE_HORMIGON23"/>
      <sheetName val="INSTALACION_ELECTRICA23"/>
      <sheetName val="Viguetas_36_REAL25"/>
      <sheetName val="Tiraje_Mix23"/>
      <sheetName val="Av_Sem_4514"/>
      <sheetName val="Av_Sem_0214"/>
      <sheetName val="4__CORTE13"/>
      <sheetName val="APU-A__Inst__Elect_19"/>
      <sheetName val="ANÁLISIS_GG10"/>
      <sheetName val="PRECIOS_MATERIALES2"/>
      <sheetName val="4_Week_Sched1"/>
      <sheetName val="G_G_1"/>
      <sheetName val="PPTO_1"/>
      <sheetName val="A_P_U1"/>
      <sheetName val="Sol_Val1"/>
      <sheetName val="Res_Val1"/>
      <sheetName val="OBRAS_PROV__Y_PRELIM_1"/>
      <sheetName val="EST_ESCALERAS1"/>
      <sheetName val="PC-19053_RP_PURUCHUCO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Hoja_de_Recursos1"/>
      <sheetName val="Provisionales_1"/>
      <sheetName val="liebman_134"/>
      <sheetName val="Pump_Calcs"/>
      <sheetName val="00-043_dat"/>
      <sheetName val="Riesgo_en_cambio"/>
      <sheetName val="O_CIVIL"/>
      <sheetName val="IIMM_LIQ"/>
      <sheetName val="PLANILA_OC"/>
      <sheetName val="pu_Estructuras"/>
      <sheetName val="2843_DATA"/>
      <sheetName val="Losa_Aligerada_1_Sent_(JVH)"/>
      <sheetName val="RESUMEN METRADOS (2)"/>
      <sheetName val="VIGAS"/>
      <sheetName val="PRELOSA"/>
      <sheetName val="L MACIZAS"/>
      <sheetName val="PLACAS MP"/>
      <sheetName val="PLACAS EDIF"/>
      <sheetName val="Av S50"/>
      <sheetName val="Pre"/>
      <sheetName val="APU"/>
      <sheetName val="inter"/>
      <sheetName val="A"/>
      <sheetName val="Action Required"/>
      <sheetName val="EQUIPMENT_-228"/>
      <sheetName val="RESUMEN_DE_COTIZACION26"/>
      <sheetName val="OBRA_CIVIL26"/>
      <sheetName val="ESTRUCTURA_DE_HORMIGON26"/>
      <sheetName val="INSTALACION_ELECTRICA26"/>
      <sheetName val="Encofrado_BVR_Unispan26"/>
      <sheetName val="Viguetas_36_REAL28"/>
      <sheetName val="Tiraje_Mix26"/>
      <sheetName val="Av_Sem_4517"/>
      <sheetName val="Av_Sem_0217"/>
      <sheetName val="4__CORTE16"/>
      <sheetName val="APU-A__Inst__Elect_112"/>
      <sheetName val="PPTO_4"/>
      <sheetName val="A_P_U4"/>
      <sheetName val="G_G_4"/>
      <sheetName val="4_Week_Sched4"/>
      <sheetName val="PRECIOS_MATERIALES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Sol_Val4"/>
      <sheetName val="Res_Val4"/>
      <sheetName val="OBRAS_PROV__Y_PRELIM_4"/>
      <sheetName val="EST_ESCALERAS4"/>
      <sheetName val="PC-19053_RP_PURUCHUCO4"/>
      <sheetName val="Hoja_de_Recursos4"/>
      <sheetName val="Provisionales_4"/>
      <sheetName val="EQUIPMENT_-226"/>
      <sheetName val="RESUMEN_DE_COTIZACION24"/>
      <sheetName val="OBRA_CIVIL24"/>
      <sheetName val="ESTRUCTURA_DE_HORMIGON24"/>
      <sheetName val="INSTALACION_ELECTRICA24"/>
      <sheetName val="Encofrado_BVR_Unispan24"/>
      <sheetName val="Viguetas_36_REAL26"/>
      <sheetName val="Tiraje_Mix24"/>
      <sheetName val="Av_Sem_4515"/>
      <sheetName val="Av_Sem_0215"/>
      <sheetName val="4__CORTE14"/>
      <sheetName val="APU-A__Inst__Elect_110"/>
      <sheetName val="PPTO_2"/>
      <sheetName val="A_P_U2"/>
      <sheetName val="G_G_2"/>
      <sheetName val="4_Week_Sched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Sol_Val2"/>
      <sheetName val="Res_Val2"/>
      <sheetName val="OBRAS_PROV__Y_PRELIM_2"/>
      <sheetName val="EST_ESCALERAS2"/>
      <sheetName val="PC-19053_RP_PURUCHUCO2"/>
      <sheetName val="Hoja_de_Recursos2"/>
      <sheetName val="Provisionales_2"/>
      <sheetName val="EQUIPMENT_-227"/>
      <sheetName val="RESUMEN_DE_COTIZACION25"/>
      <sheetName val="OBRA_CIVIL25"/>
      <sheetName val="ESTRUCTURA_DE_HORMIGON25"/>
      <sheetName val="INSTALACION_ELECTRICA25"/>
      <sheetName val="Encofrado_BVR_Unispan25"/>
      <sheetName val="Viguetas_36_REAL27"/>
      <sheetName val="Tiraje_Mix25"/>
      <sheetName val="Av_Sem_4516"/>
      <sheetName val="Av_Sem_0216"/>
      <sheetName val="4__CORTE15"/>
      <sheetName val="APU-A__Inst__Elect_111"/>
      <sheetName val="PPTO_3"/>
      <sheetName val="A_P_U3"/>
      <sheetName val="G_G_3"/>
      <sheetName val="4_Week_Sched3"/>
      <sheetName val="PRECIOS_MATERIALES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Sol_Val3"/>
      <sheetName val="Res_Val3"/>
      <sheetName val="OBRAS_PROV__Y_PRELIM_3"/>
      <sheetName val="EST_ESCALERAS3"/>
      <sheetName val="PC-19053_RP_PURUCHUCO3"/>
      <sheetName val="Hoja_de_Recursos3"/>
      <sheetName val="Provisionales_3"/>
      <sheetName val="EQUIPMENT_-230"/>
      <sheetName val="RESUMEN_DE_COTIZACION28"/>
      <sheetName val="OBRA_CIVIL28"/>
      <sheetName val="ESTRUCTURA_DE_HORMIGON28"/>
      <sheetName val="INSTALACION_ELECTRICA28"/>
      <sheetName val="Encofrado_BVR_Unispan28"/>
      <sheetName val="Viguetas_36_REAL30"/>
      <sheetName val="Tiraje_Mix28"/>
      <sheetName val="Av_Sem_4519"/>
      <sheetName val="Av_Sem_0219"/>
      <sheetName val="4__CORTE18"/>
      <sheetName val="APU-A__Inst__Elect_114"/>
      <sheetName val="PPTO_6"/>
      <sheetName val="A_P_U6"/>
      <sheetName val="G_G_6"/>
      <sheetName val="4_Week_Sched6"/>
      <sheetName val="PRECIOS_MATERIALES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Sol_Val6"/>
      <sheetName val="Res_Val6"/>
      <sheetName val="OBRAS_PROV__Y_PRELIM_6"/>
      <sheetName val="EST_ESCALERAS6"/>
      <sheetName val="PC-19053_RP_PURUCHUCO6"/>
      <sheetName val="Hoja_de_Recursos6"/>
      <sheetName val="Provisionales_6"/>
      <sheetName val="EQUIPMENT_-229"/>
      <sheetName val="RESUMEN_DE_COTIZACION27"/>
      <sheetName val="OBRA_CIVIL27"/>
      <sheetName val="ESTRUCTURA_DE_HORMIGON27"/>
      <sheetName val="INSTALACION_ELECTRICA27"/>
      <sheetName val="Encofrado_BVR_Unispan27"/>
      <sheetName val="Viguetas_36_REAL29"/>
      <sheetName val="Tiraje_Mix27"/>
      <sheetName val="Av_Sem_4518"/>
      <sheetName val="Av_Sem_0218"/>
      <sheetName val="4__CORTE17"/>
      <sheetName val="APU-A__Inst__Elect_113"/>
      <sheetName val="PPTO_5"/>
      <sheetName val="A_P_U5"/>
      <sheetName val="G_G_5"/>
      <sheetName val="4_Week_Sched5"/>
      <sheetName val="PRECIOS_MATERIALES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Sol_Val5"/>
      <sheetName val="Res_Val5"/>
      <sheetName val="OBRAS_PROV__Y_PRELIM_5"/>
      <sheetName val="EST_ESCALERAS5"/>
      <sheetName val="PC-19053_RP_PURUCHUCO5"/>
      <sheetName val="Hoja_de_Recursos5"/>
      <sheetName val="Provisionales_5"/>
      <sheetName val="EQUIPMENT_-231"/>
      <sheetName val="RESUMEN_DE_COTIZACION29"/>
      <sheetName val="OBRA_CIVIL29"/>
      <sheetName val="ESTRUCTURA_DE_HORMIGON29"/>
      <sheetName val="INSTALACION_ELECTRICA29"/>
      <sheetName val="Encofrado_BVR_Unispan29"/>
      <sheetName val="Viguetas_36_REAL31"/>
      <sheetName val="Tiraje_Mix29"/>
      <sheetName val="Av_Sem_4520"/>
      <sheetName val="Av_Sem_0220"/>
      <sheetName val="4__CORTE19"/>
      <sheetName val="APU-A__Inst__Elect_115"/>
      <sheetName val="PPTO_7"/>
      <sheetName val="A_P_U7"/>
      <sheetName val="G_G_7"/>
      <sheetName val="4_Week_Sched7"/>
      <sheetName val="PRECIOS_MATERIALES7"/>
      <sheetName val="CUADRO_RESUMEN7"/>
      <sheetName val="OBRA_GRUESA7"/>
      <sheetName val="3__ITEM_IISS7"/>
      <sheetName val="4__ITEM_IIEE7"/>
      <sheetName val="5_ITEM_INST_MECAN7"/>
      <sheetName val="VG_7"/>
      <sheetName val="ESC_17"/>
      <sheetName val="Sol_Val7"/>
      <sheetName val="Res_Val7"/>
      <sheetName val="OBRAS_PROV__Y_PRELIM_7"/>
      <sheetName val="EST_ESCALERAS7"/>
      <sheetName val="PC-19053_RP_PURUCHUCO7"/>
      <sheetName val="Hoja_de_Recursos7"/>
      <sheetName val="Provisionales_7"/>
      <sheetName val="EQUIPMENT_-232"/>
      <sheetName val="RESUMEN_DE_COTIZACION30"/>
      <sheetName val="OBRA_CIVIL30"/>
      <sheetName val="ESTRUCTURA_DE_HORMIGON30"/>
      <sheetName val="INSTALACION_ELECTRICA30"/>
      <sheetName val="Encofrado_BVR_Unispan30"/>
      <sheetName val="Viguetas_36_REAL32"/>
      <sheetName val="Tiraje_Mix30"/>
      <sheetName val="Av_Sem_4521"/>
      <sheetName val="Av_Sem_0221"/>
      <sheetName val="4__CORTE20"/>
      <sheetName val="APU-A__Inst__Elect_116"/>
      <sheetName val="PPTO_8"/>
      <sheetName val="A_P_U8"/>
      <sheetName val="G_G_8"/>
      <sheetName val="4_Week_Sched8"/>
      <sheetName val="PRECIOS_MATERIALES8"/>
      <sheetName val="CUADRO_RESUMEN8"/>
      <sheetName val="OBRA_GRUESA8"/>
      <sheetName val="3__ITEM_IISS8"/>
      <sheetName val="4__ITEM_IIEE8"/>
      <sheetName val="5_ITEM_INST_MECAN8"/>
      <sheetName val="VG_8"/>
      <sheetName val="ESC_18"/>
      <sheetName val="Sol_Val8"/>
      <sheetName val="Res_Val8"/>
      <sheetName val="OBRAS_PROV__Y_PRELIM_8"/>
      <sheetName val="EST_ESCALERAS8"/>
      <sheetName val="PC-19053_RP_PURUCHUCO8"/>
      <sheetName val="Hoja_de_Recursos8"/>
      <sheetName val="Provisionales_8"/>
      <sheetName val="EQUIPMENT_-233"/>
      <sheetName val="RESUMEN_DE_COTIZACION31"/>
      <sheetName val="OBRA_CIVIL31"/>
      <sheetName val="ESTRUCTURA_DE_HORMIGON31"/>
      <sheetName val="INSTALACION_ELECTRICA31"/>
      <sheetName val="Encofrado_BVR_Unispan31"/>
      <sheetName val="Viguetas_36_REAL33"/>
      <sheetName val="Tiraje_Mix31"/>
      <sheetName val="Av_Sem_4522"/>
      <sheetName val="Av_Sem_0222"/>
      <sheetName val="4__CORTE21"/>
      <sheetName val="APU-A__Inst__Elect_117"/>
      <sheetName val="PPTO_9"/>
      <sheetName val="A_P_U9"/>
      <sheetName val="G_G_9"/>
      <sheetName val="4_Week_Sched9"/>
      <sheetName val="PRECIOS_MATERIALES9"/>
      <sheetName val="CUADRO_RESUMEN9"/>
      <sheetName val="OBRA_GRUESA9"/>
      <sheetName val="3__ITEM_IISS9"/>
      <sheetName val="4__ITEM_IIEE9"/>
      <sheetName val="5_ITEM_INST_MECAN9"/>
      <sheetName val="VG_9"/>
      <sheetName val="ESC_19"/>
      <sheetName val="Sol_Val9"/>
      <sheetName val="Res_Val9"/>
      <sheetName val="OBRAS_PROV__Y_PRELIM_9"/>
      <sheetName val="EST_ESCALERAS9"/>
      <sheetName val="PC-19053_RP_PURUCHUCO9"/>
      <sheetName val="Hoja_de_Recursos9"/>
      <sheetName val="Provisionales_9"/>
      <sheetName val="EQUIPMENT_-234"/>
      <sheetName val="RESUMEN_DE_COTIZACION32"/>
      <sheetName val="OBRA_CIVIL32"/>
      <sheetName val="ESTRUCTURA_DE_HORMIGON32"/>
      <sheetName val="INSTALACION_ELECTRICA32"/>
      <sheetName val="Encofrado_BVR_Unispan32"/>
      <sheetName val="Viguetas_36_REAL34"/>
      <sheetName val="Tiraje_Mix32"/>
      <sheetName val="Av_Sem_4523"/>
      <sheetName val="Av_Sem_0223"/>
      <sheetName val="4__CORTE22"/>
      <sheetName val="APU-A__Inst__Elect_118"/>
      <sheetName val="PPTO_10"/>
      <sheetName val="A_P_U10"/>
      <sheetName val="G_G_10"/>
      <sheetName val="ANÁLISIS_GG11"/>
      <sheetName val="4_Week_Sched10"/>
      <sheetName val="PRECIOS_MATERIALES10"/>
      <sheetName val="CUADRO_RESUMEN10"/>
      <sheetName val="OBRA_GRUESA10"/>
      <sheetName val="3__ITEM_IISS10"/>
      <sheetName val="4__ITEM_IIEE10"/>
      <sheetName val="5_ITEM_INST_MECAN10"/>
      <sheetName val="VG_10"/>
      <sheetName val="ESC_110"/>
      <sheetName val="Sol_Val10"/>
      <sheetName val="Res_Val10"/>
      <sheetName val="OBRAS_PROV__Y_PRELIM_10"/>
      <sheetName val="EST_ESCALERAS10"/>
      <sheetName val="PC-19053_RP_PURUCHUCO10"/>
      <sheetName val="Hoja_de_Recursos10"/>
      <sheetName val="Provisionales_10"/>
      <sheetName val="liebman_1341"/>
      <sheetName val="Pump_Calcs1"/>
      <sheetName val="00-043_dat1"/>
      <sheetName val="Riesgo_en_cambio1"/>
      <sheetName val="O_CIVIL1"/>
      <sheetName val="IIMM_LIQ1"/>
      <sheetName val="PLANILA_OC1"/>
      <sheetName val="pu_Estructuras1"/>
      <sheetName val="EQUIPMENT_-235"/>
      <sheetName val="RESUMEN_DE_COTIZACION33"/>
      <sheetName val="OBRA_CIVIL33"/>
      <sheetName val="ESTRUCTURA_DE_HORMIGON33"/>
      <sheetName val="INSTALACION_ELECTRICA33"/>
      <sheetName val="Encofrado_BVR_Unispan33"/>
      <sheetName val="Viguetas_36_REAL35"/>
      <sheetName val="Tiraje_Mix33"/>
      <sheetName val="Av_Sem_4524"/>
      <sheetName val="Av_Sem_0224"/>
      <sheetName val="4__CORTE23"/>
      <sheetName val="APU-A__Inst__Elect_119"/>
      <sheetName val="PPTO_11"/>
      <sheetName val="A_P_U11"/>
      <sheetName val="G_G_11"/>
      <sheetName val="ANÁLISIS_GG12"/>
      <sheetName val="4_Week_Sched11"/>
      <sheetName val="PRECIOS_MATERIALES11"/>
      <sheetName val="CUADRO_RESUMEN11"/>
      <sheetName val="OBRA_GRUESA11"/>
      <sheetName val="3__ITEM_IISS11"/>
      <sheetName val="4__ITEM_IIEE11"/>
      <sheetName val="5_ITEM_INST_MECAN11"/>
      <sheetName val="VG_11"/>
      <sheetName val="ESC_111"/>
      <sheetName val="Sol_Val11"/>
      <sheetName val="Res_Val11"/>
      <sheetName val="OBRAS_PROV__Y_PRELIM_11"/>
      <sheetName val="EST_ESCALERAS11"/>
      <sheetName val="PC-19053_RP_PURUCHUCO11"/>
      <sheetName val="Hoja_de_Recursos11"/>
      <sheetName val="Provisionales_11"/>
      <sheetName val="liebman_1342"/>
      <sheetName val="EQUIPMENT_-236"/>
      <sheetName val="Encofrado_BVR_Unispan34"/>
      <sheetName val="RESUMEN_DE_COTIZACION34"/>
      <sheetName val="OBRA_CIVIL34"/>
      <sheetName val="ESTRUCTURA_DE_HORMIGON34"/>
      <sheetName val="INSTALACION_ELECTRICA34"/>
      <sheetName val="Viguetas_36_REAL36"/>
      <sheetName val="Tiraje_Mix34"/>
      <sheetName val="Av_Sem_4525"/>
      <sheetName val="Av_Sem_0225"/>
      <sheetName val="4__CORTE24"/>
      <sheetName val="APU-A__Inst__Elect_120"/>
      <sheetName val="ANÁLISIS_GG13"/>
      <sheetName val="4_Week_Sched12"/>
      <sheetName val="PRECIOS_MATERIALES12"/>
      <sheetName val="G_G_12"/>
      <sheetName val="PPTO_12"/>
      <sheetName val="A_P_U12"/>
      <sheetName val="Sol_Val12"/>
      <sheetName val="Res_Val12"/>
      <sheetName val="OBRAS_PROV__Y_PRELIM_12"/>
      <sheetName val="EST_ESCALERAS12"/>
      <sheetName val="PC-19053_RP_PURUCHUCO12"/>
      <sheetName val="CUADRO_RESUMEN12"/>
      <sheetName val="OBRA_GRUESA12"/>
      <sheetName val="3__ITEM_IISS12"/>
      <sheetName val="4__ITEM_IIEE12"/>
      <sheetName val="5_ITEM_INST_MECAN12"/>
      <sheetName val="VG_12"/>
      <sheetName val="ESC_112"/>
      <sheetName val="Hoja_de_Recursos12"/>
      <sheetName val="Provisionales_12"/>
      <sheetName val="liebman_1343"/>
      <sheetName val="EQUIPMENT_-237"/>
      <sheetName val="Encofrado_BVR_Unispan35"/>
      <sheetName val="RESUMEN_DE_COTIZACION35"/>
      <sheetName val="OBRA_CIVIL35"/>
      <sheetName val="ESTRUCTURA_DE_HORMIGON35"/>
      <sheetName val="INSTALACION_ELECTRICA35"/>
      <sheetName val="Viguetas_36_REAL37"/>
      <sheetName val="Tiraje_Mix35"/>
      <sheetName val="Av_Sem_4526"/>
      <sheetName val="Av_Sem_0226"/>
      <sheetName val="4__CORTE25"/>
      <sheetName val="APU-A__Inst__Elect_121"/>
      <sheetName val="ANÁLISIS_GG14"/>
      <sheetName val="4_Week_Sched13"/>
      <sheetName val="PRECIOS_MATERIALES13"/>
      <sheetName val="G_G_13"/>
      <sheetName val="PPTO_13"/>
      <sheetName val="A_P_U13"/>
      <sheetName val="Sol_Val13"/>
      <sheetName val="Res_Val13"/>
      <sheetName val="OBRAS_PROV__Y_PRELIM_13"/>
      <sheetName val="EST_ESCALERAS13"/>
      <sheetName val="PC-19053_RP_PURUCHUCO13"/>
      <sheetName val="CUADRO_RESUMEN13"/>
      <sheetName val="OBRA_GRUESA13"/>
      <sheetName val="3__ITEM_IISS13"/>
      <sheetName val="4__ITEM_IIEE13"/>
      <sheetName val="5_ITEM_INST_MECAN13"/>
      <sheetName val="VG_13"/>
      <sheetName val="ESC_113"/>
      <sheetName val="Hoja_de_Recursos13"/>
      <sheetName val="Provisionales_13"/>
      <sheetName val="liebman_1344"/>
      <sheetName val="EQUIPMENT_-238"/>
      <sheetName val="Encofrado_BVR_Unispan36"/>
      <sheetName val="RESUMEN_DE_COTIZACION36"/>
      <sheetName val="OBRA_CIVIL36"/>
      <sheetName val="ESTRUCTURA_DE_HORMIGON36"/>
      <sheetName val="INSTALACION_ELECTRICA36"/>
      <sheetName val="Viguetas_36_REAL38"/>
      <sheetName val="Tiraje_Mix36"/>
      <sheetName val="Av_Sem_4527"/>
      <sheetName val="Av_Sem_0227"/>
      <sheetName val="4__CORTE26"/>
      <sheetName val="APU-A__Inst__Elect_122"/>
      <sheetName val="ANÁLISIS_GG15"/>
      <sheetName val="4_Week_Sched14"/>
      <sheetName val="G_G_14"/>
      <sheetName val="PRECIOS_MATERIALES14"/>
      <sheetName val="PPTO_14"/>
      <sheetName val="A_P_U14"/>
      <sheetName val="Sol_Val14"/>
      <sheetName val="Res_Val14"/>
      <sheetName val="OBRAS_PROV__Y_PRELIM_14"/>
      <sheetName val="EST_ESCALERAS14"/>
      <sheetName val="PC-19053_RP_PURUCHUCO14"/>
      <sheetName val="CUADRO_RESUMEN14"/>
      <sheetName val="OBRA_GRUESA14"/>
      <sheetName val="3__ITEM_IISS14"/>
      <sheetName val="4__ITEM_IIEE14"/>
      <sheetName val="5_ITEM_INST_MECAN14"/>
      <sheetName val="VG_14"/>
      <sheetName val="ESC_114"/>
      <sheetName val="Hoja_de_Recursos14"/>
      <sheetName val="Provisionales_14"/>
      <sheetName val="liebman_1345"/>
      <sheetName val="Pump_Calcs2"/>
      <sheetName val="00-043_dat2"/>
      <sheetName val="Riesgo_en_cambio2"/>
      <sheetName val="O_CIVIL2"/>
      <sheetName val="IIMM_LIQ2"/>
      <sheetName val="PLANILA_OC2"/>
      <sheetName val="pu_Estructuras2"/>
      <sheetName val="2843_DATA1"/>
      <sheetName val="Losa_Aligerada_1_Sent_(JVH)1"/>
      <sheetName val="RESUMEN_METRADOS_(2)"/>
      <sheetName val="L_MACIZAS"/>
      <sheetName val="PLACAS_MP"/>
      <sheetName val="PLACAS_EDIF"/>
      <sheetName val="Av_S50"/>
      <sheetName val="METRADO"/>
      <sheetName val="MATRIZ"/>
      <sheetName val="Inversión"/>
      <sheetName val="Cdr 9"/>
      <sheetName val="1. Time &amp; Esc"/>
      <sheetName val="Input"/>
      <sheetName val="Fcst"/>
      <sheetName val="7 &amp; 8A. SandU"/>
      <sheetName val="2&amp;3 AeroRevs"/>
      <sheetName val="4. Non-AeroRevs"/>
      <sheetName val="Action_Required"/>
      <sheetName val="Action_Required1"/>
      <sheetName val="IARyPD"/>
      <sheetName val="1"/>
      <sheetName val="pu_Estructuras3"/>
      <sheetName val="O_CIVIL3"/>
      <sheetName val="IIMM_LIQ3"/>
      <sheetName val="PLANILA_OC3"/>
      <sheetName val="COSTOS UNIT."/>
    </sheetNames>
    <sheetDataSet>
      <sheetData sheetId="0" refreshError="1"/>
      <sheetData sheetId="1" refreshError="1"/>
      <sheetData sheetId="2" refreshError="1"/>
      <sheetData sheetId="3" refreshError="1">
        <row r="51">
          <cell r="H51">
            <v>247.68</v>
          </cell>
        </row>
        <row r="143">
          <cell r="H143">
            <v>116.34</v>
          </cell>
        </row>
        <row r="281">
          <cell r="H281">
            <v>256.11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>
        <row r="51">
          <cell r="H51">
            <v>0</v>
          </cell>
        </row>
      </sheetData>
      <sheetData sheetId="128">
        <row r="51">
          <cell r="H51">
            <v>0</v>
          </cell>
        </row>
      </sheetData>
      <sheetData sheetId="129">
        <row r="51">
          <cell r="H51">
            <v>0</v>
          </cell>
        </row>
      </sheetData>
      <sheetData sheetId="130">
        <row r="51">
          <cell r="H51">
            <v>0</v>
          </cell>
        </row>
      </sheetData>
      <sheetData sheetId="131">
        <row r="51">
          <cell r="H51">
            <v>0</v>
          </cell>
        </row>
      </sheetData>
      <sheetData sheetId="132">
        <row r="51">
          <cell r="H51">
            <v>0</v>
          </cell>
        </row>
      </sheetData>
      <sheetData sheetId="133">
        <row r="51">
          <cell r="H51">
            <v>0</v>
          </cell>
        </row>
      </sheetData>
      <sheetData sheetId="134">
        <row r="51">
          <cell r="H51">
            <v>0</v>
          </cell>
        </row>
      </sheetData>
      <sheetData sheetId="135">
        <row r="51">
          <cell r="H51">
            <v>0</v>
          </cell>
        </row>
      </sheetData>
      <sheetData sheetId="136">
        <row r="51">
          <cell r="H51">
            <v>0</v>
          </cell>
        </row>
      </sheetData>
      <sheetData sheetId="137">
        <row r="51">
          <cell r="H51">
            <v>0</v>
          </cell>
        </row>
      </sheetData>
      <sheetData sheetId="138">
        <row r="51">
          <cell r="H51">
            <v>0</v>
          </cell>
        </row>
      </sheetData>
      <sheetData sheetId="139" refreshError="1"/>
      <sheetData sheetId="140" refreshError="1"/>
      <sheetData sheetId="141">
        <row r="51">
          <cell r="H51">
            <v>0</v>
          </cell>
        </row>
      </sheetData>
      <sheetData sheetId="142">
        <row r="51">
          <cell r="H51">
            <v>0</v>
          </cell>
        </row>
      </sheetData>
      <sheetData sheetId="143" refreshError="1"/>
      <sheetData sheetId="144" refreshError="1"/>
      <sheetData sheetId="145">
        <row r="51">
          <cell r="H51">
            <v>0</v>
          </cell>
        </row>
      </sheetData>
      <sheetData sheetId="146">
        <row r="51">
          <cell r="H51">
            <v>0</v>
          </cell>
        </row>
      </sheetData>
      <sheetData sheetId="147">
        <row r="51">
          <cell r="H51">
            <v>0</v>
          </cell>
        </row>
      </sheetData>
      <sheetData sheetId="148">
        <row r="51">
          <cell r="H51">
            <v>0</v>
          </cell>
        </row>
      </sheetData>
      <sheetData sheetId="149">
        <row r="51">
          <cell r="H51">
            <v>0</v>
          </cell>
        </row>
      </sheetData>
      <sheetData sheetId="150">
        <row r="51">
          <cell r="H51">
            <v>0</v>
          </cell>
        </row>
      </sheetData>
      <sheetData sheetId="151">
        <row r="51">
          <cell r="H51">
            <v>0</v>
          </cell>
        </row>
      </sheetData>
      <sheetData sheetId="152">
        <row r="51">
          <cell r="H51">
            <v>0</v>
          </cell>
        </row>
      </sheetData>
      <sheetData sheetId="153">
        <row r="51">
          <cell r="H51">
            <v>0</v>
          </cell>
        </row>
      </sheetData>
      <sheetData sheetId="154">
        <row r="51">
          <cell r="H51">
            <v>0</v>
          </cell>
        </row>
      </sheetData>
      <sheetData sheetId="155">
        <row r="51">
          <cell r="H51">
            <v>0</v>
          </cell>
        </row>
      </sheetData>
      <sheetData sheetId="156">
        <row r="51">
          <cell r="H51">
            <v>0</v>
          </cell>
        </row>
      </sheetData>
      <sheetData sheetId="157">
        <row r="51">
          <cell r="H51">
            <v>0</v>
          </cell>
        </row>
      </sheetData>
      <sheetData sheetId="158">
        <row r="51">
          <cell r="H51">
            <v>0</v>
          </cell>
        </row>
      </sheetData>
      <sheetData sheetId="159">
        <row r="51">
          <cell r="H51">
            <v>0</v>
          </cell>
        </row>
      </sheetData>
      <sheetData sheetId="160">
        <row r="51">
          <cell r="H51">
            <v>0</v>
          </cell>
        </row>
      </sheetData>
      <sheetData sheetId="161">
        <row r="51">
          <cell r="H51">
            <v>0</v>
          </cell>
        </row>
      </sheetData>
      <sheetData sheetId="162">
        <row r="51">
          <cell r="H51">
            <v>0</v>
          </cell>
        </row>
      </sheetData>
      <sheetData sheetId="163">
        <row r="51">
          <cell r="H51">
            <v>0</v>
          </cell>
        </row>
      </sheetData>
      <sheetData sheetId="164">
        <row r="51">
          <cell r="H51">
            <v>0</v>
          </cell>
        </row>
      </sheetData>
      <sheetData sheetId="165">
        <row r="51">
          <cell r="H51">
            <v>0</v>
          </cell>
        </row>
      </sheetData>
      <sheetData sheetId="166">
        <row r="51">
          <cell r="H51">
            <v>0</v>
          </cell>
        </row>
      </sheetData>
      <sheetData sheetId="167">
        <row r="51">
          <cell r="H51">
            <v>0</v>
          </cell>
        </row>
      </sheetData>
      <sheetData sheetId="168">
        <row r="51">
          <cell r="H51">
            <v>0</v>
          </cell>
        </row>
      </sheetData>
      <sheetData sheetId="169">
        <row r="51">
          <cell r="H51">
            <v>0</v>
          </cell>
        </row>
      </sheetData>
      <sheetData sheetId="170">
        <row r="51">
          <cell r="H51">
            <v>0</v>
          </cell>
        </row>
      </sheetData>
      <sheetData sheetId="171">
        <row r="51">
          <cell r="H51">
            <v>0</v>
          </cell>
        </row>
      </sheetData>
      <sheetData sheetId="172">
        <row r="51">
          <cell r="H51">
            <v>0</v>
          </cell>
        </row>
      </sheetData>
      <sheetData sheetId="173">
        <row r="51">
          <cell r="H51">
            <v>0</v>
          </cell>
        </row>
      </sheetData>
      <sheetData sheetId="174">
        <row r="51">
          <cell r="H51">
            <v>0</v>
          </cell>
        </row>
      </sheetData>
      <sheetData sheetId="175">
        <row r="51">
          <cell r="H51">
            <v>0</v>
          </cell>
        </row>
      </sheetData>
      <sheetData sheetId="176">
        <row r="51">
          <cell r="H51">
            <v>0</v>
          </cell>
        </row>
      </sheetData>
      <sheetData sheetId="177">
        <row r="51">
          <cell r="H51">
            <v>0</v>
          </cell>
        </row>
      </sheetData>
      <sheetData sheetId="178">
        <row r="51">
          <cell r="H51">
            <v>0</v>
          </cell>
        </row>
      </sheetData>
      <sheetData sheetId="179">
        <row r="51">
          <cell r="H51">
            <v>0</v>
          </cell>
        </row>
      </sheetData>
      <sheetData sheetId="180">
        <row r="51">
          <cell r="H51">
            <v>0</v>
          </cell>
        </row>
      </sheetData>
      <sheetData sheetId="181">
        <row r="51">
          <cell r="H51">
            <v>0</v>
          </cell>
        </row>
      </sheetData>
      <sheetData sheetId="182">
        <row r="51">
          <cell r="H51">
            <v>0</v>
          </cell>
        </row>
      </sheetData>
      <sheetData sheetId="183">
        <row r="51">
          <cell r="H51">
            <v>0</v>
          </cell>
        </row>
      </sheetData>
      <sheetData sheetId="184">
        <row r="51">
          <cell r="H51">
            <v>0</v>
          </cell>
        </row>
      </sheetData>
      <sheetData sheetId="185">
        <row r="51">
          <cell r="H51">
            <v>0</v>
          </cell>
        </row>
      </sheetData>
      <sheetData sheetId="186">
        <row r="51">
          <cell r="H51">
            <v>0</v>
          </cell>
        </row>
      </sheetData>
      <sheetData sheetId="187">
        <row r="51">
          <cell r="H51">
            <v>0</v>
          </cell>
        </row>
      </sheetData>
      <sheetData sheetId="188">
        <row r="51">
          <cell r="H51">
            <v>0</v>
          </cell>
        </row>
      </sheetData>
      <sheetData sheetId="189">
        <row r="51">
          <cell r="H51">
            <v>0</v>
          </cell>
        </row>
      </sheetData>
      <sheetData sheetId="190">
        <row r="51">
          <cell r="H51">
            <v>0</v>
          </cell>
        </row>
      </sheetData>
      <sheetData sheetId="191">
        <row r="51">
          <cell r="H51">
            <v>0</v>
          </cell>
        </row>
      </sheetData>
      <sheetData sheetId="192">
        <row r="51">
          <cell r="H51">
            <v>0</v>
          </cell>
        </row>
      </sheetData>
      <sheetData sheetId="193">
        <row r="51">
          <cell r="H51">
            <v>0</v>
          </cell>
        </row>
      </sheetData>
      <sheetData sheetId="194">
        <row r="51">
          <cell r="H51">
            <v>0</v>
          </cell>
        </row>
      </sheetData>
      <sheetData sheetId="195">
        <row r="51">
          <cell r="H51">
            <v>0</v>
          </cell>
        </row>
      </sheetData>
      <sheetData sheetId="196">
        <row r="51">
          <cell r="H51">
            <v>0</v>
          </cell>
        </row>
      </sheetData>
      <sheetData sheetId="197">
        <row r="51">
          <cell r="H51">
            <v>0</v>
          </cell>
        </row>
      </sheetData>
      <sheetData sheetId="198">
        <row r="51">
          <cell r="H51">
            <v>0</v>
          </cell>
        </row>
      </sheetData>
      <sheetData sheetId="199">
        <row r="51">
          <cell r="H51">
            <v>0</v>
          </cell>
        </row>
      </sheetData>
      <sheetData sheetId="200">
        <row r="51">
          <cell r="H51">
            <v>0</v>
          </cell>
        </row>
      </sheetData>
      <sheetData sheetId="201">
        <row r="51">
          <cell r="H51">
            <v>0</v>
          </cell>
        </row>
      </sheetData>
      <sheetData sheetId="202" refreshError="1"/>
      <sheetData sheetId="203">
        <row r="51">
          <cell r="H51">
            <v>0</v>
          </cell>
        </row>
      </sheetData>
      <sheetData sheetId="204">
        <row r="51">
          <cell r="H51">
            <v>0</v>
          </cell>
        </row>
      </sheetData>
      <sheetData sheetId="205">
        <row r="51">
          <cell r="H51">
            <v>0</v>
          </cell>
        </row>
      </sheetData>
      <sheetData sheetId="206">
        <row r="51">
          <cell r="H51">
            <v>0</v>
          </cell>
        </row>
      </sheetData>
      <sheetData sheetId="207">
        <row r="51">
          <cell r="H51">
            <v>0</v>
          </cell>
        </row>
      </sheetData>
      <sheetData sheetId="208">
        <row r="51">
          <cell r="H51">
            <v>0</v>
          </cell>
        </row>
      </sheetData>
      <sheetData sheetId="209" refreshError="1"/>
      <sheetData sheetId="210" refreshError="1"/>
      <sheetData sheetId="211">
        <row r="51">
          <cell r="H51">
            <v>0</v>
          </cell>
        </row>
      </sheetData>
      <sheetData sheetId="212">
        <row r="51">
          <cell r="H51">
            <v>0</v>
          </cell>
        </row>
      </sheetData>
      <sheetData sheetId="213" refreshError="1"/>
      <sheetData sheetId="214" refreshError="1"/>
      <sheetData sheetId="215" refreshError="1"/>
      <sheetData sheetId="216">
        <row r="51">
          <cell r="H51">
            <v>0</v>
          </cell>
        </row>
      </sheetData>
      <sheetData sheetId="217" refreshError="1"/>
      <sheetData sheetId="218" refreshError="1"/>
      <sheetData sheetId="219">
        <row r="51">
          <cell r="H51">
            <v>0</v>
          </cell>
        </row>
      </sheetData>
      <sheetData sheetId="220">
        <row r="51">
          <cell r="H51">
            <v>0</v>
          </cell>
        </row>
      </sheetData>
      <sheetData sheetId="221">
        <row r="51">
          <cell r="H51">
            <v>0</v>
          </cell>
        </row>
      </sheetData>
      <sheetData sheetId="222">
        <row r="51">
          <cell r="H51">
            <v>0</v>
          </cell>
        </row>
      </sheetData>
      <sheetData sheetId="223">
        <row r="51">
          <cell r="H51">
            <v>0</v>
          </cell>
        </row>
      </sheetData>
      <sheetData sheetId="224">
        <row r="51">
          <cell r="H51">
            <v>0</v>
          </cell>
        </row>
      </sheetData>
      <sheetData sheetId="225">
        <row r="51">
          <cell r="H51">
            <v>0</v>
          </cell>
        </row>
      </sheetData>
      <sheetData sheetId="226">
        <row r="51">
          <cell r="H51">
            <v>0</v>
          </cell>
        </row>
      </sheetData>
      <sheetData sheetId="227">
        <row r="51">
          <cell r="H51">
            <v>0</v>
          </cell>
        </row>
      </sheetData>
      <sheetData sheetId="228">
        <row r="51">
          <cell r="H51">
            <v>0</v>
          </cell>
        </row>
      </sheetData>
      <sheetData sheetId="229">
        <row r="51">
          <cell r="H51">
            <v>0</v>
          </cell>
        </row>
      </sheetData>
      <sheetData sheetId="230">
        <row r="51">
          <cell r="H51">
            <v>0</v>
          </cell>
        </row>
      </sheetData>
      <sheetData sheetId="231">
        <row r="51">
          <cell r="H51">
            <v>0</v>
          </cell>
        </row>
      </sheetData>
      <sheetData sheetId="232">
        <row r="51">
          <cell r="H51">
            <v>0</v>
          </cell>
        </row>
      </sheetData>
      <sheetData sheetId="233">
        <row r="51">
          <cell r="H51">
            <v>0</v>
          </cell>
        </row>
      </sheetData>
      <sheetData sheetId="234">
        <row r="51">
          <cell r="H51">
            <v>0</v>
          </cell>
        </row>
      </sheetData>
      <sheetData sheetId="235">
        <row r="51">
          <cell r="H51">
            <v>0</v>
          </cell>
        </row>
      </sheetData>
      <sheetData sheetId="236">
        <row r="51">
          <cell r="H51">
            <v>0</v>
          </cell>
        </row>
      </sheetData>
      <sheetData sheetId="237">
        <row r="51">
          <cell r="H51">
            <v>0</v>
          </cell>
        </row>
      </sheetData>
      <sheetData sheetId="238">
        <row r="51">
          <cell r="H51">
            <v>0</v>
          </cell>
        </row>
      </sheetData>
      <sheetData sheetId="239">
        <row r="51">
          <cell r="H51">
            <v>0</v>
          </cell>
        </row>
      </sheetData>
      <sheetData sheetId="240">
        <row r="51">
          <cell r="H51">
            <v>0</v>
          </cell>
        </row>
      </sheetData>
      <sheetData sheetId="241">
        <row r="51">
          <cell r="H51">
            <v>0</v>
          </cell>
        </row>
      </sheetData>
      <sheetData sheetId="242" refreshError="1"/>
      <sheetData sheetId="243" refreshError="1"/>
      <sheetData sheetId="244">
        <row r="51">
          <cell r="H51">
            <v>0</v>
          </cell>
        </row>
      </sheetData>
      <sheetData sheetId="245">
        <row r="51">
          <cell r="H51">
            <v>0</v>
          </cell>
        </row>
      </sheetData>
      <sheetData sheetId="246">
        <row r="51">
          <cell r="H51">
            <v>0</v>
          </cell>
        </row>
      </sheetData>
      <sheetData sheetId="247"/>
      <sheetData sheetId="248"/>
      <sheetData sheetId="249"/>
      <sheetData sheetId="250">
        <row r="51">
          <cell r="H51">
            <v>0</v>
          </cell>
        </row>
      </sheetData>
      <sheetData sheetId="251">
        <row r="51">
          <cell r="H51">
            <v>0</v>
          </cell>
        </row>
      </sheetData>
      <sheetData sheetId="252">
        <row r="51">
          <cell r="H51">
            <v>0</v>
          </cell>
        </row>
      </sheetData>
      <sheetData sheetId="253">
        <row r="51">
          <cell r="H51">
            <v>0</v>
          </cell>
        </row>
      </sheetData>
      <sheetData sheetId="254">
        <row r="51">
          <cell r="H51">
            <v>0</v>
          </cell>
        </row>
      </sheetData>
      <sheetData sheetId="255">
        <row r="51">
          <cell r="H51">
            <v>0</v>
          </cell>
        </row>
      </sheetData>
      <sheetData sheetId="256">
        <row r="51">
          <cell r="H51">
            <v>0</v>
          </cell>
        </row>
      </sheetData>
      <sheetData sheetId="257">
        <row r="51">
          <cell r="H51">
            <v>0</v>
          </cell>
        </row>
      </sheetData>
      <sheetData sheetId="258">
        <row r="51">
          <cell r="H51">
            <v>0</v>
          </cell>
        </row>
      </sheetData>
      <sheetData sheetId="259">
        <row r="51">
          <cell r="H51">
            <v>0</v>
          </cell>
        </row>
      </sheetData>
      <sheetData sheetId="260">
        <row r="51">
          <cell r="H51">
            <v>0</v>
          </cell>
        </row>
      </sheetData>
      <sheetData sheetId="261">
        <row r="51">
          <cell r="H51">
            <v>0</v>
          </cell>
        </row>
      </sheetData>
      <sheetData sheetId="262">
        <row r="51">
          <cell r="H51">
            <v>0</v>
          </cell>
        </row>
      </sheetData>
      <sheetData sheetId="263">
        <row r="51">
          <cell r="H51">
            <v>0</v>
          </cell>
        </row>
      </sheetData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51">
          <cell r="H51">
            <v>0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>
        <row r="51">
          <cell r="H51">
            <v>0</v>
          </cell>
        </row>
      </sheetData>
      <sheetData sheetId="280"/>
      <sheetData sheetId="281"/>
      <sheetData sheetId="282"/>
      <sheetData sheetId="283">
        <row r="51">
          <cell r="H51">
            <v>0</v>
          </cell>
        </row>
      </sheetData>
      <sheetData sheetId="284">
        <row r="51">
          <cell r="H51">
            <v>0</v>
          </cell>
        </row>
      </sheetData>
      <sheetData sheetId="285">
        <row r="51">
          <cell r="H51">
            <v>0</v>
          </cell>
        </row>
      </sheetData>
      <sheetData sheetId="286"/>
      <sheetData sheetId="287"/>
      <sheetData sheetId="288">
        <row r="51">
          <cell r="H51">
            <v>0</v>
          </cell>
        </row>
      </sheetData>
      <sheetData sheetId="289">
        <row r="51">
          <cell r="H51">
            <v>0</v>
          </cell>
        </row>
      </sheetData>
      <sheetData sheetId="290">
        <row r="51">
          <cell r="H51">
            <v>0</v>
          </cell>
        </row>
      </sheetData>
      <sheetData sheetId="291">
        <row r="51">
          <cell r="H51">
            <v>0</v>
          </cell>
        </row>
      </sheetData>
      <sheetData sheetId="292">
        <row r="51">
          <cell r="H51">
            <v>0</v>
          </cell>
        </row>
      </sheetData>
      <sheetData sheetId="293">
        <row r="51">
          <cell r="H51">
            <v>0</v>
          </cell>
        </row>
      </sheetData>
      <sheetData sheetId="294">
        <row r="51">
          <cell r="H51">
            <v>0</v>
          </cell>
        </row>
      </sheetData>
      <sheetData sheetId="295"/>
      <sheetData sheetId="296">
        <row r="51">
          <cell r="H51">
            <v>0</v>
          </cell>
        </row>
      </sheetData>
      <sheetData sheetId="297">
        <row r="51">
          <cell r="H51">
            <v>0</v>
          </cell>
        </row>
      </sheetData>
      <sheetData sheetId="298">
        <row r="51">
          <cell r="H51">
            <v>0</v>
          </cell>
        </row>
      </sheetData>
      <sheetData sheetId="299">
        <row r="51">
          <cell r="H51">
            <v>0</v>
          </cell>
        </row>
      </sheetData>
      <sheetData sheetId="300" refreshError="1"/>
      <sheetData sheetId="301"/>
      <sheetData sheetId="302">
        <row r="143">
          <cell r="H143">
            <v>0</v>
          </cell>
        </row>
      </sheetData>
      <sheetData sheetId="303"/>
      <sheetData sheetId="304"/>
      <sheetData sheetId="305"/>
      <sheetData sheetId="306">
        <row r="51">
          <cell r="H51">
            <v>0</v>
          </cell>
        </row>
      </sheetData>
      <sheetData sheetId="307" refreshError="1"/>
      <sheetData sheetId="308" refreshError="1"/>
      <sheetData sheetId="309" refreshError="1"/>
      <sheetData sheetId="310">
        <row r="51">
          <cell r="H51">
            <v>0</v>
          </cell>
        </row>
      </sheetData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>
        <row r="51">
          <cell r="H51">
            <v>0</v>
          </cell>
        </row>
      </sheetData>
      <sheetData sheetId="339">
        <row r="51">
          <cell r="H51">
            <v>0</v>
          </cell>
        </row>
      </sheetData>
      <sheetData sheetId="340">
        <row r="51">
          <cell r="H51">
            <v>0</v>
          </cell>
        </row>
      </sheetData>
      <sheetData sheetId="341">
        <row r="51">
          <cell r="H51">
            <v>0</v>
          </cell>
        </row>
      </sheetData>
      <sheetData sheetId="342">
        <row r="51">
          <cell r="H51">
            <v>0</v>
          </cell>
        </row>
      </sheetData>
      <sheetData sheetId="343">
        <row r="51">
          <cell r="H51">
            <v>0</v>
          </cell>
        </row>
      </sheetData>
      <sheetData sheetId="344">
        <row r="51">
          <cell r="H51">
            <v>0</v>
          </cell>
        </row>
      </sheetData>
      <sheetData sheetId="345">
        <row r="51">
          <cell r="H51">
            <v>0</v>
          </cell>
        </row>
      </sheetData>
      <sheetData sheetId="346">
        <row r="51">
          <cell r="H51">
            <v>0</v>
          </cell>
        </row>
      </sheetData>
      <sheetData sheetId="347">
        <row r="51">
          <cell r="H51">
            <v>0</v>
          </cell>
        </row>
      </sheetData>
      <sheetData sheetId="348">
        <row r="51">
          <cell r="H51">
            <v>0</v>
          </cell>
        </row>
      </sheetData>
      <sheetData sheetId="349" refreshError="1"/>
      <sheetData sheetId="350" refreshError="1"/>
      <sheetData sheetId="351"/>
      <sheetData sheetId="352" refreshError="1"/>
      <sheetData sheetId="353">
        <row r="51">
          <cell r="H51">
            <v>0</v>
          </cell>
        </row>
      </sheetData>
      <sheetData sheetId="354">
        <row r="51">
          <cell r="H51">
            <v>0</v>
          </cell>
        </row>
      </sheetData>
      <sheetData sheetId="355">
        <row r="51">
          <cell r="H51">
            <v>0</v>
          </cell>
        </row>
      </sheetData>
      <sheetData sheetId="356">
        <row r="51">
          <cell r="H51">
            <v>0</v>
          </cell>
        </row>
      </sheetData>
      <sheetData sheetId="357">
        <row r="51">
          <cell r="H51">
            <v>0</v>
          </cell>
        </row>
      </sheetData>
      <sheetData sheetId="358">
        <row r="51">
          <cell r="H51">
            <v>0</v>
          </cell>
        </row>
      </sheetData>
      <sheetData sheetId="359"/>
      <sheetData sheetId="360">
        <row r="51">
          <cell r="H51">
            <v>0</v>
          </cell>
        </row>
      </sheetData>
      <sheetData sheetId="361">
        <row r="51">
          <cell r="H51">
            <v>0</v>
          </cell>
        </row>
      </sheetData>
      <sheetData sheetId="362">
        <row r="51">
          <cell r="H51">
            <v>0</v>
          </cell>
        </row>
      </sheetData>
      <sheetData sheetId="363">
        <row r="51">
          <cell r="H51">
            <v>0</v>
          </cell>
        </row>
      </sheetData>
      <sheetData sheetId="364"/>
      <sheetData sheetId="365">
        <row r="51">
          <cell r="H51">
            <v>0</v>
          </cell>
        </row>
      </sheetData>
      <sheetData sheetId="366">
        <row r="51">
          <cell r="H51">
            <v>0</v>
          </cell>
        </row>
      </sheetData>
      <sheetData sheetId="367">
        <row r="51">
          <cell r="H51">
            <v>0</v>
          </cell>
        </row>
      </sheetData>
      <sheetData sheetId="368">
        <row r="51">
          <cell r="H51">
            <v>0</v>
          </cell>
        </row>
      </sheetData>
      <sheetData sheetId="369">
        <row r="51">
          <cell r="H51">
            <v>0</v>
          </cell>
        </row>
      </sheetData>
      <sheetData sheetId="370">
        <row r="51">
          <cell r="H51">
            <v>0</v>
          </cell>
        </row>
      </sheetData>
      <sheetData sheetId="371">
        <row r="51">
          <cell r="H51">
            <v>0</v>
          </cell>
        </row>
      </sheetData>
      <sheetData sheetId="372">
        <row r="51">
          <cell r="H51">
            <v>0</v>
          </cell>
        </row>
      </sheetData>
      <sheetData sheetId="373">
        <row r="51">
          <cell r="H51">
            <v>0</v>
          </cell>
        </row>
      </sheetData>
      <sheetData sheetId="374">
        <row r="51">
          <cell r="H51">
            <v>0</v>
          </cell>
        </row>
      </sheetData>
      <sheetData sheetId="375">
        <row r="51">
          <cell r="H51">
            <v>0</v>
          </cell>
        </row>
      </sheetData>
      <sheetData sheetId="376"/>
      <sheetData sheetId="377">
        <row r="51">
          <cell r="H51">
            <v>0</v>
          </cell>
        </row>
      </sheetData>
      <sheetData sheetId="378">
        <row r="51">
          <cell r="H51">
            <v>0</v>
          </cell>
        </row>
      </sheetData>
      <sheetData sheetId="379"/>
      <sheetData sheetId="380">
        <row r="51">
          <cell r="H51">
            <v>0</v>
          </cell>
        </row>
      </sheetData>
      <sheetData sheetId="381"/>
      <sheetData sheetId="382"/>
      <sheetData sheetId="383"/>
      <sheetData sheetId="384" refreshError="1"/>
      <sheetData sheetId="385">
        <row r="51">
          <cell r="H51">
            <v>0</v>
          </cell>
        </row>
      </sheetData>
      <sheetData sheetId="386">
        <row r="51">
          <cell r="H51">
            <v>0</v>
          </cell>
        </row>
      </sheetData>
      <sheetData sheetId="387">
        <row r="51">
          <cell r="H51">
            <v>0</v>
          </cell>
        </row>
      </sheetData>
      <sheetData sheetId="388">
        <row r="51">
          <cell r="H51">
            <v>0</v>
          </cell>
        </row>
      </sheetData>
      <sheetData sheetId="389">
        <row r="51">
          <cell r="H51">
            <v>0</v>
          </cell>
        </row>
      </sheetData>
      <sheetData sheetId="390">
        <row r="51">
          <cell r="H51">
            <v>0</v>
          </cell>
        </row>
      </sheetData>
      <sheetData sheetId="391">
        <row r="51">
          <cell r="H51">
            <v>0</v>
          </cell>
        </row>
      </sheetData>
      <sheetData sheetId="392">
        <row r="51">
          <cell r="H51">
            <v>0</v>
          </cell>
        </row>
      </sheetData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51">
          <cell r="H51">
            <v>0</v>
          </cell>
        </row>
      </sheetData>
      <sheetData sheetId="406"/>
      <sheetData sheetId="407">
        <row r="51">
          <cell r="H51">
            <v>0</v>
          </cell>
        </row>
      </sheetData>
      <sheetData sheetId="408">
        <row r="51">
          <cell r="H51">
            <v>0</v>
          </cell>
        </row>
      </sheetData>
      <sheetData sheetId="409">
        <row r="51">
          <cell r="H51">
            <v>0</v>
          </cell>
        </row>
      </sheetData>
      <sheetData sheetId="410">
        <row r="51">
          <cell r="H51">
            <v>0</v>
          </cell>
        </row>
      </sheetData>
      <sheetData sheetId="411">
        <row r="51">
          <cell r="H51">
            <v>0</v>
          </cell>
        </row>
      </sheetData>
      <sheetData sheetId="412">
        <row r="51">
          <cell r="H51">
            <v>0</v>
          </cell>
        </row>
      </sheetData>
      <sheetData sheetId="413">
        <row r="51">
          <cell r="H51">
            <v>0</v>
          </cell>
        </row>
      </sheetData>
      <sheetData sheetId="414">
        <row r="51">
          <cell r="H51">
            <v>0</v>
          </cell>
        </row>
      </sheetData>
      <sheetData sheetId="415">
        <row r="51">
          <cell r="H51">
            <v>0</v>
          </cell>
        </row>
      </sheetData>
      <sheetData sheetId="416">
        <row r="51">
          <cell r="H51">
            <v>0</v>
          </cell>
        </row>
      </sheetData>
      <sheetData sheetId="417">
        <row r="51">
          <cell r="H51">
            <v>0</v>
          </cell>
        </row>
      </sheetData>
      <sheetData sheetId="418">
        <row r="51">
          <cell r="H51">
            <v>0</v>
          </cell>
        </row>
      </sheetData>
      <sheetData sheetId="419">
        <row r="51">
          <cell r="H51">
            <v>0</v>
          </cell>
        </row>
      </sheetData>
      <sheetData sheetId="420">
        <row r="51">
          <cell r="H51">
            <v>0</v>
          </cell>
        </row>
      </sheetData>
      <sheetData sheetId="421">
        <row r="51">
          <cell r="H51">
            <v>0</v>
          </cell>
        </row>
      </sheetData>
      <sheetData sheetId="422">
        <row r="51">
          <cell r="H51">
            <v>0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>
        <row r="51">
          <cell r="H51">
            <v>0</v>
          </cell>
        </row>
      </sheetData>
      <sheetData sheetId="437">
        <row r="51">
          <cell r="H51">
            <v>0</v>
          </cell>
        </row>
      </sheetData>
      <sheetData sheetId="438">
        <row r="51">
          <cell r="H51">
            <v>0</v>
          </cell>
        </row>
      </sheetData>
      <sheetData sheetId="439"/>
      <sheetData sheetId="440">
        <row r="51">
          <cell r="H51">
            <v>0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51">
          <cell r="H51">
            <v>0</v>
          </cell>
        </row>
      </sheetData>
      <sheetData sheetId="460">
        <row r="51">
          <cell r="H51">
            <v>0</v>
          </cell>
        </row>
      </sheetData>
      <sheetData sheetId="461">
        <row r="51">
          <cell r="H51">
            <v>0</v>
          </cell>
        </row>
      </sheetData>
      <sheetData sheetId="462">
        <row r="51">
          <cell r="H51">
            <v>0</v>
          </cell>
        </row>
      </sheetData>
      <sheetData sheetId="463"/>
      <sheetData sheetId="464">
        <row r="51">
          <cell r="H51">
            <v>0</v>
          </cell>
        </row>
      </sheetData>
      <sheetData sheetId="465">
        <row r="51">
          <cell r="H51">
            <v>0</v>
          </cell>
        </row>
      </sheetData>
      <sheetData sheetId="466">
        <row r="51">
          <cell r="H51">
            <v>0</v>
          </cell>
        </row>
      </sheetData>
      <sheetData sheetId="467">
        <row r="51">
          <cell r="H51">
            <v>0</v>
          </cell>
        </row>
      </sheetData>
      <sheetData sheetId="468">
        <row r="51">
          <cell r="H51">
            <v>0</v>
          </cell>
        </row>
      </sheetData>
      <sheetData sheetId="469">
        <row r="51">
          <cell r="H51">
            <v>0</v>
          </cell>
        </row>
      </sheetData>
      <sheetData sheetId="470">
        <row r="51">
          <cell r="H51">
            <v>0</v>
          </cell>
        </row>
      </sheetData>
      <sheetData sheetId="471">
        <row r="51">
          <cell r="H51">
            <v>0</v>
          </cell>
        </row>
      </sheetData>
      <sheetData sheetId="472">
        <row r="51">
          <cell r="H51">
            <v>0</v>
          </cell>
        </row>
      </sheetData>
      <sheetData sheetId="473">
        <row r="51">
          <cell r="H51">
            <v>0</v>
          </cell>
        </row>
      </sheetData>
      <sheetData sheetId="474">
        <row r="51">
          <cell r="H51">
            <v>0</v>
          </cell>
        </row>
      </sheetData>
      <sheetData sheetId="475">
        <row r="51">
          <cell r="H51">
            <v>0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>
        <row r="51">
          <cell r="H51">
            <v>0</v>
          </cell>
        </row>
      </sheetData>
      <sheetData sheetId="491">
        <row r="51">
          <cell r="H51">
            <v>0</v>
          </cell>
        </row>
      </sheetData>
      <sheetData sheetId="492">
        <row r="51">
          <cell r="H51">
            <v>0</v>
          </cell>
        </row>
      </sheetData>
      <sheetData sheetId="493">
        <row r="51">
          <cell r="H51">
            <v>0</v>
          </cell>
        </row>
      </sheetData>
      <sheetData sheetId="494">
        <row r="51">
          <cell r="H51">
            <v>0</v>
          </cell>
        </row>
      </sheetData>
      <sheetData sheetId="495">
        <row r="51">
          <cell r="H51">
            <v>0</v>
          </cell>
        </row>
      </sheetData>
      <sheetData sheetId="496">
        <row r="51">
          <cell r="H51">
            <v>0</v>
          </cell>
        </row>
      </sheetData>
      <sheetData sheetId="497">
        <row r="51">
          <cell r="H51">
            <v>0</v>
          </cell>
        </row>
      </sheetData>
      <sheetData sheetId="498">
        <row r="51">
          <cell r="H51">
            <v>0</v>
          </cell>
        </row>
      </sheetData>
      <sheetData sheetId="499">
        <row r="51">
          <cell r="H51">
            <v>0</v>
          </cell>
        </row>
      </sheetData>
      <sheetData sheetId="500">
        <row r="51">
          <cell r="H51">
            <v>0</v>
          </cell>
        </row>
      </sheetData>
      <sheetData sheetId="501">
        <row r="51">
          <cell r="H51">
            <v>0</v>
          </cell>
        </row>
      </sheetData>
      <sheetData sheetId="502">
        <row r="51">
          <cell r="H51">
            <v>0</v>
          </cell>
        </row>
      </sheetData>
      <sheetData sheetId="503">
        <row r="51">
          <cell r="H51">
            <v>0</v>
          </cell>
        </row>
      </sheetData>
      <sheetData sheetId="504">
        <row r="51">
          <cell r="H51">
            <v>0</v>
          </cell>
        </row>
      </sheetData>
      <sheetData sheetId="505">
        <row r="51">
          <cell r="H51">
            <v>0</v>
          </cell>
        </row>
      </sheetData>
      <sheetData sheetId="506"/>
      <sheetData sheetId="507">
        <row r="143">
          <cell r="H143">
            <v>0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>
        <row r="51">
          <cell r="H51">
            <v>0</v>
          </cell>
        </row>
      </sheetData>
      <sheetData sheetId="521">
        <row r="51">
          <cell r="H51">
            <v>0</v>
          </cell>
        </row>
      </sheetData>
      <sheetData sheetId="522">
        <row r="51">
          <cell r="H51">
            <v>0</v>
          </cell>
        </row>
      </sheetData>
      <sheetData sheetId="523">
        <row r="51">
          <cell r="H51">
            <v>0</v>
          </cell>
        </row>
      </sheetData>
      <sheetData sheetId="524"/>
      <sheetData sheetId="525">
        <row r="51">
          <cell r="H51">
            <v>0</v>
          </cell>
        </row>
      </sheetData>
      <sheetData sheetId="526">
        <row r="51">
          <cell r="H51">
            <v>0</v>
          </cell>
        </row>
      </sheetData>
      <sheetData sheetId="527">
        <row r="51">
          <cell r="H51">
            <v>0</v>
          </cell>
        </row>
      </sheetData>
      <sheetData sheetId="528">
        <row r="51">
          <cell r="H51">
            <v>0</v>
          </cell>
        </row>
      </sheetData>
      <sheetData sheetId="529">
        <row r="51">
          <cell r="H51">
            <v>0</v>
          </cell>
        </row>
      </sheetData>
      <sheetData sheetId="530">
        <row r="51">
          <cell r="H51">
            <v>0</v>
          </cell>
        </row>
      </sheetData>
      <sheetData sheetId="531">
        <row r="51">
          <cell r="H51">
            <v>0</v>
          </cell>
        </row>
      </sheetData>
      <sheetData sheetId="532">
        <row r="51">
          <cell r="H51">
            <v>0</v>
          </cell>
        </row>
      </sheetData>
      <sheetData sheetId="533">
        <row r="51">
          <cell r="H51">
            <v>0</v>
          </cell>
        </row>
      </sheetData>
      <sheetData sheetId="534">
        <row r="51">
          <cell r="H51">
            <v>0</v>
          </cell>
        </row>
      </sheetData>
      <sheetData sheetId="535">
        <row r="51">
          <cell r="H51">
            <v>0</v>
          </cell>
        </row>
      </sheetData>
      <sheetData sheetId="536">
        <row r="51">
          <cell r="H51">
            <v>0</v>
          </cell>
        </row>
      </sheetData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>
        <row r="51">
          <cell r="H51">
            <v>0</v>
          </cell>
        </row>
      </sheetData>
      <sheetData sheetId="552">
        <row r="51">
          <cell r="H51">
            <v>0</v>
          </cell>
        </row>
      </sheetData>
      <sheetData sheetId="553">
        <row r="51">
          <cell r="H51">
            <v>0</v>
          </cell>
        </row>
      </sheetData>
      <sheetData sheetId="554">
        <row r="51">
          <cell r="H51">
            <v>0</v>
          </cell>
        </row>
      </sheetData>
      <sheetData sheetId="555"/>
      <sheetData sheetId="556">
        <row r="51">
          <cell r="H51">
            <v>0</v>
          </cell>
        </row>
      </sheetData>
      <sheetData sheetId="557">
        <row r="51">
          <cell r="H51">
            <v>0</v>
          </cell>
        </row>
      </sheetData>
      <sheetData sheetId="558">
        <row r="51">
          <cell r="H51">
            <v>0</v>
          </cell>
        </row>
      </sheetData>
      <sheetData sheetId="559">
        <row r="51">
          <cell r="H51">
            <v>0</v>
          </cell>
        </row>
      </sheetData>
      <sheetData sheetId="560">
        <row r="51">
          <cell r="H51">
            <v>0</v>
          </cell>
        </row>
      </sheetData>
      <sheetData sheetId="561">
        <row r="51">
          <cell r="H51">
            <v>0</v>
          </cell>
        </row>
      </sheetData>
      <sheetData sheetId="562">
        <row r="51">
          <cell r="H51">
            <v>0</v>
          </cell>
        </row>
      </sheetData>
      <sheetData sheetId="563">
        <row r="51">
          <cell r="H51">
            <v>0</v>
          </cell>
        </row>
      </sheetData>
      <sheetData sheetId="564">
        <row r="51">
          <cell r="H51">
            <v>0</v>
          </cell>
        </row>
      </sheetData>
      <sheetData sheetId="565">
        <row r="51">
          <cell r="H51">
            <v>0</v>
          </cell>
        </row>
      </sheetData>
      <sheetData sheetId="566">
        <row r="51">
          <cell r="H51">
            <v>0</v>
          </cell>
        </row>
      </sheetData>
      <sheetData sheetId="567">
        <row r="51">
          <cell r="H51">
            <v>0</v>
          </cell>
        </row>
      </sheetData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>
        <row r="51">
          <cell r="H51">
            <v>0</v>
          </cell>
        </row>
      </sheetData>
      <sheetData sheetId="583">
        <row r="51">
          <cell r="H51">
            <v>0</v>
          </cell>
        </row>
      </sheetData>
      <sheetData sheetId="584">
        <row r="51">
          <cell r="H51">
            <v>0</v>
          </cell>
        </row>
      </sheetData>
      <sheetData sheetId="585">
        <row r="51">
          <cell r="H51">
            <v>0</v>
          </cell>
        </row>
      </sheetData>
      <sheetData sheetId="586"/>
      <sheetData sheetId="587">
        <row r="51">
          <cell r="H51">
            <v>0</v>
          </cell>
        </row>
      </sheetData>
      <sheetData sheetId="588">
        <row r="51">
          <cell r="H51">
            <v>0</v>
          </cell>
        </row>
      </sheetData>
      <sheetData sheetId="589">
        <row r="51">
          <cell r="H51">
            <v>0</v>
          </cell>
        </row>
      </sheetData>
      <sheetData sheetId="590">
        <row r="51">
          <cell r="H51">
            <v>0</v>
          </cell>
        </row>
      </sheetData>
      <sheetData sheetId="591">
        <row r="51">
          <cell r="H51">
            <v>0</v>
          </cell>
        </row>
      </sheetData>
      <sheetData sheetId="592">
        <row r="51">
          <cell r="H51">
            <v>0</v>
          </cell>
        </row>
      </sheetData>
      <sheetData sheetId="593">
        <row r="51">
          <cell r="H51">
            <v>0</v>
          </cell>
        </row>
      </sheetData>
      <sheetData sheetId="594">
        <row r="51">
          <cell r="H51">
            <v>0</v>
          </cell>
        </row>
      </sheetData>
      <sheetData sheetId="595">
        <row r="51">
          <cell r="H51">
            <v>0</v>
          </cell>
        </row>
      </sheetData>
      <sheetData sheetId="596">
        <row r="51">
          <cell r="H51">
            <v>0</v>
          </cell>
        </row>
      </sheetData>
      <sheetData sheetId="597">
        <row r="51">
          <cell r="H51">
            <v>0</v>
          </cell>
        </row>
      </sheetData>
      <sheetData sheetId="598">
        <row r="51">
          <cell r="H51">
            <v>0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>
        <row r="51">
          <cell r="H51">
            <v>0</v>
          </cell>
        </row>
      </sheetData>
      <sheetData sheetId="614">
        <row r="51">
          <cell r="H51">
            <v>0</v>
          </cell>
        </row>
      </sheetData>
      <sheetData sheetId="615">
        <row r="51">
          <cell r="H51">
            <v>0</v>
          </cell>
        </row>
      </sheetData>
      <sheetData sheetId="616"/>
      <sheetData sheetId="617"/>
      <sheetData sheetId="618">
        <row r="51">
          <cell r="H51">
            <v>0</v>
          </cell>
        </row>
      </sheetData>
      <sheetData sheetId="619">
        <row r="51">
          <cell r="H51">
            <v>0</v>
          </cell>
        </row>
      </sheetData>
      <sheetData sheetId="620">
        <row r="51">
          <cell r="H51">
            <v>0</v>
          </cell>
        </row>
      </sheetData>
      <sheetData sheetId="621">
        <row r="51">
          <cell r="H51">
            <v>0</v>
          </cell>
        </row>
      </sheetData>
      <sheetData sheetId="622">
        <row r="51">
          <cell r="H51">
            <v>0</v>
          </cell>
        </row>
      </sheetData>
      <sheetData sheetId="623"/>
      <sheetData sheetId="624">
        <row r="51">
          <cell r="H51">
            <v>0</v>
          </cell>
        </row>
      </sheetData>
      <sheetData sheetId="625">
        <row r="51">
          <cell r="H51">
            <v>0</v>
          </cell>
        </row>
      </sheetData>
      <sheetData sheetId="626">
        <row r="51">
          <cell r="H51">
            <v>0</v>
          </cell>
        </row>
      </sheetData>
      <sheetData sheetId="627">
        <row r="51">
          <cell r="H51">
            <v>0</v>
          </cell>
        </row>
      </sheetData>
      <sheetData sheetId="628">
        <row r="51">
          <cell r="H51">
            <v>0</v>
          </cell>
        </row>
      </sheetData>
      <sheetData sheetId="629">
        <row r="51">
          <cell r="H51">
            <v>0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>
        <row r="51">
          <cell r="H51">
            <v>0</v>
          </cell>
        </row>
      </sheetData>
      <sheetData sheetId="645">
        <row r="51">
          <cell r="H51">
            <v>0</v>
          </cell>
        </row>
      </sheetData>
      <sheetData sheetId="646">
        <row r="51">
          <cell r="H51">
            <v>0</v>
          </cell>
        </row>
      </sheetData>
      <sheetData sheetId="647"/>
      <sheetData sheetId="648"/>
      <sheetData sheetId="649">
        <row r="51">
          <cell r="H51">
            <v>0</v>
          </cell>
        </row>
      </sheetData>
      <sheetData sheetId="650">
        <row r="51">
          <cell r="H51">
            <v>0</v>
          </cell>
        </row>
      </sheetData>
      <sheetData sheetId="651">
        <row r="51">
          <cell r="H51">
            <v>0</v>
          </cell>
        </row>
      </sheetData>
      <sheetData sheetId="652">
        <row r="51">
          <cell r="H51">
            <v>0</v>
          </cell>
        </row>
      </sheetData>
      <sheetData sheetId="653">
        <row r="51">
          <cell r="H51">
            <v>0</v>
          </cell>
        </row>
      </sheetData>
      <sheetData sheetId="654"/>
      <sheetData sheetId="655">
        <row r="51">
          <cell r="H51">
            <v>0</v>
          </cell>
        </row>
      </sheetData>
      <sheetData sheetId="656">
        <row r="51">
          <cell r="H51">
            <v>0</v>
          </cell>
        </row>
      </sheetData>
      <sheetData sheetId="657">
        <row r="51">
          <cell r="H51">
            <v>0</v>
          </cell>
        </row>
      </sheetData>
      <sheetData sheetId="658">
        <row r="51">
          <cell r="H51">
            <v>0</v>
          </cell>
        </row>
      </sheetData>
      <sheetData sheetId="659">
        <row r="51">
          <cell r="H51">
            <v>0</v>
          </cell>
        </row>
      </sheetData>
      <sheetData sheetId="660">
        <row r="51">
          <cell r="H51">
            <v>0</v>
          </cell>
        </row>
      </sheetData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>
        <row r="51">
          <cell r="H51">
            <v>0</v>
          </cell>
        </row>
      </sheetData>
      <sheetData sheetId="676">
        <row r="51">
          <cell r="H51">
            <v>0</v>
          </cell>
        </row>
      </sheetData>
      <sheetData sheetId="677">
        <row r="51">
          <cell r="H51">
            <v>0</v>
          </cell>
        </row>
      </sheetData>
      <sheetData sheetId="678"/>
      <sheetData sheetId="679"/>
      <sheetData sheetId="680">
        <row r="51">
          <cell r="H51">
            <v>0</v>
          </cell>
        </row>
      </sheetData>
      <sheetData sheetId="681"/>
      <sheetData sheetId="682"/>
      <sheetData sheetId="683"/>
      <sheetData sheetId="684"/>
      <sheetData sheetId="685"/>
      <sheetData sheetId="686"/>
      <sheetData sheetId="687">
        <row r="51">
          <cell r="H51">
            <v>0</v>
          </cell>
        </row>
      </sheetData>
      <sheetData sheetId="688"/>
      <sheetData sheetId="689">
        <row r="51">
          <cell r="H51">
            <v>0</v>
          </cell>
        </row>
      </sheetData>
      <sheetData sheetId="690">
        <row r="51">
          <cell r="H51">
            <v>0</v>
          </cell>
        </row>
      </sheetData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>
        <row r="51">
          <cell r="H51">
            <v>0</v>
          </cell>
        </row>
      </sheetData>
      <sheetData sheetId="707">
        <row r="51">
          <cell r="H51">
            <v>0</v>
          </cell>
        </row>
      </sheetData>
      <sheetData sheetId="708">
        <row r="51">
          <cell r="H51">
            <v>0</v>
          </cell>
        </row>
      </sheetData>
      <sheetData sheetId="709">
        <row r="51">
          <cell r="H51">
            <v>0</v>
          </cell>
        </row>
      </sheetData>
      <sheetData sheetId="710"/>
      <sheetData sheetId="711"/>
      <sheetData sheetId="712">
        <row r="51">
          <cell r="H51">
            <v>0</v>
          </cell>
        </row>
      </sheetData>
      <sheetData sheetId="713">
        <row r="51">
          <cell r="H51">
            <v>0</v>
          </cell>
        </row>
      </sheetData>
      <sheetData sheetId="714">
        <row r="51">
          <cell r="H51">
            <v>0</v>
          </cell>
        </row>
      </sheetData>
      <sheetData sheetId="715">
        <row r="51">
          <cell r="H51">
            <v>0</v>
          </cell>
        </row>
      </sheetData>
      <sheetData sheetId="716">
        <row r="51">
          <cell r="H51">
            <v>0</v>
          </cell>
        </row>
      </sheetData>
      <sheetData sheetId="717"/>
      <sheetData sheetId="718">
        <row r="51">
          <cell r="H51">
            <v>0</v>
          </cell>
        </row>
      </sheetData>
      <sheetData sheetId="719">
        <row r="51">
          <cell r="H51">
            <v>0</v>
          </cell>
        </row>
      </sheetData>
      <sheetData sheetId="720">
        <row r="51">
          <cell r="H51">
            <v>0</v>
          </cell>
        </row>
      </sheetData>
      <sheetData sheetId="721">
        <row r="51">
          <cell r="H51">
            <v>0</v>
          </cell>
        </row>
      </sheetData>
      <sheetData sheetId="722">
        <row r="51">
          <cell r="H51">
            <v>0</v>
          </cell>
        </row>
      </sheetData>
      <sheetData sheetId="723">
        <row r="51">
          <cell r="H51">
            <v>0</v>
          </cell>
        </row>
      </sheetData>
      <sheetData sheetId="724"/>
      <sheetData sheetId="725"/>
      <sheetData sheetId="726"/>
      <sheetData sheetId="727"/>
      <sheetData sheetId="728"/>
      <sheetData sheetId="729"/>
      <sheetData sheetId="730"/>
      <sheetData sheetId="731">
        <row r="51">
          <cell r="H51">
            <v>0</v>
          </cell>
        </row>
      </sheetData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>
        <row r="51">
          <cell r="H51">
            <v>0</v>
          </cell>
        </row>
      </sheetData>
      <sheetData sheetId="747">
        <row r="51">
          <cell r="H51">
            <v>0</v>
          </cell>
        </row>
      </sheetData>
      <sheetData sheetId="748">
        <row r="51">
          <cell r="H51">
            <v>0</v>
          </cell>
        </row>
      </sheetData>
      <sheetData sheetId="749">
        <row r="51">
          <cell r="H51">
            <v>0</v>
          </cell>
        </row>
      </sheetData>
      <sheetData sheetId="750">
        <row r="51">
          <cell r="H51">
            <v>0</v>
          </cell>
        </row>
      </sheetData>
      <sheetData sheetId="751"/>
      <sheetData sheetId="752">
        <row r="51">
          <cell r="H51">
            <v>0</v>
          </cell>
        </row>
      </sheetData>
      <sheetData sheetId="753">
        <row r="51">
          <cell r="H51">
            <v>0</v>
          </cell>
        </row>
      </sheetData>
      <sheetData sheetId="754"/>
      <sheetData sheetId="755">
        <row r="51">
          <cell r="H51">
            <v>0</v>
          </cell>
        </row>
      </sheetData>
      <sheetData sheetId="756">
        <row r="51">
          <cell r="H51">
            <v>0</v>
          </cell>
        </row>
      </sheetData>
      <sheetData sheetId="757"/>
      <sheetData sheetId="758">
        <row r="51">
          <cell r="H51">
            <v>0</v>
          </cell>
        </row>
      </sheetData>
      <sheetData sheetId="759">
        <row r="51">
          <cell r="H51">
            <v>0</v>
          </cell>
        </row>
      </sheetData>
      <sheetData sheetId="760">
        <row r="51">
          <cell r="H51">
            <v>0</v>
          </cell>
        </row>
      </sheetData>
      <sheetData sheetId="761">
        <row r="51">
          <cell r="H51">
            <v>0</v>
          </cell>
        </row>
      </sheetData>
      <sheetData sheetId="762">
        <row r="51">
          <cell r="H51">
            <v>0</v>
          </cell>
        </row>
      </sheetData>
      <sheetData sheetId="763">
        <row r="51">
          <cell r="H51">
            <v>0</v>
          </cell>
        </row>
      </sheetData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>
        <row r="51">
          <cell r="H51">
            <v>0</v>
          </cell>
        </row>
      </sheetData>
      <sheetData sheetId="780">
        <row r="51">
          <cell r="H51">
            <v>0</v>
          </cell>
        </row>
      </sheetData>
      <sheetData sheetId="781"/>
      <sheetData sheetId="782">
        <row r="51">
          <cell r="H51">
            <v>0</v>
          </cell>
        </row>
      </sheetData>
      <sheetData sheetId="783">
        <row r="51">
          <cell r="H51">
            <v>0</v>
          </cell>
        </row>
      </sheetData>
      <sheetData sheetId="784">
        <row r="51">
          <cell r="H51">
            <v>0</v>
          </cell>
        </row>
      </sheetData>
      <sheetData sheetId="785">
        <row r="51">
          <cell r="H51">
            <v>0</v>
          </cell>
        </row>
      </sheetData>
      <sheetData sheetId="786">
        <row r="51">
          <cell r="H51">
            <v>0</v>
          </cell>
        </row>
      </sheetData>
      <sheetData sheetId="787">
        <row r="51">
          <cell r="H51">
            <v>0</v>
          </cell>
        </row>
      </sheetData>
      <sheetData sheetId="788">
        <row r="51">
          <cell r="H51">
            <v>0</v>
          </cell>
        </row>
      </sheetData>
      <sheetData sheetId="789">
        <row r="51">
          <cell r="H51">
            <v>0</v>
          </cell>
        </row>
      </sheetData>
      <sheetData sheetId="790">
        <row r="51">
          <cell r="H51">
            <v>0</v>
          </cell>
        </row>
      </sheetData>
      <sheetData sheetId="791">
        <row r="51">
          <cell r="H51">
            <v>0</v>
          </cell>
        </row>
      </sheetData>
      <sheetData sheetId="792"/>
      <sheetData sheetId="793">
        <row r="51">
          <cell r="H51">
            <v>0</v>
          </cell>
        </row>
      </sheetData>
      <sheetData sheetId="794">
        <row r="51">
          <cell r="H51">
            <v>0</v>
          </cell>
        </row>
      </sheetData>
      <sheetData sheetId="795"/>
      <sheetData sheetId="796">
        <row r="51">
          <cell r="H51">
            <v>0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51">
          <cell r="H51">
            <v>0</v>
          </cell>
        </row>
      </sheetData>
      <sheetData sheetId="813">
        <row r="51">
          <cell r="H51">
            <v>0</v>
          </cell>
        </row>
      </sheetData>
      <sheetData sheetId="814"/>
      <sheetData sheetId="815">
        <row r="51">
          <cell r="H51">
            <v>0</v>
          </cell>
        </row>
      </sheetData>
      <sheetData sheetId="816">
        <row r="51">
          <cell r="H51">
            <v>0</v>
          </cell>
        </row>
      </sheetData>
      <sheetData sheetId="817">
        <row r="51">
          <cell r="H51">
            <v>0</v>
          </cell>
        </row>
      </sheetData>
      <sheetData sheetId="818">
        <row r="51">
          <cell r="H51">
            <v>0</v>
          </cell>
        </row>
      </sheetData>
      <sheetData sheetId="819">
        <row r="51">
          <cell r="H51">
            <v>0</v>
          </cell>
        </row>
      </sheetData>
      <sheetData sheetId="820">
        <row r="51">
          <cell r="H51">
            <v>0</v>
          </cell>
        </row>
      </sheetData>
      <sheetData sheetId="821">
        <row r="51">
          <cell r="H51">
            <v>0</v>
          </cell>
        </row>
      </sheetData>
      <sheetData sheetId="822">
        <row r="51">
          <cell r="H51">
            <v>0</v>
          </cell>
        </row>
      </sheetData>
      <sheetData sheetId="823">
        <row r="51">
          <cell r="H51">
            <v>0</v>
          </cell>
        </row>
      </sheetData>
      <sheetData sheetId="824">
        <row r="51">
          <cell r="H51">
            <v>0</v>
          </cell>
        </row>
      </sheetData>
      <sheetData sheetId="825"/>
      <sheetData sheetId="826">
        <row r="51">
          <cell r="H51">
            <v>0</v>
          </cell>
        </row>
      </sheetData>
      <sheetData sheetId="827">
        <row r="51">
          <cell r="H51">
            <v>0</v>
          </cell>
        </row>
      </sheetData>
      <sheetData sheetId="828"/>
      <sheetData sheetId="829">
        <row r="51">
          <cell r="H51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>
        <row r="51">
          <cell r="H51">
            <v>0</v>
          </cell>
        </row>
      </sheetData>
      <sheetData sheetId="846">
        <row r="51">
          <cell r="H51">
            <v>0</v>
          </cell>
        </row>
      </sheetData>
      <sheetData sheetId="847">
        <row r="51">
          <cell r="H51">
            <v>0</v>
          </cell>
        </row>
      </sheetData>
      <sheetData sheetId="848"/>
      <sheetData sheetId="849">
        <row r="51">
          <cell r="H51">
            <v>0</v>
          </cell>
        </row>
      </sheetData>
      <sheetData sheetId="850">
        <row r="51">
          <cell r="H51">
            <v>0</v>
          </cell>
        </row>
      </sheetData>
      <sheetData sheetId="851">
        <row r="51">
          <cell r="H51">
            <v>0</v>
          </cell>
        </row>
      </sheetData>
      <sheetData sheetId="852">
        <row r="51">
          <cell r="H51">
            <v>0</v>
          </cell>
        </row>
      </sheetData>
      <sheetData sheetId="853">
        <row r="51">
          <cell r="H51">
            <v>0</v>
          </cell>
        </row>
      </sheetData>
      <sheetData sheetId="854">
        <row r="51">
          <cell r="H51">
            <v>0</v>
          </cell>
        </row>
      </sheetData>
      <sheetData sheetId="855">
        <row r="51">
          <cell r="H51">
            <v>0</v>
          </cell>
        </row>
      </sheetData>
      <sheetData sheetId="856">
        <row r="51">
          <cell r="H51">
            <v>0</v>
          </cell>
        </row>
      </sheetData>
      <sheetData sheetId="857">
        <row r="51">
          <cell r="H51">
            <v>0</v>
          </cell>
        </row>
      </sheetData>
      <sheetData sheetId="858">
        <row r="51">
          <cell r="H51">
            <v>0</v>
          </cell>
        </row>
      </sheetData>
      <sheetData sheetId="859">
        <row r="51">
          <cell r="H51">
            <v>0</v>
          </cell>
        </row>
      </sheetData>
      <sheetData sheetId="860">
        <row r="51">
          <cell r="H51">
            <v>0</v>
          </cell>
        </row>
      </sheetData>
      <sheetData sheetId="861">
        <row r="51">
          <cell r="H51">
            <v>0</v>
          </cell>
        </row>
      </sheetData>
      <sheetData sheetId="862">
        <row r="51">
          <cell r="H51">
            <v>0</v>
          </cell>
        </row>
      </sheetData>
      <sheetData sheetId="863"/>
      <sheetData sheetId="864">
        <row r="143">
          <cell r="H143">
            <v>0</v>
          </cell>
        </row>
      </sheetData>
      <sheetData sheetId="865"/>
      <sheetData sheetId="866"/>
      <sheetData sheetId="867"/>
      <sheetData sheetId="868"/>
      <sheetData sheetId="869"/>
      <sheetData sheetId="870">
        <row r="51">
          <cell r="H51">
            <v>0</v>
          </cell>
        </row>
      </sheetData>
      <sheetData sheetId="871"/>
      <sheetData sheetId="872"/>
      <sheetData sheetId="873"/>
      <sheetData sheetId="874"/>
      <sheetData sheetId="875"/>
      <sheetData sheetId="876">
        <row r="51">
          <cell r="H51">
            <v>0</v>
          </cell>
        </row>
      </sheetData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 refreshError="1"/>
      <sheetData sheetId="893" refreshError="1"/>
      <sheetData sheetId="894"/>
      <sheetData sheetId="895"/>
      <sheetData sheetId="896"/>
      <sheetData sheetId="897"/>
      <sheetData sheetId="89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VAL ESTRUCTURAS "/>
      <sheetName val="REIT_REAJ_"/>
      <sheetName val="RESUM_VAL_"/>
      <sheetName val="VAL ARQUITECTURA"/>
      <sheetName val="VAL_RES."/>
      <sheetName val="D_MAT_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Cuenta x API"/>
      <sheetName val="Hoja2"/>
      <sheetName val="Hoja3"/>
      <sheetName val="Proy. Abonados 3.1c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heet1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S METR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Mensual - Acumulado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Parametros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  <sheetName val="Tablas"/>
      <sheetName val="Progress Report by Discipline"/>
      <sheetName val="MAQUINARIA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efinitions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Metrados"/>
      <sheetName val="Res. Metrados"/>
      <sheetName val="EyF"/>
      <sheetName val="JE"/>
      <sheetName val="MANTTO"/>
      <sheetName val="90%"/>
      <sheetName val="Total - 150 Dias"/>
      <sheetName val="1er Mes Setiembre (5dias)"/>
      <sheetName val="2do Mes Octubre (31 dias)"/>
      <sheetName val="1er Mes"/>
      <sheetName val="2do Mes"/>
      <sheetName val="puni"/>
      <sheetName val="IN_Services"/>
      <sheetName val="Call Load Data"/>
      <sheetName val="Signalling"/>
      <sheetName val="Results"/>
      <sheetName val="SUS_Services"/>
      <sheetName val="IIS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SICODI - SECTOR 5"/>
      <sheetName val="APU-RS-1"/>
      <sheetName val="APU-TRANSPORTE"/>
      <sheetName val="PU-RS-2"/>
      <sheetName val="BD-MONTAJE"/>
      <sheetName val="BD-SUMINISTRO"/>
      <sheetName val="OS"/>
      <sheetName val="Applications"/>
      <sheetName val="RESUMEN DE COTIZACION"/>
      <sheetName val="OBRA CIVIL"/>
      <sheetName val="ESTRUCTURA DE HORMIGON"/>
      <sheetName val="INSTALACION ELECTRICA"/>
      <sheetName val="Claves"/>
      <sheetName val="FORMA- RE1"/>
      <sheetName val="TUNEL"/>
      <sheetName val="T.I. COSTOS FIJOS Y VARIABLES"/>
      <sheetName val="设备分类清单"/>
      <sheetName val="B"/>
      <sheetName val="BASE DATOS"/>
      <sheetName val="A.P.U"/>
      <sheetName val="Insumos"/>
      <sheetName val="Costo HH"/>
      <sheetName val="GG"/>
      <sheetName val="Visita a obra"/>
      <sheetName val="VAL_ESTRUCTURAS_1"/>
      <sheetName val="VAL_ARQUITECTURA1"/>
      <sheetName val="VAL_RES_1"/>
      <sheetName val="LP_y_RP2"/>
      <sheetName val="Cuenta_x_API2"/>
      <sheetName val="Proy__Abonados_3_1c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RS_METRADO1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Mensual_-_Acumulado1"/>
      <sheetName val="0__DATOS_GENERALES"/>
      <sheetName val="APU-RP_ADICIONAL"/>
      <sheetName val="APU-RS-CD_ADICIONAL"/>
      <sheetName val="ESS_JV"/>
      <sheetName val="Administrative_Prices"/>
      <sheetName val="Equipment_List"/>
      <sheetName val="Bond_&amp;_Stamp"/>
      <sheetName val="1_0"/>
      <sheetName val="Progress_Report_by_Discipline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Res-Val_6"/>
      <sheetName val="Res__Metrados"/>
      <sheetName val="CONST. Peligrosos"/>
      <sheetName val="CONST. recicl"/>
      <sheetName val="CONST. comun"/>
      <sheetName val="INFORME NO REC "/>
      <sheetName val="LIQUIDACIÓN "/>
      <sheetName val="3. Evolución de Vtas"/>
      <sheetName val="Datos_Entrada"/>
      <sheetName val="RESUMEN_F"/>
      <sheetName val="GASTOS_GENERALES"/>
      <sheetName val="Metrado_Armados"/>
      <sheetName val="SICODI_-_SECTOR_5"/>
      <sheetName val="Total_-_150_Dias"/>
      <sheetName val="1er_Mes_Setiembre_(5dias)"/>
      <sheetName val="2do_Mes_Octubre_(31_dias)"/>
      <sheetName val="1er_Mes"/>
      <sheetName val="2do_Mes"/>
      <sheetName val="FORMA-_RE11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TABLAS_"/>
      <sheetName val="INDICES"/>
      <sheetName val="VAL_ESTRUCTURAS_2"/>
      <sheetName val="VAL_ARQUITECTURA2"/>
      <sheetName val="VAL_RES_2"/>
      <sheetName val="VAL_ESTRUCTURAS_5"/>
      <sheetName val="VAL_ARQUITECTURA5"/>
      <sheetName val="VAL_RES_5"/>
      <sheetName val="LP_y_RP5"/>
      <sheetName val="Proy__Abonados_3_1c5"/>
      <sheetName val="Cuenta_x_API5"/>
      <sheetName val="CALEND_C_3"/>
      <sheetName val="14_PIAS3"/>
      <sheetName val="13_TUCARI3"/>
      <sheetName val="4__VOTORANTIM_5013"/>
      <sheetName val="CAM_MT3"/>
      <sheetName val="DATOS_DE_CAMPO3"/>
      <sheetName val="VAL_ESTRUCTURAS_3"/>
      <sheetName val="VAL_ARQUITECTURA3"/>
      <sheetName val="VAL_RES_3"/>
      <sheetName val="LP_y_RP3"/>
      <sheetName val="Proy__Abonados_3_1c3"/>
      <sheetName val="Cuenta_x_API3"/>
      <sheetName val="VAL_ESTRUCTURAS_4"/>
      <sheetName val="VAL_ARQUITECTURA4"/>
      <sheetName val="VAL_RES_4"/>
      <sheetName val="LP_y_RP4"/>
      <sheetName val="Proy__Abonados_3_1c4"/>
      <sheetName val="Cuenta_x_API4"/>
      <sheetName val="VAL_ESTRUCTURAS_6"/>
      <sheetName val="VAL_ARQUITECTURA6"/>
      <sheetName val="VAL_RES_6"/>
      <sheetName val="LP_y_RP6"/>
      <sheetName val="Proy__Abonados_3_1c6"/>
      <sheetName val="Cuenta_x_API6"/>
      <sheetName val="CALEND_C_4"/>
      <sheetName val="14_PIAS4"/>
      <sheetName val="13_TUCARI4"/>
      <sheetName val="4__VOTORANTIM_5014"/>
      <sheetName val="CAM_MT4"/>
      <sheetName val="DATOS_DE_CAMPO4"/>
      <sheetName val="VAL_ESTRUCTURAS_7"/>
      <sheetName val="VAL_ARQUITECTURA7"/>
      <sheetName val="VAL_RES_7"/>
      <sheetName val="LP_y_RP7"/>
      <sheetName val="Proy__Abonados_3_1c7"/>
      <sheetName val="Cuenta_x_API7"/>
      <sheetName val="CALEND_C_5"/>
      <sheetName val="14_PIAS5"/>
      <sheetName val="13_TUCARI5"/>
      <sheetName val="4__VOTORANTIM_5015"/>
      <sheetName val="CAM_MT5"/>
      <sheetName val="DATOS_DE_CAMPO5"/>
      <sheetName val="Arq."/>
      <sheetName val="Master_act"/>
      <sheetName val="BD"/>
      <sheetName val="Cuadro de indices"/>
      <sheetName val="Cuadro HH"/>
      <sheetName val="Gráfica"/>
      <sheetName val="prem830"/>
      <sheetName val="Listavba"/>
      <sheetName val="DIC 99"/>
      <sheetName val="ENE-MAR 00"/>
      <sheetName val="VVVVa"/>
      <sheetName val="Anexo 1"/>
      <sheetName val="Anexo 2"/>
      <sheetName val="Anexo 3"/>
      <sheetName val="Anexo 3-A"/>
      <sheetName val="Anexo 4"/>
      <sheetName val="Anexo 4-A"/>
      <sheetName val="Anexo 5"/>
      <sheetName val="Anexo 6"/>
      <sheetName val="Anexo 7"/>
      <sheetName val="Anexo 8"/>
      <sheetName val="Anexo 9"/>
      <sheetName val="Anexo 9-A"/>
      <sheetName val="Anexo 10"/>
      <sheetName val="Anexo 10-A"/>
      <sheetName val="anexo16"/>
      <sheetName val="anexo 19"/>
      <sheetName val="anexo 20"/>
      <sheetName val="XXXXX"/>
      <sheetName val="Acumulado a Ago'00"/>
      <sheetName val="Resumen Ago'00"/>
      <sheetName val="803"/>
      <sheetName val="806mar-jun"/>
      <sheetName val="Gráfico1"/>
      <sheetName val="USD"/>
      <sheetName val="806JUL-ago"/>
      <sheetName val="CACH"/>
      <sheetName val="800"/>
      <sheetName val="802"/>
      <sheetName val="802MAYO"/>
      <sheetName val="!!!GO"/>
      <sheetName val="RESPON"/>
      <sheetName val="SERMED"/>
      <sheetName val="RCASAS"/>
      <sheetName val="PEXCES"/>
      <sheetName val="Vtas. Totales acumuladas"/>
      <sheetName val="5101"/>
      <sheetName val="5102"/>
      <sheetName val="5103"/>
      <sheetName val="5104"/>
      <sheetName val="5120"/>
      <sheetName val="5119"/>
      <sheetName val="5118"/>
      <sheetName val="5117"/>
      <sheetName val="5113-MARZO _01 "/>
      <sheetName val="E01PTOTAL99"/>
      <sheetName val="6201"/>
      <sheetName val="6203"/>
      <sheetName val="6112"/>
      <sheetName val="Chart27"/>
      <sheetName val="Chart26"/>
      <sheetName val="Chart25"/>
      <sheetName val="Chart24"/>
      <sheetName val="Chart23"/>
      <sheetName val="Chart22"/>
      <sheetName val="Chart21"/>
      <sheetName val="Chart20"/>
      <sheetName val="Chart19"/>
      <sheetName val="Chart18"/>
      <sheetName val="Chart17"/>
      <sheetName val="Chart16"/>
      <sheetName val="Chart15"/>
      <sheetName val="Chart14"/>
      <sheetName val="Chart13"/>
      <sheetName val="Chart12"/>
      <sheetName val="Chart11"/>
      <sheetName val="Chart10"/>
      <sheetName val="Chart9"/>
      <sheetName val="Chart8"/>
      <sheetName val="Chart7"/>
      <sheetName val="Chart6"/>
      <sheetName val="Chart5"/>
      <sheetName val="Chart4"/>
      <sheetName val="Chart3"/>
      <sheetName val="Chart2"/>
      <sheetName val="Chart1"/>
      <sheetName val="1208-2138 "/>
      <sheetName val="Edo. Result. 07"/>
      <sheetName val="Egreso &amp; Ingreso 50"/>
      <sheetName val="Egreso &amp; Ingreso  51"/>
      <sheetName val="Egreso &amp; Ingreso  52"/>
      <sheetName val="6_x0002__x0000__x0000_"/>
      <sheetName val="5113-MARZO p E_x0000_"/>
      <sheetName val="wagerate by craft"/>
      <sheetName val="Vehículo"/>
      <sheetName val="Gtos Gen"/>
      <sheetName val="Materiales"/>
      <sheetName val="Subcontratos"/>
      <sheetName val="Anexo_F_12"/>
      <sheetName val="Anexo_F_2_12"/>
      <sheetName val="Anexo_F_2_22"/>
      <sheetName val="Anexo_F_3_1_2"/>
      <sheetName val="Postes_de_concreto_3ø_85mm²_CG2"/>
      <sheetName val="Postes_de_concreto_3ø_35mm²_N2"/>
      <sheetName val="Anexo_F_3_22"/>
      <sheetName val="Resumen_de_cálculos2"/>
      <sheetName val="Base_de_Datos2"/>
      <sheetName val="18_cmc_352"/>
      <sheetName val="15_cmc_352"/>
      <sheetName val="15cmc_35_old2"/>
      <sheetName val="15_cmc_16_old2"/>
      <sheetName val="Postes_de_concreto_3ø_85mm²_ol2"/>
      <sheetName val="Cálculo_Mecánico_de_Conduct__22"/>
      <sheetName val="Base_de_Datos__2_2"/>
      <sheetName val="Resumen_de_cálculos__2_2"/>
      <sheetName val="4__Ingeniería3"/>
      <sheetName val="7_I_Faenas3"/>
      <sheetName val="8_Campamentos3"/>
      <sheetName val="IF_y_Camp3"/>
      <sheetName val="Faena_4283"/>
      <sheetName val="Faena_2453"/>
      <sheetName val="Cert__Solmex3"/>
      <sheetName val="IF_Vallenar3"/>
      <sheetName val="RS_METRADO2"/>
      <sheetName val="RESUMEN_(LP)2"/>
      <sheetName val="RESUMEN_(RP)2"/>
      <sheetName val="SUMINISTRO_(LP)2"/>
      <sheetName val="MONTAJE_(LP)2"/>
      <sheetName val="TRANSPORTE_(LP)2"/>
      <sheetName val="SUMINISTRO_(RP)2"/>
      <sheetName val="MONTAJE_(RP)2"/>
      <sheetName val="TRANSPORTE_(RP)2"/>
      <sheetName val="Mensual_-_Acumulado2"/>
      <sheetName val="ESS_JV1"/>
      <sheetName val="Administrative_Prices1"/>
      <sheetName val="Equipment_List1"/>
      <sheetName val="Bond_&amp;_Stamp1"/>
      <sheetName val="1_01"/>
      <sheetName val="0__DATOS_GENERALES1"/>
      <sheetName val="APU-RP_ADICIONAL1"/>
      <sheetName val="APU-RS-CD_ADICIONAL1"/>
      <sheetName val="Progress_Report_by_Discipline1"/>
      <sheetName val="Caja_201"/>
      <sheetName val="Caja_011"/>
      <sheetName val="Caja_021"/>
      <sheetName val="Caja_031"/>
      <sheetName val="Caja_041"/>
      <sheetName val="Caja_051"/>
      <sheetName val="Caja_061"/>
      <sheetName val="Caja_071"/>
      <sheetName val="Caja_081"/>
      <sheetName val="Caja_091"/>
      <sheetName val="Caja_101"/>
      <sheetName val="Caja_111"/>
      <sheetName val="Caja_121"/>
      <sheetName val="Caja_131"/>
      <sheetName val="Caja_141"/>
      <sheetName val="Caja_151"/>
      <sheetName val="Caja_161"/>
      <sheetName val="Caja_171"/>
      <sheetName val="Caja_181"/>
      <sheetName val="Caja_191"/>
      <sheetName val="Caja_20_1"/>
      <sheetName val="Caja_211"/>
      <sheetName val="Caja_221"/>
      <sheetName val="Caja_231"/>
      <sheetName val="Caja_241"/>
      <sheetName val="Caja_251"/>
      <sheetName val="Caja_261"/>
      <sheetName val="Caja_271"/>
      <sheetName val="Caja_281"/>
      <sheetName val="Caja_291"/>
      <sheetName val="Caja_301"/>
      <sheetName val="Caja_311"/>
      <sheetName val="Caja_321"/>
      <sheetName val="Caja_331"/>
      <sheetName val="Caja_341"/>
      <sheetName val="Caja_351"/>
      <sheetName val="Caja_361"/>
      <sheetName val="En_caja1"/>
      <sheetName val="Caja_21_(2)1"/>
      <sheetName val="Res-Val_61"/>
      <sheetName val="Res__Metrados1"/>
      <sheetName val="Total_-_150_Dias1"/>
      <sheetName val="1er_Mes_Setiembre_(5dias)1"/>
      <sheetName val="2do_Mes_Octubre_(31_dias)1"/>
      <sheetName val="1er_Mes1"/>
      <sheetName val="2do_Mes1"/>
      <sheetName val="RESUMEN_DE_COTIZACION"/>
      <sheetName val="OBRA_CIVIL"/>
      <sheetName val="ESTRUCTURA_DE_HORMIGON"/>
      <sheetName val="INSTALACION_ELECTRICA"/>
      <sheetName val="Call_Load_Data"/>
      <sheetName val="FICHA DE OBRA"/>
      <sheetName val="CALC MV-DatosMV"/>
      <sheetName val="CAL."/>
      <sheetName val="EQUIP"/>
      <sheetName val="Cash2"/>
      <sheetName val="Z"/>
      <sheetName val="#REF"/>
      <sheetName val="Equip Rental Summary by Contr"/>
      <sheetName val="Project Equip Rental Summary"/>
      <sheetName val="Contractor Indirect Sumry"/>
      <sheetName val="Project Indirect Sumry"/>
      <sheetName val="TDC COA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Dets"/>
      <sheetName val="TDC Item Sumry"/>
      <sheetName val="TDC Item Sumry by Area"/>
      <sheetName val="TDC Item Sumry by RG"/>
      <sheetName val="TDC Key Qty Sumry"/>
      <sheetName val="TDC Key Qty Sumry by RG"/>
      <sheetName val="List - Components"/>
      <sheetName val="List - Equipment by Area"/>
      <sheetName val="List - Equipment by Contr"/>
      <sheetName val="List - Equipment"/>
      <sheetName val="Equipment - Unit Costs by Mat"/>
      <sheetName val="List - Equipment by Rep Grp"/>
      <sheetName val="Craft Summary by Contr"/>
      <sheetName val="Project Craft Summary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ALL AREA-12LE0U"/>
      <sheetName val="Activity Form"/>
      <sheetName val="Segment"/>
      <sheetName val="Graph (LGEN)"/>
      <sheetName val="out_prog"/>
      <sheetName val="선적schedule (2)"/>
      <sheetName val="SE-ME_Huallanca"/>
      <sheetName val="rptC_ListCateCost"/>
      <sheetName val="Cashflow Analysis"/>
      <sheetName val="Pme"/>
      <sheetName val="Grado_Elect_Infl"/>
      <sheetName val="Ifg"/>
      <sheetName val="bd_ll"/>
      <sheetName val="VAL_ESTRUCTURAS_8"/>
      <sheetName val="VAL_ARQUITECTURA8"/>
      <sheetName val="VAL_RES_8"/>
      <sheetName val="LP_y_RP8"/>
      <sheetName val="Cuenta_x_API8"/>
      <sheetName val="Proy__Abonados_3_1c8"/>
      <sheetName val="CALEND_C_6"/>
      <sheetName val="14_PIAS6"/>
      <sheetName val="13_TUCARI6"/>
      <sheetName val="4__VOTORANTIM_5016"/>
      <sheetName val="CAM_MT6"/>
      <sheetName val="DATOS_DE_CAMPO6"/>
      <sheetName val="Datos_Entrada1"/>
      <sheetName val="RESUMEN_F1"/>
      <sheetName val="GASTOS_GENERALES1"/>
      <sheetName val="Metrado_Armados1"/>
      <sheetName val="SICODI_-_SECTOR_51"/>
      <sheetName val="FORMA-_RE12"/>
      <sheetName val="CONST__Peligrosos"/>
      <sheetName val="CONST__recicl"/>
      <sheetName val="CONST__comun"/>
      <sheetName val="INFORME_NO_REC_"/>
      <sheetName val="LIQUIDACIÓN_"/>
      <sheetName val="3__Evolución_de_Vtas"/>
      <sheetName val="T_I__COSTOS_FIJOS_Y_VARIABLES"/>
      <sheetName val="BASE_DATOS"/>
      <sheetName val="A_P_U"/>
      <sheetName val="Costo_HH"/>
      <sheetName val="Visita_a_obra"/>
      <sheetName val="OC-SE_Huallanca"/>
      <sheetName val="SE-ME_Tayabamba"/>
      <sheetName val="SE-OC_Tayabamba"/>
      <sheetName val="Resumen_General"/>
      <sheetName val="$_UN__COMERC_"/>
      <sheetName val="Montaje_Presentacion_$Col_"/>
      <sheetName val="Montaje_Presentacion_$Col_(3)"/>
      <sheetName val="LISTA_DE_DATOS"/>
      <sheetName val="Factor_Nodo"/>
      <sheetName val="Arq_"/>
      <sheetName val="Cuadro_de_indices"/>
      <sheetName val="Cuadro_HH"/>
      <sheetName val="DIC_99"/>
      <sheetName val="ENE-MAR_00"/>
      <sheetName val="Anexo_1"/>
      <sheetName val="Anexo_2"/>
      <sheetName val="Anexo_3"/>
      <sheetName val="Anexo_3-A"/>
      <sheetName val="Anexo_4"/>
      <sheetName val="Anexo_4-A"/>
      <sheetName val="Anexo_5"/>
      <sheetName val="Anexo_6"/>
      <sheetName val="Anexo_7"/>
      <sheetName val="Anexo_8"/>
      <sheetName val="Anexo_9"/>
      <sheetName val="Anexo_9-A"/>
      <sheetName val="Anexo_10"/>
      <sheetName val="Anexo_10-A"/>
      <sheetName val="anexo_19"/>
      <sheetName val="anexo_20"/>
      <sheetName val="Acumulado_a_Ago'00"/>
      <sheetName val="Resumen_Ago'00"/>
      <sheetName val="Anexo_F_13"/>
      <sheetName val="Anexo_F_2_13"/>
      <sheetName val="Anexo_F_2_23"/>
      <sheetName val="Anexo_F_3_1_3"/>
      <sheetName val="Postes_de_concreto_3ø_85mm²_CG3"/>
      <sheetName val="Postes_de_concreto_3ø_35mm²_N3"/>
      <sheetName val="Anexo_F_3_23"/>
      <sheetName val="Resumen_de_cálculos3"/>
      <sheetName val="Base_de_Datos3"/>
      <sheetName val="18_cmc_353"/>
      <sheetName val="15_cmc_353"/>
      <sheetName val="15cmc_35_old3"/>
      <sheetName val="15_cmc_16_old3"/>
      <sheetName val="Postes_de_concreto_3ø_85mm²_ol3"/>
      <sheetName val="Cálculo_Mecánico_de_Conduct__23"/>
      <sheetName val="Base_de_Datos__2_3"/>
      <sheetName val="Resumen_de_cálculos__2_3"/>
      <sheetName val="RS_METRADO3"/>
      <sheetName val="ESS_JV2"/>
      <sheetName val="Administrative_Prices2"/>
      <sheetName val="Equipment_List2"/>
      <sheetName val="Bond_&amp;_Stamp2"/>
      <sheetName val="1_02"/>
      <sheetName val="4__Ingeniería4"/>
      <sheetName val="7_I_Faenas4"/>
      <sheetName val="8_Campamentos4"/>
      <sheetName val="IF_y_Camp4"/>
      <sheetName val="Faena_4284"/>
      <sheetName val="Faena_2454"/>
      <sheetName val="Cert__Solmex4"/>
      <sheetName val="IF_Vallenar4"/>
      <sheetName val="Mensual_-_Acumulado3"/>
      <sheetName val="RESUMEN_(LP)3"/>
      <sheetName val="RESUMEN_(RP)3"/>
      <sheetName val="SUMINISTRO_(LP)3"/>
      <sheetName val="MONTAJE_(LP)3"/>
      <sheetName val="TRANSPORTE_(LP)3"/>
      <sheetName val="SUMINISTRO_(RP)3"/>
      <sheetName val="MONTAJE_(RP)3"/>
      <sheetName val="TRANSPORTE_(RP)3"/>
      <sheetName val="Progress_Report_by_Discipline2"/>
      <sheetName val="Call_Load_Data2"/>
      <sheetName val="0__DATOS_GENERALES2"/>
      <sheetName val="APU-RP_ADICIONAL2"/>
      <sheetName val="APU-RS-CD_ADICIONAL2"/>
      <sheetName val="Caja_202"/>
      <sheetName val="Caja_012"/>
      <sheetName val="Caja_022"/>
      <sheetName val="Caja_032"/>
      <sheetName val="Caja_042"/>
      <sheetName val="Caja_052"/>
      <sheetName val="Caja_062"/>
      <sheetName val="Caja_072"/>
      <sheetName val="Caja_082"/>
      <sheetName val="Caja_092"/>
      <sheetName val="Caja_102"/>
      <sheetName val="Caja_112"/>
      <sheetName val="Caja_122"/>
      <sheetName val="Caja_132"/>
      <sheetName val="Caja_142"/>
      <sheetName val="Caja_152"/>
      <sheetName val="Caja_162"/>
      <sheetName val="Caja_172"/>
      <sheetName val="Caja_182"/>
      <sheetName val="Caja_192"/>
      <sheetName val="Caja_20_2"/>
      <sheetName val="Caja_212"/>
      <sheetName val="Caja_222"/>
      <sheetName val="Caja_232"/>
      <sheetName val="Caja_242"/>
      <sheetName val="Caja_252"/>
      <sheetName val="Caja_262"/>
      <sheetName val="Caja_272"/>
      <sheetName val="Caja_282"/>
      <sheetName val="Caja_292"/>
      <sheetName val="Caja_302"/>
      <sheetName val="Caja_312"/>
      <sheetName val="Caja_322"/>
      <sheetName val="Caja_332"/>
      <sheetName val="Caja_342"/>
      <sheetName val="Caja_352"/>
      <sheetName val="Caja_362"/>
      <sheetName val="En_caja2"/>
      <sheetName val="Caja_21_(2)2"/>
      <sheetName val="Res-Val_62"/>
      <sheetName val="Res__Metrados2"/>
      <sheetName val="Total_-_150_Dias2"/>
      <sheetName val="1er_Mes_Setiembre_(5dias)2"/>
      <sheetName val="2do_Mes_Octubre_(31_dias)2"/>
      <sheetName val="1er_Mes2"/>
      <sheetName val="2do_Mes2"/>
      <sheetName val="Call_Load_Data1"/>
      <sheetName val="CALEND_C_7"/>
      <sheetName val="14_PIAS7"/>
      <sheetName val="13_TUCARI7"/>
      <sheetName val="4__VOTORANTIM_5017"/>
      <sheetName val="DATOS_DE_CAMPO7"/>
      <sheetName val="CAM_MT7"/>
      <sheetName val="Anexo_F_16"/>
      <sheetName val="Anexo_F_2_16"/>
      <sheetName val="Anexo_F_2_26"/>
      <sheetName val="Anexo_F_3_1_6"/>
      <sheetName val="Postes_de_concreto_3ø_85mm²_CG6"/>
      <sheetName val="Postes_de_concreto_3ø_35mm²_N6"/>
      <sheetName val="Anexo_F_3_26"/>
      <sheetName val="Resumen_de_cálculos6"/>
      <sheetName val="Base_de_Datos6"/>
      <sheetName val="18_cmc_356"/>
      <sheetName val="15_cmc_356"/>
      <sheetName val="15cmc_35_old6"/>
      <sheetName val="15_cmc_16_old6"/>
      <sheetName val="Postes_de_concreto_3ø_85mm²_ol6"/>
      <sheetName val="Cálculo_Mecánico_de_Conduct__26"/>
      <sheetName val="Base_de_Datos__2_6"/>
      <sheetName val="Resumen_de_cálculos__2_6"/>
      <sheetName val="RS_METRADO6"/>
      <sheetName val="ESS_JV5"/>
      <sheetName val="Administrative_Prices5"/>
      <sheetName val="Equipment_List5"/>
      <sheetName val="Bond_&amp;_Stamp5"/>
      <sheetName val="1_05"/>
      <sheetName val="4__Ingeniería7"/>
      <sheetName val="7_I_Faenas7"/>
      <sheetName val="8_Campamentos7"/>
      <sheetName val="IF_y_Camp7"/>
      <sheetName val="Faena_4287"/>
      <sheetName val="Faena_2457"/>
      <sheetName val="Cert__Solmex7"/>
      <sheetName val="IF_Vallenar7"/>
      <sheetName val="Mensual_-_Acumulado6"/>
      <sheetName val="RESUMEN_(LP)6"/>
      <sheetName val="RESUMEN_(RP)6"/>
      <sheetName val="SUMINISTRO_(LP)6"/>
      <sheetName val="MONTAJE_(LP)6"/>
      <sheetName val="TRANSPORTE_(LP)6"/>
      <sheetName val="SUMINISTRO_(RP)6"/>
      <sheetName val="MONTAJE_(RP)6"/>
      <sheetName val="TRANSPORTE_(RP)6"/>
      <sheetName val="Progress_Report_by_Discipline5"/>
      <sheetName val="Call_Load_Data5"/>
      <sheetName val="0__DATOS_GENERALES5"/>
      <sheetName val="APU-RP_ADICIONAL5"/>
      <sheetName val="APU-RS-CD_ADICIONAL5"/>
      <sheetName val="Caja_205"/>
      <sheetName val="Caja_015"/>
      <sheetName val="Caja_025"/>
      <sheetName val="Caja_035"/>
      <sheetName val="Caja_045"/>
      <sheetName val="Caja_055"/>
      <sheetName val="Caja_065"/>
      <sheetName val="Caja_075"/>
      <sheetName val="Caja_085"/>
      <sheetName val="Caja_095"/>
      <sheetName val="Caja_105"/>
      <sheetName val="Caja_115"/>
      <sheetName val="Caja_125"/>
      <sheetName val="Caja_135"/>
      <sheetName val="Caja_145"/>
      <sheetName val="Caja_155"/>
      <sheetName val="Caja_165"/>
      <sheetName val="Caja_175"/>
      <sheetName val="Caja_185"/>
      <sheetName val="Caja_195"/>
      <sheetName val="Caja_20_5"/>
      <sheetName val="Caja_215"/>
      <sheetName val="Caja_225"/>
      <sheetName val="Caja_235"/>
      <sheetName val="Caja_245"/>
      <sheetName val="Caja_255"/>
      <sheetName val="Caja_265"/>
      <sheetName val="Caja_275"/>
      <sheetName val="Caja_285"/>
      <sheetName val="Caja_295"/>
      <sheetName val="Caja_305"/>
      <sheetName val="Caja_315"/>
      <sheetName val="Caja_325"/>
      <sheetName val="Caja_335"/>
      <sheetName val="Caja_345"/>
      <sheetName val="Caja_355"/>
      <sheetName val="Caja_365"/>
      <sheetName val="En_caja5"/>
      <sheetName val="Caja_21_(2)5"/>
      <sheetName val="Res-Val_65"/>
      <sheetName val="Res__Metrados5"/>
      <sheetName val="Total_-_150_Dias5"/>
      <sheetName val="1er_Mes_Setiembre_(5dias)5"/>
      <sheetName val="2do_Mes_Octubre_(31_dias)5"/>
      <sheetName val="1er_Mes5"/>
      <sheetName val="2do_Mes5"/>
      <sheetName val="Anexo_F_14"/>
      <sheetName val="Anexo_F_2_14"/>
      <sheetName val="Anexo_F_2_24"/>
      <sheetName val="Anexo_F_3_1_4"/>
      <sheetName val="Postes_de_concreto_3ø_85mm²_CG4"/>
      <sheetName val="Postes_de_concreto_3ø_35mm²_N4"/>
      <sheetName val="Anexo_F_3_24"/>
      <sheetName val="Resumen_de_cálculos4"/>
      <sheetName val="Base_de_Datos4"/>
      <sheetName val="18_cmc_354"/>
      <sheetName val="15_cmc_354"/>
      <sheetName val="15cmc_35_old4"/>
      <sheetName val="15_cmc_16_old4"/>
      <sheetName val="Postes_de_concreto_3ø_85mm²_ol4"/>
      <sheetName val="Cálculo_Mecánico_de_Conduct__24"/>
      <sheetName val="Base_de_Datos__2_4"/>
      <sheetName val="Resumen_de_cálculos__2_4"/>
      <sheetName val="RS_METRADO4"/>
      <sheetName val="ESS_JV3"/>
      <sheetName val="Administrative_Prices3"/>
      <sheetName val="Equipment_List3"/>
      <sheetName val="Bond_&amp;_Stamp3"/>
      <sheetName val="1_03"/>
      <sheetName val="4__Ingeniería5"/>
      <sheetName val="7_I_Faenas5"/>
      <sheetName val="8_Campamentos5"/>
      <sheetName val="IF_y_Camp5"/>
      <sheetName val="Faena_4285"/>
      <sheetName val="Faena_2455"/>
      <sheetName val="Cert__Solmex5"/>
      <sheetName val="IF_Vallenar5"/>
      <sheetName val="Mensual_-_Acumulado4"/>
      <sheetName val="RESUMEN_(LP)4"/>
      <sheetName val="RESUMEN_(RP)4"/>
      <sheetName val="SUMINISTRO_(LP)4"/>
      <sheetName val="MONTAJE_(LP)4"/>
      <sheetName val="TRANSPORTE_(LP)4"/>
      <sheetName val="SUMINISTRO_(RP)4"/>
      <sheetName val="MONTAJE_(RP)4"/>
      <sheetName val="TRANSPORTE_(RP)4"/>
      <sheetName val="Progress_Report_by_Discipline3"/>
      <sheetName val="Call_Load_Data3"/>
      <sheetName val="0__DATOS_GENERALES3"/>
      <sheetName val="APU-RP_ADICIONAL3"/>
      <sheetName val="APU-RS-CD_ADICIONAL3"/>
      <sheetName val="Caja_203"/>
      <sheetName val="Caja_013"/>
      <sheetName val="Caja_023"/>
      <sheetName val="Caja_033"/>
      <sheetName val="Caja_043"/>
      <sheetName val="Caja_053"/>
      <sheetName val="Caja_063"/>
      <sheetName val="Caja_073"/>
      <sheetName val="Caja_083"/>
      <sheetName val="Caja_093"/>
      <sheetName val="Caja_103"/>
      <sheetName val="Caja_113"/>
      <sheetName val="Caja_123"/>
      <sheetName val="Caja_133"/>
      <sheetName val="Caja_143"/>
      <sheetName val="Caja_153"/>
      <sheetName val="Caja_163"/>
      <sheetName val="Caja_173"/>
      <sheetName val="Caja_183"/>
      <sheetName val="Caja_193"/>
      <sheetName val="Caja_20_3"/>
      <sheetName val="Caja_213"/>
      <sheetName val="Caja_223"/>
      <sheetName val="Caja_233"/>
      <sheetName val="Caja_243"/>
      <sheetName val="Caja_253"/>
      <sheetName val="Caja_263"/>
      <sheetName val="Caja_273"/>
      <sheetName val="Caja_283"/>
      <sheetName val="Caja_293"/>
      <sheetName val="Caja_303"/>
      <sheetName val="Caja_313"/>
      <sheetName val="Caja_323"/>
      <sheetName val="Caja_333"/>
      <sheetName val="Caja_343"/>
      <sheetName val="Caja_353"/>
      <sheetName val="Caja_363"/>
      <sheetName val="En_caja3"/>
      <sheetName val="Caja_21_(2)3"/>
      <sheetName val="Res-Val_63"/>
      <sheetName val="Res__Metrados3"/>
      <sheetName val="Total_-_150_Dias3"/>
      <sheetName val="1er_Mes_Setiembre_(5dias)3"/>
      <sheetName val="2do_Mes_Octubre_(31_dias)3"/>
      <sheetName val="1er_Mes3"/>
      <sheetName val="2do_Mes3"/>
      <sheetName val="Anexo_F_15"/>
      <sheetName val="Anexo_F_2_15"/>
      <sheetName val="Anexo_F_2_25"/>
      <sheetName val="Anexo_F_3_1_5"/>
      <sheetName val="Postes_de_concreto_3ø_85mm²_CG5"/>
      <sheetName val="Postes_de_concreto_3ø_35mm²_N5"/>
      <sheetName val="Anexo_F_3_25"/>
      <sheetName val="Resumen_de_cálculos5"/>
      <sheetName val="Base_de_Datos5"/>
      <sheetName val="18_cmc_355"/>
      <sheetName val="15_cmc_355"/>
      <sheetName val="15cmc_35_old5"/>
      <sheetName val="15_cmc_16_old5"/>
      <sheetName val="Postes_de_concreto_3ø_85mm²_ol5"/>
      <sheetName val="Cálculo_Mecánico_de_Conduct__25"/>
      <sheetName val="Base_de_Datos__2_5"/>
      <sheetName val="Resumen_de_cálculos__2_5"/>
      <sheetName val="RS_METRADO5"/>
      <sheetName val="ESS_JV4"/>
      <sheetName val="Administrative_Prices4"/>
      <sheetName val="Equipment_List4"/>
      <sheetName val="Bond_&amp;_Stamp4"/>
      <sheetName val="1_04"/>
      <sheetName val="4__Ingeniería6"/>
      <sheetName val="7_I_Faenas6"/>
      <sheetName val="8_Campamentos6"/>
      <sheetName val="IF_y_Camp6"/>
      <sheetName val="Faena_4286"/>
      <sheetName val="Faena_2456"/>
      <sheetName val="Cert__Solmex6"/>
      <sheetName val="IF_Vallenar6"/>
      <sheetName val="Mensual_-_Acumulado5"/>
      <sheetName val="RESUMEN_(LP)5"/>
      <sheetName val="RESUMEN_(RP)5"/>
      <sheetName val="SUMINISTRO_(LP)5"/>
      <sheetName val="MONTAJE_(LP)5"/>
      <sheetName val="TRANSPORTE_(LP)5"/>
      <sheetName val="SUMINISTRO_(RP)5"/>
      <sheetName val="MONTAJE_(RP)5"/>
      <sheetName val="TRANSPORTE_(RP)5"/>
      <sheetName val="Progress_Report_by_Discipline4"/>
      <sheetName val="Call_Load_Data4"/>
      <sheetName val="0__DATOS_GENERALES4"/>
      <sheetName val="APU-RP_ADICIONAL4"/>
      <sheetName val="APU-RS-CD_ADICIONAL4"/>
      <sheetName val="Caja_204"/>
      <sheetName val="Caja_014"/>
      <sheetName val="Caja_024"/>
      <sheetName val="Caja_034"/>
      <sheetName val="Caja_044"/>
      <sheetName val="Caja_054"/>
      <sheetName val="Caja_064"/>
      <sheetName val="Caja_074"/>
      <sheetName val="Caja_084"/>
      <sheetName val="Caja_094"/>
      <sheetName val="Caja_104"/>
      <sheetName val="Caja_114"/>
      <sheetName val="Caja_124"/>
      <sheetName val="Caja_134"/>
      <sheetName val="Caja_144"/>
      <sheetName val="Caja_154"/>
      <sheetName val="Caja_164"/>
      <sheetName val="Caja_174"/>
      <sheetName val="Caja_184"/>
      <sheetName val="Caja_194"/>
      <sheetName val="Caja_20_4"/>
      <sheetName val="Caja_214"/>
      <sheetName val="Caja_224"/>
      <sheetName val="Caja_234"/>
      <sheetName val="Caja_244"/>
      <sheetName val="Caja_254"/>
      <sheetName val="Caja_264"/>
      <sheetName val="Caja_274"/>
      <sheetName val="Caja_284"/>
      <sheetName val="Caja_294"/>
      <sheetName val="Caja_304"/>
      <sheetName val="Caja_314"/>
      <sheetName val="Caja_324"/>
      <sheetName val="Caja_334"/>
      <sheetName val="Caja_344"/>
      <sheetName val="Caja_354"/>
      <sheetName val="Caja_364"/>
      <sheetName val="En_caja4"/>
      <sheetName val="Caja_21_(2)4"/>
      <sheetName val="Res-Val_64"/>
      <sheetName val="Res__Metrados4"/>
      <sheetName val="Total_-_150_Dias4"/>
      <sheetName val="1er_Mes_Setiembre_(5dias)4"/>
      <sheetName val="2do_Mes_Octubre_(31_dias)4"/>
      <sheetName val="1er_Mes4"/>
      <sheetName val="2do_Mes4"/>
      <sheetName val="CALEND_C_8"/>
      <sheetName val="14_PIAS8"/>
      <sheetName val="13_TUCARI8"/>
      <sheetName val="4__VOTORANTIM_5018"/>
      <sheetName val="DATOS_DE_CAMPO8"/>
      <sheetName val="CAM_MT8"/>
      <sheetName val="Anexo_F_17"/>
      <sheetName val="Anexo_F_2_17"/>
      <sheetName val="Anexo_F_2_27"/>
      <sheetName val="Anexo_F_3_1_7"/>
      <sheetName val="Postes_de_concreto_3ø_85mm²_CG7"/>
      <sheetName val="Postes_de_concreto_3ø_35mm²_N7"/>
      <sheetName val="Anexo_F_3_27"/>
      <sheetName val="Resumen_de_cálculos7"/>
      <sheetName val="Base_de_Datos7"/>
      <sheetName val="18_cmc_357"/>
      <sheetName val="15_cmc_357"/>
      <sheetName val="15cmc_35_old7"/>
      <sheetName val="15_cmc_16_old7"/>
      <sheetName val="Postes_de_concreto_3ø_85mm²_ol7"/>
      <sheetName val="Cálculo_Mecánico_de_Conduct__27"/>
      <sheetName val="Base_de_Datos__2_7"/>
      <sheetName val="Resumen_de_cálculos__2_7"/>
      <sheetName val="RS_METRADO7"/>
      <sheetName val="ESS_JV6"/>
      <sheetName val="Administrative_Prices6"/>
      <sheetName val="Equipment_List6"/>
      <sheetName val="Bond_&amp;_Stamp6"/>
      <sheetName val="1_06"/>
      <sheetName val="4__Ingeniería8"/>
      <sheetName val="7_I_Faenas8"/>
      <sheetName val="8_Campamentos8"/>
      <sheetName val="IF_y_Camp8"/>
      <sheetName val="Faena_4288"/>
      <sheetName val="Faena_2458"/>
      <sheetName val="Cert__Solmex8"/>
      <sheetName val="IF_Vallenar8"/>
      <sheetName val="Mensual_-_Acumulado7"/>
      <sheetName val="RESUMEN_(LP)7"/>
      <sheetName val="RESUMEN_(RP)7"/>
      <sheetName val="SUMINISTRO_(LP)7"/>
      <sheetName val="MONTAJE_(LP)7"/>
      <sheetName val="TRANSPORTE_(LP)7"/>
      <sheetName val="SUMINISTRO_(RP)7"/>
      <sheetName val="MONTAJE_(RP)7"/>
      <sheetName val="TRANSPORTE_(RP)7"/>
      <sheetName val="Progress_Report_by_Discipline6"/>
      <sheetName val="Call_Load_Data6"/>
      <sheetName val="0__DATOS_GENERALES6"/>
      <sheetName val="APU-RP_ADICIONAL6"/>
      <sheetName val="APU-RS-CD_ADICIONAL6"/>
      <sheetName val="Caja_206"/>
      <sheetName val="Caja_016"/>
      <sheetName val="Caja_026"/>
      <sheetName val="Caja_036"/>
      <sheetName val="Caja_046"/>
      <sheetName val="Caja_056"/>
      <sheetName val="Caja_066"/>
      <sheetName val="Caja_076"/>
      <sheetName val="Caja_086"/>
      <sheetName val="Caja_096"/>
      <sheetName val="Caja_106"/>
      <sheetName val="Caja_116"/>
      <sheetName val="Caja_126"/>
      <sheetName val="Caja_136"/>
      <sheetName val="Caja_146"/>
      <sheetName val="Caja_156"/>
      <sheetName val="Caja_166"/>
      <sheetName val="Caja_176"/>
      <sheetName val="Caja_186"/>
      <sheetName val="Caja_196"/>
      <sheetName val="Caja_20_6"/>
      <sheetName val="Caja_216"/>
      <sheetName val="Caja_226"/>
      <sheetName val="Caja_236"/>
      <sheetName val="Caja_246"/>
      <sheetName val="Caja_256"/>
      <sheetName val="Caja_266"/>
      <sheetName val="Caja_276"/>
      <sheetName val="Caja_286"/>
      <sheetName val="Caja_296"/>
      <sheetName val="Caja_306"/>
      <sheetName val="Caja_316"/>
      <sheetName val="Caja_326"/>
      <sheetName val="Caja_336"/>
      <sheetName val="Caja_346"/>
      <sheetName val="Caja_356"/>
      <sheetName val="Caja_366"/>
      <sheetName val="En_caja6"/>
      <sheetName val="Caja_21_(2)6"/>
      <sheetName val="Res-Val_66"/>
      <sheetName val="Res__Metrados6"/>
      <sheetName val="Total_-_150_Dias6"/>
      <sheetName val="1er_Mes_Setiembre_(5dias)6"/>
      <sheetName val="2do_Mes_Octubre_(31_dias)6"/>
      <sheetName val="1er_Mes6"/>
      <sheetName val="2do_Mes6"/>
      <sheetName val="LP_y_RP9"/>
      <sheetName val="Proy__Abonados_3_1c9"/>
      <sheetName val="Cuenta_x_API9"/>
      <sheetName val="CALEND_C_9"/>
      <sheetName val="14_PIAS9"/>
      <sheetName val="13_TUCARI9"/>
      <sheetName val="4__VOTORANTIM_5019"/>
      <sheetName val="DATOS_DE_CAMPO9"/>
      <sheetName val="CAM_MT9"/>
      <sheetName val="Anexo_F_18"/>
      <sheetName val="Anexo_F_2_18"/>
      <sheetName val="Anexo_F_2_28"/>
      <sheetName val="Anexo_F_3_1_8"/>
      <sheetName val="Postes_de_concreto_3ø_85mm²_CG8"/>
      <sheetName val="Postes_de_concreto_3ø_35mm²_N8"/>
      <sheetName val="Anexo_F_3_28"/>
      <sheetName val="Resumen_de_cálculos8"/>
      <sheetName val="Base_de_Datos8"/>
      <sheetName val="18_cmc_358"/>
      <sheetName val="15_cmc_358"/>
      <sheetName val="15cmc_35_old8"/>
      <sheetName val="15_cmc_16_old8"/>
      <sheetName val="Postes_de_concreto_3ø_85mm²_ol8"/>
      <sheetName val="Cálculo_Mecánico_de_Conduct__28"/>
      <sheetName val="Base_de_Datos__2_8"/>
      <sheetName val="Resumen_de_cálculos__2_8"/>
      <sheetName val="RS_METRADO8"/>
      <sheetName val="ESS_JV7"/>
      <sheetName val="Administrative_Prices7"/>
      <sheetName val="Equipment_List7"/>
      <sheetName val="Bond_&amp;_Stamp7"/>
      <sheetName val="1_07"/>
      <sheetName val="4__Ingeniería9"/>
      <sheetName val="7_I_Faenas9"/>
      <sheetName val="8_Campamentos9"/>
      <sheetName val="IF_y_Camp9"/>
      <sheetName val="Faena_4289"/>
      <sheetName val="Faena_2459"/>
      <sheetName val="Cert__Solmex9"/>
      <sheetName val="IF_Vallenar9"/>
      <sheetName val="Mensual_-_Acumulado8"/>
      <sheetName val="RESUMEN_(LP)8"/>
      <sheetName val="RESUMEN_(RP)8"/>
      <sheetName val="SUMINISTRO_(LP)8"/>
      <sheetName val="MONTAJE_(LP)8"/>
      <sheetName val="TRANSPORTE_(LP)8"/>
      <sheetName val="SUMINISTRO_(RP)8"/>
      <sheetName val="MONTAJE_(RP)8"/>
      <sheetName val="TRANSPORTE_(RP)8"/>
      <sheetName val="Progress_Report_by_Discipline7"/>
      <sheetName val="Call_Load_Data7"/>
      <sheetName val="0__DATOS_GENERALES7"/>
      <sheetName val="APU-RP_ADICIONAL7"/>
      <sheetName val="APU-RS-CD_ADICIONAL7"/>
      <sheetName val="Caja_207"/>
      <sheetName val="Caja_017"/>
      <sheetName val="Caja_027"/>
      <sheetName val="Caja_037"/>
      <sheetName val="Caja_047"/>
      <sheetName val="Caja_057"/>
      <sheetName val="Caja_067"/>
      <sheetName val="Caja_077"/>
      <sheetName val="Caja_087"/>
      <sheetName val="Caja_097"/>
      <sheetName val="Caja_107"/>
      <sheetName val="Caja_117"/>
      <sheetName val="Caja_127"/>
      <sheetName val="Caja_137"/>
      <sheetName val="Caja_147"/>
      <sheetName val="Caja_157"/>
      <sheetName val="Caja_167"/>
      <sheetName val="Caja_177"/>
      <sheetName val="Caja_187"/>
      <sheetName val="Caja_197"/>
      <sheetName val="Caja_20_7"/>
      <sheetName val="Caja_217"/>
      <sheetName val="Caja_227"/>
      <sheetName val="Caja_237"/>
      <sheetName val="Caja_247"/>
      <sheetName val="Caja_257"/>
      <sheetName val="Caja_267"/>
      <sheetName val="Caja_277"/>
      <sheetName val="Caja_287"/>
      <sheetName val="Caja_297"/>
      <sheetName val="Caja_307"/>
      <sheetName val="Caja_317"/>
      <sheetName val="Caja_327"/>
      <sheetName val="Caja_337"/>
      <sheetName val="Caja_347"/>
      <sheetName val="Caja_357"/>
      <sheetName val="Caja_367"/>
      <sheetName val="En_caja7"/>
      <sheetName val="Caja_21_(2)7"/>
      <sheetName val="Res-Val_67"/>
      <sheetName val="Res__Metrados7"/>
      <sheetName val="Total_-_150_Dias7"/>
      <sheetName val="1er_Mes_Setiembre_(5dias)7"/>
      <sheetName val="2do_Mes_Octubre_(31_dias)7"/>
      <sheetName val="1er_Mes7"/>
      <sheetName val="2do_Mes7"/>
      <sheetName val="LP_y_RP10"/>
      <sheetName val="Proy__Abonados_3_1c10"/>
      <sheetName val="Cuenta_x_API10"/>
      <sheetName val="CALEND_C_10"/>
      <sheetName val="14_PIAS10"/>
      <sheetName val="13_TUCARI10"/>
      <sheetName val="4__VOTORANTIM_50110"/>
      <sheetName val="DATOS_DE_CAMPO10"/>
      <sheetName val="CAM_MT10"/>
      <sheetName val="Anexo_F_19"/>
      <sheetName val="Anexo_F_2_19"/>
      <sheetName val="Anexo_F_2_29"/>
      <sheetName val="Anexo_F_3_1_9"/>
      <sheetName val="Postes_de_concreto_3ø_85mm²_CG9"/>
      <sheetName val="Postes_de_concreto_3ø_35mm²_N9"/>
      <sheetName val="Anexo_F_3_29"/>
      <sheetName val="Resumen_de_cálculos9"/>
      <sheetName val="Base_de_Datos9"/>
      <sheetName val="18_cmc_359"/>
      <sheetName val="15_cmc_359"/>
      <sheetName val="15cmc_35_old9"/>
      <sheetName val="15_cmc_16_old9"/>
      <sheetName val="Postes_de_concreto_3ø_85mm²_ol9"/>
      <sheetName val="Cálculo_Mecánico_de_Conduct__29"/>
      <sheetName val="Base_de_Datos__2_9"/>
      <sheetName val="Resumen_de_cálculos__2_9"/>
      <sheetName val="RS_METRADO9"/>
      <sheetName val="ESS_JV8"/>
      <sheetName val="Administrative_Prices8"/>
      <sheetName val="Equipment_List8"/>
      <sheetName val="Bond_&amp;_Stamp8"/>
      <sheetName val="1_08"/>
      <sheetName val="4__Ingeniería10"/>
      <sheetName val="7_I_Faenas10"/>
      <sheetName val="8_Campamentos10"/>
      <sheetName val="IF_y_Camp10"/>
      <sheetName val="Faena_42810"/>
      <sheetName val="Faena_24510"/>
      <sheetName val="Cert__Solmex10"/>
      <sheetName val="IF_Vallenar10"/>
      <sheetName val="VAL_ESTRUCTURAS_9"/>
      <sheetName val="VAL_ARQUITECTURA9"/>
      <sheetName val="VAL_RES_9"/>
      <sheetName val="Mensual_-_Acumulado9"/>
      <sheetName val="RESUMEN_(LP)9"/>
      <sheetName val="RESUMEN_(RP)9"/>
      <sheetName val="SUMINISTRO_(LP)9"/>
      <sheetName val="MONTAJE_(LP)9"/>
      <sheetName val="TRANSPORTE_(LP)9"/>
      <sheetName val="SUMINISTRO_(RP)9"/>
      <sheetName val="MONTAJE_(RP)9"/>
      <sheetName val="TRANSPORTE_(RP)9"/>
      <sheetName val="Progress_Report_by_Discipline8"/>
      <sheetName val="Call_Load_Data8"/>
      <sheetName val="0__DATOS_GENERALES8"/>
      <sheetName val="APU-RP_ADICIONAL8"/>
      <sheetName val="APU-RS-CD_ADICIONAL8"/>
      <sheetName val="Caja_208"/>
      <sheetName val="Caja_018"/>
      <sheetName val="Caja_028"/>
      <sheetName val="Caja_038"/>
      <sheetName val="Caja_048"/>
      <sheetName val="Caja_058"/>
      <sheetName val="Caja_068"/>
      <sheetName val="Caja_078"/>
      <sheetName val="Caja_088"/>
      <sheetName val="Caja_098"/>
      <sheetName val="Caja_108"/>
      <sheetName val="Caja_118"/>
      <sheetName val="Caja_128"/>
      <sheetName val="Caja_138"/>
      <sheetName val="Caja_148"/>
      <sheetName val="Caja_158"/>
      <sheetName val="Caja_168"/>
      <sheetName val="Caja_178"/>
      <sheetName val="Caja_188"/>
      <sheetName val="Caja_198"/>
      <sheetName val="Caja_20_8"/>
      <sheetName val="Caja_218"/>
      <sheetName val="Caja_228"/>
      <sheetName val="Caja_238"/>
      <sheetName val="Caja_248"/>
      <sheetName val="Caja_258"/>
      <sheetName val="Caja_268"/>
      <sheetName val="Caja_278"/>
      <sheetName val="Caja_288"/>
      <sheetName val="Caja_298"/>
      <sheetName val="Caja_308"/>
      <sheetName val="Caja_318"/>
      <sheetName val="Caja_328"/>
      <sheetName val="Caja_338"/>
      <sheetName val="Caja_348"/>
      <sheetName val="Caja_358"/>
      <sheetName val="Caja_368"/>
      <sheetName val="En_caja8"/>
      <sheetName val="Caja_21_(2)8"/>
      <sheetName val="Res-Val_68"/>
      <sheetName val="Res__Metrados8"/>
      <sheetName val="Total_-_150_Dias8"/>
      <sheetName val="1er_Mes_Setiembre_(5dias)8"/>
      <sheetName val="2do_Mes_Octubre_(31_dias)8"/>
      <sheetName val="1er_Mes8"/>
      <sheetName val="2do_Mes8"/>
      <sheetName val="LP_y_RP11"/>
      <sheetName val="Proy__Abonados_3_1c11"/>
      <sheetName val="Cuenta_x_API11"/>
      <sheetName val="CALEND_C_11"/>
      <sheetName val="14_PIAS11"/>
      <sheetName val="13_TUCARI11"/>
      <sheetName val="4__VOTORANTIM_50111"/>
      <sheetName val="DATOS_DE_CAMPO11"/>
      <sheetName val="CAM_MT11"/>
      <sheetName val="Anexo_F_110"/>
      <sheetName val="Anexo_F_2_110"/>
      <sheetName val="Anexo_F_2_210"/>
      <sheetName val="Anexo_F_3_1_10"/>
      <sheetName val="Postes_de_concreto_3ø_85mm²_C10"/>
      <sheetName val="Postes_de_concreto_3ø_35mm²_N10"/>
      <sheetName val="Anexo_F_3_210"/>
      <sheetName val="Resumen_de_cálculos10"/>
      <sheetName val="Base_de_Datos10"/>
      <sheetName val="18_cmc_3510"/>
      <sheetName val="15_cmc_3510"/>
      <sheetName val="15cmc_35_old10"/>
      <sheetName val="15_cmc_16_old10"/>
      <sheetName val="Postes_de_concreto_3ø_85mm²_o10"/>
      <sheetName val="Cálculo_Mecánico_de_Conduct__10"/>
      <sheetName val="Base_de_Datos__2_10"/>
      <sheetName val="Resumen_de_cálculos__2_10"/>
      <sheetName val="RS_METRADO10"/>
      <sheetName val="ESS_JV9"/>
      <sheetName val="Administrative_Prices9"/>
      <sheetName val="Equipment_List9"/>
      <sheetName val="Bond_&amp;_Stamp9"/>
      <sheetName val="1_09"/>
      <sheetName val="4__Ingeniería11"/>
      <sheetName val="7_I_Faenas11"/>
      <sheetName val="8_Campamentos11"/>
      <sheetName val="IF_y_Camp11"/>
      <sheetName val="Faena_42811"/>
      <sheetName val="Faena_24511"/>
      <sheetName val="Cert__Solmex11"/>
      <sheetName val="IF_Vallenar11"/>
      <sheetName val="VAL_ESTRUCTURAS_10"/>
      <sheetName val="VAL_ARQUITECTURA10"/>
      <sheetName val="VAL_RES_10"/>
      <sheetName val="Mensual_-_Acumulado10"/>
      <sheetName val="RESUMEN_(LP)10"/>
      <sheetName val="RESUMEN_(RP)10"/>
      <sheetName val="SUMINISTRO_(LP)10"/>
      <sheetName val="MONTAJE_(LP)10"/>
      <sheetName val="TRANSPORTE_(LP)10"/>
      <sheetName val="SUMINISTRO_(RP)10"/>
      <sheetName val="MONTAJE_(RP)10"/>
      <sheetName val="TRANSPORTE_(RP)10"/>
      <sheetName val="Progress_Report_by_Discipline9"/>
      <sheetName val="Call_Load_Data9"/>
      <sheetName val="0__DATOS_GENERALES9"/>
      <sheetName val="APU-RP_ADICIONAL9"/>
      <sheetName val="APU-RS-CD_ADICIONAL9"/>
      <sheetName val="Caja_209"/>
      <sheetName val="Caja_019"/>
      <sheetName val="Caja_029"/>
      <sheetName val="Caja_039"/>
      <sheetName val="Caja_049"/>
      <sheetName val="Caja_059"/>
      <sheetName val="Caja_069"/>
      <sheetName val="Caja_079"/>
      <sheetName val="Caja_089"/>
      <sheetName val="Caja_099"/>
      <sheetName val="Caja_109"/>
      <sheetName val="Caja_119"/>
      <sheetName val="Caja_129"/>
      <sheetName val="Caja_139"/>
      <sheetName val="Caja_149"/>
      <sheetName val="Caja_159"/>
      <sheetName val="Caja_169"/>
      <sheetName val="Caja_179"/>
      <sheetName val="Caja_189"/>
      <sheetName val="Caja_199"/>
      <sheetName val="Caja_20_9"/>
      <sheetName val="Caja_219"/>
      <sheetName val="Caja_229"/>
      <sheetName val="Caja_239"/>
      <sheetName val="Caja_249"/>
      <sheetName val="Caja_259"/>
      <sheetName val="Caja_269"/>
      <sheetName val="Caja_279"/>
      <sheetName val="Caja_289"/>
      <sheetName val="Caja_299"/>
      <sheetName val="Caja_309"/>
      <sheetName val="Caja_319"/>
      <sheetName val="Caja_329"/>
      <sheetName val="Caja_339"/>
      <sheetName val="Caja_349"/>
      <sheetName val="Caja_359"/>
      <sheetName val="Caja_369"/>
      <sheetName val="En_caja9"/>
      <sheetName val="Caja_21_(2)9"/>
      <sheetName val="Res-Val_69"/>
      <sheetName val="Res__Metrados9"/>
      <sheetName val="Total_-_150_Dias9"/>
      <sheetName val="1er_Mes_Setiembre_(5dias)9"/>
      <sheetName val="2do_Mes_Octubre_(31_dias)9"/>
      <sheetName val="1er_Mes9"/>
      <sheetName val="2do_Mes9"/>
      <sheetName val="2° FACTIBILIDAD MULTIF (2)"/>
      <sheetName val="CARATULA"/>
      <sheetName val="FICHA"/>
      <sheetName val="1. VALORIZACION"/>
      <sheetName val="2. AMORTIZ. DE ADEL. DIRECT"/>
      <sheetName val="3. RESUMEN ACUMULADO"/>
      <sheetName val="4. PAGO A CANCELAR"/>
      <sheetName val="GRAFICO 01"/>
      <sheetName val="GRAFICO 02"/>
      <sheetName val="FORMULA POLINOMICA (2)"/>
      <sheetName val="REAJUSTE"/>
      <sheetName val="REAJUSTE QUE NO CORRESPONDE"/>
      <sheetName val="VAL.N°04"/>
      <sheetName val="BT_DATOS"/>
      <sheetName val="Sumin-OE"/>
      <sheetName val="Sumin_Autom"/>
      <sheetName val="Monta-OE"/>
      <sheetName val="Monta-Autom"/>
      <sheetName val="Hoja10"/>
      <sheetName val="Sol.Val"/>
      <sheetName val="Res.Val"/>
      <sheetName val="OBRAS PROV. Y PRELIM."/>
      <sheetName val="EST ESCALERAS"/>
      <sheetName val="PC-19053 RP PURUCHUCO"/>
      <sheetName val="f-05"/>
      <sheetName val="LISTA_DE_DATOS1"/>
      <sheetName val="SE-ME_Huallanca1"/>
      <sheetName val="OC-SE_Huallanca1"/>
      <sheetName val="SE-ME_Tayabamba1"/>
      <sheetName val="SE-OC_Tayabamba1"/>
      <sheetName val="Resumen_General1"/>
      <sheetName val="$_UN__COMERC_1"/>
      <sheetName val="Montaje_Presentacion_$Col_1"/>
      <sheetName val="Montaje_Presentacion_$Col_(3)1"/>
      <sheetName val="Factor_Nodo1"/>
      <sheetName val="LISTA_DE_DATOS2"/>
      <sheetName val="SE-ME_Huallanca2"/>
      <sheetName val="OC-SE_Huallanca2"/>
      <sheetName val="SE-ME_Tayabamba2"/>
      <sheetName val="SE-OC_Tayabamba2"/>
      <sheetName val="Resumen_General2"/>
      <sheetName val="$_UN__COMERC_2"/>
      <sheetName val="Montaje_Presentacion_$Col_2"/>
      <sheetName val="Montaje_Presentacion_$Col_(3)2"/>
      <sheetName val="Factor_Nodo2"/>
      <sheetName val="Datos_Entrada2"/>
      <sheetName val="RESUMEN_F2"/>
      <sheetName val="GASTOS_GENERALES2"/>
      <sheetName val="Metrado_Armados2"/>
      <sheetName val="SICODI_-_SECTOR_52"/>
      <sheetName val="vlSource"/>
      <sheetName val="B2-UNIT 207"/>
      <sheetName val="BQ INSUL"/>
      <sheetName val="BQ PIPE"/>
      <sheetName val="005"/>
      <sheetName val="budget summary"/>
      <sheetName val="Z'+PFD-Auswertung"/>
      <sheetName val="INSTR"/>
      <sheetName val="갑지"/>
      <sheetName val="POWER"/>
      <sheetName val="MANP"/>
      <sheetName val="costing_ESDV"/>
      <sheetName val="costing_MOV"/>
      <sheetName val="Feuil3"/>
      <sheetName val="MTL$-INTER"/>
      <sheetName val="BD Avance"/>
      <sheetName val="BD SOLES"/>
      <sheetName val="POSESIÓN 2002"/>
      <sheetName val="PCA's &amp; SI's"/>
      <sheetName val="MFT TOC"/>
    </sheetNames>
    <sheetDataSet>
      <sheetData sheetId="0" refreshError="1">
        <row r="9">
          <cell r="D9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2">
          <cell r="D12" t="str">
            <v>UND</v>
          </cell>
        </row>
      </sheetData>
      <sheetData sheetId="9">
        <row r="12">
          <cell r="D12" t="str">
            <v>UND</v>
          </cell>
        </row>
      </sheetData>
      <sheetData sheetId="10">
        <row r="9">
          <cell r="D9">
            <v>0</v>
          </cell>
        </row>
      </sheetData>
      <sheetData sheetId="11">
        <row r="12">
          <cell r="D12" t="str">
            <v>UND</v>
          </cell>
        </row>
      </sheetData>
      <sheetData sheetId="12">
        <row r="12">
          <cell r="D12" t="str">
            <v>UND</v>
          </cell>
        </row>
      </sheetData>
      <sheetData sheetId="13">
        <row r="12">
          <cell r="D12" t="str">
            <v>UND</v>
          </cell>
        </row>
      </sheetData>
      <sheetData sheetId="14">
        <row r="12">
          <cell r="D12" t="str">
            <v>UND</v>
          </cell>
        </row>
      </sheetData>
      <sheetData sheetId="15">
        <row r="12">
          <cell r="D12" t="str">
            <v>UND</v>
          </cell>
        </row>
      </sheetData>
      <sheetData sheetId="16">
        <row r="12">
          <cell r="D12" t="str">
            <v>UND</v>
          </cell>
        </row>
      </sheetData>
      <sheetData sheetId="17">
        <row r="12">
          <cell r="D12" t="str">
            <v>UND</v>
          </cell>
        </row>
      </sheetData>
      <sheetData sheetId="18">
        <row r="12">
          <cell r="D12" t="str">
            <v>UND</v>
          </cell>
        </row>
      </sheetData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>
        <row r="9">
          <cell r="D9" t="str">
            <v>TORRES</v>
          </cell>
        </row>
      </sheetData>
      <sheetData sheetId="43"/>
      <sheetData sheetId="44">
        <row r="9">
          <cell r="D9" t="str">
            <v>TORRES</v>
          </cell>
        </row>
      </sheetData>
      <sheetData sheetId="45">
        <row r="9">
          <cell r="D9" t="str">
            <v>TORRES</v>
          </cell>
        </row>
      </sheetData>
      <sheetData sheetId="46">
        <row r="9">
          <cell r="D9" t="str">
            <v>TORRES</v>
          </cell>
        </row>
      </sheetData>
      <sheetData sheetId="47">
        <row r="9">
          <cell r="D9" t="str">
            <v>TORRES</v>
          </cell>
        </row>
      </sheetData>
      <sheetData sheetId="48">
        <row r="9">
          <cell r="D9" t="str">
            <v>TORRES</v>
          </cell>
        </row>
      </sheetData>
      <sheetData sheetId="49">
        <row r="9">
          <cell r="D9" t="str">
            <v>TORRES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>
        <row r="9">
          <cell r="D9" t="str">
            <v>TORRES</v>
          </cell>
        </row>
      </sheetData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 refreshError="1"/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>
        <row r="9">
          <cell r="D9" t="str">
            <v>TORRES</v>
          </cell>
        </row>
      </sheetData>
      <sheetData sheetId="76">
        <row r="9">
          <cell r="D9" t="str">
            <v>TORRES</v>
          </cell>
        </row>
      </sheetData>
      <sheetData sheetId="77">
        <row r="9">
          <cell r="D9" t="str">
            <v>TORRES</v>
          </cell>
        </row>
      </sheetData>
      <sheetData sheetId="78">
        <row r="9">
          <cell r="D9" t="str">
            <v>TORRES</v>
          </cell>
        </row>
      </sheetData>
      <sheetData sheetId="79">
        <row r="9">
          <cell r="D9" t="str">
            <v>TORRES</v>
          </cell>
        </row>
      </sheetData>
      <sheetData sheetId="80" refreshError="1"/>
      <sheetData sheetId="81">
        <row r="9">
          <cell r="D9" t="str">
            <v>TORRES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9">
          <cell r="D9" t="str">
            <v>TORRES</v>
          </cell>
        </row>
      </sheetData>
      <sheetData sheetId="109"/>
      <sheetData sheetId="110">
        <row r="9">
          <cell r="D9" t="str">
            <v>TORRES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12">
          <cell r="D12" t="str">
            <v>UND</v>
          </cell>
        </row>
      </sheetData>
      <sheetData sheetId="198">
        <row r="9">
          <cell r="D9" t="str">
            <v>TORRES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>
        <row r="9">
          <cell r="D9" t="str">
            <v>TORRES</v>
          </cell>
        </row>
      </sheetData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9">
          <cell r="D9" t="str">
            <v>Und</v>
          </cell>
        </row>
      </sheetData>
      <sheetData sheetId="221">
        <row r="9">
          <cell r="D9" t="str">
            <v>TORRES</v>
          </cell>
        </row>
      </sheetData>
      <sheetData sheetId="222">
        <row r="9">
          <cell r="D9" t="str">
            <v>TORRES</v>
          </cell>
        </row>
      </sheetData>
      <sheetData sheetId="223">
        <row r="9">
          <cell r="D9" t="str">
            <v>TORRES</v>
          </cell>
        </row>
      </sheetData>
      <sheetData sheetId="224">
        <row r="9">
          <cell r="D9" t="str">
            <v>TORRES</v>
          </cell>
        </row>
      </sheetData>
      <sheetData sheetId="225">
        <row r="9">
          <cell r="D9" t="str">
            <v>TORRES</v>
          </cell>
        </row>
      </sheetData>
      <sheetData sheetId="226">
        <row r="9">
          <cell r="D9" t="str">
            <v>TORRES</v>
          </cell>
        </row>
      </sheetData>
      <sheetData sheetId="227">
        <row r="9">
          <cell r="D9" t="str">
            <v>TORRES</v>
          </cell>
        </row>
      </sheetData>
      <sheetData sheetId="228">
        <row r="9">
          <cell r="D9" t="str">
            <v>TORRES</v>
          </cell>
        </row>
      </sheetData>
      <sheetData sheetId="229">
        <row r="9">
          <cell r="D9" t="str">
            <v>TORRES</v>
          </cell>
        </row>
      </sheetData>
      <sheetData sheetId="230">
        <row r="9">
          <cell r="D9" t="str">
            <v>TORRES</v>
          </cell>
        </row>
      </sheetData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>
        <row r="9">
          <cell r="D9" t="str">
            <v>TORRES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>
        <row r="9">
          <cell r="D9" t="str">
            <v>TORRES</v>
          </cell>
        </row>
      </sheetData>
      <sheetData sheetId="266">
        <row r="9">
          <cell r="D9" t="str">
            <v>TORRES</v>
          </cell>
        </row>
      </sheetData>
      <sheetData sheetId="267">
        <row r="9">
          <cell r="D9" t="str">
            <v>TORRES</v>
          </cell>
        </row>
      </sheetData>
      <sheetData sheetId="268">
        <row r="9">
          <cell r="D9" t="str">
            <v>TORRES</v>
          </cell>
        </row>
      </sheetData>
      <sheetData sheetId="269">
        <row r="9">
          <cell r="D9" t="str">
            <v>TORRES</v>
          </cell>
        </row>
      </sheetData>
      <sheetData sheetId="270">
        <row r="9">
          <cell r="D9" t="str">
            <v>TORRES</v>
          </cell>
        </row>
      </sheetData>
      <sheetData sheetId="271">
        <row r="9">
          <cell r="D9" t="str">
            <v>TORRES</v>
          </cell>
        </row>
      </sheetData>
      <sheetData sheetId="272">
        <row r="9">
          <cell r="D9" t="str">
            <v>TORRES</v>
          </cell>
        </row>
      </sheetData>
      <sheetData sheetId="273">
        <row r="9">
          <cell r="D9" t="str">
            <v>TORRES</v>
          </cell>
        </row>
      </sheetData>
      <sheetData sheetId="274">
        <row r="9">
          <cell r="D9" t="str">
            <v>TORRES</v>
          </cell>
        </row>
      </sheetData>
      <sheetData sheetId="275">
        <row r="9">
          <cell r="D9" t="str">
            <v>TORRES</v>
          </cell>
        </row>
      </sheetData>
      <sheetData sheetId="276">
        <row r="9">
          <cell r="D9" t="str">
            <v>TORRES</v>
          </cell>
        </row>
      </sheetData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>
        <row r="9">
          <cell r="D9" t="str">
            <v>TORRES</v>
          </cell>
        </row>
      </sheetData>
      <sheetData sheetId="281">
        <row r="9">
          <cell r="D9" t="str">
            <v>TORRES</v>
          </cell>
        </row>
      </sheetData>
      <sheetData sheetId="282">
        <row r="9">
          <cell r="D9" t="str">
            <v>TORRES</v>
          </cell>
        </row>
      </sheetData>
      <sheetData sheetId="283">
        <row r="9">
          <cell r="D9" t="str">
            <v>TORRES</v>
          </cell>
        </row>
      </sheetData>
      <sheetData sheetId="284">
        <row r="9">
          <cell r="D9" t="str">
            <v>TORRES</v>
          </cell>
        </row>
      </sheetData>
      <sheetData sheetId="285">
        <row r="9">
          <cell r="D9" t="str">
            <v>TORRES</v>
          </cell>
        </row>
      </sheetData>
      <sheetData sheetId="286">
        <row r="9">
          <cell r="D9" t="str">
            <v>TORRES</v>
          </cell>
        </row>
      </sheetData>
      <sheetData sheetId="287">
        <row r="9">
          <cell r="D9" t="str">
            <v>TORRES</v>
          </cell>
        </row>
      </sheetData>
      <sheetData sheetId="288">
        <row r="9">
          <cell r="D9" t="str">
            <v>TORRES</v>
          </cell>
        </row>
      </sheetData>
      <sheetData sheetId="289">
        <row r="9">
          <cell r="D9" t="str">
            <v>TORRES</v>
          </cell>
        </row>
      </sheetData>
      <sheetData sheetId="290">
        <row r="9">
          <cell r="D9" t="str">
            <v>TORRES</v>
          </cell>
        </row>
      </sheetData>
      <sheetData sheetId="291">
        <row r="9">
          <cell r="D9" t="str">
            <v>TORRES</v>
          </cell>
        </row>
      </sheetData>
      <sheetData sheetId="292">
        <row r="9">
          <cell r="D9" t="str">
            <v>TORRES</v>
          </cell>
        </row>
      </sheetData>
      <sheetData sheetId="293">
        <row r="9">
          <cell r="D9" t="str">
            <v>TORRES</v>
          </cell>
        </row>
      </sheetData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>
        <row r="9">
          <cell r="D9" t="str">
            <v>TORRES</v>
          </cell>
        </row>
      </sheetData>
      <sheetData sheetId="297">
        <row r="9">
          <cell r="D9" t="str">
            <v>TORRES</v>
          </cell>
        </row>
      </sheetData>
      <sheetData sheetId="298">
        <row r="9">
          <cell r="D9" t="str">
            <v>TORRES</v>
          </cell>
        </row>
      </sheetData>
      <sheetData sheetId="299">
        <row r="9">
          <cell r="D9" t="str">
            <v>TORRES</v>
          </cell>
        </row>
      </sheetData>
      <sheetData sheetId="300">
        <row r="9">
          <cell r="D9" t="str">
            <v>TORRES</v>
          </cell>
        </row>
      </sheetData>
      <sheetData sheetId="301">
        <row r="9">
          <cell r="D9" t="str">
            <v>TORRES</v>
          </cell>
        </row>
      </sheetData>
      <sheetData sheetId="302">
        <row r="9">
          <cell r="D9" t="str">
            <v>TORRES</v>
          </cell>
        </row>
      </sheetData>
      <sheetData sheetId="303">
        <row r="9">
          <cell r="D9" t="str">
            <v>TORRES</v>
          </cell>
        </row>
      </sheetData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 refreshError="1"/>
      <sheetData sheetId="307" refreshError="1"/>
      <sheetData sheetId="308" refreshError="1"/>
      <sheetData sheetId="309">
        <row r="9">
          <cell r="D9" t="str">
            <v>Und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 refreshError="1"/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>
        <row r="9">
          <cell r="D9" t="str">
            <v>Und</v>
          </cell>
        </row>
      </sheetData>
      <sheetData sheetId="316"/>
      <sheetData sheetId="317">
        <row r="9">
          <cell r="D9" t="str">
            <v>Und</v>
          </cell>
        </row>
      </sheetData>
      <sheetData sheetId="318"/>
      <sheetData sheetId="319"/>
      <sheetData sheetId="320"/>
      <sheetData sheetId="321"/>
      <sheetData sheetId="322">
        <row r="9">
          <cell r="D9" t="str">
            <v>Und</v>
          </cell>
        </row>
      </sheetData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>
        <row r="9">
          <cell r="D9" t="str">
            <v>TORRES</v>
          </cell>
        </row>
      </sheetData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>
        <row r="9">
          <cell r="D9" t="str">
            <v>TORRES</v>
          </cell>
        </row>
      </sheetData>
      <sheetData sheetId="453">
        <row r="9">
          <cell r="D9" t="str">
            <v>TORRES</v>
          </cell>
        </row>
      </sheetData>
      <sheetData sheetId="454">
        <row r="9">
          <cell r="D9" t="str">
            <v>TORRES</v>
          </cell>
        </row>
      </sheetData>
      <sheetData sheetId="455">
        <row r="9">
          <cell r="D9" t="str">
            <v>TORRES</v>
          </cell>
        </row>
      </sheetData>
      <sheetData sheetId="456">
        <row r="9">
          <cell r="D9" t="str">
            <v>TORRES</v>
          </cell>
        </row>
      </sheetData>
      <sheetData sheetId="457">
        <row r="9">
          <cell r="D9" t="str">
            <v>TORRES</v>
          </cell>
        </row>
      </sheetData>
      <sheetData sheetId="458">
        <row r="9">
          <cell r="D9" t="str">
            <v>TORRES</v>
          </cell>
        </row>
      </sheetData>
      <sheetData sheetId="459">
        <row r="9">
          <cell r="D9" t="str">
            <v>TORRES</v>
          </cell>
        </row>
      </sheetData>
      <sheetData sheetId="460">
        <row r="9">
          <cell r="D9" t="str">
            <v>TORRES</v>
          </cell>
        </row>
      </sheetData>
      <sheetData sheetId="461"/>
      <sheetData sheetId="462"/>
      <sheetData sheetId="463"/>
      <sheetData sheetId="464"/>
      <sheetData sheetId="465"/>
      <sheetData sheetId="466" refreshError="1"/>
      <sheetData sheetId="467">
        <row r="9">
          <cell r="D9" t="str">
            <v>TORRES</v>
          </cell>
        </row>
      </sheetData>
      <sheetData sheetId="468">
        <row r="9">
          <cell r="D9" t="str">
            <v>TORRES</v>
          </cell>
        </row>
      </sheetData>
      <sheetData sheetId="469">
        <row r="9">
          <cell r="D9" t="str">
            <v>TORRES</v>
          </cell>
        </row>
      </sheetData>
      <sheetData sheetId="470">
        <row r="9">
          <cell r="D9" t="str">
            <v>TORRES</v>
          </cell>
        </row>
      </sheetData>
      <sheetData sheetId="471">
        <row r="9">
          <cell r="D9" t="str">
            <v>TORRES</v>
          </cell>
        </row>
      </sheetData>
      <sheetData sheetId="472">
        <row r="9">
          <cell r="D9" t="str">
            <v>TORRES</v>
          </cell>
        </row>
      </sheetData>
      <sheetData sheetId="473">
        <row r="9">
          <cell r="D9" t="str">
            <v>TORRES</v>
          </cell>
        </row>
      </sheetData>
      <sheetData sheetId="474">
        <row r="9">
          <cell r="D9" t="str">
            <v>TORRES</v>
          </cell>
        </row>
      </sheetData>
      <sheetData sheetId="475">
        <row r="9">
          <cell r="D9" t="str">
            <v>TORRES</v>
          </cell>
        </row>
      </sheetData>
      <sheetData sheetId="476">
        <row r="9">
          <cell r="D9" t="str">
            <v>TORRES</v>
          </cell>
        </row>
      </sheetData>
      <sheetData sheetId="477"/>
      <sheetData sheetId="478"/>
      <sheetData sheetId="479"/>
      <sheetData sheetId="480"/>
      <sheetData sheetId="481">
        <row r="12">
          <cell r="D12" t="str">
            <v>UND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>
        <row r="12">
          <cell r="D12" t="str">
            <v>UND</v>
          </cell>
        </row>
      </sheetData>
      <sheetData sheetId="486">
        <row r="12">
          <cell r="D12" t="str">
            <v>UND</v>
          </cell>
        </row>
      </sheetData>
      <sheetData sheetId="487">
        <row r="12">
          <cell r="D12" t="str">
            <v>UND</v>
          </cell>
        </row>
      </sheetData>
      <sheetData sheetId="488">
        <row r="12">
          <cell r="D12" t="str">
            <v>UND</v>
          </cell>
        </row>
      </sheetData>
      <sheetData sheetId="489">
        <row r="12">
          <cell r="D12" t="str">
            <v>UND</v>
          </cell>
        </row>
      </sheetData>
      <sheetData sheetId="490">
        <row r="12">
          <cell r="D12" t="str">
            <v>UND</v>
          </cell>
        </row>
      </sheetData>
      <sheetData sheetId="491">
        <row r="12">
          <cell r="D12" t="str">
            <v>UND</v>
          </cell>
        </row>
      </sheetData>
      <sheetData sheetId="492">
        <row r="12">
          <cell r="D12" t="str">
            <v>UND</v>
          </cell>
        </row>
      </sheetData>
      <sheetData sheetId="493">
        <row r="12">
          <cell r="D12" t="str">
            <v>UND</v>
          </cell>
        </row>
      </sheetData>
      <sheetData sheetId="494">
        <row r="12">
          <cell r="D12" t="str">
            <v>UND</v>
          </cell>
        </row>
      </sheetData>
      <sheetData sheetId="495"/>
      <sheetData sheetId="496">
        <row r="9">
          <cell r="D9" t="str">
            <v>PIURA</v>
          </cell>
        </row>
      </sheetData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/>
      <sheetData sheetId="507"/>
      <sheetData sheetId="508">
        <row r="12">
          <cell r="D12" t="str">
            <v>UND</v>
          </cell>
        </row>
      </sheetData>
      <sheetData sheetId="509">
        <row r="70">
          <cell r="D70">
            <v>0</v>
          </cell>
        </row>
      </sheetData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>
        <row r="12">
          <cell r="D12" t="str">
            <v>UND</v>
          </cell>
        </row>
      </sheetData>
      <sheetData sheetId="546">
        <row r="12">
          <cell r="D12" t="str">
            <v>UND</v>
          </cell>
        </row>
      </sheetData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>
        <row r="70">
          <cell r="D70">
            <v>0</v>
          </cell>
        </row>
      </sheetData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>
        <row r="9">
          <cell r="D9" t="str">
            <v>TORRES</v>
          </cell>
        </row>
      </sheetData>
      <sheetData sheetId="659"/>
      <sheetData sheetId="660">
        <row r="9">
          <cell r="D9" t="str">
            <v>TORRES</v>
          </cell>
        </row>
      </sheetData>
      <sheetData sheetId="661"/>
      <sheetData sheetId="662">
        <row r="9">
          <cell r="D9" t="str">
            <v>TORRES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>
        <row r="9">
          <cell r="D9" t="str">
            <v>TORRES</v>
          </cell>
        </row>
      </sheetData>
      <sheetData sheetId="675">
        <row r="9">
          <cell r="D9" t="str">
            <v>TORRES</v>
          </cell>
        </row>
      </sheetData>
      <sheetData sheetId="676">
        <row r="9">
          <cell r="D9" t="str">
            <v>TORRES</v>
          </cell>
        </row>
      </sheetData>
      <sheetData sheetId="677">
        <row r="9">
          <cell r="D9" t="str">
            <v>TORRES</v>
          </cell>
        </row>
      </sheetData>
      <sheetData sheetId="678">
        <row r="9">
          <cell r="D9" t="str">
            <v>TORRES</v>
          </cell>
        </row>
      </sheetData>
      <sheetData sheetId="679">
        <row r="9">
          <cell r="D9" t="str">
            <v>TORRES</v>
          </cell>
        </row>
      </sheetData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>
        <row r="12">
          <cell r="D12" t="str">
            <v>UND</v>
          </cell>
        </row>
      </sheetData>
      <sheetData sheetId="693">
        <row r="12">
          <cell r="D12" t="str">
            <v>UND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>
        <row r="12">
          <cell r="D12" t="str">
            <v>UND</v>
          </cell>
        </row>
      </sheetData>
      <sheetData sheetId="887">
        <row r="12">
          <cell r="D12" t="str">
            <v>UND</v>
          </cell>
        </row>
      </sheetData>
      <sheetData sheetId="888"/>
      <sheetData sheetId="889"/>
      <sheetData sheetId="890"/>
      <sheetData sheetId="891">
        <row r="9">
          <cell r="D9" t="str">
            <v>TORRES</v>
          </cell>
        </row>
      </sheetData>
      <sheetData sheetId="892">
        <row r="9">
          <cell r="D9" t="str">
            <v>TORRES</v>
          </cell>
        </row>
      </sheetData>
      <sheetData sheetId="893">
        <row r="9">
          <cell r="D9" t="str">
            <v>TORRES</v>
          </cell>
        </row>
      </sheetData>
      <sheetData sheetId="894">
        <row r="9">
          <cell r="D9" t="str">
            <v>TORRES</v>
          </cell>
        </row>
      </sheetData>
      <sheetData sheetId="895">
        <row r="9">
          <cell r="D9" t="str">
            <v>TORRES</v>
          </cell>
        </row>
      </sheetData>
      <sheetData sheetId="896">
        <row r="9">
          <cell r="D9" t="str">
            <v>TORRES</v>
          </cell>
        </row>
      </sheetData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 refreshError="1"/>
      <sheetData sheetId="1655" refreshError="1"/>
      <sheetData sheetId="1656"/>
      <sheetData sheetId="1657"/>
      <sheetData sheetId="1658"/>
      <sheetData sheetId="1659"/>
      <sheetData sheetId="1660"/>
      <sheetData sheetId="1661">
        <row r="21">
          <cell r="D21">
            <v>0</v>
          </cell>
        </row>
      </sheetData>
      <sheetData sheetId="1662"/>
      <sheetData sheetId="1663"/>
      <sheetData sheetId="1664"/>
      <sheetData sheetId="1665"/>
      <sheetData sheetId="1666" refreshError="1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sa Aligerada 1 Sent (JVH)"/>
      <sheetName val="Losa Aligerada 2 Sent (JVH)"/>
      <sheetName val="Losa Maciza (JVH)"/>
      <sheetName val="Vigas y Cortes (JVH)"/>
      <sheetName val="Resumen Partidas (JVH)"/>
      <sheetName val="Escaleras (LV)"/>
      <sheetName val="Losa Piso (LV)"/>
    </sheetNames>
    <sheetDataSet>
      <sheetData sheetId="0">
        <row r="5">
          <cell r="AM5">
            <v>6</v>
          </cell>
        </row>
        <row r="6">
          <cell r="AM6">
            <v>8</v>
          </cell>
        </row>
        <row r="7">
          <cell r="AM7">
            <v>0.25</v>
          </cell>
        </row>
        <row r="8">
          <cell r="AM8">
            <v>0.375</v>
          </cell>
        </row>
        <row r="9">
          <cell r="AM9">
            <v>0.5</v>
          </cell>
        </row>
        <row r="10">
          <cell r="AM10">
            <v>0.625</v>
          </cell>
        </row>
        <row r="11">
          <cell r="AM11">
            <v>0.75</v>
          </cell>
        </row>
        <row r="12">
          <cell r="AM1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RRAJEOS PISOS"/>
      <sheetName val="ESCALERAS"/>
      <sheetName val="DATOS"/>
      <sheetName val="RESUMEN DE METRADO"/>
      <sheetName val="Hoja1"/>
      <sheetName val="AREAS COMUNES"/>
    </sheetNames>
    <sheetDataSet>
      <sheetData sheetId="0" refreshError="1"/>
      <sheetData sheetId="1" refreshError="1"/>
      <sheetData sheetId="2" refreshError="1">
        <row r="5">
          <cell r="B5" t="str">
            <v>Hall Ingreso</v>
          </cell>
        </row>
        <row r="6">
          <cell r="B6" t="str">
            <v>Amb c/Mader</v>
          </cell>
        </row>
        <row r="7">
          <cell r="B7" t="str">
            <v>Cocina</v>
          </cell>
        </row>
        <row r="8">
          <cell r="B8" t="str">
            <v>S:H. Secundario</v>
          </cell>
        </row>
        <row r="9">
          <cell r="B9" t="str">
            <v>S.H. Visita</v>
          </cell>
        </row>
        <row r="10">
          <cell r="B10" t="str">
            <v>S.H. Principal</v>
          </cell>
        </row>
        <row r="11">
          <cell r="B11" t="str">
            <v>SH. Servicio</v>
          </cell>
        </row>
        <row r="12">
          <cell r="B12" t="str">
            <v xml:space="preserve">Patio </v>
          </cell>
        </row>
        <row r="13">
          <cell r="B13" t="str">
            <v>Dormitorio Servicio</v>
          </cell>
        </row>
        <row r="14">
          <cell r="B14" t="str">
            <v>Escalera 4</v>
          </cell>
        </row>
        <row r="15">
          <cell r="B15" t="str">
            <v>Escalera 3</v>
          </cell>
        </row>
        <row r="16">
          <cell r="B16" t="str">
            <v>Hall Pre-ventilado</v>
          </cell>
        </row>
        <row r="17">
          <cell r="B17" t="str">
            <v>Cuarto Tecnico</v>
          </cell>
        </row>
        <row r="18">
          <cell r="B18" t="str">
            <v>Ducto Basura-Gas</v>
          </cell>
        </row>
        <row r="19">
          <cell r="B19" t="str">
            <v>caseta control</v>
          </cell>
        </row>
        <row r="20">
          <cell r="B20" t="str">
            <v>s.h. caseta</v>
          </cell>
        </row>
        <row r="21">
          <cell r="B21" t="str">
            <v>dto. Vent. Mecanica</v>
          </cell>
        </row>
        <row r="22">
          <cell r="B22" t="str">
            <v>caseta control</v>
          </cell>
        </row>
        <row r="23">
          <cell r="B23" t="str">
            <v>s.h. caseta</v>
          </cell>
        </row>
        <row r="24">
          <cell r="B24" t="str">
            <v>ESCALERA 1</v>
          </cell>
        </row>
        <row r="25">
          <cell r="B25" t="str">
            <v>escalera 5</v>
          </cell>
        </row>
        <row r="26">
          <cell r="B26" t="str">
            <v>sala d recreacion</v>
          </cell>
        </row>
        <row r="27">
          <cell r="B27" t="str">
            <v>s.h. 3</v>
          </cell>
        </row>
        <row r="28">
          <cell r="B28" t="str">
            <v>cuarto d trabajo</v>
          </cell>
        </row>
        <row r="29">
          <cell r="B29" t="str">
            <v xml:space="preserve">deposito  </v>
          </cell>
        </row>
        <row r="30">
          <cell r="B30" t="str">
            <v>acceso a techo</v>
          </cell>
        </row>
        <row r="31">
          <cell r="B31" t="str">
            <v>azotea</v>
          </cell>
        </row>
        <row r="32">
          <cell r="B32" t="str">
            <v>dintel</v>
          </cell>
        </row>
        <row r="33">
          <cell r="B33" t="str">
            <v>ceramico 40 x 40 celima. Serie rusticos, modelo cemento, color gris</v>
          </cell>
        </row>
        <row r="34">
          <cell r="B34" t="str">
            <v>terrazo pulido color terracota . Comacsa</v>
          </cell>
        </row>
        <row r="35">
          <cell r="B35" t="str">
            <v>terrazo rustico color terracota. Comacsa</v>
          </cell>
        </row>
        <row r="36">
          <cell r="B36" t="str">
            <v>Multifloor U12 Copper artigo</v>
          </cell>
        </row>
        <row r="37">
          <cell r="B37" t="str">
            <v>cemento pulido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°1"/>
      <sheetName val="N°2"/>
      <sheetName val="N°3"/>
      <sheetName val="N°4"/>
      <sheetName val="N°5"/>
      <sheetName val="N°6"/>
      <sheetName val="N°7"/>
      <sheetName val="N°8"/>
      <sheetName val="N°9"/>
      <sheetName val="N°10"/>
      <sheetName val="Avance financiero"/>
      <sheetName val="ATI SAP JUMBO"/>
      <sheetName val="ATI SAP RINCÓN"/>
      <sheetName val="Devolucion retencion"/>
      <sheetName val="ATI SAP"/>
      <sheetName val="Nº 01"/>
      <sheetName val="Nº 02"/>
      <sheetName val="Nº 03"/>
      <sheetName val="PRESUPUESTO"/>
      <sheetName val="RESUMEN DE COTIZACION"/>
      <sheetName val="OBRA CIVIL"/>
      <sheetName val="ESTRUCTURA DE HORMIGON"/>
      <sheetName val="INFRAESTRUCTURA"/>
      <sheetName val="INSTALACION ELECTRICA"/>
      <sheetName val="puni"/>
      <sheetName val="RESUMEN ATI"/>
      <sheetName val="Avance_financiero"/>
      <sheetName val="ATI_SAP_JUMBO"/>
      <sheetName val="ATI_SAP_RINCÓN"/>
      <sheetName val="Devolucion_retencion"/>
      <sheetName val="ATI_SAP"/>
      <sheetName val="Nº_01"/>
      <sheetName val="Nº_02"/>
      <sheetName val="Nº_03"/>
      <sheetName val="RESUMEN_DE_COTIZACION"/>
      <sheetName val="OBRA_CIVIL"/>
      <sheetName val="ESTRUCTURA_DE_HORMIGON"/>
      <sheetName val="INSTALACION_ELECTRICA"/>
      <sheetName val="N_1"/>
      <sheetName val="N_2"/>
      <sheetName val="N_3"/>
      <sheetName val="N_4"/>
      <sheetName val="N_5"/>
      <sheetName val="N_6"/>
      <sheetName val="N_7"/>
      <sheetName val="N_8"/>
      <sheetName val="N_9"/>
      <sheetName val="N_10"/>
      <sheetName val="Parametros"/>
      <sheetName val="Avance_financiero1"/>
      <sheetName val="ATI_SAP_JUMBO1"/>
      <sheetName val="ATI_SAP_RINCÓN1"/>
      <sheetName val="Devolucion_retencion1"/>
      <sheetName val="ATI_SAP1"/>
      <sheetName val="Nº_011"/>
      <sheetName val="Nº_021"/>
      <sheetName val="Nº_031"/>
      <sheetName val="RESUMEN_DE_COTIZACION1"/>
      <sheetName val="OBRA_CIVIL1"/>
      <sheetName val="ESTRUCTURA_DE_HORMIGON1"/>
      <sheetName val="INSTALACION_ELECTRICA1"/>
      <sheetName val="RESUMEN_ATI"/>
      <sheetName val="EDIFICIOS TOTAL"/>
      <sheetName val="A"/>
      <sheetName val="tiraje mix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Material"/>
      <sheetName val="Pump Calcs"/>
      <sheetName val="Rouhness"/>
      <sheetName val="tank1"/>
      <sheetName val="conv"/>
      <sheetName val="Estado de pago SISA"/>
      <sheetName val="Avance_financiero2"/>
      <sheetName val="ATI_SAP_JUMBO2"/>
      <sheetName val="ATI_SAP_RINCÓN2"/>
      <sheetName val="Devolucion_retencion2"/>
      <sheetName val="ATI_SAP2"/>
      <sheetName val="Nº_012"/>
      <sheetName val="Nº_022"/>
      <sheetName val="Nº_032"/>
      <sheetName val="RESUMEN_DE_COTIZACION2"/>
      <sheetName val="OBRA_CIVIL2"/>
      <sheetName val="ESTRUCTURA_DE_HORMIGON2"/>
      <sheetName val="INSTALACION_ELECTRICA2"/>
      <sheetName val="RESUMEN_ATI1"/>
      <sheetName val="EDIFICIOS_TOTAL"/>
      <sheetName val="hoja1"/>
      <sheetName val="tiraje_mix"/>
      <sheetName val="hoja3"/>
      <sheetName val="Avance_financiero3"/>
      <sheetName val="Pump_Calcs"/>
      <sheetName val="Avance_financiero6"/>
      <sheetName val="ATI_SAP_JUMBO4"/>
      <sheetName val="ATI_SAP_RINCÓN4"/>
      <sheetName val="Devolucion_retencion4"/>
      <sheetName val="ATI_SAP4"/>
      <sheetName val="Nº_014"/>
      <sheetName val="Nº_024"/>
      <sheetName val="Nº_034"/>
      <sheetName val="RESUMEN_DE_COTIZACION4"/>
      <sheetName val="OBRA_CIVIL4"/>
      <sheetName val="ESTRUCTURA_DE_HORMIGON4"/>
      <sheetName val="INSTALACION_ELECTRICA4"/>
      <sheetName val="RESUMEN_ATI3"/>
      <sheetName val="EDIFICIOS_TOTAL2"/>
      <sheetName val="Pump_Calcs2"/>
      <sheetName val="tiraje_mix2"/>
      <sheetName val="Avance_financiero4"/>
      <sheetName val="Avance_financiero5"/>
      <sheetName val="ATI_SAP_JUMBO3"/>
      <sheetName val="ATI_SAP_RINCÓN3"/>
      <sheetName val="Devolucion_retencion3"/>
      <sheetName val="ATI_SAP3"/>
      <sheetName val="Nº_013"/>
      <sheetName val="Nº_023"/>
      <sheetName val="Nº_033"/>
      <sheetName val="RESUMEN_DE_COTIZACION3"/>
      <sheetName val="OBRA_CIVIL3"/>
      <sheetName val="ESTRUCTURA_DE_HORMIGON3"/>
      <sheetName val="INSTALACION_ELECTRICA3"/>
      <sheetName val="RESUMEN_ATI2"/>
      <sheetName val="EDIFICIOS_TOTAL1"/>
      <sheetName val="Pump_Calcs1"/>
      <sheetName val="tiraje_mix1"/>
      <sheetName val="Avance_financiero7"/>
      <sheetName val="ATI_SAP_JUMBO5"/>
      <sheetName val="ATI_SAP_RINCÓN5"/>
      <sheetName val="Devolucion_retencion5"/>
      <sheetName val="ATI_SAP5"/>
      <sheetName val="Nº_015"/>
      <sheetName val="Nº_025"/>
      <sheetName val="Nº_035"/>
      <sheetName val="RESUMEN_DE_COTIZACION5"/>
      <sheetName val="OBRA_CIVIL5"/>
      <sheetName val="ESTRUCTURA_DE_HORMIGON5"/>
      <sheetName val="INSTALACION_ELECTRICA5"/>
      <sheetName val="RESUMEN_ATI4"/>
      <sheetName val="EDIFICIOS_TOTAL3"/>
      <sheetName val="Pump_Calcs3"/>
      <sheetName val="tiraje_mix3"/>
      <sheetName val="Avance_financiero9"/>
      <sheetName val="ATI_SAP_JUMBO7"/>
      <sheetName val="ATI_SAP_RINCÓN7"/>
      <sheetName val="Devolucion_retencion7"/>
      <sheetName val="ATI_SAP7"/>
      <sheetName val="Nº_017"/>
      <sheetName val="Nº_027"/>
      <sheetName val="Nº_037"/>
      <sheetName val="RESUMEN_DE_COTIZACION7"/>
      <sheetName val="OBRA_CIVIL7"/>
      <sheetName val="ESTRUCTURA_DE_HORMIGON7"/>
      <sheetName val="INSTALACION_ELECTRICA7"/>
      <sheetName val="RESUMEN_ATI6"/>
      <sheetName val="EDIFICIOS_TOTAL5"/>
      <sheetName val="Pump_Calcs5"/>
      <sheetName val="tiraje_mix5"/>
      <sheetName val="Avance_financiero8"/>
      <sheetName val="ATI_SAP_JUMBO6"/>
      <sheetName val="ATI_SAP_RINCÓN6"/>
      <sheetName val="Devolucion_retencion6"/>
      <sheetName val="ATI_SAP6"/>
      <sheetName val="Nº_016"/>
      <sheetName val="Nº_026"/>
      <sheetName val="Nº_036"/>
      <sheetName val="RESUMEN_DE_COTIZACION6"/>
      <sheetName val="OBRA_CIVIL6"/>
      <sheetName val="ESTRUCTURA_DE_HORMIGON6"/>
      <sheetName val="INSTALACION_ELECTRICA6"/>
      <sheetName val="RESUMEN_ATI5"/>
      <sheetName val="EDIFICIOS_TOTAL4"/>
      <sheetName val="Pump_Calcs4"/>
      <sheetName val="tiraje_mix4"/>
      <sheetName val="Avance_financiero10"/>
      <sheetName val="ATI_SAP_JUMBO8"/>
      <sheetName val="ATI_SAP_RINCÓN8"/>
      <sheetName val="Devolucion_retencion8"/>
      <sheetName val="ATI_SAP8"/>
      <sheetName val="Nº_018"/>
      <sheetName val="Nº_028"/>
      <sheetName val="Nº_038"/>
      <sheetName val="RESUMEN_DE_COTIZACION8"/>
      <sheetName val="OBRA_CIVIL8"/>
      <sheetName val="ESTRUCTURA_DE_HORMIGON8"/>
      <sheetName val="INSTALACION_ELECTRICA8"/>
      <sheetName val="RESUMEN_ATI7"/>
      <sheetName val="EDIFICIOS_TOTAL6"/>
      <sheetName val="Pump_Calcs6"/>
      <sheetName val="tiraje_mix6"/>
      <sheetName val="Avance_financiero11"/>
      <sheetName val="ATI_SAP_JUMBO9"/>
      <sheetName val="ATI_SAP_RINCÓN9"/>
      <sheetName val="Devolucion_retencion9"/>
      <sheetName val="ATI_SAP9"/>
      <sheetName val="Nº_019"/>
      <sheetName val="Nº_029"/>
      <sheetName val="Nº_039"/>
      <sheetName val="RESUMEN_DE_COTIZACION9"/>
      <sheetName val="OBRA_CIVIL9"/>
      <sheetName val="ESTRUCTURA_DE_HORMIGON9"/>
      <sheetName val="INSTALACION_ELECTRICA9"/>
      <sheetName val="RESUMEN_ATI8"/>
      <sheetName val="EDIFICIOS_TOTAL7"/>
      <sheetName val="Pump_Calcs7"/>
      <sheetName val="tiraje_mix7"/>
      <sheetName val="Avance_financiero12"/>
      <sheetName val="ATI_SAP_JUMBO10"/>
      <sheetName val="ATI_SAP_RINCÓN10"/>
      <sheetName val="Devolucion_retencion10"/>
      <sheetName val="ATI_SAP10"/>
      <sheetName val="Nº_0110"/>
      <sheetName val="Nº_0210"/>
      <sheetName val="Nº_0310"/>
      <sheetName val="RESUMEN_DE_COTIZACION10"/>
      <sheetName val="OBRA_CIVIL10"/>
      <sheetName val="ESTRUCTURA_DE_HORMIGON10"/>
      <sheetName val="INSTALACION_ELECTRICA10"/>
      <sheetName val="RESUMEN_ATI9"/>
      <sheetName val="EDIFICIOS_TOTAL8"/>
      <sheetName val="Pump_Calcs8"/>
      <sheetName val="tiraje_mix8"/>
      <sheetName val="Estado_de_pago_SISA"/>
      <sheetName val="Avance_financiero13"/>
      <sheetName val="ATI_SAP_JUMBO11"/>
      <sheetName val="ATI_SAP_RINCÓN11"/>
      <sheetName val="Devolucion_retencion11"/>
      <sheetName val="ATI_SAP11"/>
      <sheetName val="Nº_0111"/>
      <sheetName val="Nº_0211"/>
      <sheetName val="Nº_0311"/>
      <sheetName val="RESUMEN_DE_COTIZACION11"/>
      <sheetName val="OBRA_CIVIL11"/>
      <sheetName val="ESTRUCTURA_DE_HORMIGON11"/>
      <sheetName val="INSTALACION_ELECTRICA11"/>
      <sheetName val="RESUMEN_ATI10"/>
      <sheetName val="EDIFICIOS_TOTAL9"/>
      <sheetName val="Pump_Calcs9"/>
      <sheetName val="tiraje_mix9"/>
      <sheetName val="Avance_financiero14"/>
      <sheetName val="ATI_SAP_JUMBO12"/>
      <sheetName val="ATI_SAP_RINCÓN12"/>
      <sheetName val="Devolucion_retencion12"/>
      <sheetName val="ATI_SAP12"/>
      <sheetName val="Nº_0112"/>
      <sheetName val="Nº_0212"/>
      <sheetName val="Nº_0312"/>
      <sheetName val="RESUMEN_DE_COTIZACION12"/>
      <sheetName val="OBRA_CIVIL12"/>
      <sheetName val="ESTRUCTURA_DE_HORMIGON12"/>
      <sheetName val="INSTALACION_ELECTRICA12"/>
      <sheetName val="RESUMEN_ATI11"/>
      <sheetName val="EDIFICIOS_TOTAL10"/>
      <sheetName val="Pump_Calcs10"/>
      <sheetName val="tiraje_mix10"/>
      <sheetName val="kwhcec"/>
      <sheetName val="Insumos"/>
      <sheetName val="Detallado CD"/>
      <sheetName val="Analisis"/>
      <sheetName val="Avance_financiero15"/>
      <sheetName val="ATI_SAP_JUMBO13"/>
      <sheetName val="ATI_SAP_RINCÓN13"/>
      <sheetName val="Devolucion_retencion13"/>
      <sheetName val="ATI_SAP13"/>
      <sheetName val="Nº_0113"/>
      <sheetName val="Nº_0213"/>
      <sheetName val="Nº_0313"/>
      <sheetName val="RESUMEN_DE_COTIZACION13"/>
      <sheetName val="OBRA_CIVIL13"/>
      <sheetName val="ESTRUCTURA_DE_HORMIGON13"/>
      <sheetName val="INSTALACION_ELECTRICA13"/>
      <sheetName val="RESUMEN_ATI12"/>
      <sheetName val="EDIFICIOS_TOTAL11"/>
      <sheetName val="Pump_Calcs11"/>
      <sheetName val="tiraje_mix11"/>
      <sheetName val="Estado_de_pago_SISA1"/>
      <sheetName val="tabiqueria sotano"/>
      <sheetName val="ANA_IE17_O2"/>
      <sheetName val="Estado_de_pago_SISA3"/>
      <sheetName val="Estado_de_pago_SISA2"/>
      <sheetName val="Estado_de_pago_SISA4"/>
      <sheetName val="Calcs and Indices"/>
      <sheetName val="Estado_de_pago_SISA5"/>
    </sheetNames>
    <sheetDataSet>
      <sheetData sheetId="0" refreshError="1">
        <row r="13">
          <cell r="D13">
            <v>0</v>
          </cell>
        </row>
        <row r="1189">
          <cell r="K1189">
            <v>0</v>
          </cell>
        </row>
      </sheetData>
      <sheetData sheetId="1" refreshError="1">
        <row r="13">
          <cell r="D13">
            <v>0</v>
          </cell>
        </row>
        <row r="1189">
          <cell r="K1189">
            <v>0</v>
          </cell>
        </row>
      </sheetData>
      <sheetData sheetId="2" refreshError="1">
        <row r="13">
          <cell r="D13">
            <v>0</v>
          </cell>
        </row>
        <row r="1189">
          <cell r="K1189">
            <v>0</v>
          </cell>
        </row>
      </sheetData>
      <sheetData sheetId="3" refreshError="1">
        <row r="13">
          <cell r="D13">
            <v>0</v>
          </cell>
        </row>
        <row r="1189">
          <cell r="K1189">
            <v>0</v>
          </cell>
        </row>
      </sheetData>
      <sheetData sheetId="4" refreshError="1">
        <row r="13">
          <cell r="D13">
            <v>0</v>
          </cell>
        </row>
        <row r="1189">
          <cell r="K1189">
            <v>0</v>
          </cell>
        </row>
      </sheetData>
      <sheetData sheetId="5" refreshError="1">
        <row r="13">
          <cell r="D13">
            <v>0</v>
          </cell>
        </row>
        <row r="1189">
          <cell r="K1189">
            <v>0</v>
          </cell>
        </row>
      </sheetData>
      <sheetData sheetId="6" refreshError="1">
        <row r="13">
          <cell r="D13">
            <v>0</v>
          </cell>
        </row>
        <row r="1189">
          <cell r="K1189">
            <v>0</v>
          </cell>
        </row>
      </sheetData>
      <sheetData sheetId="7" refreshError="1">
        <row r="13">
          <cell r="D13">
            <v>0</v>
          </cell>
        </row>
        <row r="1189">
          <cell r="K1189">
            <v>0</v>
          </cell>
        </row>
      </sheetData>
      <sheetData sheetId="8" refreshError="1">
        <row r="13">
          <cell r="D13">
            <v>0</v>
          </cell>
        </row>
        <row r="1189">
          <cell r="K1189">
            <v>0</v>
          </cell>
        </row>
      </sheetData>
      <sheetData sheetId="9" refreshError="1">
        <row r="13">
          <cell r="D13">
            <v>0</v>
          </cell>
        </row>
        <row r="1189">
          <cell r="K1189">
            <v>0</v>
          </cell>
        </row>
      </sheetData>
      <sheetData sheetId="10" refreshError="1">
        <row r="13">
          <cell r="D13">
            <v>0</v>
          </cell>
          <cell r="F13">
            <v>0</v>
          </cell>
        </row>
        <row r="14">
          <cell r="D14">
            <v>0</v>
          </cell>
          <cell r="F14">
            <v>0</v>
          </cell>
        </row>
        <row r="15">
          <cell r="D15">
            <v>0</v>
          </cell>
          <cell r="F15">
            <v>0</v>
          </cell>
        </row>
        <row r="16">
          <cell r="D16">
            <v>0</v>
          </cell>
          <cell r="F16">
            <v>0</v>
          </cell>
        </row>
        <row r="17">
          <cell r="D17">
            <v>0</v>
          </cell>
          <cell r="F17">
            <v>0</v>
          </cell>
        </row>
        <row r="18">
          <cell r="D18">
            <v>0</v>
          </cell>
          <cell r="F18">
            <v>0</v>
          </cell>
        </row>
        <row r="19">
          <cell r="D19">
            <v>0</v>
          </cell>
          <cell r="F19">
            <v>0</v>
          </cell>
        </row>
        <row r="20">
          <cell r="D20">
            <v>0</v>
          </cell>
          <cell r="F20">
            <v>0</v>
          </cell>
        </row>
        <row r="21">
          <cell r="D21">
            <v>0</v>
          </cell>
          <cell r="F21">
            <v>0</v>
          </cell>
        </row>
        <row r="22">
          <cell r="D22">
            <v>0</v>
          </cell>
          <cell r="F22">
            <v>0</v>
          </cell>
        </row>
      </sheetData>
      <sheetData sheetId="11" refreshError="1"/>
      <sheetData sheetId="12" refreshError="1"/>
      <sheetData sheetId="13" refreshError="1"/>
      <sheetData sheetId="14"/>
      <sheetData sheetId="15">
        <row r="1189">
          <cell r="K1189">
            <v>0</v>
          </cell>
        </row>
      </sheetData>
      <sheetData sheetId="16">
        <row r="1189">
          <cell r="K1189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>
        <row r="13">
          <cell r="D13">
            <v>0</v>
          </cell>
        </row>
      </sheetData>
      <sheetData sheetId="50"/>
      <sheetData sheetId="51"/>
      <sheetData sheetId="52"/>
      <sheetData sheetId="53"/>
      <sheetData sheetId="54">
        <row r="1189">
          <cell r="K1189">
            <v>0</v>
          </cell>
        </row>
      </sheetData>
      <sheetData sheetId="55">
        <row r="1189">
          <cell r="K1189">
            <v>0</v>
          </cell>
        </row>
      </sheetData>
      <sheetData sheetId="56"/>
      <sheetData sheetId="57"/>
      <sheetData sheetId="58"/>
      <sheetData sheetId="59"/>
      <sheetData sheetId="60">
        <row r="13">
          <cell r="D13">
            <v>0</v>
          </cell>
        </row>
      </sheetData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3">
          <cell r="D13">
            <v>0</v>
          </cell>
        </row>
      </sheetData>
      <sheetData sheetId="87"/>
      <sheetData sheetId="88"/>
      <sheetData sheetId="89"/>
      <sheetData sheetId="90"/>
      <sheetData sheetId="91">
        <row r="1189">
          <cell r="K1189">
            <v>0</v>
          </cell>
        </row>
      </sheetData>
      <sheetData sheetId="92">
        <row r="1189">
          <cell r="K1189">
            <v>0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>
        <row r="13">
          <cell r="D13">
            <v>0</v>
          </cell>
        </row>
      </sheetData>
      <sheetData sheetId="104"/>
      <sheetData sheetId="105">
        <row r="13">
          <cell r="D13">
            <v>0</v>
          </cell>
        </row>
      </sheetData>
      <sheetData sheetId="106"/>
      <sheetData sheetId="107"/>
      <sheetData sheetId="108"/>
      <sheetData sheetId="109"/>
      <sheetData sheetId="110">
        <row r="1189">
          <cell r="K1189">
            <v>0</v>
          </cell>
        </row>
      </sheetData>
      <sheetData sheetId="111">
        <row r="1189">
          <cell r="K1189">
            <v>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3">
          <cell r="D13">
            <v>0</v>
          </cell>
        </row>
      </sheetData>
      <sheetData sheetId="122">
        <row r="13">
          <cell r="D13">
            <v>0</v>
          </cell>
        </row>
      </sheetData>
      <sheetData sheetId="123"/>
      <sheetData sheetId="124"/>
      <sheetData sheetId="125"/>
      <sheetData sheetId="126"/>
      <sheetData sheetId="127">
        <row r="1189">
          <cell r="K1189">
            <v>0</v>
          </cell>
        </row>
      </sheetData>
      <sheetData sheetId="128">
        <row r="1189">
          <cell r="K1189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13">
          <cell r="D13">
            <v>0</v>
          </cell>
        </row>
      </sheetData>
      <sheetData sheetId="139"/>
      <sheetData sheetId="140"/>
      <sheetData sheetId="141"/>
      <sheetData sheetId="142"/>
      <sheetData sheetId="143">
        <row r="1189">
          <cell r="K1189">
            <v>0</v>
          </cell>
        </row>
      </sheetData>
      <sheetData sheetId="144">
        <row r="1189">
          <cell r="K1189">
            <v>0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13">
          <cell r="D13">
            <v>0</v>
          </cell>
        </row>
      </sheetData>
      <sheetData sheetId="155"/>
      <sheetData sheetId="156"/>
      <sheetData sheetId="157"/>
      <sheetData sheetId="158"/>
      <sheetData sheetId="159">
        <row r="1189">
          <cell r="K1189">
            <v>0</v>
          </cell>
        </row>
      </sheetData>
      <sheetData sheetId="160">
        <row r="1189">
          <cell r="K1189">
            <v>0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13">
          <cell r="D13">
            <v>0</v>
          </cell>
        </row>
      </sheetData>
      <sheetData sheetId="171"/>
      <sheetData sheetId="172"/>
      <sheetData sheetId="173"/>
      <sheetData sheetId="174"/>
      <sheetData sheetId="175">
        <row r="1189">
          <cell r="K1189">
            <v>0</v>
          </cell>
        </row>
      </sheetData>
      <sheetData sheetId="176">
        <row r="1189">
          <cell r="K1189">
            <v>0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3">
          <cell r="D13">
            <v>0</v>
          </cell>
        </row>
      </sheetData>
      <sheetData sheetId="187"/>
      <sheetData sheetId="188"/>
      <sheetData sheetId="189"/>
      <sheetData sheetId="190"/>
      <sheetData sheetId="191">
        <row r="1189">
          <cell r="K1189">
            <v>0</v>
          </cell>
        </row>
      </sheetData>
      <sheetData sheetId="192">
        <row r="1189">
          <cell r="K1189">
            <v>0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13">
          <cell r="D13">
            <v>0</v>
          </cell>
        </row>
      </sheetData>
      <sheetData sheetId="203"/>
      <sheetData sheetId="204"/>
      <sheetData sheetId="205"/>
      <sheetData sheetId="206"/>
      <sheetData sheetId="207">
        <row r="1189">
          <cell r="K1189">
            <v>0</v>
          </cell>
        </row>
      </sheetData>
      <sheetData sheetId="208">
        <row r="1189">
          <cell r="K1189">
            <v>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189">
          <cell r="K1189">
            <v>0</v>
          </cell>
        </row>
      </sheetData>
      <sheetData sheetId="224">
        <row r="1189">
          <cell r="K1189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3">
          <cell r="D13">
            <v>0</v>
          </cell>
        </row>
      </sheetData>
      <sheetData sheetId="236"/>
      <sheetData sheetId="237"/>
      <sheetData sheetId="238"/>
      <sheetData sheetId="239"/>
      <sheetData sheetId="240">
        <row r="1189">
          <cell r="K1189">
            <v>0</v>
          </cell>
        </row>
      </sheetData>
      <sheetData sheetId="241">
        <row r="1189">
          <cell r="K1189">
            <v>0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>
        <row r="1189">
          <cell r="K1189">
            <v>0</v>
          </cell>
        </row>
      </sheetData>
      <sheetData sheetId="257">
        <row r="1189">
          <cell r="K1189">
            <v>0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>
        <row r="13">
          <cell r="D13">
            <v>0</v>
          </cell>
        </row>
      </sheetData>
      <sheetData sheetId="272"/>
      <sheetData sheetId="273"/>
      <sheetData sheetId="274"/>
      <sheetData sheetId="275"/>
      <sheetData sheetId="276">
        <row r="1189">
          <cell r="K1189">
            <v>0</v>
          </cell>
        </row>
      </sheetData>
      <sheetData sheetId="277">
        <row r="1189">
          <cell r="K1189">
            <v>0</v>
          </cell>
        </row>
      </sheetData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 refreshError="1"/>
      <sheetData sheetId="29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rama"/>
      <sheetName val="Contr%-a (3b)"/>
      <sheetName val="Staff (6)"/>
      <sheetName val="Equip-a (7)"/>
      <sheetName val="Qty&amp;Hrs (2)"/>
      <sheetName val="4 Week Sched"/>
      <sheetName val="Daily Report"/>
      <sheetName val="WEEKBASE"/>
      <sheetName val="APUestr"/>
      <sheetName val="EyH"/>
      <sheetName val="Hoja1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ESTACIONAM."/>
      <sheetName val="EDIFICIO"/>
      <sheetName val="OBRAS EXT."/>
      <sheetName val="Hoja4"/>
      <sheetName val="Accesorio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fittings"/>
      <sheetName val="conv"/>
      <sheetName val="Forecast"/>
      <sheetName val="puni"/>
      <sheetName val="resumen"/>
      <sheetName val="Partidas Ejecutadas"/>
      <sheetName val="CURVA"/>
      <sheetName val="Avance Detallado"/>
      <sheetName val="Avance Resumen"/>
      <sheetName val="RCHH "/>
      <sheetName val="Contr%-a_(3b)"/>
      <sheetName val="Staff_(6)"/>
      <sheetName val="Equip-a_(7)"/>
      <sheetName val="Qty&amp;Hrs_(2)"/>
      <sheetName val="4_Week_Sched"/>
      <sheetName val="Daily_Report"/>
      <sheetName val="Avance_financiero"/>
      <sheetName val="ESTACIONAM_"/>
      <sheetName val="OBRAS_EXT_"/>
      <sheetName val="Pump_Calcs"/>
      <sheetName val="PRETUMBES1"/>
      <sheetName val="Partidas_Ejecutadas"/>
      <sheetName val="Avance_Detallado"/>
      <sheetName val="Avance_Resumen"/>
      <sheetName val="RCHH_"/>
    </sheetNames>
    <sheetDataSet>
      <sheetData sheetId="0">
        <row r="13">
          <cell r="A13">
            <v>37977</v>
          </cell>
        </row>
      </sheetData>
      <sheetData sheetId="1">
        <row r="2">
          <cell r="E2">
            <v>37620</v>
          </cell>
        </row>
      </sheetData>
      <sheetData sheetId="2"/>
      <sheetData sheetId="3"/>
      <sheetData sheetId="4"/>
      <sheetData sheetId="5" refreshError="1"/>
      <sheetData sheetId="6"/>
      <sheetData sheetId="7" refreshError="1">
        <row r="2">
          <cell r="E2">
            <v>37620</v>
          </cell>
          <cell r="F2" t="str">
            <v>WK 01</v>
          </cell>
          <cell r="J2">
            <v>37948</v>
          </cell>
          <cell r="K2" t="str">
            <v>SU</v>
          </cell>
        </row>
        <row r="3">
          <cell r="E3">
            <v>37621</v>
          </cell>
          <cell r="F3" t="str">
            <v>WK 01</v>
          </cell>
          <cell r="J3">
            <v>37955</v>
          </cell>
          <cell r="K3" t="str">
            <v>SU</v>
          </cell>
        </row>
        <row r="4">
          <cell r="E4">
            <v>37622</v>
          </cell>
          <cell r="F4" t="str">
            <v>WK 01</v>
          </cell>
          <cell r="J4">
            <v>37962</v>
          </cell>
          <cell r="K4" t="str">
            <v>SU</v>
          </cell>
        </row>
        <row r="5">
          <cell r="E5">
            <v>37623</v>
          </cell>
          <cell r="F5" t="str">
            <v>WK 01</v>
          </cell>
          <cell r="J5">
            <v>37963</v>
          </cell>
          <cell r="K5" t="str">
            <v>MO</v>
          </cell>
        </row>
        <row r="6">
          <cell r="E6">
            <v>37624</v>
          </cell>
          <cell r="F6" t="str">
            <v>WK 01</v>
          </cell>
          <cell r="J6">
            <v>37969</v>
          </cell>
          <cell r="K6" t="str">
            <v>SU</v>
          </cell>
        </row>
        <row r="7">
          <cell r="E7">
            <v>37625</v>
          </cell>
          <cell r="F7" t="str">
            <v>WK 01</v>
          </cell>
          <cell r="J7">
            <v>37976</v>
          </cell>
          <cell r="K7" t="str">
            <v>SU</v>
          </cell>
        </row>
        <row r="8">
          <cell r="E8">
            <v>37626</v>
          </cell>
          <cell r="F8" t="str">
            <v>WK 01</v>
          </cell>
          <cell r="J8">
            <v>37979</v>
          </cell>
          <cell r="K8" t="str">
            <v>WE</v>
          </cell>
        </row>
        <row r="9">
          <cell r="E9">
            <v>37627</v>
          </cell>
          <cell r="F9" t="str">
            <v>WK 02</v>
          </cell>
          <cell r="J9">
            <v>37980</v>
          </cell>
          <cell r="K9" t="str">
            <v>TH</v>
          </cell>
        </row>
        <row r="10">
          <cell r="E10">
            <v>37628</v>
          </cell>
          <cell r="F10" t="str">
            <v>WK 02</v>
          </cell>
          <cell r="J10">
            <v>37983</v>
          </cell>
          <cell r="K10" t="str">
            <v>SU</v>
          </cell>
        </row>
        <row r="11">
          <cell r="E11">
            <v>37629</v>
          </cell>
          <cell r="F11" t="str">
            <v>WK 02</v>
          </cell>
          <cell r="J11">
            <v>37987</v>
          </cell>
          <cell r="K11" t="str">
            <v>TH</v>
          </cell>
        </row>
        <row r="12">
          <cell r="E12">
            <v>37630</v>
          </cell>
          <cell r="F12" t="str">
            <v>WK 02</v>
          </cell>
          <cell r="J12">
            <v>37988</v>
          </cell>
          <cell r="K12" t="str">
            <v>FR</v>
          </cell>
        </row>
        <row r="13">
          <cell r="E13">
            <v>37631</v>
          </cell>
          <cell r="F13" t="str">
            <v>WK 02</v>
          </cell>
          <cell r="J13">
            <v>37990</v>
          </cell>
          <cell r="K13" t="str">
            <v>SU</v>
          </cell>
        </row>
        <row r="14">
          <cell r="A14" t="str">
            <v xml:space="preserve">PP </v>
          </cell>
          <cell r="B14" t="str">
            <v>(1) PERU PLAZA</v>
          </cell>
          <cell r="E14">
            <v>37632</v>
          </cell>
          <cell r="F14" t="str">
            <v>WK 02</v>
          </cell>
          <cell r="J14">
            <v>37997</v>
          </cell>
          <cell r="K14" t="str">
            <v>SU</v>
          </cell>
        </row>
        <row r="15">
          <cell r="A15" t="str">
            <v xml:space="preserve">C1 </v>
          </cell>
          <cell r="B15" t="str">
            <v>(2) NORTH CONCOURSE</v>
          </cell>
          <cell r="E15">
            <v>37633</v>
          </cell>
          <cell r="F15" t="str">
            <v>WK 02</v>
          </cell>
          <cell r="J15">
            <v>38004</v>
          </cell>
          <cell r="K15" t="str">
            <v>SU</v>
          </cell>
        </row>
        <row r="16">
          <cell r="A16" t="str">
            <v xml:space="preserve">ST </v>
          </cell>
          <cell r="B16" t="str">
            <v>(5) SOUTH TERMINAL</v>
          </cell>
          <cell r="E16">
            <v>37634</v>
          </cell>
          <cell r="F16" t="str">
            <v>WK 03</v>
          </cell>
          <cell r="J16">
            <v>38011</v>
          </cell>
          <cell r="K16" t="str">
            <v>SU</v>
          </cell>
        </row>
        <row r="17">
          <cell r="A17" t="str">
            <v xml:space="preserve">SE </v>
          </cell>
          <cell r="B17" t="str">
            <v>(6) NEW 10 KV S.E.</v>
          </cell>
          <cell r="E17">
            <v>37635</v>
          </cell>
          <cell r="F17" t="str">
            <v>WK 03</v>
          </cell>
          <cell r="J17">
            <v>38018</v>
          </cell>
          <cell r="K17" t="str">
            <v>SU</v>
          </cell>
        </row>
        <row r="18">
          <cell r="A18" t="str">
            <v xml:space="preserve">NT </v>
          </cell>
          <cell r="B18" t="str">
            <v>(4) NORTH TERMINAL</v>
          </cell>
          <cell r="E18">
            <v>37636</v>
          </cell>
          <cell r="F18" t="str">
            <v>WK 03</v>
          </cell>
          <cell r="J18">
            <v>38025</v>
          </cell>
          <cell r="K18" t="str">
            <v>SU</v>
          </cell>
        </row>
        <row r="19">
          <cell r="A19" t="str">
            <v xml:space="preserve">C2 </v>
          </cell>
          <cell r="B19" t="str">
            <v>(3) SOUTH CONCOURSE</v>
          </cell>
          <cell r="E19">
            <v>37637</v>
          </cell>
          <cell r="F19" t="str">
            <v>WK 03</v>
          </cell>
          <cell r="J19">
            <v>38032</v>
          </cell>
          <cell r="K19" t="str">
            <v>SU</v>
          </cell>
        </row>
        <row r="20">
          <cell r="E20">
            <v>37638</v>
          </cell>
          <cell r="F20" t="str">
            <v>WK 03</v>
          </cell>
          <cell r="J20">
            <v>38039</v>
          </cell>
          <cell r="K20" t="str">
            <v>SU</v>
          </cell>
        </row>
        <row r="21">
          <cell r="A21" t="str">
            <v xml:space="preserve">SW </v>
          </cell>
          <cell r="B21" t="str">
            <v>(1) SAWCUTTING</v>
          </cell>
          <cell r="E21">
            <v>37639</v>
          </cell>
          <cell r="F21" t="str">
            <v>WK 03</v>
          </cell>
          <cell r="J21">
            <v>38046</v>
          </cell>
          <cell r="K21" t="str">
            <v>SU</v>
          </cell>
        </row>
        <row r="22">
          <cell r="A22" t="str">
            <v xml:space="preserve">EX </v>
          </cell>
          <cell r="B22" t="str">
            <v>(2) EXCAVATION</v>
          </cell>
          <cell r="E22">
            <v>37640</v>
          </cell>
          <cell r="F22" t="str">
            <v>WK 03</v>
          </cell>
          <cell r="J22">
            <v>38053</v>
          </cell>
          <cell r="K22" t="str">
            <v>SU</v>
          </cell>
        </row>
        <row r="23">
          <cell r="A23" t="str">
            <v xml:space="preserve">LC </v>
          </cell>
          <cell r="B23" t="str">
            <v>(3) LEAN CONCRETE</v>
          </cell>
          <cell r="E23">
            <v>37641</v>
          </cell>
          <cell r="F23" t="str">
            <v>WK 04</v>
          </cell>
          <cell r="J23">
            <v>38060</v>
          </cell>
          <cell r="K23" t="str">
            <v>SU</v>
          </cell>
        </row>
        <row r="24">
          <cell r="A24" t="str">
            <v xml:space="preserve">RE </v>
          </cell>
          <cell r="B24" t="str">
            <v>(4) REBAR</v>
          </cell>
          <cell r="E24">
            <v>37642</v>
          </cell>
          <cell r="F24" t="str">
            <v>WK 04</v>
          </cell>
          <cell r="J24">
            <v>38067</v>
          </cell>
          <cell r="K24" t="str">
            <v>SU</v>
          </cell>
        </row>
        <row r="25">
          <cell r="A25" t="str">
            <v xml:space="preserve">FM </v>
          </cell>
          <cell r="B25" t="str">
            <v>(5) FORMWORK</v>
          </cell>
          <cell r="E25">
            <v>37643</v>
          </cell>
          <cell r="F25" t="str">
            <v>WK 04</v>
          </cell>
          <cell r="J25">
            <v>38074</v>
          </cell>
          <cell r="K25" t="str">
            <v>SU</v>
          </cell>
        </row>
        <row r="26">
          <cell r="A26" t="str">
            <v xml:space="preserve">BW </v>
          </cell>
          <cell r="B26" t="str">
            <v>(7) BLOCK WALLS</v>
          </cell>
          <cell r="E26">
            <v>37644</v>
          </cell>
          <cell r="F26" t="str">
            <v>WK 04</v>
          </cell>
          <cell r="J26">
            <v>38081</v>
          </cell>
          <cell r="K26" t="str">
            <v>SU</v>
          </cell>
        </row>
        <row r="27">
          <cell r="A27" t="str">
            <v xml:space="preserve">CW </v>
          </cell>
          <cell r="B27" t="str">
            <v>(8) CEILING WORKS</v>
          </cell>
          <cell r="E27">
            <v>37645</v>
          </cell>
          <cell r="F27" t="str">
            <v>WK 04</v>
          </cell>
        </row>
        <row r="28">
          <cell r="A28" t="str">
            <v xml:space="preserve">TE </v>
          </cell>
          <cell r="B28" t="str">
            <v>(9) TERRAZO</v>
          </cell>
          <cell r="E28">
            <v>37646</v>
          </cell>
          <cell r="F28" t="str">
            <v>WK 04</v>
          </cell>
        </row>
        <row r="29">
          <cell r="E29">
            <v>37646</v>
          </cell>
          <cell r="F29" t="str">
            <v>WK 04</v>
          </cell>
        </row>
        <row r="30">
          <cell r="A30" t="str">
            <v xml:space="preserve">CN </v>
          </cell>
          <cell r="B30" t="str">
            <v>(6) CONCRETE</v>
          </cell>
          <cell r="E30">
            <v>37647</v>
          </cell>
          <cell r="F30" t="str">
            <v>WK 04</v>
          </cell>
        </row>
        <row r="31">
          <cell r="E31">
            <v>37648</v>
          </cell>
          <cell r="F31" t="str">
            <v>WK 05</v>
          </cell>
        </row>
        <row r="32">
          <cell r="E32">
            <v>37649</v>
          </cell>
          <cell r="F32" t="str">
            <v>WK 05</v>
          </cell>
        </row>
        <row r="33">
          <cell r="A33" t="str">
            <v xml:space="preserve">RF </v>
          </cell>
          <cell r="B33" t="str">
            <v>(7) REMOVE FORMWORK</v>
          </cell>
          <cell r="E33">
            <v>37650</v>
          </cell>
          <cell r="F33" t="str">
            <v>WK 05</v>
          </cell>
        </row>
        <row r="34">
          <cell r="E34">
            <v>37651</v>
          </cell>
          <cell r="F34" t="str">
            <v>WK 05</v>
          </cell>
        </row>
        <row r="35">
          <cell r="A35" t="str">
            <v xml:space="preserve">FT </v>
          </cell>
          <cell r="B35" t="str">
            <v>(6) CONCRETE</v>
          </cell>
          <cell r="E35">
            <v>37652</v>
          </cell>
          <cell r="F35" t="str">
            <v>WK 05</v>
          </cell>
        </row>
        <row r="36">
          <cell r="A36" t="str">
            <v xml:space="preserve">BF </v>
          </cell>
          <cell r="B36" t="str">
            <v>(8) BACKFILL</v>
          </cell>
          <cell r="E36">
            <v>37653</v>
          </cell>
          <cell r="F36" t="str">
            <v>WK 05</v>
          </cell>
        </row>
        <row r="37">
          <cell r="E37">
            <v>37654</v>
          </cell>
          <cell r="F37" t="str">
            <v>WK 05</v>
          </cell>
        </row>
        <row r="38">
          <cell r="A38" t="str">
            <v xml:space="preserve">ZP </v>
          </cell>
          <cell r="B38" t="str">
            <v>(1) FOOTINGS</v>
          </cell>
          <cell r="E38">
            <v>37655</v>
          </cell>
          <cell r="F38" t="str">
            <v>WK 06</v>
          </cell>
        </row>
        <row r="39">
          <cell r="A39" t="str">
            <v xml:space="preserve">CL </v>
          </cell>
          <cell r="B39" t="str">
            <v>(2) COLUMNS</v>
          </cell>
          <cell r="E39">
            <v>37656</v>
          </cell>
          <cell r="F39" t="str">
            <v>WK 06</v>
          </cell>
        </row>
        <row r="40">
          <cell r="A40" t="str">
            <v xml:space="preserve">SG </v>
          </cell>
          <cell r="B40" t="str">
            <v>(3) SLABS / SLABS ON GRADE</v>
          </cell>
          <cell r="E40">
            <v>37657</v>
          </cell>
          <cell r="F40" t="str">
            <v>WK 06</v>
          </cell>
        </row>
        <row r="41">
          <cell r="A41" t="str">
            <v xml:space="preserve">WL </v>
          </cell>
          <cell r="B41" t="str">
            <v>(5) WALLS</v>
          </cell>
          <cell r="E41">
            <v>37658</v>
          </cell>
          <cell r="F41" t="str">
            <v>WK 06</v>
          </cell>
        </row>
        <row r="42">
          <cell r="A42" t="str">
            <v xml:space="preserve">SL </v>
          </cell>
          <cell r="B42" t="str">
            <v>(4) ELEVATED SLABS</v>
          </cell>
          <cell r="E42">
            <v>37659</v>
          </cell>
          <cell r="F42" t="str">
            <v>WK 06</v>
          </cell>
        </row>
        <row r="43">
          <cell r="E43">
            <v>37660</v>
          </cell>
          <cell r="F43" t="str">
            <v>WK 06</v>
          </cell>
        </row>
        <row r="44">
          <cell r="E44">
            <v>37661</v>
          </cell>
          <cell r="F44" t="str">
            <v>WK 06</v>
          </cell>
        </row>
        <row r="45">
          <cell r="A45">
            <v>0</v>
          </cell>
          <cell r="B45" t="str">
            <v>(0) GROUND LEVEL</v>
          </cell>
          <cell r="E45">
            <v>37662</v>
          </cell>
          <cell r="F45" t="str">
            <v>WK 07</v>
          </cell>
        </row>
        <row r="46">
          <cell r="A46">
            <v>1</v>
          </cell>
          <cell r="B46" t="str">
            <v>(1) 1ST LEVEL</v>
          </cell>
          <cell r="E46">
            <v>37663</v>
          </cell>
          <cell r="F46" t="str">
            <v>WK 07</v>
          </cell>
        </row>
        <row r="47">
          <cell r="A47">
            <v>2</v>
          </cell>
          <cell r="B47" t="str">
            <v>(2) 2ND LEVEL</v>
          </cell>
          <cell r="E47">
            <v>37664</v>
          </cell>
          <cell r="F47" t="str">
            <v>WK 07</v>
          </cell>
        </row>
        <row r="48">
          <cell r="E48">
            <v>37665</v>
          </cell>
          <cell r="F48" t="str">
            <v>WK 07</v>
          </cell>
        </row>
        <row r="49">
          <cell r="E49">
            <v>37666</v>
          </cell>
          <cell r="F49" t="str">
            <v>WK 07</v>
          </cell>
        </row>
        <row r="50">
          <cell r="E50">
            <v>37667</v>
          </cell>
          <cell r="F50" t="str">
            <v>WK 07</v>
          </cell>
        </row>
        <row r="51">
          <cell r="E51">
            <v>37668</v>
          </cell>
          <cell r="F51" t="str">
            <v>WK 07</v>
          </cell>
        </row>
        <row r="52">
          <cell r="E52">
            <v>37669</v>
          </cell>
          <cell r="F52" t="str">
            <v>WK 08</v>
          </cell>
        </row>
        <row r="53">
          <cell r="E53">
            <v>37670</v>
          </cell>
          <cell r="F53" t="str">
            <v>WK 08</v>
          </cell>
        </row>
        <row r="54">
          <cell r="E54">
            <v>37671</v>
          </cell>
          <cell r="F54" t="str">
            <v>WK 08</v>
          </cell>
        </row>
        <row r="55">
          <cell r="E55">
            <v>37672</v>
          </cell>
          <cell r="F55" t="str">
            <v>WK 08</v>
          </cell>
        </row>
        <row r="56">
          <cell r="E56">
            <v>37673</v>
          </cell>
          <cell r="F56" t="str">
            <v>WK 08</v>
          </cell>
        </row>
        <row r="57">
          <cell r="E57">
            <v>37674</v>
          </cell>
          <cell r="F57" t="str">
            <v>WK 08</v>
          </cell>
        </row>
        <row r="58">
          <cell r="E58">
            <v>37675</v>
          </cell>
          <cell r="F58" t="str">
            <v>WK 08</v>
          </cell>
        </row>
        <row r="59">
          <cell r="E59">
            <v>37676</v>
          </cell>
          <cell r="F59" t="str">
            <v>WK 09</v>
          </cell>
        </row>
        <row r="60">
          <cell r="E60">
            <v>37677</v>
          </cell>
          <cell r="F60" t="str">
            <v>WK 09</v>
          </cell>
        </row>
        <row r="61">
          <cell r="E61">
            <v>37678</v>
          </cell>
          <cell r="F61" t="str">
            <v>WK 09</v>
          </cell>
        </row>
        <row r="62">
          <cell r="E62">
            <v>37679</v>
          </cell>
          <cell r="F62" t="str">
            <v>WK 09</v>
          </cell>
        </row>
        <row r="63">
          <cell r="E63">
            <v>37680</v>
          </cell>
          <cell r="F63" t="str">
            <v>WK 09</v>
          </cell>
        </row>
        <row r="64">
          <cell r="E64">
            <v>37681</v>
          </cell>
          <cell r="F64" t="str">
            <v>WK 09</v>
          </cell>
        </row>
        <row r="65">
          <cell r="E65">
            <v>37682</v>
          </cell>
          <cell r="F65" t="str">
            <v>WK 09</v>
          </cell>
        </row>
        <row r="66">
          <cell r="E66">
            <v>37683</v>
          </cell>
          <cell r="F66" t="str">
            <v>WK 10</v>
          </cell>
        </row>
        <row r="67">
          <cell r="E67">
            <v>37684</v>
          </cell>
          <cell r="F67" t="str">
            <v>WK 10</v>
          </cell>
        </row>
        <row r="68">
          <cell r="E68">
            <v>37685</v>
          </cell>
          <cell r="F68" t="str">
            <v>WK 10</v>
          </cell>
        </row>
        <row r="69">
          <cell r="E69">
            <v>37686</v>
          </cell>
          <cell r="F69" t="str">
            <v>WK 10</v>
          </cell>
        </row>
        <row r="70">
          <cell r="E70">
            <v>37687</v>
          </cell>
          <cell r="F70" t="str">
            <v>WK 10</v>
          </cell>
        </row>
        <row r="71">
          <cell r="E71">
            <v>37688</v>
          </cell>
          <cell r="F71" t="str">
            <v>WK 10</v>
          </cell>
        </row>
        <row r="72">
          <cell r="E72">
            <v>37689</v>
          </cell>
          <cell r="F72" t="str">
            <v>WK 10</v>
          </cell>
        </row>
        <row r="73">
          <cell r="E73">
            <v>37690</v>
          </cell>
          <cell r="F73" t="str">
            <v>WK 11</v>
          </cell>
        </row>
        <row r="74">
          <cell r="E74">
            <v>37691</v>
          </cell>
          <cell r="F74" t="str">
            <v>WK 11</v>
          </cell>
        </row>
        <row r="75">
          <cell r="E75">
            <v>37692</v>
          </cell>
          <cell r="F75" t="str">
            <v>WK 11</v>
          </cell>
        </row>
        <row r="76">
          <cell r="E76">
            <v>37693</v>
          </cell>
          <cell r="F76" t="str">
            <v>WK 11</v>
          </cell>
        </row>
        <row r="77">
          <cell r="E77">
            <v>37694</v>
          </cell>
          <cell r="F77" t="str">
            <v>WK 11</v>
          </cell>
        </row>
        <row r="78">
          <cell r="E78">
            <v>37695</v>
          </cell>
          <cell r="F78" t="str">
            <v>WK 11</v>
          </cell>
        </row>
        <row r="79">
          <cell r="E79">
            <v>37696</v>
          </cell>
          <cell r="F79" t="str">
            <v>WK 11</v>
          </cell>
        </row>
        <row r="80">
          <cell r="E80">
            <v>37697</v>
          </cell>
          <cell r="F80" t="str">
            <v>WK 12</v>
          </cell>
        </row>
        <row r="81">
          <cell r="E81">
            <v>37698</v>
          </cell>
          <cell r="F81" t="str">
            <v>WK 12</v>
          </cell>
        </row>
        <row r="82">
          <cell r="E82">
            <v>37699</v>
          </cell>
          <cell r="F82" t="str">
            <v>WK 12</v>
          </cell>
        </row>
        <row r="83">
          <cell r="E83">
            <v>37700</v>
          </cell>
          <cell r="F83" t="str">
            <v>WK 12</v>
          </cell>
        </row>
        <row r="84">
          <cell r="E84">
            <v>37701</v>
          </cell>
          <cell r="F84" t="str">
            <v>WK 12</v>
          </cell>
        </row>
        <row r="85">
          <cell r="E85">
            <v>37702</v>
          </cell>
          <cell r="F85" t="str">
            <v>WK 12</v>
          </cell>
        </row>
        <row r="86">
          <cell r="E86">
            <v>37703</v>
          </cell>
          <cell r="F86" t="str">
            <v>WK 12</v>
          </cell>
        </row>
        <row r="87">
          <cell r="E87">
            <v>37704</v>
          </cell>
          <cell r="F87" t="str">
            <v>WK 13</v>
          </cell>
        </row>
        <row r="88">
          <cell r="E88">
            <v>37705</v>
          </cell>
          <cell r="F88" t="str">
            <v>WK 13</v>
          </cell>
        </row>
        <row r="89">
          <cell r="E89">
            <v>37706</v>
          </cell>
          <cell r="F89" t="str">
            <v>WK 13</v>
          </cell>
        </row>
        <row r="90">
          <cell r="E90">
            <v>37707</v>
          </cell>
          <cell r="F90" t="str">
            <v>WK 13</v>
          </cell>
        </row>
        <row r="91">
          <cell r="E91">
            <v>37708</v>
          </cell>
          <cell r="F91" t="str">
            <v>WK 13</v>
          </cell>
        </row>
        <row r="92">
          <cell r="E92">
            <v>37709</v>
          </cell>
          <cell r="F92" t="str">
            <v>WK 13</v>
          </cell>
        </row>
        <row r="93">
          <cell r="E93">
            <v>37710</v>
          </cell>
          <cell r="F93" t="str">
            <v>WK 13</v>
          </cell>
        </row>
        <row r="94">
          <cell r="E94">
            <v>37711</v>
          </cell>
          <cell r="F94" t="str">
            <v>WK 14</v>
          </cell>
        </row>
        <row r="95">
          <cell r="E95">
            <v>37712</v>
          </cell>
          <cell r="F95" t="str">
            <v>WK 14</v>
          </cell>
        </row>
        <row r="96">
          <cell r="E96">
            <v>37713</v>
          </cell>
          <cell r="F96" t="str">
            <v>WK 14</v>
          </cell>
        </row>
        <row r="97">
          <cell r="E97">
            <v>37714</v>
          </cell>
          <cell r="F97" t="str">
            <v>WK 14</v>
          </cell>
        </row>
        <row r="98">
          <cell r="E98">
            <v>37715</v>
          </cell>
          <cell r="F98" t="str">
            <v>WK 14</v>
          </cell>
        </row>
        <row r="99">
          <cell r="E99">
            <v>37716</v>
          </cell>
          <cell r="F99" t="str">
            <v>WK 14</v>
          </cell>
        </row>
        <row r="100">
          <cell r="E100">
            <v>37717</v>
          </cell>
          <cell r="F100" t="str">
            <v>WK 14</v>
          </cell>
        </row>
        <row r="101">
          <cell r="E101">
            <v>37718</v>
          </cell>
          <cell r="F101" t="str">
            <v>WK 15</v>
          </cell>
        </row>
        <row r="102">
          <cell r="E102">
            <v>37719</v>
          </cell>
          <cell r="F102" t="str">
            <v>WK 15</v>
          </cell>
        </row>
        <row r="103">
          <cell r="E103">
            <v>37720</v>
          </cell>
          <cell r="F103" t="str">
            <v>WK 15</v>
          </cell>
        </row>
        <row r="104">
          <cell r="E104">
            <v>37721</v>
          </cell>
          <cell r="F104" t="str">
            <v>WK 15</v>
          </cell>
        </row>
        <row r="105">
          <cell r="E105">
            <v>37722</v>
          </cell>
          <cell r="F105" t="str">
            <v>WK 15</v>
          </cell>
        </row>
        <row r="106">
          <cell r="E106">
            <v>37723</v>
          </cell>
          <cell r="F106" t="str">
            <v>WK 15</v>
          </cell>
        </row>
        <row r="107">
          <cell r="E107">
            <v>37724</v>
          </cell>
          <cell r="F107" t="str">
            <v>WK 15</v>
          </cell>
        </row>
        <row r="108">
          <cell r="E108">
            <v>37725</v>
          </cell>
          <cell r="F108" t="str">
            <v>WK 16</v>
          </cell>
        </row>
        <row r="109">
          <cell r="E109">
            <v>37726</v>
          </cell>
          <cell r="F109" t="str">
            <v>WK 16</v>
          </cell>
        </row>
        <row r="110">
          <cell r="E110">
            <v>37727</v>
          </cell>
          <cell r="F110" t="str">
            <v>WK 16</v>
          </cell>
        </row>
        <row r="111">
          <cell r="E111">
            <v>37728</v>
          </cell>
          <cell r="F111" t="str">
            <v>WK 16</v>
          </cell>
        </row>
        <row r="112">
          <cell r="E112">
            <v>37729</v>
          </cell>
          <cell r="F112" t="str">
            <v>WK 16</v>
          </cell>
        </row>
        <row r="113">
          <cell r="E113">
            <v>37730</v>
          </cell>
          <cell r="F113" t="str">
            <v>WK 16</v>
          </cell>
        </row>
        <row r="114">
          <cell r="E114">
            <v>37731</v>
          </cell>
          <cell r="F114" t="str">
            <v>WK 16</v>
          </cell>
        </row>
        <row r="115">
          <cell r="E115">
            <v>37732</v>
          </cell>
          <cell r="F115" t="str">
            <v>WK 17</v>
          </cell>
        </row>
        <row r="116">
          <cell r="E116">
            <v>37733</v>
          </cell>
          <cell r="F116" t="str">
            <v>WK 17</v>
          </cell>
        </row>
        <row r="117">
          <cell r="E117">
            <v>37734</v>
          </cell>
          <cell r="F117" t="str">
            <v>WK 17</v>
          </cell>
        </row>
        <row r="118">
          <cell r="E118">
            <v>37735</v>
          </cell>
          <cell r="F118" t="str">
            <v>WK 17</v>
          </cell>
        </row>
        <row r="119">
          <cell r="E119">
            <v>37736</v>
          </cell>
          <cell r="F119" t="str">
            <v>WK 17</v>
          </cell>
        </row>
        <row r="120">
          <cell r="E120">
            <v>37737</v>
          </cell>
          <cell r="F120" t="str">
            <v>WK 17</v>
          </cell>
        </row>
        <row r="121">
          <cell r="E121">
            <v>37738</v>
          </cell>
          <cell r="F121" t="str">
            <v>WK 17</v>
          </cell>
        </row>
        <row r="122">
          <cell r="E122">
            <v>37739</v>
          </cell>
          <cell r="F122" t="str">
            <v>WK 18</v>
          </cell>
        </row>
        <row r="123">
          <cell r="E123">
            <v>37740</v>
          </cell>
          <cell r="F123" t="str">
            <v>WK 18</v>
          </cell>
        </row>
        <row r="124">
          <cell r="E124">
            <v>37741</v>
          </cell>
          <cell r="F124" t="str">
            <v>WK 18</v>
          </cell>
        </row>
        <row r="125">
          <cell r="E125">
            <v>37742</v>
          </cell>
          <cell r="F125" t="str">
            <v>WK 18</v>
          </cell>
        </row>
        <row r="126">
          <cell r="E126">
            <v>37743</v>
          </cell>
          <cell r="F126" t="str">
            <v>WK 18</v>
          </cell>
        </row>
        <row r="127">
          <cell r="E127">
            <v>37744</v>
          </cell>
          <cell r="F127" t="str">
            <v>WK 18</v>
          </cell>
        </row>
        <row r="128">
          <cell r="E128">
            <v>37745</v>
          </cell>
          <cell r="F128" t="str">
            <v>WK 18</v>
          </cell>
        </row>
        <row r="129">
          <cell r="E129">
            <v>37746</v>
          </cell>
          <cell r="F129" t="str">
            <v>WK 19</v>
          </cell>
        </row>
        <row r="130">
          <cell r="E130">
            <v>37747</v>
          </cell>
          <cell r="F130" t="str">
            <v>WK 19</v>
          </cell>
        </row>
        <row r="131">
          <cell r="E131">
            <v>37748</v>
          </cell>
          <cell r="F131" t="str">
            <v>WK 19</v>
          </cell>
        </row>
        <row r="132">
          <cell r="E132">
            <v>37749</v>
          </cell>
          <cell r="F132" t="str">
            <v>WK 19</v>
          </cell>
        </row>
        <row r="133">
          <cell r="E133">
            <v>37750</v>
          </cell>
          <cell r="F133" t="str">
            <v>WK 19</v>
          </cell>
        </row>
        <row r="134">
          <cell r="E134">
            <v>37751</v>
          </cell>
          <cell r="F134" t="str">
            <v>WK 19</v>
          </cell>
        </row>
        <row r="135">
          <cell r="E135">
            <v>37752</v>
          </cell>
          <cell r="F135" t="str">
            <v>WK 19</v>
          </cell>
        </row>
        <row r="136">
          <cell r="E136">
            <v>37753</v>
          </cell>
          <cell r="F136" t="str">
            <v>WK 20</v>
          </cell>
        </row>
        <row r="137">
          <cell r="E137">
            <v>37754</v>
          </cell>
          <cell r="F137" t="str">
            <v>WK 20</v>
          </cell>
        </row>
        <row r="138">
          <cell r="E138">
            <v>37755</v>
          </cell>
          <cell r="F138" t="str">
            <v>WK 20</v>
          </cell>
        </row>
        <row r="139">
          <cell r="E139">
            <v>37756</v>
          </cell>
          <cell r="F139" t="str">
            <v>WK 20</v>
          </cell>
        </row>
        <row r="140">
          <cell r="E140">
            <v>37757</v>
          </cell>
          <cell r="F140" t="str">
            <v>WK 20</v>
          </cell>
        </row>
        <row r="141">
          <cell r="E141">
            <v>37758</v>
          </cell>
          <cell r="F141" t="str">
            <v>WK 20</v>
          </cell>
        </row>
        <row r="142">
          <cell r="E142">
            <v>37759</v>
          </cell>
          <cell r="F142" t="str">
            <v>WK 20</v>
          </cell>
        </row>
        <row r="143">
          <cell r="E143">
            <v>37760</v>
          </cell>
          <cell r="F143" t="str">
            <v>WK 21</v>
          </cell>
        </row>
        <row r="144">
          <cell r="E144">
            <v>37761</v>
          </cell>
          <cell r="F144" t="str">
            <v>WK 21</v>
          </cell>
        </row>
        <row r="145">
          <cell r="E145">
            <v>37762</v>
          </cell>
          <cell r="F145" t="str">
            <v>WK 21</v>
          </cell>
        </row>
        <row r="146">
          <cell r="E146">
            <v>37763</v>
          </cell>
          <cell r="F146" t="str">
            <v>WK 21</v>
          </cell>
        </row>
        <row r="147">
          <cell r="E147">
            <v>37764</v>
          </cell>
          <cell r="F147" t="str">
            <v>WK 21</v>
          </cell>
        </row>
        <row r="148">
          <cell r="E148">
            <v>37765</v>
          </cell>
          <cell r="F148" t="str">
            <v>WK 21</v>
          </cell>
        </row>
        <row r="149">
          <cell r="E149">
            <v>37766</v>
          </cell>
          <cell r="F149" t="str">
            <v>WK 21</v>
          </cell>
        </row>
        <row r="150">
          <cell r="E150">
            <v>37767</v>
          </cell>
          <cell r="F150" t="str">
            <v>WK 22</v>
          </cell>
        </row>
        <row r="151">
          <cell r="E151">
            <v>37768</v>
          </cell>
          <cell r="F151" t="str">
            <v>WK 22</v>
          </cell>
        </row>
        <row r="152">
          <cell r="E152">
            <v>37769</v>
          </cell>
          <cell r="F152" t="str">
            <v>WK 22</v>
          </cell>
        </row>
        <row r="153">
          <cell r="E153">
            <v>37770</v>
          </cell>
          <cell r="F153" t="str">
            <v>WK 22</v>
          </cell>
        </row>
        <row r="154">
          <cell r="E154">
            <v>37771</v>
          </cell>
          <cell r="F154" t="str">
            <v>WK 22</v>
          </cell>
        </row>
        <row r="155">
          <cell r="E155">
            <v>37772</v>
          </cell>
          <cell r="F155" t="str">
            <v>WK 22</v>
          </cell>
        </row>
        <row r="156">
          <cell r="E156">
            <v>37773</v>
          </cell>
          <cell r="F156" t="str">
            <v>WK 22</v>
          </cell>
        </row>
        <row r="157">
          <cell r="E157">
            <v>37774</v>
          </cell>
          <cell r="F157" t="str">
            <v>WK 23</v>
          </cell>
        </row>
        <row r="158">
          <cell r="E158">
            <v>37775</v>
          </cell>
          <cell r="F158" t="str">
            <v>WK 23</v>
          </cell>
        </row>
        <row r="159">
          <cell r="E159">
            <v>37776</v>
          </cell>
          <cell r="F159" t="str">
            <v>WK 23</v>
          </cell>
        </row>
        <row r="160">
          <cell r="E160">
            <v>37777</v>
          </cell>
          <cell r="F160" t="str">
            <v>WK 23</v>
          </cell>
        </row>
        <row r="161">
          <cell r="E161">
            <v>37778</v>
          </cell>
          <cell r="F161" t="str">
            <v>WK 23</v>
          </cell>
        </row>
        <row r="162">
          <cell r="E162">
            <v>37779</v>
          </cell>
          <cell r="F162" t="str">
            <v>WK 23</v>
          </cell>
        </row>
        <row r="163">
          <cell r="E163">
            <v>37780</v>
          </cell>
          <cell r="F163" t="str">
            <v>WK 23</v>
          </cell>
        </row>
        <row r="164">
          <cell r="E164">
            <v>37781</v>
          </cell>
          <cell r="F164" t="str">
            <v>WK 24</v>
          </cell>
        </row>
        <row r="165">
          <cell r="E165">
            <v>37782</v>
          </cell>
          <cell r="F165" t="str">
            <v>WK 24</v>
          </cell>
        </row>
        <row r="166">
          <cell r="E166">
            <v>37783</v>
          </cell>
          <cell r="F166" t="str">
            <v>WK 24</v>
          </cell>
        </row>
        <row r="167">
          <cell r="E167">
            <v>37784</v>
          </cell>
          <cell r="F167" t="str">
            <v>WK 24</v>
          </cell>
        </row>
        <row r="168">
          <cell r="E168">
            <v>37785</v>
          </cell>
          <cell r="F168" t="str">
            <v>WK 24</v>
          </cell>
        </row>
        <row r="169">
          <cell r="E169">
            <v>37786</v>
          </cell>
          <cell r="F169" t="str">
            <v>WK 24</v>
          </cell>
        </row>
        <row r="170">
          <cell r="E170">
            <v>37787</v>
          </cell>
          <cell r="F170" t="str">
            <v>WK 24</v>
          </cell>
        </row>
        <row r="171">
          <cell r="E171">
            <v>37788</v>
          </cell>
          <cell r="F171" t="str">
            <v>WK 25</v>
          </cell>
        </row>
        <row r="172">
          <cell r="E172">
            <v>37789</v>
          </cell>
          <cell r="F172" t="str">
            <v>WK 25</v>
          </cell>
        </row>
        <row r="173">
          <cell r="E173">
            <v>37790</v>
          </cell>
          <cell r="F173" t="str">
            <v>WK 25</v>
          </cell>
        </row>
        <row r="174">
          <cell r="E174">
            <v>37791</v>
          </cell>
          <cell r="F174" t="str">
            <v>WK 25</v>
          </cell>
        </row>
        <row r="175">
          <cell r="E175">
            <v>37792</v>
          </cell>
          <cell r="F175" t="str">
            <v>WK 25</v>
          </cell>
        </row>
        <row r="176">
          <cell r="E176">
            <v>37793</v>
          </cell>
          <cell r="F176" t="str">
            <v>WK 25</v>
          </cell>
        </row>
        <row r="177">
          <cell r="E177">
            <v>37794</v>
          </cell>
          <cell r="F177" t="str">
            <v>WK 25</v>
          </cell>
        </row>
        <row r="178">
          <cell r="E178">
            <v>37795</v>
          </cell>
          <cell r="F178" t="str">
            <v>WK 26</v>
          </cell>
        </row>
        <row r="179">
          <cell r="E179">
            <v>37796</v>
          </cell>
          <cell r="F179" t="str">
            <v>WK 26</v>
          </cell>
        </row>
        <row r="180">
          <cell r="E180">
            <v>37797</v>
          </cell>
          <cell r="F180" t="str">
            <v>WK 26</v>
          </cell>
        </row>
        <row r="181">
          <cell r="E181">
            <v>37798</v>
          </cell>
          <cell r="F181" t="str">
            <v>WK 26</v>
          </cell>
        </row>
        <row r="182">
          <cell r="E182">
            <v>37799</v>
          </cell>
          <cell r="F182" t="str">
            <v>WK 26</v>
          </cell>
        </row>
        <row r="183">
          <cell r="E183">
            <v>37800</v>
          </cell>
          <cell r="F183" t="str">
            <v>WK 26</v>
          </cell>
        </row>
        <row r="184">
          <cell r="E184">
            <v>37801</v>
          </cell>
          <cell r="F184" t="str">
            <v>WK 26</v>
          </cell>
        </row>
        <row r="185">
          <cell r="E185">
            <v>37802</v>
          </cell>
          <cell r="F185" t="str">
            <v>WK 27</v>
          </cell>
        </row>
        <row r="186">
          <cell r="E186">
            <v>37803</v>
          </cell>
          <cell r="F186" t="str">
            <v>WK 27</v>
          </cell>
        </row>
        <row r="187">
          <cell r="E187">
            <v>37804</v>
          </cell>
          <cell r="F187" t="str">
            <v>WK 27</v>
          </cell>
        </row>
        <row r="188">
          <cell r="E188">
            <v>37805</v>
          </cell>
          <cell r="F188" t="str">
            <v>WK 27</v>
          </cell>
        </row>
        <row r="189">
          <cell r="E189">
            <v>37806</v>
          </cell>
          <cell r="F189" t="str">
            <v>WK 27</v>
          </cell>
        </row>
        <row r="190">
          <cell r="E190">
            <v>37807</v>
          </cell>
          <cell r="F190" t="str">
            <v>WK 27</v>
          </cell>
        </row>
        <row r="191">
          <cell r="E191">
            <v>37808</v>
          </cell>
          <cell r="F191" t="str">
            <v>WK 27</v>
          </cell>
        </row>
        <row r="192">
          <cell r="E192">
            <v>37809</v>
          </cell>
          <cell r="F192" t="str">
            <v>WK 28</v>
          </cell>
        </row>
        <row r="193">
          <cell r="E193">
            <v>37810</v>
          </cell>
          <cell r="F193" t="str">
            <v>WK 28</v>
          </cell>
        </row>
        <row r="194">
          <cell r="E194">
            <v>37811</v>
          </cell>
          <cell r="F194" t="str">
            <v>WK 28</v>
          </cell>
        </row>
        <row r="195">
          <cell r="E195">
            <v>37812</v>
          </cell>
          <cell r="F195" t="str">
            <v>WK 28</v>
          </cell>
        </row>
        <row r="196">
          <cell r="E196">
            <v>37813</v>
          </cell>
          <cell r="F196" t="str">
            <v>WK 28</v>
          </cell>
        </row>
        <row r="197">
          <cell r="E197">
            <v>37814</v>
          </cell>
          <cell r="F197" t="str">
            <v>WK 28</v>
          </cell>
        </row>
        <row r="198">
          <cell r="E198">
            <v>37815</v>
          </cell>
          <cell r="F198" t="str">
            <v>WK 28</v>
          </cell>
        </row>
        <row r="199">
          <cell r="E199">
            <v>37816</v>
          </cell>
          <cell r="F199" t="str">
            <v>WK 29</v>
          </cell>
        </row>
        <row r="200">
          <cell r="E200">
            <v>37817</v>
          </cell>
          <cell r="F200" t="str">
            <v>WK 29</v>
          </cell>
        </row>
        <row r="201">
          <cell r="E201">
            <v>37818</v>
          </cell>
          <cell r="F201" t="str">
            <v>WK 29</v>
          </cell>
        </row>
        <row r="202">
          <cell r="E202">
            <v>37819</v>
          </cell>
          <cell r="F202" t="str">
            <v>WK 29</v>
          </cell>
        </row>
        <row r="203">
          <cell r="E203">
            <v>37820</v>
          </cell>
          <cell r="F203" t="str">
            <v>WK 29</v>
          </cell>
        </row>
        <row r="204">
          <cell r="E204">
            <v>37821</v>
          </cell>
          <cell r="F204" t="str">
            <v>WK 29</v>
          </cell>
        </row>
        <row r="205">
          <cell r="E205">
            <v>37822</v>
          </cell>
          <cell r="F205" t="str">
            <v>WK 29</v>
          </cell>
        </row>
        <row r="206">
          <cell r="E206">
            <v>37823</v>
          </cell>
          <cell r="F206" t="str">
            <v>WK 30</v>
          </cell>
        </row>
        <row r="207">
          <cell r="E207">
            <v>37824</v>
          </cell>
          <cell r="F207" t="str">
            <v>WK 30</v>
          </cell>
        </row>
        <row r="208">
          <cell r="E208">
            <v>37825</v>
          </cell>
          <cell r="F208" t="str">
            <v>WK 30</v>
          </cell>
        </row>
        <row r="209">
          <cell r="E209">
            <v>37826</v>
          </cell>
          <cell r="F209" t="str">
            <v>WK 30</v>
          </cell>
        </row>
        <row r="210">
          <cell r="E210">
            <v>37827</v>
          </cell>
          <cell r="F210" t="str">
            <v>WK 30</v>
          </cell>
        </row>
        <row r="211">
          <cell r="E211">
            <v>37828</v>
          </cell>
          <cell r="F211" t="str">
            <v>WK 30</v>
          </cell>
        </row>
        <row r="212">
          <cell r="E212">
            <v>37829</v>
          </cell>
          <cell r="F212" t="str">
            <v>WK 30</v>
          </cell>
        </row>
        <row r="213">
          <cell r="E213">
            <v>37830</v>
          </cell>
          <cell r="F213" t="str">
            <v>WK 31</v>
          </cell>
        </row>
        <row r="214">
          <cell r="E214">
            <v>37831</v>
          </cell>
          <cell r="F214" t="str">
            <v>WK 31</v>
          </cell>
        </row>
        <row r="215">
          <cell r="E215">
            <v>37832</v>
          </cell>
          <cell r="F215" t="str">
            <v>WK 31</v>
          </cell>
        </row>
        <row r="216">
          <cell r="E216">
            <v>37833</v>
          </cell>
          <cell r="F216" t="str">
            <v>WK 31</v>
          </cell>
        </row>
        <row r="217">
          <cell r="E217">
            <v>37834</v>
          </cell>
          <cell r="F217" t="str">
            <v>WK 31</v>
          </cell>
        </row>
        <row r="218">
          <cell r="E218">
            <v>37835</v>
          </cell>
          <cell r="F218" t="str">
            <v>WK 31</v>
          </cell>
        </row>
        <row r="219">
          <cell r="E219">
            <v>37836</v>
          </cell>
          <cell r="F219" t="str">
            <v>WK 31</v>
          </cell>
        </row>
        <row r="220">
          <cell r="E220">
            <v>37837</v>
          </cell>
          <cell r="F220" t="str">
            <v>WK 32</v>
          </cell>
        </row>
        <row r="221">
          <cell r="E221">
            <v>37838</v>
          </cell>
          <cell r="F221" t="str">
            <v>WK 32</v>
          </cell>
        </row>
        <row r="222">
          <cell r="E222">
            <v>37839</v>
          </cell>
          <cell r="F222" t="str">
            <v>WK 32</v>
          </cell>
        </row>
        <row r="223">
          <cell r="E223">
            <v>37840</v>
          </cell>
          <cell r="F223" t="str">
            <v>WK 32</v>
          </cell>
        </row>
        <row r="224">
          <cell r="E224">
            <v>37841</v>
          </cell>
          <cell r="F224" t="str">
            <v>WK 32</v>
          </cell>
        </row>
        <row r="225">
          <cell r="E225">
            <v>37842</v>
          </cell>
          <cell r="F225" t="str">
            <v>WK 32</v>
          </cell>
        </row>
        <row r="226">
          <cell r="E226">
            <v>37843</v>
          </cell>
          <cell r="F226" t="str">
            <v>WK 32</v>
          </cell>
        </row>
        <row r="227">
          <cell r="E227">
            <v>37844</v>
          </cell>
          <cell r="F227" t="str">
            <v>WK 33</v>
          </cell>
        </row>
        <row r="228">
          <cell r="E228">
            <v>37845</v>
          </cell>
          <cell r="F228" t="str">
            <v>WK 33</v>
          </cell>
        </row>
        <row r="229">
          <cell r="E229">
            <v>37846</v>
          </cell>
          <cell r="F229" t="str">
            <v>WK 33</v>
          </cell>
        </row>
        <row r="230">
          <cell r="E230">
            <v>37847</v>
          </cell>
          <cell r="F230" t="str">
            <v>WK 33</v>
          </cell>
        </row>
        <row r="231">
          <cell r="E231">
            <v>37848</v>
          </cell>
          <cell r="F231" t="str">
            <v>WK 33</v>
          </cell>
        </row>
        <row r="232">
          <cell r="E232">
            <v>37849</v>
          </cell>
          <cell r="F232" t="str">
            <v>WK 33</v>
          </cell>
        </row>
        <row r="233">
          <cell r="E233">
            <v>37850</v>
          </cell>
          <cell r="F233" t="str">
            <v>WK 33</v>
          </cell>
        </row>
        <row r="234">
          <cell r="E234">
            <v>37851</v>
          </cell>
          <cell r="F234" t="str">
            <v>WK 34</v>
          </cell>
        </row>
        <row r="235">
          <cell r="E235">
            <v>37852</v>
          </cell>
          <cell r="F235" t="str">
            <v>WK 34</v>
          </cell>
        </row>
        <row r="236">
          <cell r="E236">
            <v>37853</v>
          </cell>
          <cell r="F236" t="str">
            <v>WK 34</v>
          </cell>
        </row>
        <row r="237">
          <cell r="E237">
            <v>37854</v>
          </cell>
          <cell r="F237" t="str">
            <v>WK 34</v>
          </cell>
        </row>
        <row r="238">
          <cell r="E238">
            <v>37855</v>
          </cell>
          <cell r="F238" t="str">
            <v>WK 34</v>
          </cell>
        </row>
        <row r="239">
          <cell r="E239">
            <v>37856</v>
          </cell>
          <cell r="F239" t="str">
            <v>WK 34</v>
          </cell>
        </row>
        <row r="240">
          <cell r="E240">
            <v>37857</v>
          </cell>
          <cell r="F240" t="str">
            <v>WK 34</v>
          </cell>
        </row>
        <row r="241">
          <cell r="E241">
            <v>37858</v>
          </cell>
          <cell r="F241" t="str">
            <v>WK 35</v>
          </cell>
        </row>
        <row r="242">
          <cell r="E242">
            <v>37859</v>
          </cell>
          <cell r="F242" t="str">
            <v>WK 35</v>
          </cell>
        </row>
        <row r="243">
          <cell r="E243">
            <v>37860</v>
          </cell>
          <cell r="F243" t="str">
            <v>WK 35</v>
          </cell>
        </row>
        <row r="244">
          <cell r="E244">
            <v>37861</v>
          </cell>
          <cell r="F244" t="str">
            <v>WK 35</v>
          </cell>
        </row>
        <row r="245">
          <cell r="E245">
            <v>37862</v>
          </cell>
          <cell r="F245" t="str">
            <v>WK 35</v>
          </cell>
        </row>
        <row r="246">
          <cell r="E246">
            <v>37863</v>
          </cell>
          <cell r="F246" t="str">
            <v>WK 35</v>
          </cell>
        </row>
        <row r="247">
          <cell r="E247">
            <v>37864</v>
          </cell>
          <cell r="F247" t="str">
            <v>WK 35</v>
          </cell>
        </row>
        <row r="248">
          <cell r="E248">
            <v>37865</v>
          </cell>
          <cell r="F248" t="str">
            <v>WK 36</v>
          </cell>
        </row>
        <row r="249">
          <cell r="E249">
            <v>37866</v>
          </cell>
          <cell r="F249" t="str">
            <v>WK 36</v>
          </cell>
        </row>
        <row r="250">
          <cell r="E250">
            <v>37867</v>
          </cell>
          <cell r="F250" t="str">
            <v>WK 36</v>
          </cell>
        </row>
        <row r="251">
          <cell r="E251">
            <v>37868</v>
          </cell>
          <cell r="F251" t="str">
            <v>WK 36</v>
          </cell>
        </row>
        <row r="252">
          <cell r="E252">
            <v>37869</v>
          </cell>
          <cell r="F252" t="str">
            <v>WK 36</v>
          </cell>
        </row>
        <row r="253">
          <cell r="E253">
            <v>37870</v>
          </cell>
          <cell r="F253" t="str">
            <v>WK 36</v>
          </cell>
        </row>
        <row r="254">
          <cell r="E254">
            <v>37871</v>
          </cell>
          <cell r="F254" t="str">
            <v>WK 36</v>
          </cell>
        </row>
        <row r="255">
          <cell r="E255">
            <v>37872</v>
          </cell>
          <cell r="F255" t="str">
            <v>WK 37</v>
          </cell>
        </row>
        <row r="256">
          <cell r="E256">
            <v>37873</v>
          </cell>
          <cell r="F256" t="str">
            <v>WK 37</v>
          </cell>
        </row>
        <row r="257">
          <cell r="E257">
            <v>37874</v>
          </cell>
          <cell r="F257" t="str">
            <v>WK 37</v>
          </cell>
        </row>
        <row r="258">
          <cell r="E258">
            <v>37875</v>
          </cell>
          <cell r="F258" t="str">
            <v>WK 37</v>
          </cell>
        </row>
        <row r="259">
          <cell r="E259">
            <v>37876</v>
          </cell>
          <cell r="F259" t="str">
            <v>WK 37</v>
          </cell>
        </row>
        <row r="260">
          <cell r="E260">
            <v>37877</v>
          </cell>
          <cell r="F260" t="str">
            <v>WK 37</v>
          </cell>
        </row>
        <row r="261">
          <cell r="E261">
            <v>37878</v>
          </cell>
          <cell r="F261" t="str">
            <v>WK 37</v>
          </cell>
        </row>
        <row r="262">
          <cell r="E262">
            <v>37879</v>
          </cell>
          <cell r="F262" t="str">
            <v>WK 38</v>
          </cell>
        </row>
        <row r="263">
          <cell r="E263">
            <v>37880</v>
          </cell>
          <cell r="F263" t="str">
            <v>WK 38</v>
          </cell>
        </row>
        <row r="264">
          <cell r="E264">
            <v>37881</v>
          </cell>
          <cell r="F264" t="str">
            <v>WK 38</v>
          </cell>
        </row>
        <row r="265">
          <cell r="E265">
            <v>37882</v>
          </cell>
          <cell r="F265" t="str">
            <v>WK 38</v>
          </cell>
        </row>
        <row r="266">
          <cell r="E266">
            <v>37883</v>
          </cell>
          <cell r="F266" t="str">
            <v>WK 38</v>
          </cell>
        </row>
        <row r="267">
          <cell r="E267">
            <v>37884</v>
          </cell>
          <cell r="F267" t="str">
            <v>WK 38</v>
          </cell>
        </row>
        <row r="268">
          <cell r="E268">
            <v>37885</v>
          </cell>
          <cell r="F268" t="str">
            <v>WK 38</v>
          </cell>
        </row>
        <row r="269">
          <cell r="E269">
            <v>37886</v>
          </cell>
          <cell r="F269" t="str">
            <v>WK 39</v>
          </cell>
        </row>
        <row r="270">
          <cell r="E270">
            <v>37887</v>
          </cell>
          <cell r="F270" t="str">
            <v>WK 39</v>
          </cell>
        </row>
        <row r="271">
          <cell r="E271">
            <v>37888</v>
          </cell>
          <cell r="F271" t="str">
            <v>WK 39</v>
          </cell>
        </row>
        <row r="272">
          <cell r="E272">
            <v>37889</v>
          </cell>
          <cell r="F272" t="str">
            <v>WK 39</v>
          </cell>
        </row>
        <row r="273">
          <cell r="E273">
            <v>37890</v>
          </cell>
          <cell r="F273" t="str">
            <v>WK 39</v>
          </cell>
        </row>
        <row r="274">
          <cell r="E274">
            <v>37891</v>
          </cell>
          <cell r="F274" t="str">
            <v>WK 39</v>
          </cell>
        </row>
        <row r="275">
          <cell r="E275">
            <v>37892</v>
          </cell>
          <cell r="F275" t="str">
            <v>WK 39</v>
          </cell>
        </row>
        <row r="276">
          <cell r="E276">
            <v>37893</v>
          </cell>
          <cell r="F276" t="str">
            <v>WK 40</v>
          </cell>
        </row>
        <row r="277">
          <cell r="E277">
            <v>37894</v>
          </cell>
          <cell r="F277" t="str">
            <v>WK 40</v>
          </cell>
        </row>
        <row r="278">
          <cell r="E278">
            <v>37895</v>
          </cell>
          <cell r="F278" t="str">
            <v>WK 40</v>
          </cell>
        </row>
        <row r="279">
          <cell r="E279">
            <v>37896</v>
          </cell>
          <cell r="F279" t="str">
            <v>WK 40</v>
          </cell>
        </row>
        <row r="280">
          <cell r="E280">
            <v>37897</v>
          </cell>
          <cell r="F280" t="str">
            <v>WK 40</v>
          </cell>
        </row>
        <row r="281">
          <cell r="E281">
            <v>37898</v>
          </cell>
          <cell r="F281" t="str">
            <v>WK 40</v>
          </cell>
        </row>
        <row r="282">
          <cell r="E282">
            <v>37899</v>
          </cell>
          <cell r="F282" t="str">
            <v>WK 40</v>
          </cell>
        </row>
        <row r="283">
          <cell r="E283">
            <v>37900</v>
          </cell>
          <cell r="F283" t="str">
            <v>WK 41</v>
          </cell>
        </row>
        <row r="284">
          <cell r="E284">
            <v>37901</v>
          </cell>
          <cell r="F284" t="str">
            <v>WK 41</v>
          </cell>
        </row>
        <row r="285">
          <cell r="E285">
            <v>37902</v>
          </cell>
          <cell r="F285" t="str">
            <v>WK 41</v>
          </cell>
        </row>
        <row r="286">
          <cell r="E286">
            <v>37903</v>
          </cell>
          <cell r="F286" t="str">
            <v>WK 41</v>
          </cell>
        </row>
        <row r="287">
          <cell r="E287">
            <v>37904</v>
          </cell>
          <cell r="F287" t="str">
            <v>WK 41</v>
          </cell>
        </row>
        <row r="288">
          <cell r="E288">
            <v>37905</v>
          </cell>
          <cell r="F288" t="str">
            <v>WK 41</v>
          </cell>
        </row>
        <row r="289">
          <cell r="E289">
            <v>37906</v>
          </cell>
          <cell r="F289" t="str">
            <v>WK 41</v>
          </cell>
        </row>
        <row r="290">
          <cell r="E290">
            <v>37907</v>
          </cell>
          <cell r="F290" t="str">
            <v>WK 42</v>
          </cell>
        </row>
        <row r="291">
          <cell r="E291">
            <v>37908</v>
          </cell>
          <cell r="F291" t="str">
            <v>WK 42</v>
          </cell>
        </row>
        <row r="292">
          <cell r="E292">
            <v>37909</v>
          </cell>
          <cell r="F292" t="str">
            <v>WK 42</v>
          </cell>
        </row>
        <row r="293">
          <cell r="E293">
            <v>37910</v>
          </cell>
          <cell r="F293" t="str">
            <v>WK 42</v>
          </cell>
        </row>
        <row r="294">
          <cell r="E294">
            <v>37911</v>
          </cell>
          <cell r="F294" t="str">
            <v>WK 42</v>
          </cell>
        </row>
        <row r="295">
          <cell r="E295">
            <v>37912</v>
          </cell>
          <cell r="F295" t="str">
            <v>WK 42</v>
          </cell>
        </row>
        <row r="296">
          <cell r="E296">
            <v>37913</v>
          </cell>
          <cell r="F296" t="str">
            <v>WK 42</v>
          </cell>
        </row>
        <row r="297">
          <cell r="E297">
            <v>37914</v>
          </cell>
          <cell r="F297" t="str">
            <v>WK 43</v>
          </cell>
        </row>
        <row r="298">
          <cell r="E298">
            <v>37915</v>
          </cell>
          <cell r="F298" t="str">
            <v>WK 43</v>
          </cell>
        </row>
        <row r="299">
          <cell r="E299">
            <v>37916</v>
          </cell>
          <cell r="F299" t="str">
            <v>WK 43</v>
          </cell>
        </row>
        <row r="300">
          <cell r="E300">
            <v>37917</v>
          </cell>
          <cell r="F300" t="str">
            <v>WK 43</v>
          </cell>
        </row>
        <row r="301">
          <cell r="E301">
            <v>37918</v>
          </cell>
          <cell r="F301" t="str">
            <v>WK 43</v>
          </cell>
        </row>
        <row r="302">
          <cell r="E302">
            <v>37919</v>
          </cell>
          <cell r="F302" t="str">
            <v>WK 43</v>
          </cell>
        </row>
        <row r="303">
          <cell r="E303">
            <v>37920</v>
          </cell>
          <cell r="F303" t="str">
            <v>WK 43</v>
          </cell>
        </row>
        <row r="304">
          <cell r="E304">
            <v>37921</v>
          </cell>
          <cell r="F304" t="str">
            <v>WK 44</v>
          </cell>
        </row>
        <row r="305">
          <cell r="E305">
            <v>37922</v>
          </cell>
          <cell r="F305" t="str">
            <v>WK 44</v>
          </cell>
        </row>
        <row r="306">
          <cell r="E306">
            <v>37923</v>
          </cell>
          <cell r="F306" t="str">
            <v>WK 44</v>
          </cell>
        </row>
        <row r="307">
          <cell r="E307">
            <v>37924</v>
          </cell>
          <cell r="F307" t="str">
            <v>WK 44</v>
          </cell>
        </row>
        <row r="308">
          <cell r="E308">
            <v>37925</v>
          </cell>
          <cell r="F308" t="str">
            <v>WK 44</v>
          </cell>
        </row>
        <row r="309">
          <cell r="E309">
            <v>37926</v>
          </cell>
          <cell r="F309" t="str">
            <v>WK 44</v>
          </cell>
        </row>
        <row r="310">
          <cell r="E310">
            <v>37927</v>
          </cell>
          <cell r="F310" t="str">
            <v>WK 44</v>
          </cell>
        </row>
        <row r="311">
          <cell r="E311">
            <v>37928</v>
          </cell>
          <cell r="F311" t="str">
            <v>WK 45</v>
          </cell>
        </row>
        <row r="312">
          <cell r="E312">
            <v>37929</v>
          </cell>
          <cell r="F312" t="str">
            <v>WK 45</v>
          </cell>
        </row>
        <row r="313">
          <cell r="E313">
            <v>37930</v>
          </cell>
          <cell r="F313" t="str">
            <v>WK 45</v>
          </cell>
        </row>
        <row r="314">
          <cell r="E314">
            <v>37931</v>
          </cell>
          <cell r="F314" t="str">
            <v>WK 45</v>
          </cell>
        </row>
        <row r="315">
          <cell r="E315">
            <v>37932</v>
          </cell>
          <cell r="F315" t="str">
            <v>WK 45</v>
          </cell>
        </row>
        <row r="316">
          <cell r="E316">
            <v>37933</v>
          </cell>
          <cell r="F316" t="str">
            <v>WK 45</v>
          </cell>
        </row>
        <row r="317">
          <cell r="E317">
            <v>37934</v>
          </cell>
          <cell r="F317" t="str">
            <v>WK 45</v>
          </cell>
        </row>
        <row r="318">
          <cell r="E318">
            <v>37935</v>
          </cell>
          <cell r="F318" t="str">
            <v>WK 46</v>
          </cell>
        </row>
        <row r="319">
          <cell r="E319">
            <v>37936</v>
          </cell>
          <cell r="F319" t="str">
            <v>WK 46</v>
          </cell>
        </row>
        <row r="320">
          <cell r="E320">
            <v>37937</v>
          </cell>
          <cell r="F320" t="str">
            <v>WK 46</v>
          </cell>
        </row>
        <row r="321">
          <cell r="E321">
            <v>37938</v>
          </cell>
          <cell r="F321" t="str">
            <v>WK 46</v>
          </cell>
        </row>
        <row r="322">
          <cell r="E322">
            <v>37939</v>
          </cell>
          <cell r="F322" t="str">
            <v>WK 46</v>
          </cell>
        </row>
        <row r="323">
          <cell r="E323">
            <v>37940</v>
          </cell>
          <cell r="F323" t="str">
            <v>WK 46</v>
          </cell>
        </row>
        <row r="324">
          <cell r="E324">
            <v>37941</v>
          </cell>
          <cell r="F324" t="str">
            <v>WK 46</v>
          </cell>
        </row>
        <row r="325">
          <cell r="E325">
            <v>37942</v>
          </cell>
          <cell r="F325" t="str">
            <v>WK 47</v>
          </cell>
        </row>
        <row r="326">
          <cell r="E326">
            <v>37943</v>
          </cell>
          <cell r="F326" t="str">
            <v>WK 47</v>
          </cell>
        </row>
        <row r="327">
          <cell r="E327">
            <v>37944</v>
          </cell>
          <cell r="F327" t="str">
            <v>WK 47</v>
          </cell>
        </row>
        <row r="328">
          <cell r="E328">
            <v>37945</v>
          </cell>
          <cell r="F328" t="str">
            <v>WK 47</v>
          </cell>
        </row>
        <row r="329">
          <cell r="E329">
            <v>37946</v>
          </cell>
          <cell r="F329" t="str">
            <v>WK 47</v>
          </cell>
        </row>
        <row r="330">
          <cell r="E330">
            <v>37947</v>
          </cell>
          <cell r="F330" t="str">
            <v>WK 47</v>
          </cell>
        </row>
        <row r="331">
          <cell r="E331">
            <v>37948</v>
          </cell>
          <cell r="F331" t="str">
            <v>WK 47</v>
          </cell>
        </row>
        <row r="332">
          <cell r="E332">
            <v>37949</v>
          </cell>
          <cell r="F332" t="str">
            <v>WK 48</v>
          </cell>
        </row>
        <row r="333">
          <cell r="E333">
            <v>37950</v>
          </cell>
          <cell r="F333" t="str">
            <v>WK 48</v>
          </cell>
        </row>
        <row r="334">
          <cell r="E334">
            <v>37951</v>
          </cell>
          <cell r="F334" t="str">
            <v>WK 48</v>
          </cell>
        </row>
        <row r="335">
          <cell r="E335">
            <v>37952</v>
          </cell>
          <cell r="F335" t="str">
            <v>WK 48</v>
          </cell>
        </row>
        <row r="336">
          <cell r="E336">
            <v>37953</v>
          </cell>
          <cell r="F336" t="str">
            <v>WK 48</v>
          </cell>
        </row>
        <row r="337">
          <cell r="E337">
            <v>37954</v>
          </cell>
          <cell r="F337" t="str">
            <v>WK 48</v>
          </cell>
        </row>
        <row r="338">
          <cell r="E338">
            <v>37955</v>
          </cell>
          <cell r="F338" t="str">
            <v>WK 48</v>
          </cell>
        </row>
        <row r="339">
          <cell r="E339">
            <v>37956</v>
          </cell>
          <cell r="F339" t="str">
            <v>WK 49</v>
          </cell>
        </row>
        <row r="340">
          <cell r="E340">
            <v>37957</v>
          </cell>
          <cell r="F340" t="str">
            <v>WK 49</v>
          </cell>
        </row>
        <row r="341">
          <cell r="E341">
            <v>37958</v>
          </cell>
          <cell r="F341" t="str">
            <v>WK 49</v>
          </cell>
        </row>
        <row r="342">
          <cell r="E342">
            <v>37959</v>
          </cell>
          <cell r="F342" t="str">
            <v>WK 49</v>
          </cell>
        </row>
        <row r="343">
          <cell r="E343">
            <v>37960</v>
          </cell>
          <cell r="F343" t="str">
            <v>WK 49</v>
          </cell>
        </row>
        <row r="344">
          <cell r="E344">
            <v>37961</v>
          </cell>
          <cell r="F344" t="str">
            <v>WK 49</v>
          </cell>
        </row>
        <row r="345">
          <cell r="E345">
            <v>37962</v>
          </cell>
          <cell r="F345" t="str">
            <v>WK 49</v>
          </cell>
        </row>
        <row r="346">
          <cell r="E346">
            <v>37963</v>
          </cell>
          <cell r="F346" t="str">
            <v>WK 50</v>
          </cell>
        </row>
        <row r="347">
          <cell r="E347">
            <v>37964</v>
          </cell>
          <cell r="F347" t="str">
            <v>WK 50</v>
          </cell>
        </row>
        <row r="348">
          <cell r="E348">
            <v>37965</v>
          </cell>
          <cell r="F348" t="str">
            <v>WK 50</v>
          </cell>
        </row>
        <row r="349">
          <cell r="E349">
            <v>37966</v>
          </cell>
          <cell r="F349" t="str">
            <v>WK 50</v>
          </cell>
        </row>
        <row r="350">
          <cell r="E350">
            <v>37967</v>
          </cell>
          <cell r="F350" t="str">
            <v>WK 50</v>
          </cell>
        </row>
        <row r="351">
          <cell r="E351">
            <v>37968</v>
          </cell>
          <cell r="F351" t="str">
            <v>WK 50</v>
          </cell>
        </row>
        <row r="352">
          <cell r="E352">
            <v>37969</v>
          </cell>
          <cell r="F352" t="str">
            <v>WK 50</v>
          </cell>
        </row>
        <row r="353">
          <cell r="E353">
            <v>37970</v>
          </cell>
          <cell r="F353" t="str">
            <v>WK 51</v>
          </cell>
        </row>
        <row r="354">
          <cell r="E354">
            <v>37971</v>
          </cell>
          <cell r="F354" t="str">
            <v>WK 51</v>
          </cell>
        </row>
        <row r="355">
          <cell r="E355">
            <v>37972</v>
          </cell>
          <cell r="F355" t="str">
            <v>WK 51</v>
          </cell>
        </row>
        <row r="356">
          <cell r="E356">
            <v>37973</v>
          </cell>
          <cell r="F356" t="str">
            <v>WK 51</v>
          </cell>
        </row>
        <row r="357">
          <cell r="E357">
            <v>37974</v>
          </cell>
          <cell r="F357" t="str">
            <v>WK 51</v>
          </cell>
        </row>
        <row r="358">
          <cell r="E358">
            <v>37975</v>
          </cell>
          <cell r="F358" t="str">
            <v>WK 51</v>
          </cell>
        </row>
        <row r="359">
          <cell r="E359">
            <v>37976</v>
          </cell>
          <cell r="F359" t="str">
            <v>WK 51</v>
          </cell>
        </row>
        <row r="360">
          <cell r="E360">
            <v>37977</v>
          </cell>
          <cell r="F360" t="str">
            <v>WK 52</v>
          </cell>
        </row>
        <row r="361">
          <cell r="E361">
            <v>37978</v>
          </cell>
          <cell r="F361" t="str">
            <v>WK 52</v>
          </cell>
        </row>
        <row r="362">
          <cell r="E362">
            <v>37979</v>
          </cell>
          <cell r="F362" t="str">
            <v>WK 52</v>
          </cell>
        </row>
        <row r="363">
          <cell r="E363">
            <v>37980</v>
          </cell>
          <cell r="F363" t="str">
            <v>WK 52</v>
          </cell>
        </row>
        <row r="364">
          <cell r="E364">
            <v>37981</v>
          </cell>
          <cell r="F364" t="str">
            <v>WK 52</v>
          </cell>
        </row>
        <row r="365">
          <cell r="E365">
            <v>37982</v>
          </cell>
          <cell r="F365" t="str">
            <v>WK 52</v>
          </cell>
        </row>
        <row r="366">
          <cell r="E366">
            <v>37983</v>
          </cell>
          <cell r="F366" t="str">
            <v>WK 52</v>
          </cell>
        </row>
        <row r="367">
          <cell r="E367">
            <v>37984</v>
          </cell>
          <cell r="F367" t="str">
            <v>WK 53</v>
          </cell>
        </row>
        <row r="368">
          <cell r="E368">
            <v>37985</v>
          </cell>
          <cell r="F368" t="str">
            <v>WK 53</v>
          </cell>
        </row>
        <row r="369">
          <cell r="E369">
            <v>37986</v>
          </cell>
          <cell r="F369" t="str">
            <v>WK 53</v>
          </cell>
        </row>
        <row r="370">
          <cell r="E370">
            <v>37987</v>
          </cell>
          <cell r="F370" t="str">
            <v>WK 01</v>
          </cell>
        </row>
        <row r="371">
          <cell r="E371">
            <v>37988</v>
          </cell>
          <cell r="F371" t="str">
            <v>WK 01</v>
          </cell>
        </row>
        <row r="372">
          <cell r="E372">
            <v>37989</v>
          </cell>
          <cell r="F372" t="str">
            <v>WK 01</v>
          </cell>
        </row>
        <row r="373">
          <cell r="E373">
            <v>37990</v>
          </cell>
          <cell r="F373" t="str">
            <v>WK 01</v>
          </cell>
        </row>
        <row r="374">
          <cell r="E374">
            <v>37991</v>
          </cell>
          <cell r="F374" t="str">
            <v>WK 02</v>
          </cell>
        </row>
        <row r="375">
          <cell r="E375">
            <v>37992</v>
          </cell>
          <cell r="F375" t="str">
            <v>WK 02</v>
          </cell>
        </row>
        <row r="376">
          <cell r="E376">
            <v>37993</v>
          </cell>
          <cell r="F376" t="str">
            <v>WK 02</v>
          </cell>
        </row>
        <row r="377">
          <cell r="E377">
            <v>37994</v>
          </cell>
          <cell r="F377" t="str">
            <v>WK 02</v>
          </cell>
        </row>
        <row r="378">
          <cell r="E378">
            <v>37995</v>
          </cell>
          <cell r="F378" t="str">
            <v>WK 02</v>
          </cell>
        </row>
        <row r="379">
          <cell r="E379">
            <v>37996</v>
          </cell>
          <cell r="F379" t="str">
            <v>WK 02</v>
          </cell>
        </row>
        <row r="380">
          <cell r="E380">
            <v>37997</v>
          </cell>
          <cell r="F380" t="str">
            <v>WK 02</v>
          </cell>
        </row>
        <row r="381">
          <cell r="E381">
            <v>37998</v>
          </cell>
          <cell r="F381" t="str">
            <v>WK 03</v>
          </cell>
        </row>
        <row r="382">
          <cell r="E382">
            <v>37999</v>
          </cell>
          <cell r="F382" t="str">
            <v>WK 03</v>
          </cell>
        </row>
        <row r="383">
          <cell r="E383">
            <v>38000</v>
          </cell>
          <cell r="F383" t="str">
            <v>WK 03</v>
          </cell>
        </row>
        <row r="384">
          <cell r="E384">
            <v>38001</v>
          </cell>
          <cell r="F384" t="str">
            <v>WK 03</v>
          </cell>
        </row>
        <row r="385">
          <cell r="E385">
            <v>38002</v>
          </cell>
          <cell r="F385" t="str">
            <v>WK 03</v>
          </cell>
        </row>
        <row r="386">
          <cell r="E386">
            <v>38003</v>
          </cell>
          <cell r="F386" t="str">
            <v>WK 03</v>
          </cell>
        </row>
        <row r="387">
          <cell r="E387">
            <v>38004</v>
          </cell>
          <cell r="F387" t="str">
            <v>WK 03</v>
          </cell>
        </row>
        <row r="388">
          <cell r="E388">
            <v>38005</v>
          </cell>
          <cell r="F388" t="str">
            <v>WK 04</v>
          </cell>
        </row>
        <row r="389">
          <cell r="E389">
            <v>38006</v>
          </cell>
          <cell r="F389" t="str">
            <v>WK 04</v>
          </cell>
        </row>
        <row r="390">
          <cell r="E390">
            <v>38007</v>
          </cell>
          <cell r="F390" t="str">
            <v>WK 04</v>
          </cell>
        </row>
        <row r="391">
          <cell r="E391">
            <v>38008</v>
          </cell>
          <cell r="F391" t="str">
            <v>WK 04</v>
          </cell>
        </row>
        <row r="392">
          <cell r="E392">
            <v>38009</v>
          </cell>
          <cell r="F392" t="str">
            <v>WK 04</v>
          </cell>
        </row>
        <row r="393">
          <cell r="E393">
            <v>38010</v>
          </cell>
          <cell r="F393" t="str">
            <v>WK 04</v>
          </cell>
        </row>
        <row r="394">
          <cell r="E394">
            <v>38011</v>
          </cell>
          <cell r="F394" t="str">
            <v>WK 04</v>
          </cell>
        </row>
        <row r="395">
          <cell r="E395">
            <v>38012</v>
          </cell>
          <cell r="F395" t="str">
            <v>WK 05</v>
          </cell>
        </row>
        <row r="396">
          <cell r="E396">
            <v>38013</v>
          </cell>
          <cell r="F396" t="str">
            <v>WK 05</v>
          </cell>
        </row>
        <row r="397">
          <cell r="E397">
            <v>38014</v>
          </cell>
          <cell r="F397" t="str">
            <v>WK 05</v>
          </cell>
        </row>
        <row r="398">
          <cell r="E398">
            <v>38015</v>
          </cell>
          <cell r="F398" t="str">
            <v>WK 05</v>
          </cell>
        </row>
        <row r="399">
          <cell r="E399">
            <v>38016</v>
          </cell>
          <cell r="F399" t="str">
            <v>WK 05</v>
          </cell>
        </row>
        <row r="400">
          <cell r="E400">
            <v>38017</v>
          </cell>
          <cell r="F400" t="str">
            <v>WK 05</v>
          </cell>
        </row>
        <row r="401">
          <cell r="E401">
            <v>38018</v>
          </cell>
          <cell r="F401" t="str">
            <v>WK 05</v>
          </cell>
        </row>
        <row r="402">
          <cell r="E402">
            <v>38019</v>
          </cell>
          <cell r="F402" t="str">
            <v>WK 06</v>
          </cell>
        </row>
        <row r="403">
          <cell r="E403">
            <v>38020</v>
          </cell>
          <cell r="F403" t="str">
            <v>WK 06</v>
          </cell>
        </row>
        <row r="404">
          <cell r="E404">
            <v>38021</v>
          </cell>
          <cell r="F404" t="str">
            <v>WK 06</v>
          </cell>
        </row>
        <row r="405">
          <cell r="E405">
            <v>38022</v>
          </cell>
          <cell r="F405" t="str">
            <v>WK 06</v>
          </cell>
        </row>
        <row r="406">
          <cell r="E406">
            <v>38023</v>
          </cell>
          <cell r="F406" t="str">
            <v>WK 06</v>
          </cell>
        </row>
        <row r="407">
          <cell r="E407">
            <v>38024</v>
          </cell>
          <cell r="F407" t="str">
            <v>WK 06</v>
          </cell>
        </row>
        <row r="408">
          <cell r="E408">
            <v>38025</v>
          </cell>
          <cell r="F408" t="str">
            <v>WK 06</v>
          </cell>
        </row>
        <row r="409">
          <cell r="E409">
            <v>38026</v>
          </cell>
          <cell r="F409" t="str">
            <v>WK 07</v>
          </cell>
        </row>
        <row r="410">
          <cell r="E410">
            <v>38027</v>
          </cell>
          <cell r="F410" t="str">
            <v>WK 07</v>
          </cell>
        </row>
        <row r="411">
          <cell r="E411">
            <v>38028</v>
          </cell>
          <cell r="F411" t="str">
            <v>WK 07</v>
          </cell>
        </row>
        <row r="412">
          <cell r="E412">
            <v>38029</v>
          </cell>
          <cell r="F412" t="str">
            <v>WK 07</v>
          </cell>
        </row>
        <row r="413">
          <cell r="E413">
            <v>38030</v>
          </cell>
          <cell r="F413" t="str">
            <v>WK 07</v>
          </cell>
        </row>
        <row r="414">
          <cell r="E414">
            <v>38031</v>
          </cell>
          <cell r="F414" t="str">
            <v>WK 07</v>
          </cell>
        </row>
        <row r="415">
          <cell r="E415">
            <v>38032</v>
          </cell>
          <cell r="F415" t="str">
            <v>WK 07</v>
          </cell>
        </row>
        <row r="416">
          <cell r="E416">
            <v>38033</v>
          </cell>
          <cell r="F416" t="str">
            <v>WK 08</v>
          </cell>
        </row>
        <row r="417">
          <cell r="E417">
            <v>38034</v>
          </cell>
          <cell r="F417" t="str">
            <v>WK 08</v>
          </cell>
        </row>
        <row r="418">
          <cell r="E418">
            <v>38035</v>
          </cell>
          <cell r="F418" t="str">
            <v>WK 08</v>
          </cell>
        </row>
        <row r="419">
          <cell r="E419">
            <v>38036</v>
          </cell>
          <cell r="F419" t="str">
            <v>WK 08</v>
          </cell>
        </row>
        <row r="420">
          <cell r="E420">
            <v>38037</v>
          </cell>
          <cell r="F420" t="str">
            <v>WK 08</v>
          </cell>
        </row>
        <row r="421">
          <cell r="E421">
            <v>38038</v>
          </cell>
          <cell r="F421" t="str">
            <v>WK 08</v>
          </cell>
        </row>
        <row r="422">
          <cell r="E422">
            <v>38039</v>
          </cell>
          <cell r="F422" t="str">
            <v>WK 08</v>
          </cell>
        </row>
        <row r="423">
          <cell r="E423">
            <v>38040</v>
          </cell>
          <cell r="F423" t="str">
            <v>WK 09</v>
          </cell>
        </row>
        <row r="424">
          <cell r="E424">
            <v>38041</v>
          </cell>
          <cell r="F424" t="str">
            <v>WK 09</v>
          </cell>
        </row>
        <row r="425">
          <cell r="E425">
            <v>38042</v>
          </cell>
          <cell r="F425" t="str">
            <v>WK 09</v>
          </cell>
        </row>
        <row r="426">
          <cell r="E426">
            <v>38043</v>
          </cell>
          <cell r="F426" t="str">
            <v>WK 09</v>
          </cell>
        </row>
        <row r="427">
          <cell r="E427">
            <v>38044</v>
          </cell>
          <cell r="F427" t="str">
            <v>WK 09</v>
          </cell>
        </row>
        <row r="428">
          <cell r="E428">
            <v>38045</v>
          </cell>
          <cell r="F428" t="str">
            <v>WK 09</v>
          </cell>
        </row>
        <row r="429">
          <cell r="E429">
            <v>38046</v>
          </cell>
          <cell r="F429" t="str">
            <v>WK 09</v>
          </cell>
        </row>
        <row r="430">
          <cell r="E430">
            <v>38047</v>
          </cell>
          <cell r="F430" t="str">
            <v>WK 10</v>
          </cell>
        </row>
        <row r="431">
          <cell r="E431">
            <v>38048</v>
          </cell>
          <cell r="F431" t="str">
            <v>WK 10</v>
          </cell>
        </row>
        <row r="432">
          <cell r="E432">
            <v>38049</v>
          </cell>
          <cell r="F432" t="str">
            <v>WK 10</v>
          </cell>
        </row>
        <row r="433">
          <cell r="E433">
            <v>38050</v>
          </cell>
          <cell r="F433" t="str">
            <v>WK 10</v>
          </cell>
        </row>
        <row r="434">
          <cell r="E434">
            <v>38051</v>
          </cell>
          <cell r="F434" t="str">
            <v>WK 10</v>
          </cell>
        </row>
        <row r="435">
          <cell r="E435">
            <v>38052</v>
          </cell>
          <cell r="F435" t="str">
            <v>WK 10</v>
          </cell>
        </row>
        <row r="436">
          <cell r="E436">
            <v>38053</v>
          </cell>
          <cell r="F436" t="str">
            <v>WK 10</v>
          </cell>
        </row>
        <row r="437">
          <cell r="E437">
            <v>38054</v>
          </cell>
          <cell r="F437" t="str">
            <v>WK 11</v>
          </cell>
        </row>
        <row r="438">
          <cell r="E438">
            <v>38055</v>
          </cell>
          <cell r="F438" t="str">
            <v>WK 11</v>
          </cell>
        </row>
        <row r="439">
          <cell r="E439">
            <v>38056</v>
          </cell>
          <cell r="F439" t="str">
            <v>WK 11</v>
          </cell>
        </row>
        <row r="440">
          <cell r="E440">
            <v>38057</v>
          </cell>
          <cell r="F440" t="str">
            <v>WK 11</v>
          </cell>
        </row>
        <row r="441">
          <cell r="E441">
            <v>38058</v>
          </cell>
          <cell r="F441" t="str">
            <v>WK 11</v>
          </cell>
        </row>
        <row r="442">
          <cell r="E442">
            <v>38059</v>
          </cell>
          <cell r="F442" t="str">
            <v>WK 11</v>
          </cell>
        </row>
        <row r="443">
          <cell r="E443">
            <v>38060</v>
          </cell>
          <cell r="F443" t="str">
            <v>WK 11</v>
          </cell>
        </row>
        <row r="444">
          <cell r="E444">
            <v>38061</v>
          </cell>
          <cell r="F444" t="str">
            <v>WK 12</v>
          </cell>
        </row>
        <row r="445">
          <cell r="E445">
            <v>38062</v>
          </cell>
          <cell r="F445" t="str">
            <v>WK 12</v>
          </cell>
        </row>
        <row r="446">
          <cell r="E446">
            <v>38063</v>
          </cell>
          <cell r="F446" t="str">
            <v>WK 12</v>
          </cell>
        </row>
        <row r="447">
          <cell r="E447">
            <v>38064</v>
          </cell>
          <cell r="F447" t="str">
            <v>WK 12</v>
          </cell>
        </row>
        <row r="448">
          <cell r="E448">
            <v>38065</v>
          </cell>
          <cell r="F448" t="str">
            <v>WK 12</v>
          </cell>
        </row>
        <row r="449">
          <cell r="E449">
            <v>38066</v>
          </cell>
          <cell r="F449" t="str">
            <v>WK 12</v>
          </cell>
        </row>
        <row r="450">
          <cell r="E450">
            <v>38067</v>
          </cell>
          <cell r="F450" t="str">
            <v>WK 12</v>
          </cell>
        </row>
        <row r="451">
          <cell r="E451">
            <v>38068</v>
          </cell>
          <cell r="F451" t="str">
            <v>WK 13</v>
          </cell>
        </row>
        <row r="452">
          <cell r="E452">
            <v>38069</v>
          </cell>
          <cell r="F452" t="str">
            <v>WK 13</v>
          </cell>
        </row>
        <row r="453">
          <cell r="E453">
            <v>38070</v>
          </cell>
          <cell r="F453" t="str">
            <v>WK 13</v>
          </cell>
        </row>
        <row r="454">
          <cell r="E454">
            <v>38071</v>
          </cell>
          <cell r="F454" t="str">
            <v>WK 13</v>
          </cell>
        </row>
        <row r="455">
          <cell r="E455">
            <v>38072</v>
          </cell>
          <cell r="F455" t="str">
            <v>WK 13</v>
          </cell>
        </row>
        <row r="456">
          <cell r="E456">
            <v>38073</v>
          </cell>
          <cell r="F456" t="str">
            <v>WK 13</v>
          </cell>
        </row>
        <row r="457">
          <cell r="E457">
            <v>38074</v>
          </cell>
          <cell r="F457" t="str">
            <v>WK 13</v>
          </cell>
        </row>
        <row r="458">
          <cell r="E458">
            <v>38075</v>
          </cell>
          <cell r="F458" t="str">
            <v>WK 14</v>
          </cell>
        </row>
        <row r="459">
          <cell r="E459">
            <v>38076</v>
          </cell>
          <cell r="F459" t="str">
            <v>WK 14</v>
          </cell>
        </row>
        <row r="460">
          <cell r="E460">
            <v>38077</v>
          </cell>
          <cell r="F460" t="str">
            <v>WK 14</v>
          </cell>
        </row>
        <row r="461">
          <cell r="E461">
            <v>38078</v>
          </cell>
          <cell r="F461" t="str">
            <v>WK 14</v>
          </cell>
        </row>
        <row r="462">
          <cell r="E462">
            <v>38079</v>
          </cell>
          <cell r="F462" t="str">
            <v>WK 14</v>
          </cell>
        </row>
        <row r="463">
          <cell r="E463">
            <v>38080</v>
          </cell>
          <cell r="F463" t="str">
            <v>WK 14</v>
          </cell>
        </row>
        <row r="464">
          <cell r="E464">
            <v>38081</v>
          </cell>
          <cell r="F464" t="str">
            <v>WK 14</v>
          </cell>
        </row>
        <row r="465">
          <cell r="E465">
            <v>38082</v>
          </cell>
          <cell r="F465" t="str">
            <v>WK 15</v>
          </cell>
        </row>
        <row r="466">
          <cell r="E466">
            <v>38083</v>
          </cell>
          <cell r="F466" t="str">
            <v>WK 15</v>
          </cell>
        </row>
        <row r="467">
          <cell r="E467">
            <v>38084</v>
          </cell>
          <cell r="F467" t="str">
            <v>WK 15</v>
          </cell>
        </row>
        <row r="468">
          <cell r="E468">
            <v>38085</v>
          </cell>
          <cell r="F468" t="str">
            <v>WK 15</v>
          </cell>
        </row>
        <row r="469">
          <cell r="E469">
            <v>38086</v>
          </cell>
          <cell r="F469" t="str">
            <v>WK 15</v>
          </cell>
        </row>
        <row r="470">
          <cell r="E470">
            <v>38087</v>
          </cell>
          <cell r="F470" t="str">
            <v>WK 15</v>
          </cell>
        </row>
        <row r="471">
          <cell r="E471">
            <v>38088</v>
          </cell>
          <cell r="F471" t="str">
            <v>WK 15</v>
          </cell>
        </row>
        <row r="472">
          <cell r="E472">
            <v>38089</v>
          </cell>
          <cell r="F472" t="str">
            <v>WK 16</v>
          </cell>
        </row>
        <row r="473">
          <cell r="E473">
            <v>38090</v>
          </cell>
          <cell r="F473" t="str">
            <v>WK 16</v>
          </cell>
        </row>
        <row r="474">
          <cell r="E474">
            <v>38091</v>
          </cell>
          <cell r="F474" t="str">
            <v>WK 16</v>
          </cell>
        </row>
        <row r="475">
          <cell r="E475">
            <v>38092</v>
          </cell>
          <cell r="F475" t="str">
            <v>WK 16</v>
          </cell>
        </row>
        <row r="476">
          <cell r="E476">
            <v>38093</v>
          </cell>
          <cell r="F476" t="str">
            <v>WK 16</v>
          </cell>
        </row>
        <row r="477">
          <cell r="E477">
            <v>38094</v>
          </cell>
          <cell r="F477" t="str">
            <v>WK 16</v>
          </cell>
        </row>
        <row r="478">
          <cell r="E478">
            <v>38095</v>
          </cell>
          <cell r="F478" t="str">
            <v>WK 16</v>
          </cell>
        </row>
        <row r="479">
          <cell r="E479">
            <v>38096</v>
          </cell>
          <cell r="F479" t="str">
            <v>WK 17</v>
          </cell>
        </row>
        <row r="480">
          <cell r="E480">
            <v>38097</v>
          </cell>
          <cell r="F480" t="str">
            <v>WK 17</v>
          </cell>
        </row>
        <row r="481">
          <cell r="E481">
            <v>38098</v>
          </cell>
          <cell r="F481" t="str">
            <v>WK 17</v>
          </cell>
        </row>
        <row r="482">
          <cell r="E482">
            <v>38099</v>
          </cell>
          <cell r="F482" t="str">
            <v>WK 17</v>
          </cell>
        </row>
        <row r="483">
          <cell r="E483">
            <v>38100</v>
          </cell>
          <cell r="F483" t="str">
            <v>WK 17</v>
          </cell>
        </row>
        <row r="484">
          <cell r="E484">
            <v>38101</v>
          </cell>
          <cell r="F484" t="str">
            <v>WK 17</v>
          </cell>
        </row>
        <row r="485">
          <cell r="E485">
            <v>38102</v>
          </cell>
          <cell r="F485" t="str">
            <v>WK 17</v>
          </cell>
        </row>
        <row r="486">
          <cell r="E486">
            <v>38103</v>
          </cell>
          <cell r="F486" t="str">
            <v>WK 18</v>
          </cell>
        </row>
        <row r="487">
          <cell r="E487">
            <v>38104</v>
          </cell>
          <cell r="F487" t="str">
            <v>WK 18</v>
          </cell>
        </row>
        <row r="488">
          <cell r="E488">
            <v>38105</v>
          </cell>
          <cell r="F488" t="str">
            <v>WK 18</v>
          </cell>
        </row>
        <row r="489">
          <cell r="E489">
            <v>38106</v>
          </cell>
          <cell r="F489" t="str">
            <v>WK 18</v>
          </cell>
        </row>
        <row r="490">
          <cell r="E490">
            <v>38107</v>
          </cell>
          <cell r="F490" t="str">
            <v>WK 18</v>
          </cell>
        </row>
        <row r="491">
          <cell r="E491">
            <v>38108</v>
          </cell>
          <cell r="F491" t="str">
            <v>WK 18</v>
          </cell>
        </row>
        <row r="492">
          <cell r="E492">
            <v>38109</v>
          </cell>
          <cell r="F492" t="str">
            <v>WK 18</v>
          </cell>
        </row>
        <row r="493">
          <cell r="E493">
            <v>38110</v>
          </cell>
          <cell r="F493" t="str">
            <v>WK 19</v>
          </cell>
        </row>
        <row r="494">
          <cell r="E494">
            <v>38111</v>
          </cell>
          <cell r="F494" t="str">
            <v>WK 19</v>
          </cell>
        </row>
        <row r="495">
          <cell r="E495">
            <v>38112</v>
          </cell>
          <cell r="F495" t="str">
            <v>WK 19</v>
          </cell>
        </row>
        <row r="496">
          <cell r="E496">
            <v>38113</v>
          </cell>
          <cell r="F496" t="str">
            <v>WK 19</v>
          </cell>
        </row>
        <row r="497">
          <cell r="E497">
            <v>38114</v>
          </cell>
          <cell r="F497" t="str">
            <v>WK 19</v>
          </cell>
        </row>
        <row r="498">
          <cell r="E498">
            <v>38115</v>
          </cell>
          <cell r="F498" t="str">
            <v>WK 19</v>
          </cell>
        </row>
        <row r="499">
          <cell r="E499">
            <v>38116</v>
          </cell>
          <cell r="F499" t="str">
            <v>WK 19</v>
          </cell>
        </row>
        <row r="500">
          <cell r="E500">
            <v>38117</v>
          </cell>
          <cell r="F500" t="str">
            <v>WK 20</v>
          </cell>
        </row>
        <row r="501">
          <cell r="E501">
            <v>38118</v>
          </cell>
          <cell r="F501" t="str">
            <v>WK 20</v>
          </cell>
        </row>
        <row r="502">
          <cell r="E502">
            <v>38119</v>
          </cell>
          <cell r="F502" t="str">
            <v>WK 20</v>
          </cell>
        </row>
        <row r="503">
          <cell r="E503">
            <v>38120</v>
          </cell>
          <cell r="F503" t="str">
            <v>WK 20</v>
          </cell>
        </row>
        <row r="504">
          <cell r="E504">
            <v>38121</v>
          </cell>
          <cell r="F504" t="str">
            <v>WK 20</v>
          </cell>
        </row>
        <row r="505">
          <cell r="E505">
            <v>38122</v>
          </cell>
          <cell r="F505" t="str">
            <v>WK 20</v>
          </cell>
        </row>
        <row r="506">
          <cell r="E506">
            <v>38123</v>
          </cell>
          <cell r="F506" t="str">
            <v>WK 20</v>
          </cell>
        </row>
        <row r="507">
          <cell r="E507">
            <v>38124</v>
          </cell>
          <cell r="F507" t="str">
            <v>WK 21</v>
          </cell>
        </row>
        <row r="508">
          <cell r="E508">
            <v>38125</v>
          </cell>
          <cell r="F508" t="str">
            <v>WK 21</v>
          </cell>
        </row>
        <row r="509">
          <cell r="E509">
            <v>38126</v>
          </cell>
          <cell r="F509" t="str">
            <v>WK 21</v>
          </cell>
        </row>
        <row r="510">
          <cell r="E510">
            <v>38127</v>
          </cell>
          <cell r="F510" t="str">
            <v>WK 21</v>
          </cell>
        </row>
        <row r="511">
          <cell r="E511">
            <v>38128</v>
          </cell>
          <cell r="F511" t="str">
            <v>WK 21</v>
          </cell>
        </row>
        <row r="512">
          <cell r="E512">
            <v>38129</v>
          </cell>
          <cell r="F512" t="str">
            <v>WK 21</v>
          </cell>
        </row>
        <row r="513">
          <cell r="E513">
            <v>38130</v>
          </cell>
          <cell r="F513" t="str">
            <v>WK 21</v>
          </cell>
        </row>
        <row r="514">
          <cell r="E514">
            <v>38131</v>
          </cell>
          <cell r="F514" t="str">
            <v>WK 22</v>
          </cell>
        </row>
        <row r="515">
          <cell r="E515">
            <v>38132</v>
          </cell>
          <cell r="F515" t="str">
            <v>WK 22</v>
          </cell>
        </row>
        <row r="516">
          <cell r="E516">
            <v>38133</v>
          </cell>
          <cell r="F516" t="str">
            <v>WK 22</v>
          </cell>
        </row>
        <row r="517">
          <cell r="E517">
            <v>38134</v>
          </cell>
          <cell r="F517" t="str">
            <v>WK 22</v>
          </cell>
        </row>
        <row r="518">
          <cell r="E518">
            <v>38135</v>
          </cell>
          <cell r="F518" t="str">
            <v>WK 22</v>
          </cell>
        </row>
        <row r="519">
          <cell r="E519">
            <v>38136</v>
          </cell>
          <cell r="F519" t="str">
            <v>WK 22</v>
          </cell>
        </row>
        <row r="520">
          <cell r="E520">
            <v>38137</v>
          </cell>
          <cell r="F520" t="str">
            <v>WK 22</v>
          </cell>
        </row>
        <row r="521">
          <cell r="E521">
            <v>38138</v>
          </cell>
          <cell r="F521" t="str">
            <v>WK 23</v>
          </cell>
        </row>
        <row r="522">
          <cell r="E522">
            <v>38139</v>
          </cell>
          <cell r="F522" t="str">
            <v>WK 23</v>
          </cell>
        </row>
        <row r="523">
          <cell r="E523">
            <v>38140</v>
          </cell>
          <cell r="F523" t="str">
            <v>WK 23</v>
          </cell>
        </row>
        <row r="524">
          <cell r="E524">
            <v>38141</v>
          </cell>
          <cell r="F524" t="str">
            <v>WK 23</v>
          </cell>
        </row>
        <row r="525">
          <cell r="E525">
            <v>38142</v>
          </cell>
          <cell r="F525" t="str">
            <v>WK 23</v>
          </cell>
        </row>
        <row r="526">
          <cell r="E526">
            <v>38143</v>
          </cell>
          <cell r="F526" t="str">
            <v>WK 23</v>
          </cell>
        </row>
        <row r="527">
          <cell r="E527">
            <v>38144</v>
          </cell>
          <cell r="F527" t="str">
            <v>WK 23</v>
          </cell>
        </row>
        <row r="528">
          <cell r="E528">
            <v>38145</v>
          </cell>
          <cell r="F528" t="str">
            <v>WK 24</v>
          </cell>
        </row>
        <row r="529">
          <cell r="E529">
            <v>38146</v>
          </cell>
          <cell r="F529" t="str">
            <v>WK 24</v>
          </cell>
        </row>
        <row r="530">
          <cell r="E530">
            <v>38147</v>
          </cell>
          <cell r="F530" t="str">
            <v>WK 24</v>
          </cell>
        </row>
        <row r="531">
          <cell r="E531">
            <v>38148</v>
          </cell>
          <cell r="F531" t="str">
            <v>WK 24</v>
          </cell>
        </row>
        <row r="532">
          <cell r="E532">
            <v>38149</v>
          </cell>
          <cell r="F532" t="str">
            <v>WK 24</v>
          </cell>
        </row>
        <row r="533">
          <cell r="E533">
            <v>38150</v>
          </cell>
          <cell r="F533" t="str">
            <v>WK 24</v>
          </cell>
        </row>
        <row r="534">
          <cell r="E534">
            <v>38151</v>
          </cell>
          <cell r="F534" t="str">
            <v>WK 24</v>
          </cell>
        </row>
        <row r="535">
          <cell r="E535">
            <v>38152</v>
          </cell>
          <cell r="F535" t="str">
            <v>WK 25</v>
          </cell>
        </row>
        <row r="536">
          <cell r="E536">
            <v>38153</v>
          </cell>
          <cell r="F536" t="str">
            <v>WK 25</v>
          </cell>
        </row>
        <row r="537">
          <cell r="E537">
            <v>38154</v>
          </cell>
          <cell r="F537" t="str">
            <v>WK 25</v>
          </cell>
        </row>
        <row r="538">
          <cell r="E538">
            <v>38155</v>
          </cell>
          <cell r="F538" t="str">
            <v>WK 25</v>
          </cell>
        </row>
        <row r="539">
          <cell r="E539">
            <v>38156</v>
          </cell>
          <cell r="F539" t="str">
            <v>WK 25</v>
          </cell>
        </row>
        <row r="540">
          <cell r="E540">
            <v>38157</v>
          </cell>
          <cell r="F540" t="str">
            <v>WK 25</v>
          </cell>
        </row>
        <row r="541">
          <cell r="E541">
            <v>38158</v>
          </cell>
          <cell r="F541" t="str">
            <v>WK 25</v>
          </cell>
        </row>
        <row r="542">
          <cell r="E542">
            <v>38159</v>
          </cell>
          <cell r="F542" t="str">
            <v>WK 26</v>
          </cell>
        </row>
        <row r="543">
          <cell r="E543">
            <v>38160</v>
          </cell>
          <cell r="F543" t="str">
            <v>WK 26</v>
          </cell>
        </row>
        <row r="544">
          <cell r="E544">
            <v>38161</v>
          </cell>
          <cell r="F544" t="str">
            <v>WK 26</v>
          </cell>
        </row>
        <row r="545">
          <cell r="E545">
            <v>38162</v>
          </cell>
          <cell r="F545" t="str">
            <v>WK 26</v>
          </cell>
        </row>
        <row r="546">
          <cell r="E546">
            <v>38163</v>
          </cell>
          <cell r="F546" t="str">
            <v>WK 26</v>
          </cell>
        </row>
        <row r="547">
          <cell r="E547">
            <v>38164</v>
          </cell>
          <cell r="F547" t="str">
            <v>WK 26</v>
          </cell>
        </row>
        <row r="548">
          <cell r="E548">
            <v>38165</v>
          </cell>
          <cell r="F548" t="str">
            <v>WK 26</v>
          </cell>
        </row>
        <row r="549">
          <cell r="E549">
            <v>38166</v>
          </cell>
          <cell r="F549" t="str">
            <v>WK 27</v>
          </cell>
        </row>
        <row r="550">
          <cell r="E550">
            <v>38167</v>
          </cell>
          <cell r="F550" t="str">
            <v>WK 27</v>
          </cell>
        </row>
        <row r="551">
          <cell r="E551">
            <v>38168</v>
          </cell>
          <cell r="F551" t="str">
            <v>WK 27</v>
          </cell>
        </row>
        <row r="552">
          <cell r="E552">
            <v>38169</v>
          </cell>
          <cell r="F552" t="str">
            <v>WK 27</v>
          </cell>
        </row>
        <row r="553">
          <cell r="E553">
            <v>38170</v>
          </cell>
          <cell r="F553" t="str">
            <v>WK 27</v>
          </cell>
        </row>
        <row r="554">
          <cell r="E554">
            <v>38171</v>
          </cell>
          <cell r="F554" t="str">
            <v>WK 27</v>
          </cell>
        </row>
        <row r="555">
          <cell r="E555">
            <v>38172</v>
          </cell>
          <cell r="F555" t="str">
            <v>WK 27</v>
          </cell>
        </row>
        <row r="556">
          <cell r="E556">
            <v>38173</v>
          </cell>
          <cell r="F556" t="str">
            <v>WK 28</v>
          </cell>
        </row>
        <row r="557">
          <cell r="E557">
            <v>38174</v>
          </cell>
          <cell r="F557" t="str">
            <v>WK 28</v>
          </cell>
        </row>
        <row r="558">
          <cell r="E558">
            <v>38175</v>
          </cell>
          <cell r="F558" t="str">
            <v>WK 28</v>
          </cell>
        </row>
        <row r="559">
          <cell r="E559">
            <v>38176</v>
          </cell>
          <cell r="F559" t="str">
            <v>WK 28</v>
          </cell>
        </row>
        <row r="560">
          <cell r="E560">
            <v>38177</v>
          </cell>
          <cell r="F560" t="str">
            <v>WK 28</v>
          </cell>
        </row>
        <row r="561">
          <cell r="E561">
            <v>38178</v>
          </cell>
          <cell r="F561" t="str">
            <v>WK 28</v>
          </cell>
        </row>
        <row r="562">
          <cell r="E562">
            <v>38179</v>
          </cell>
          <cell r="F562" t="str">
            <v>WK 28</v>
          </cell>
        </row>
        <row r="563">
          <cell r="E563">
            <v>38180</v>
          </cell>
          <cell r="F563" t="str">
            <v>WK 29</v>
          </cell>
        </row>
        <row r="564">
          <cell r="E564">
            <v>38181</v>
          </cell>
          <cell r="F564" t="str">
            <v>WK 29</v>
          </cell>
        </row>
        <row r="565">
          <cell r="E565">
            <v>38182</v>
          </cell>
          <cell r="F565" t="str">
            <v>WK 29</v>
          </cell>
        </row>
        <row r="566">
          <cell r="E566">
            <v>38183</v>
          </cell>
          <cell r="F566" t="str">
            <v>WK 29</v>
          </cell>
        </row>
        <row r="567">
          <cell r="E567">
            <v>38184</v>
          </cell>
          <cell r="F567" t="str">
            <v>WK 29</v>
          </cell>
        </row>
        <row r="568">
          <cell r="E568">
            <v>38185</v>
          </cell>
          <cell r="F568" t="str">
            <v>WK 29</v>
          </cell>
        </row>
        <row r="569">
          <cell r="E569">
            <v>38186</v>
          </cell>
          <cell r="F569" t="str">
            <v>WK 29</v>
          </cell>
        </row>
        <row r="570">
          <cell r="E570">
            <v>38187</v>
          </cell>
          <cell r="F570" t="str">
            <v>WK 30</v>
          </cell>
        </row>
        <row r="571">
          <cell r="E571">
            <v>38188</v>
          </cell>
          <cell r="F571" t="str">
            <v>WK 30</v>
          </cell>
        </row>
        <row r="572">
          <cell r="E572">
            <v>38189</v>
          </cell>
          <cell r="F572" t="str">
            <v>WK 30</v>
          </cell>
        </row>
        <row r="573">
          <cell r="E573">
            <v>38190</v>
          </cell>
          <cell r="F573" t="str">
            <v>WK 30</v>
          </cell>
        </row>
        <row r="574">
          <cell r="E574">
            <v>38191</v>
          </cell>
          <cell r="F574" t="str">
            <v>WK 30</v>
          </cell>
        </row>
        <row r="575">
          <cell r="E575">
            <v>38192</v>
          </cell>
          <cell r="F575" t="str">
            <v>WK 30</v>
          </cell>
        </row>
        <row r="576">
          <cell r="E576">
            <v>38193</v>
          </cell>
          <cell r="F576" t="str">
            <v>WK 30</v>
          </cell>
        </row>
        <row r="577">
          <cell r="E577">
            <v>38194</v>
          </cell>
          <cell r="F577" t="str">
            <v>WK 31</v>
          </cell>
        </row>
        <row r="578">
          <cell r="E578">
            <v>38195</v>
          </cell>
          <cell r="F578" t="str">
            <v>WK 31</v>
          </cell>
        </row>
        <row r="579">
          <cell r="E579">
            <v>38196</v>
          </cell>
          <cell r="F579" t="str">
            <v>WK 31</v>
          </cell>
        </row>
        <row r="580">
          <cell r="E580">
            <v>38197</v>
          </cell>
          <cell r="F580" t="str">
            <v>WK 31</v>
          </cell>
        </row>
        <row r="581">
          <cell r="E581">
            <v>38198</v>
          </cell>
          <cell r="F581" t="str">
            <v>WK 31</v>
          </cell>
        </row>
        <row r="582">
          <cell r="E582">
            <v>38199</v>
          </cell>
          <cell r="F582" t="str">
            <v>WK 31</v>
          </cell>
        </row>
        <row r="583">
          <cell r="E583">
            <v>38200</v>
          </cell>
          <cell r="F583" t="str">
            <v>WK 31</v>
          </cell>
        </row>
        <row r="584">
          <cell r="E584">
            <v>38201</v>
          </cell>
          <cell r="F584" t="str">
            <v>WK 32</v>
          </cell>
        </row>
        <row r="585">
          <cell r="E585">
            <v>38202</v>
          </cell>
          <cell r="F585" t="str">
            <v>WK 32</v>
          </cell>
        </row>
        <row r="586">
          <cell r="E586">
            <v>38203</v>
          </cell>
          <cell r="F586" t="str">
            <v>WK 32</v>
          </cell>
        </row>
        <row r="587">
          <cell r="E587">
            <v>38204</v>
          </cell>
          <cell r="F587" t="str">
            <v>WK 32</v>
          </cell>
        </row>
        <row r="588">
          <cell r="E588">
            <v>38205</v>
          </cell>
          <cell r="F588" t="str">
            <v>WK 32</v>
          </cell>
        </row>
        <row r="589">
          <cell r="E589">
            <v>38206</v>
          </cell>
          <cell r="F589" t="str">
            <v>WK 32</v>
          </cell>
        </row>
        <row r="590">
          <cell r="E590">
            <v>38207</v>
          </cell>
          <cell r="F590" t="str">
            <v>WK 32</v>
          </cell>
        </row>
        <row r="591">
          <cell r="E591">
            <v>38208</v>
          </cell>
          <cell r="F591" t="str">
            <v>WK 33</v>
          </cell>
        </row>
        <row r="592">
          <cell r="E592">
            <v>38209</v>
          </cell>
          <cell r="F592" t="str">
            <v>WK 33</v>
          </cell>
        </row>
        <row r="593">
          <cell r="E593">
            <v>38210</v>
          </cell>
          <cell r="F593" t="str">
            <v>WK 33</v>
          </cell>
        </row>
        <row r="594">
          <cell r="E594">
            <v>38211</v>
          </cell>
          <cell r="F594" t="str">
            <v>WK 33</v>
          </cell>
        </row>
        <row r="595">
          <cell r="E595">
            <v>38212</v>
          </cell>
          <cell r="F595" t="str">
            <v>WK 33</v>
          </cell>
        </row>
        <row r="596">
          <cell r="E596">
            <v>38213</v>
          </cell>
          <cell r="F596" t="str">
            <v>WK 33</v>
          </cell>
        </row>
        <row r="597">
          <cell r="E597">
            <v>38214</v>
          </cell>
          <cell r="F597" t="str">
            <v>WK 33</v>
          </cell>
        </row>
        <row r="598">
          <cell r="E598">
            <v>38215</v>
          </cell>
          <cell r="F598" t="str">
            <v>WK 34</v>
          </cell>
        </row>
        <row r="599">
          <cell r="E599">
            <v>38216</v>
          </cell>
          <cell r="F599" t="str">
            <v>WK 34</v>
          </cell>
        </row>
        <row r="600">
          <cell r="E600">
            <v>38217</v>
          </cell>
          <cell r="F600" t="str">
            <v>WK 34</v>
          </cell>
        </row>
        <row r="601">
          <cell r="E601">
            <v>38218</v>
          </cell>
          <cell r="F601" t="str">
            <v>WK 34</v>
          </cell>
        </row>
        <row r="602">
          <cell r="E602">
            <v>38219</v>
          </cell>
          <cell r="F602" t="str">
            <v>WK 34</v>
          </cell>
        </row>
        <row r="603">
          <cell r="E603">
            <v>38220</v>
          </cell>
          <cell r="F603" t="str">
            <v>WK 34</v>
          </cell>
        </row>
        <row r="604">
          <cell r="E604">
            <v>38221</v>
          </cell>
          <cell r="F604" t="str">
            <v>WK 34</v>
          </cell>
        </row>
        <row r="605">
          <cell r="E605">
            <v>38222</v>
          </cell>
          <cell r="F605" t="str">
            <v>WK 35</v>
          </cell>
        </row>
        <row r="606">
          <cell r="E606">
            <v>38223</v>
          </cell>
          <cell r="F606" t="str">
            <v>WK 35</v>
          </cell>
        </row>
        <row r="607">
          <cell r="E607">
            <v>38224</v>
          </cell>
          <cell r="F607" t="str">
            <v>WK 35</v>
          </cell>
        </row>
        <row r="608">
          <cell r="E608">
            <v>38225</v>
          </cell>
          <cell r="F608" t="str">
            <v>WK 35</v>
          </cell>
        </row>
        <row r="609">
          <cell r="E609">
            <v>38226</v>
          </cell>
          <cell r="F609" t="str">
            <v>WK 35</v>
          </cell>
        </row>
        <row r="610">
          <cell r="E610">
            <v>38227</v>
          </cell>
          <cell r="F610" t="str">
            <v>WK 35</v>
          </cell>
        </row>
        <row r="611">
          <cell r="E611">
            <v>38228</v>
          </cell>
          <cell r="F611" t="str">
            <v>WK 35</v>
          </cell>
        </row>
        <row r="612">
          <cell r="E612">
            <v>38229</v>
          </cell>
          <cell r="F612" t="str">
            <v>WK 36</v>
          </cell>
        </row>
        <row r="613">
          <cell r="E613">
            <v>38230</v>
          </cell>
          <cell r="F613" t="str">
            <v>WK 36</v>
          </cell>
        </row>
        <row r="614">
          <cell r="E614">
            <v>38231</v>
          </cell>
          <cell r="F614" t="str">
            <v>WK 36</v>
          </cell>
        </row>
        <row r="615">
          <cell r="E615">
            <v>38232</v>
          </cell>
          <cell r="F615" t="str">
            <v>WK 36</v>
          </cell>
        </row>
        <row r="616">
          <cell r="E616">
            <v>38233</v>
          </cell>
          <cell r="F616" t="str">
            <v>WK 36</v>
          </cell>
        </row>
        <row r="617">
          <cell r="E617">
            <v>38234</v>
          </cell>
          <cell r="F617" t="str">
            <v>WK 36</v>
          </cell>
        </row>
        <row r="618">
          <cell r="E618">
            <v>38235</v>
          </cell>
          <cell r="F618" t="str">
            <v>WK 36</v>
          </cell>
        </row>
        <row r="619">
          <cell r="E619">
            <v>38236</v>
          </cell>
          <cell r="F619" t="str">
            <v>WK 37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>
        <row r="2">
          <cell r="E2">
            <v>37620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METRADO"/>
      <sheetName val="METRADOS  - LOSAS"/>
      <sheetName val="METRADOS ESTRUCTURAS B-1"/>
    </sheetNames>
    <sheetDataSet>
      <sheetData sheetId="0"/>
      <sheetData sheetId="1"/>
      <sheetData sheetId="2">
        <row r="1">
          <cell r="A1" t="str">
            <v>SUSTENTO DE METRADOS</v>
          </cell>
        </row>
        <row r="3">
          <cell r="A3" t="str">
            <v>PROYECTO:</v>
          </cell>
          <cell r="B3" t="str">
            <v>MEJORAMIENTO DEL SERVICIO DEPORTIVO EN EL COMPLEJO CHICAGO UBICADO ENTRE LA AV. AMERICA SUR Y CALLE SANTA CRUZ EN EL T.V. N°01, DISTRITO DE TRUJILLO, PROVINCIA DE TRUJILLO - LA LIBERTAD</v>
          </cell>
        </row>
        <row r="4">
          <cell r="B4" t="str">
            <v>ESTADIO ATLETICO</v>
          </cell>
        </row>
        <row r="5">
          <cell r="A5" t="str">
            <v>Cliente :</v>
          </cell>
          <cell r="B5" t="str">
            <v>MUNICIPALIDAD PROVINCIAL DE TRUJILLO</v>
          </cell>
          <cell r="G5" t="str">
            <v>FECHA:</v>
          </cell>
          <cell r="H5">
            <v>40940</v>
          </cell>
        </row>
        <row r="7">
          <cell r="A7" t="str">
            <v>ITEM</v>
          </cell>
          <cell r="B7" t="str">
            <v>DESCRIPCION</v>
          </cell>
          <cell r="C7" t="str">
            <v>UND</v>
          </cell>
          <cell r="D7" t="str">
            <v>CANT.</v>
          </cell>
          <cell r="E7" t="str">
            <v>MEDIDAS</v>
          </cell>
          <cell r="H7" t="str">
            <v>SUB TOTAL</v>
          </cell>
          <cell r="I7" t="str">
            <v>TOTAL</v>
          </cell>
        </row>
        <row r="8">
          <cell r="E8" t="str">
            <v>LARGO</v>
          </cell>
          <cell r="F8" t="str">
            <v>ANCHO</v>
          </cell>
          <cell r="G8" t="str">
            <v>ALTURA</v>
          </cell>
          <cell r="H8" t="str">
            <v>TOTAL</v>
          </cell>
        </row>
        <row r="9">
          <cell r="A9" t="str">
            <v>METRADO DE ESTRUCTURAS</v>
          </cell>
        </row>
        <row r="10">
          <cell r="A10" t="str">
            <v xml:space="preserve">01.00.00 </v>
          </cell>
          <cell r="B10" t="str">
            <v>OBRAS PROVISIONALES</v>
          </cell>
        </row>
        <row r="11">
          <cell r="A11" t="str">
            <v>01.01.00</v>
          </cell>
          <cell r="B11" t="str">
            <v>CARTEL DE OBRA DE 6.00x3.60 m.</v>
          </cell>
          <cell r="C11" t="str">
            <v>und</v>
          </cell>
          <cell r="D11">
            <v>1</v>
          </cell>
          <cell r="H11">
            <v>1</v>
          </cell>
          <cell r="I11">
            <v>1</v>
          </cell>
        </row>
        <row r="12">
          <cell r="A12" t="str">
            <v>01.02.00</v>
          </cell>
          <cell r="B12" t="str">
            <v>TRANSPORTE DE EQUIPO, HERRAMIENTAS</v>
          </cell>
          <cell r="C12" t="str">
            <v>dia</v>
          </cell>
          <cell r="D12">
            <v>1</v>
          </cell>
          <cell r="H12">
            <v>1</v>
          </cell>
          <cell r="I12">
            <v>1</v>
          </cell>
        </row>
        <row r="13">
          <cell r="A13" t="str">
            <v>01.03.01</v>
          </cell>
          <cell r="B13" t="str">
            <v>DESVIO Y MANTENIMIENTO DE TRAFICO</v>
          </cell>
          <cell r="C13" t="str">
            <v>dia</v>
          </cell>
          <cell r="D13">
            <v>1</v>
          </cell>
          <cell r="H13">
            <v>1</v>
          </cell>
          <cell r="I13">
            <v>1</v>
          </cell>
        </row>
        <row r="15">
          <cell r="A15" t="str">
            <v>02.03.00</v>
          </cell>
          <cell r="B15" t="str">
            <v>TRAZO Y REPLANTEO PRELIMINAR</v>
          </cell>
        </row>
        <row r="16">
          <cell r="A16" t="str">
            <v>02.02.15</v>
          </cell>
          <cell r="B16" t="str">
            <v xml:space="preserve">TRAZO Y REPLANTEO </v>
          </cell>
          <cell r="C16" t="str">
            <v>m2</v>
          </cell>
          <cell r="E16" t="str">
            <v>Área CAD (m2)</v>
          </cell>
        </row>
        <row r="17">
          <cell r="B17" t="str">
            <v xml:space="preserve">Area de Tribunas </v>
          </cell>
          <cell r="C17" t="str">
            <v>m2</v>
          </cell>
          <cell r="E17">
            <v>310.85599999999999</v>
          </cell>
          <cell r="H17">
            <v>310.85599999999999</v>
          </cell>
          <cell r="I17">
            <v>310.85599999999999</v>
          </cell>
        </row>
        <row r="19">
          <cell r="A19" t="str">
            <v>03.00.00</v>
          </cell>
          <cell r="B19" t="str">
            <v>MOVIMIENTO DE TIERRAS</v>
          </cell>
        </row>
        <row r="20">
          <cell r="A20" t="str">
            <v>03.01.00</v>
          </cell>
          <cell r="B20" t="str">
            <v>EXCAVACIONES</v>
          </cell>
        </row>
        <row r="21">
          <cell r="A21" t="str">
            <v>03.01.01</v>
          </cell>
          <cell r="B21" t="str">
            <v>EXCAVACION PARA CIMIENTOS, ZAPATAS Y VIGA CIMENTACION</v>
          </cell>
        </row>
        <row r="22">
          <cell r="B22" t="str">
            <v xml:space="preserve">Zapatas </v>
          </cell>
        </row>
        <row r="23">
          <cell r="B23" t="str">
            <v>Z-1 En eje A eje 8-36</v>
          </cell>
          <cell r="C23" t="str">
            <v>m3</v>
          </cell>
          <cell r="D23">
            <v>23</v>
          </cell>
          <cell r="E23">
            <v>2.5</v>
          </cell>
          <cell r="F23">
            <v>2.5</v>
          </cell>
          <cell r="G23">
            <v>2.5</v>
          </cell>
          <cell r="H23">
            <v>359.375</v>
          </cell>
        </row>
        <row r="24">
          <cell r="B24" t="str">
            <v>Z-2 En eje B eje 8-36</v>
          </cell>
          <cell r="C24" t="str">
            <v>m3</v>
          </cell>
          <cell r="D24">
            <v>28</v>
          </cell>
          <cell r="E24">
            <v>5.75</v>
          </cell>
          <cell r="F24">
            <v>2.5</v>
          </cell>
          <cell r="G24">
            <v>2.5</v>
          </cell>
          <cell r="H24">
            <v>1006.25</v>
          </cell>
        </row>
        <row r="25">
          <cell r="B25" t="str">
            <v>Z-3 En eje C entre ejes 2-6 y ejes 30-37</v>
          </cell>
          <cell r="C25" t="str">
            <v>m3</v>
          </cell>
          <cell r="D25">
            <v>13</v>
          </cell>
          <cell r="E25">
            <v>1.8</v>
          </cell>
          <cell r="F25">
            <v>1.8</v>
          </cell>
          <cell r="G25">
            <v>2.5</v>
          </cell>
          <cell r="H25">
            <v>105.30000000000001</v>
          </cell>
        </row>
        <row r="26">
          <cell r="B26" t="str">
            <v>Z-4 En eje C en eje 7 y eje 37</v>
          </cell>
          <cell r="C26" t="str">
            <v>m3</v>
          </cell>
          <cell r="D26">
            <v>1</v>
          </cell>
          <cell r="E26">
            <v>2</v>
          </cell>
          <cell r="F26">
            <v>2</v>
          </cell>
          <cell r="G26">
            <v>2.5</v>
          </cell>
          <cell r="H26">
            <v>10</v>
          </cell>
        </row>
        <row r="27">
          <cell r="B27" t="str">
            <v>Cimentación de muro de sosteniento de sostenimiento</v>
          </cell>
          <cell r="C27" t="str">
            <v>m3</v>
          </cell>
        </row>
        <row r="28">
          <cell r="B28" t="str">
            <v>Eje 1entre ejes C-D y eje 8 entre A-B</v>
          </cell>
          <cell r="C28" t="str">
            <v>m3</v>
          </cell>
          <cell r="D28">
            <v>1</v>
          </cell>
          <cell r="E28">
            <v>18.100000000000001</v>
          </cell>
          <cell r="F28">
            <v>2.4</v>
          </cell>
          <cell r="G28">
            <v>1.5</v>
          </cell>
          <cell r="H28">
            <v>65.160000000000011</v>
          </cell>
        </row>
        <row r="29">
          <cell r="B29" t="str">
            <v>Eje C entre ejes 1-8</v>
          </cell>
          <cell r="C29" t="str">
            <v>m3</v>
          </cell>
          <cell r="D29">
            <v>1</v>
          </cell>
          <cell r="E29">
            <v>49.45</v>
          </cell>
          <cell r="F29">
            <v>2.4</v>
          </cell>
          <cell r="G29">
            <v>1.5</v>
          </cell>
          <cell r="H29">
            <v>178.02</v>
          </cell>
        </row>
        <row r="30">
          <cell r="B30" t="str">
            <v>Eje A entre ejes 8-13</v>
          </cell>
          <cell r="C30" t="str">
            <v>m3</v>
          </cell>
          <cell r="D30">
            <v>1</v>
          </cell>
          <cell r="E30">
            <v>41.3</v>
          </cell>
          <cell r="F30">
            <v>2.4</v>
          </cell>
          <cell r="G30">
            <v>1.5</v>
          </cell>
          <cell r="H30">
            <v>148.67999999999998</v>
          </cell>
        </row>
        <row r="31">
          <cell r="B31" t="str">
            <v>Eje D entre ejes 8-13</v>
          </cell>
          <cell r="C31" t="str">
            <v>m3</v>
          </cell>
          <cell r="D31">
            <v>1</v>
          </cell>
          <cell r="E31">
            <v>31.57</v>
          </cell>
          <cell r="F31">
            <v>2.4</v>
          </cell>
          <cell r="G31">
            <v>1.5</v>
          </cell>
          <cell r="H31">
            <v>113.652</v>
          </cell>
        </row>
        <row r="32">
          <cell r="B32" t="str">
            <v>Eje D entre ejes 14-24</v>
          </cell>
          <cell r="C32" t="str">
            <v>m3</v>
          </cell>
          <cell r="D32">
            <v>1</v>
          </cell>
          <cell r="E32">
            <v>72.3</v>
          </cell>
          <cell r="F32">
            <v>2.4</v>
          </cell>
          <cell r="G32">
            <v>1.5</v>
          </cell>
          <cell r="H32">
            <v>260.27999999999997</v>
          </cell>
        </row>
        <row r="33">
          <cell r="B33" t="str">
            <v>Eje D entre ejes 25-29</v>
          </cell>
          <cell r="C33" t="str">
            <v>m3</v>
          </cell>
          <cell r="D33">
            <v>1</v>
          </cell>
          <cell r="E33">
            <v>25.51</v>
          </cell>
          <cell r="F33">
            <v>2.4</v>
          </cell>
          <cell r="G33">
            <v>1.5</v>
          </cell>
          <cell r="H33">
            <v>91.836000000000013</v>
          </cell>
        </row>
        <row r="34">
          <cell r="B34" t="str">
            <v>En ejes 13-14, 24 y 25 entre D - D' (cierre transversal)</v>
          </cell>
          <cell r="C34" t="str">
            <v>m3</v>
          </cell>
          <cell r="D34">
            <v>4</v>
          </cell>
          <cell r="E34">
            <v>5.6</v>
          </cell>
          <cell r="F34">
            <v>2.4</v>
          </cell>
          <cell r="G34">
            <v>1.5</v>
          </cell>
          <cell r="H34">
            <v>80.64</v>
          </cell>
        </row>
        <row r="36">
          <cell r="B36" t="str">
            <v>Cimentación (Primer nivel)</v>
          </cell>
        </row>
        <row r="37">
          <cell r="B37" t="str">
            <v xml:space="preserve">Eje C entre ejes (9 - 13) </v>
          </cell>
          <cell r="C37" t="str">
            <v>m3</v>
          </cell>
          <cell r="D37">
            <v>5</v>
          </cell>
          <cell r="E37">
            <v>6.74</v>
          </cell>
          <cell r="F37">
            <v>0.6</v>
          </cell>
          <cell r="G37">
            <v>1.2</v>
          </cell>
          <cell r="H37">
            <v>24.264000000000003</v>
          </cell>
        </row>
        <row r="38">
          <cell r="B38" t="str">
            <v xml:space="preserve">Eje A entre ejes (13 - 14 Y 24-35) </v>
          </cell>
          <cell r="C38" t="str">
            <v>m3</v>
          </cell>
          <cell r="D38">
            <v>2</v>
          </cell>
          <cell r="E38">
            <v>5.57</v>
          </cell>
          <cell r="F38">
            <v>0.6</v>
          </cell>
          <cell r="G38">
            <v>1.2</v>
          </cell>
          <cell r="H38">
            <v>8.0207999999999995</v>
          </cell>
        </row>
        <row r="39">
          <cell r="B39" t="str">
            <v xml:space="preserve">Eje C entre ejes (14 - 24) </v>
          </cell>
          <cell r="C39" t="str">
            <v>m3</v>
          </cell>
          <cell r="D39">
            <v>10</v>
          </cell>
          <cell r="E39">
            <v>6.9</v>
          </cell>
          <cell r="F39">
            <v>0.6</v>
          </cell>
          <cell r="G39">
            <v>1.2</v>
          </cell>
          <cell r="H39">
            <v>49.68</v>
          </cell>
        </row>
        <row r="40">
          <cell r="B40" t="str">
            <v>Eje 8, 9, 10, 11, 12, 13 entre ejes C-D</v>
          </cell>
          <cell r="C40" t="str">
            <v>m3</v>
          </cell>
          <cell r="D40">
            <v>6</v>
          </cell>
          <cell r="E40">
            <v>6.7</v>
          </cell>
          <cell r="F40">
            <v>0.6</v>
          </cell>
          <cell r="G40">
            <v>1.2</v>
          </cell>
          <cell r="H40">
            <v>28.943999999999999</v>
          </cell>
        </row>
        <row r="41">
          <cell r="B41" t="str">
            <v>Ejes 14,15, 17, 18, 19, 21, 22, 23, 24, 25 entre ejes C-D</v>
          </cell>
          <cell r="C41" t="str">
            <v>m3</v>
          </cell>
          <cell r="D41">
            <v>10</v>
          </cell>
          <cell r="E41">
            <v>6.75</v>
          </cell>
          <cell r="F41">
            <v>0.6</v>
          </cell>
          <cell r="G41">
            <v>1.2</v>
          </cell>
          <cell r="H41">
            <v>48.6</v>
          </cell>
        </row>
        <row r="42">
          <cell r="B42" t="str">
            <v>Ejes 8', 9', 10' y 11' entre ejes C-D</v>
          </cell>
          <cell r="C42" t="str">
            <v>m3</v>
          </cell>
          <cell r="D42">
            <v>4</v>
          </cell>
          <cell r="E42">
            <v>7.2</v>
          </cell>
          <cell r="F42">
            <v>0.6</v>
          </cell>
          <cell r="G42">
            <v>1.2</v>
          </cell>
          <cell r="H42">
            <v>20.736000000000001</v>
          </cell>
        </row>
        <row r="43">
          <cell r="B43" t="str">
            <v>Ejes 15' y 20' entre ejes C-D</v>
          </cell>
          <cell r="C43" t="str">
            <v>m3</v>
          </cell>
          <cell r="D43">
            <v>2</v>
          </cell>
          <cell r="E43">
            <v>5.42</v>
          </cell>
          <cell r="F43">
            <v>0.6</v>
          </cell>
          <cell r="G43">
            <v>1.2</v>
          </cell>
          <cell r="H43">
            <v>7.8047999999999993</v>
          </cell>
        </row>
        <row r="44">
          <cell r="B44" t="str">
            <v>Ejes 17', 18', 22' y23' entre ejes C-D</v>
          </cell>
          <cell r="C44" t="str">
            <v>m3</v>
          </cell>
          <cell r="D44">
            <v>4</v>
          </cell>
          <cell r="E44">
            <v>7.23</v>
          </cell>
          <cell r="F44">
            <v>0.6</v>
          </cell>
          <cell r="G44">
            <v>1.2</v>
          </cell>
          <cell r="H44">
            <v>20.822399999999998</v>
          </cell>
        </row>
        <row r="45">
          <cell r="B45" t="str">
            <v>Cimentación de escalera</v>
          </cell>
          <cell r="C45" t="str">
            <v>m3</v>
          </cell>
          <cell r="D45">
            <v>2</v>
          </cell>
          <cell r="E45">
            <v>2.0499999999999998</v>
          </cell>
          <cell r="F45">
            <v>0.8</v>
          </cell>
          <cell r="G45">
            <v>1.2</v>
          </cell>
          <cell r="H45">
            <v>3.9359999999999995</v>
          </cell>
        </row>
        <row r="46">
          <cell r="B46" t="str">
            <v>Eje 36 entre ejes A-D</v>
          </cell>
          <cell r="C46" t="str">
            <v>m3</v>
          </cell>
          <cell r="D46">
            <v>1</v>
          </cell>
          <cell r="E46">
            <v>15.7</v>
          </cell>
          <cell r="F46">
            <v>0.6</v>
          </cell>
          <cell r="G46">
            <v>1.2</v>
          </cell>
          <cell r="H46">
            <v>11.304</v>
          </cell>
        </row>
        <row r="47">
          <cell r="B47" t="str">
            <v>Eje B entre ejes 8 - 25</v>
          </cell>
          <cell r="C47" t="str">
            <v>m3</v>
          </cell>
          <cell r="D47">
            <v>1</v>
          </cell>
          <cell r="E47">
            <v>101.64</v>
          </cell>
          <cell r="F47">
            <v>0.6</v>
          </cell>
          <cell r="G47">
            <v>1.2</v>
          </cell>
          <cell r="H47">
            <v>73.180799999999991</v>
          </cell>
        </row>
        <row r="48">
          <cell r="B48" t="str">
            <v>Eje A entre ejes 25 - 36</v>
          </cell>
          <cell r="C48" t="str">
            <v>m3</v>
          </cell>
          <cell r="D48">
            <v>1</v>
          </cell>
          <cell r="E48">
            <v>86.88</v>
          </cell>
          <cell r="F48">
            <v>0.6</v>
          </cell>
          <cell r="G48">
            <v>1.2</v>
          </cell>
          <cell r="H48">
            <v>62.553599999999989</v>
          </cell>
        </row>
        <row r="49">
          <cell r="B49" t="str">
            <v>Eje C' entre ejes 14-15 y 21-22(fisioterapia  y sala de instrucciones)</v>
          </cell>
          <cell r="C49" t="str">
            <v>m3</v>
          </cell>
          <cell r="D49">
            <v>2</v>
          </cell>
          <cell r="E49">
            <v>6.6</v>
          </cell>
          <cell r="F49">
            <v>0.6</v>
          </cell>
          <cell r="G49">
            <v>1.2</v>
          </cell>
          <cell r="H49">
            <v>9.5039999999999978</v>
          </cell>
        </row>
        <row r="50">
          <cell r="B50" t="str">
            <v>Eje C' entre ejes 12-13 (Espera Ganadores y sala de premiación)</v>
          </cell>
          <cell r="C50" t="str">
            <v>m3</v>
          </cell>
          <cell r="D50">
            <v>1</v>
          </cell>
          <cell r="E50">
            <v>6.3</v>
          </cell>
          <cell r="F50">
            <v>0.6</v>
          </cell>
          <cell r="G50">
            <v>1.2</v>
          </cell>
          <cell r="H50">
            <v>4.5359999999999996</v>
          </cell>
        </row>
        <row r="51">
          <cell r="B51" t="str">
            <v>Entre ejes C-D y 17'-18' , 22'-23' (Dep. vestidor h y m)</v>
          </cell>
          <cell r="C51" t="str">
            <v>m3</v>
          </cell>
          <cell r="D51">
            <v>2</v>
          </cell>
          <cell r="E51">
            <v>6</v>
          </cell>
          <cell r="F51">
            <v>0.6</v>
          </cell>
          <cell r="G51">
            <v>1.2</v>
          </cell>
          <cell r="H51">
            <v>8.6399999999999988</v>
          </cell>
        </row>
        <row r="52">
          <cell r="B52" t="str">
            <v>En zona de estacionamiento</v>
          </cell>
        </row>
        <row r="53">
          <cell r="B53" t="str">
            <v>Eje A entre ejes 14 - 24</v>
          </cell>
          <cell r="C53" t="str">
            <v>m3</v>
          </cell>
          <cell r="D53">
            <v>10</v>
          </cell>
          <cell r="E53">
            <v>6.9</v>
          </cell>
          <cell r="F53">
            <v>0.6</v>
          </cell>
          <cell r="G53">
            <v>1.2</v>
          </cell>
          <cell r="H53">
            <v>49.68</v>
          </cell>
        </row>
        <row r="54">
          <cell r="B54" t="str">
            <v>Eje A' entre ejes 9 - 12, 17 - 18 y  22 - 25</v>
          </cell>
          <cell r="C54" t="str">
            <v>m3</v>
          </cell>
          <cell r="D54">
            <v>1</v>
          </cell>
          <cell r="E54">
            <v>45.02</v>
          </cell>
          <cell r="F54">
            <v>0.6</v>
          </cell>
          <cell r="G54">
            <v>1.2</v>
          </cell>
          <cell r="H54">
            <v>32.414400000000001</v>
          </cell>
        </row>
        <row r="55">
          <cell r="B55" t="str">
            <v>Eje 9, 10, 11, 12, 13 - 25 entre ejes A-B</v>
          </cell>
          <cell r="C55" t="str">
            <v>m3</v>
          </cell>
          <cell r="D55">
            <v>16</v>
          </cell>
          <cell r="E55">
            <v>6.45</v>
          </cell>
          <cell r="F55">
            <v>0.6</v>
          </cell>
          <cell r="G55">
            <v>1.2</v>
          </cell>
          <cell r="H55">
            <v>74.304000000000002</v>
          </cell>
        </row>
        <row r="56">
          <cell r="B56" t="str">
            <v>Ejes 8', 9', 10', 11', 12' entre ejes A-B</v>
          </cell>
          <cell r="C56" t="str">
            <v>m3</v>
          </cell>
          <cell r="D56">
            <v>5</v>
          </cell>
          <cell r="E56">
            <v>6.9</v>
          </cell>
          <cell r="F56">
            <v>0.6</v>
          </cell>
          <cell r="G56">
            <v>1.2</v>
          </cell>
          <cell r="H56">
            <v>24.84</v>
          </cell>
        </row>
        <row r="57">
          <cell r="B57" t="str">
            <v>Entre ejes 10 - 11 y A - B (Depósito de limpieza)</v>
          </cell>
          <cell r="C57" t="str">
            <v>m3</v>
          </cell>
          <cell r="D57">
            <v>2</v>
          </cell>
          <cell r="E57">
            <v>2.85</v>
          </cell>
          <cell r="F57">
            <v>0.6</v>
          </cell>
          <cell r="G57">
            <v>1.2</v>
          </cell>
          <cell r="H57">
            <v>4.1040000000000001</v>
          </cell>
        </row>
        <row r="58">
          <cell r="B58" t="str">
            <v>Entre ejes 17 - 18 y A - B (Depósito, vestidor, lav, frigorifico)</v>
          </cell>
          <cell r="C58" t="str">
            <v>m3</v>
          </cell>
          <cell r="D58">
            <v>1</v>
          </cell>
          <cell r="E58">
            <v>17.25</v>
          </cell>
          <cell r="F58">
            <v>0.6</v>
          </cell>
          <cell r="G58">
            <v>1.2</v>
          </cell>
          <cell r="H58">
            <v>12.42</v>
          </cell>
        </row>
        <row r="59">
          <cell r="B59" t="str">
            <v>Entre ejes A-B y 22-25 (Adm, ss.hh, doping, topico y pesaje)</v>
          </cell>
          <cell r="C59" t="str">
            <v>m3</v>
          </cell>
          <cell r="D59">
            <v>1</v>
          </cell>
          <cell r="E59">
            <v>15.950000000000001</v>
          </cell>
          <cell r="F59">
            <v>0.6</v>
          </cell>
          <cell r="G59">
            <v>1.2</v>
          </cell>
          <cell r="H59">
            <v>11.484</v>
          </cell>
        </row>
        <row r="60">
          <cell r="B60" t="str">
            <v>Ejes 2, 3, 4 entre ejes C-D</v>
          </cell>
          <cell r="C60" t="str">
            <v>m3</v>
          </cell>
          <cell r="D60">
            <v>3</v>
          </cell>
          <cell r="E60">
            <v>6.55</v>
          </cell>
          <cell r="F60">
            <v>0.6</v>
          </cell>
          <cell r="G60">
            <v>1.2</v>
          </cell>
          <cell r="H60">
            <v>14.147999999999998</v>
          </cell>
        </row>
        <row r="61">
          <cell r="B61" t="str">
            <v>Ejes D entre ejes 1-4</v>
          </cell>
          <cell r="C61" t="str">
            <v>m3</v>
          </cell>
          <cell r="D61">
            <v>3</v>
          </cell>
          <cell r="E61">
            <v>5.9</v>
          </cell>
          <cell r="F61">
            <v>0.6</v>
          </cell>
          <cell r="G61">
            <v>1.2</v>
          </cell>
          <cell r="H61">
            <v>12.744000000000002</v>
          </cell>
        </row>
        <row r="62">
          <cell r="B62" t="str">
            <v>Ensanche en falso piso</v>
          </cell>
        </row>
        <row r="63">
          <cell r="B63" t="str">
            <v>En SS.HH. Administracion hombres y mujeres</v>
          </cell>
          <cell r="C63" t="str">
            <v>m3</v>
          </cell>
          <cell r="D63">
            <v>2</v>
          </cell>
          <cell r="E63" t="str">
            <v>Area Cad=</v>
          </cell>
          <cell r="F63">
            <v>6.15</v>
          </cell>
          <cell r="G63">
            <v>0.25</v>
          </cell>
          <cell r="H63">
            <v>3.0750000000000002</v>
          </cell>
        </row>
        <row r="64">
          <cell r="B64" t="str">
            <v>En ambientes para vestidor de atletas mujeres y hombres</v>
          </cell>
          <cell r="C64" t="str">
            <v>m3</v>
          </cell>
          <cell r="D64">
            <v>2</v>
          </cell>
          <cell r="E64" t="str">
            <v>Area Cad=</v>
          </cell>
          <cell r="F64">
            <v>22.4</v>
          </cell>
          <cell r="G64">
            <v>0.25</v>
          </cell>
          <cell r="H64">
            <v>11.2</v>
          </cell>
        </row>
        <row r="65">
          <cell r="B65" t="str">
            <v>En vestidor de entrenador y juez mujeres y hombres</v>
          </cell>
          <cell r="C65" t="str">
            <v>m3</v>
          </cell>
          <cell r="D65">
            <v>2</v>
          </cell>
          <cell r="E65" t="str">
            <v>Area Cad=</v>
          </cell>
          <cell r="F65">
            <v>7.45</v>
          </cell>
          <cell r="G65">
            <v>0.25</v>
          </cell>
          <cell r="H65">
            <v>3.7250000000000001</v>
          </cell>
        </row>
        <row r="66">
          <cell r="B66" t="str">
            <v>Cimentación de muro de sosteniento de sostenimiento</v>
          </cell>
          <cell r="C66" t="str">
            <v>m3</v>
          </cell>
          <cell r="D66">
            <v>1</v>
          </cell>
          <cell r="E66">
            <v>206.23000000000002</v>
          </cell>
          <cell r="F66">
            <v>2.4</v>
          </cell>
          <cell r="G66">
            <v>1.5</v>
          </cell>
          <cell r="H66">
            <v>742.428</v>
          </cell>
        </row>
        <row r="68">
          <cell r="B68" t="str">
            <v>vigas de cimentación</v>
          </cell>
        </row>
        <row r="69">
          <cell r="B69" t="str">
            <v>Eje A entre ejes 13-36, V-C (40x40)cm</v>
          </cell>
          <cell r="C69" t="str">
            <v>m3</v>
          </cell>
          <cell r="D69">
            <v>1</v>
          </cell>
          <cell r="E69">
            <v>160.61000000000001</v>
          </cell>
          <cell r="F69">
            <v>0.8</v>
          </cell>
          <cell r="G69">
            <v>1.9</v>
          </cell>
          <cell r="H69">
            <v>244.12720000000004</v>
          </cell>
        </row>
        <row r="70">
          <cell r="B70" t="str">
            <v>Eje B entre ejes 8-36, V-C (40x40)cm</v>
          </cell>
          <cell r="C70" t="str">
            <v>m3</v>
          </cell>
          <cell r="D70">
            <v>1</v>
          </cell>
          <cell r="E70">
            <v>188.23</v>
          </cell>
          <cell r="F70">
            <v>0.8</v>
          </cell>
          <cell r="G70">
            <v>1.9</v>
          </cell>
          <cell r="H70">
            <v>286.1096</v>
          </cell>
        </row>
        <row r="71">
          <cell r="B71" t="str">
            <v>Eje C entre ejes 8-36, V-C (40x40)cm</v>
          </cell>
          <cell r="C71" t="str">
            <v>m3</v>
          </cell>
          <cell r="D71">
            <v>1</v>
          </cell>
          <cell r="E71">
            <v>186.52</v>
          </cell>
          <cell r="F71">
            <v>0.8</v>
          </cell>
          <cell r="G71">
            <v>1.9</v>
          </cell>
          <cell r="H71">
            <v>283.5104</v>
          </cell>
        </row>
        <row r="72">
          <cell r="B72" t="str">
            <v>Eje D entre ejes 1-8, V-C (40x40)cm</v>
          </cell>
          <cell r="C72" t="str">
            <v>m3</v>
          </cell>
          <cell r="D72">
            <v>7</v>
          </cell>
          <cell r="E72">
            <v>5.9</v>
          </cell>
          <cell r="F72">
            <v>0.8</v>
          </cell>
          <cell r="G72">
            <v>1.9</v>
          </cell>
          <cell r="H72">
            <v>62.77600000000001</v>
          </cell>
        </row>
        <row r="73">
          <cell r="B73" t="str">
            <v>Eje D entre ejes 29-36, V-C (40x40)cm</v>
          </cell>
          <cell r="C73" t="str">
            <v>m3</v>
          </cell>
          <cell r="D73">
            <v>7</v>
          </cell>
          <cell r="E73">
            <v>5.9</v>
          </cell>
          <cell r="F73">
            <v>0.8</v>
          </cell>
          <cell r="G73">
            <v>1.9</v>
          </cell>
          <cell r="H73">
            <v>62.77600000000001</v>
          </cell>
        </row>
        <row r="74">
          <cell r="B74" t="str">
            <v>Eje 1-8 entre ejes C-D, V-C (40x40)cm</v>
          </cell>
          <cell r="C74" t="str">
            <v>m3</v>
          </cell>
          <cell r="D74">
            <v>8</v>
          </cell>
          <cell r="E74">
            <v>6.85</v>
          </cell>
          <cell r="F74">
            <v>0.8</v>
          </cell>
          <cell r="G74">
            <v>1.9</v>
          </cell>
          <cell r="H74">
            <v>83.296000000000006</v>
          </cell>
        </row>
        <row r="75">
          <cell r="B75" t="str">
            <v>Eje 9-36 entre ejes A-D, V-C (40x40)cm</v>
          </cell>
          <cell r="C75" t="str">
            <v>m3</v>
          </cell>
          <cell r="D75">
            <v>28</v>
          </cell>
          <cell r="E75">
            <v>15.999999999999998</v>
          </cell>
          <cell r="F75">
            <v>0.8</v>
          </cell>
          <cell r="G75">
            <v>1.9</v>
          </cell>
          <cell r="H75">
            <v>680.95999999999992</v>
          </cell>
          <cell r="I75">
            <v>5501.8409999999994</v>
          </cell>
        </row>
        <row r="77">
          <cell r="A77" t="str">
            <v>03.02.00</v>
          </cell>
          <cell r="B77" t="str">
            <v>RELLENOS</v>
          </cell>
        </row>
        <row r="78">
          <cell r="A78" t="str">
            <v>03.02.01</v>
          </cell>
          <cell r="B78" t="str">
            <v>RELLENO COMPACTADO C/EQUIPO MAT/PROPIO</v>
          </cell>
          <cell r="C78" t="str">
            <v>m3</v>
          </cell>
        </row>
        <row r="79">
          <cell r="B79" t="str">
            <v xml:space="preserve">Zapatas </v>
          </cell>
        </row>
        <row r="80">
          <cell r="B80" t="str">
            <v>Z-1 En eje A eje 8-36</v>
          </cell>
          <cell r="C80" t="str">
            <v>m3</v>
          </cell>
          <cell r="D80">
            <v>23</v>
          </cell>
          <cell r="E80">
            <v>5.9672566611769184</v>
          </cell>
          <cell r="G80">
            <v>1.9</v>
          </cell>
          <cell r="H80">
            <v>260.76911609343131</v>
          </cell>
        </row>
        <row r="81">
          <cell r="B81" t="str">
            <v>Z-2 En eje B eje 8-36</v>
          </cell>
          <cell r="C81" t="str">
            <v>m3</v>
          </cell>
          <cell r="D81">
            <v>28</v>
          </cell>
          <cell r="E81">
            <v>14.178650459150639</v>
          </cell>
          <cell r="G81">
            <v>1.9</v>
          </cell>
          <cell r="H81">
            <v>754.30420442681384</v>
          </cell>
        </row>
        <row r="82">
          <cell r="B82" t="str">
            <v>Z-3 En eje C entre ejes 2-6 y ejes 30-37</v>
          </cell>
          <cell r="C82" t="str">
            <v>m3</v>
          </cell>
          <cell r="D82">
            <v>13</v>
          </cell>
          <cell r="E82">
            <v>3.0436504591506379</v>
          </cell>
          <cell r="G82">
            <v>1.9</v>
          </cell>
          <cell r="H82">
            <v>75.178166341020756</v>
          </cell>
        </row>
        <row r="83">
          <cell r="B83" t="str">
            <v>Z-4 En eje C en eje 7 y eje 37</v>
          </cell>
          <cell r="C83" t="str">
            <v>m3</v>
          </cell>
          <cell r="D83">
            <v>1</v>
          </cell>
          <cell r="E83">
            <v>3.8036504591506377</v>
          </cell>
          <cell r="G83">
            <v>1.9</v>
          </cell>
          <cell r="H83">
            <v>7.2269358723862114</v>
          </cell>
        </row>
        <row r="84">
          <cell r="B84" t="str">
            <v>Cimentación (En Zotano)</v>
          </cell>
        </row>
        <row r="85">
          <cell r="B85" t="str">
            <v>Cimentación (Primer nivel)</v>
          </cell>
        </row>
        <row r="86">
          <cell r="B86" t="str">
            <v xml:space="preserve">Eje C entre ejes (9 - 13) </v>
          </cell>
          <cell r="C86" t="str">
            <v>m3</v>
          </cell>
          <cell r="D86">
            <v>5</v>
          </cell>
          <cell r="E86">
            <v>6.74</v>
          </cell>
          <cell r="F86">
            <v>0.47</v>
          </cell>
          <cell r="G86">
            <v>0.3</v>
          </cell>
          <cell r="H86">
            <v>4.7516999999999996</v>
          </cell>
        </row>
        <row r="87">
          <cell r="B87" t="str">
            <v xml:space="preserve">Eje A entre ejes (13 - 14 Y 24-35) </v>
          </cell>
          <cell r="C87" t="str">
            <v>m3</v>
          </cell>
          <cell r="D87">
            <v>2</v>
          </cell>
          <cell r="E87">
            <v>5.57</v>
          </cell>
          <cell r="F87">
            <v>0.47</v>
          </cell>
          <cell r="G87">
            <v>0.3</v>
          </cell>
          <cell r="H87">
            <v>1.57074</v>
          </cell>
        </row>
        <row r="88">
          <cell r="B88" t="str">
            <v xml:space="preserve">Eje C entre ejes (14 - 24) </v>
          </cell>
          <cell r="C88" t="str">
            <v>m3</v>
          </cell>
          <cell r="D88">
            <v>10</v>
          </cell>
          <cell r="E88">
            <v>6.9</v>
          </cell>
          <cell r="F88">
            <v>0.47</v>
          </cell>
          <cell r="G88">
            <v>0.3</v>
          </cell>
          <cell r="H88">
            <v>9.7289999999999992</v>
          </cell>
        </row>
        <row r="89">
          <cell r="B89" t="str">
            <v>Eje 8, 9, 10, 11, 12, 13 entre ejes C-D</v>
          </cell>
          <cell r="C89" t="str">
            <v>m3</v>
          </cell>
          <cell r="D89">
            <v>6</v>
          </cell>
          <cell r="E89">
            <v>6.7</v>
          </cell>
          <cell r="F89">
            <v>0.47</v>
          </cell>
          <cell r="G89">
            <v>0.3</v>
          </cell>
          <cell r="H89">
            <v>5.6682000000000006</v>
          </cell>
        </row>
        <row r="90">
          <cell r="B90" t="str">
            <v>Ejes 14,15, 17, 18, 19, 21, 22, 23, 24, 25 entre ejes C-D</v>
          </cell>
          <cell r="C90" t="str">
            <v>m3</v>
          </cell>
          <cell r="D90">
            <v>10</v>
          </cell>
          <cell r="E90">
            <v>6.75</v>
          </cell>
          <cell r="F90">
            <v>0.47</v>
          </cell>
          <cell r="G90">
            <v>0.3</v>
          </cell>
          <cell r="H90">
            <v>9.5174999999999983</v>
          </cell>
        </row>
        <row r="91">
          <cell r="B91" t="str">
            <v>Ejes 8', 9', 10' y 11' entre ejes C-D</v>
          </cell>
          <cell r="C91" t="str">
            <v>m3</v>
          </cell>
          <cell r="D91">
            <v>4</v>
          </cell>
          <cell r="E91">
            <v>7.2</v>
          </cell>
          <cell r="F91">
            <v>0.47</v>
          </cell>
          <cell r="G91">
            <v>0.3</v>
          </cell>
          <cell r="H91">
            <v>4.0607999999999995</v>
          </cell>
        </row>
        <row r="92">
          <cell r="B92" t="str">
            <v>Ejes 15' y 20' entre ejes C-D</v>
          </cell>
          <cell r="C92" t="str">
            <v>m3</v>
          </cell>
          <cell r="D92">
            <v>2</v>
          </cell>
          <cell r="E92">
            <v>5.42</v>
          </cell>
          <cell r="F92">
            <v>0.47</v>
          </cell>
          <cell r="G92">
            <v>0.3</v>
          </cell>
          <cell r="H92">
            <v>1.5284399999999998</v>
          </cell>
        </row>
        <row r="93">
          <cell r="B93" t="str">
            <v>Ejes 17', 18', 22' y23' entre ejes C-D</v>
          </cell>
          <cell r="C93" t="str">
            <v>m3</v>
          </cell>
          <cell r="D93">
            <v>4</v>
          </cell>
          <cell r="E93">
            <v>7.23</v>
          </cell>
          <cell r="F93">
            <v>0.47</v>
          </cell>
          <cell r="G93">
            <v>0.3</v>
          </cell>
          <cell r="H93">
            <v>4.0777199999999993</v>
          </cell>
        </row>
        <row r="94">
          <cell r="B94" t="str">
            <v>Cimentación de escalera</v>
          </cell>
          <cell r="C94" t="str">
            <v>m3</v>
          </cell>
          <cell r="D94">
            <v>2</v>
          </cell>
          <cell r="E94">
            <v>2.0499999999999998</v>
          </cell>
          <cell r="F94">
            <v>0.55000000000000004</v>
          </cell>
          <cell r="G94">
            <v>0.3</v>
          </cell>
          <cell r="H94">
            <v>0.67649999999999999</v>
          </cell>
        </row>
        <row r="95">
          <cell r="B95" t="str">
            <v>Eje 36 entre ejes A-D</v>
          </cell>
          <cell r="C95" t="str">
            <v>m3</v>
          </cell>
          <cell r="D95">
            <v>1</v>
          </cell>
          <cell r="E95">
            <v>15.7</v>
          </cell>
          <cell r="F95">
            <v>0.47</v>
          </cell>
          <cell r="G95">
            <v>0.3</v>
          </cell>
          <cell r="H95">
            <v>2.2136999999999998</v>
          </cell>
        </row>
        <row r="96">
          <cell r="B96" t="str">
            <v>Eje B entre ejes 8 - 25</v>
          </cell>
          <cell r="C96" t="str">
            <v>m3</v>
          </cell>
          <cell r="D96">
            <v>1</v>
          </cell>
          <cell r="E96">
            <v>101.64</v>
          </cell>
          <cell r="F96">
            <v>0.47</v>
          </cell>
          <cell r="G96">
            <v>0.3</v>
          </cell>
          <cell r="H96">
            <v>14.331239999999998</v>
          </cell>
        </row>
        <row r="97">
          <cell r="B97" t="str">
            <v>Eje A entre ejes 25 - 36</v>
          </cell>
          <cell r="C97" t="str">
            <v>m3</v>
          </cell>
          <cell r="D97">
            <v>1</v>
          </cell>
          <cell r="E97">
            <v>86.88</v>
          </cell>
          <cell r="F97">
            <v>0.47</v>
          </cell>
          <cell r="G97">
            <v>0.3</v>
          </cell>
          <cell r="H97">
            <v>12.250079999999999</v>
          </cell>
        </row>
        <row r="98">
          <cell r="B98" t="str">
            <v>Eje C' entre ejes 14-15 y 21-22(fisioterapia  y sala de instrucciones)</v>
          </cell>
          <cell r="C98" t="str">
            <v>m3</v>
          </cell>
          <cell r="D98">
            <v>2</v>
          </cell>
          <cell r="E98">
            <v>6.6</v>
          </cell>
          <cell r="F98">
            <v>0.47</v>
          </cell>
          <cell r="G98">
            <v>0.3</v>
          </cell>
          <cell r="H98">
            <v>1.8611999999999997</v>
          </cell>
        </row>
        <row r="99">
          <cell r="B99" t="str">
            <v>Eje C' entre ejes 12-13 (Espera Ganadores y sala de premiación)</v>
          </cell>
          <cell r="C99" t="str">
            <v>m3</v>
          </cell>
          <cell r="D99">
            <v>1</v>
          </cell>
          <cell r="E99">
            <v>6.3</v>
          </cell>
          <cell r="F99">
            <v>0.47</v>
          </cell>
          <cell r="G99">
            <v>0.3</v>
          </cell>
          <cell r="H99">
            <v>0.88829999999999998</v>
          </cell>
        </row>
        <row r="100">
          <cell r="B100" t="str">
            <v>Entre ejes C-D y 17'-18' , 22'-23' (Dep. vestidor h y m)</v>
          </cell>
          <cell r="C100" t="str">
            <v>m3</v>
          </cell>
          <cell r="D100">
            <v>2</v>
          </cell>
          <cell r="E100">
            <v>6</v>
          </cell>
          <cell r="F100">
            <v>0.47</v>
          </cell>
          <cell r="G100">
            <v>0.3</v>
          </cell>
          <cell r="H100">
            <v>1.6919999999999999</v>
          </cell>
        </row>
        <row r="101">
          <cell r="B101" t="str">
            <v>En zona de estacionamiento</v>
          </cell>
        </row>
        <row r="102">
          <cell r="B102" t="str">
            <v>Eje A entre ejes 14 - 24</v>
          </cell>
          <cell r="C102" t="str">
            <v>m3</v>
          </cell>
          <cell r="D102">
            <v>10</v>
          </cell>
          <cell r="E102">
            <v>6.9</v>
          </cell>
          <cell r="F102">
            <v>0.47</v>
          </cell>
          <cell r="G102">
            <v>0.3</v>
          </cell>
          <cell r="H102">
            <v>9.7289999999999992</v>
          </cell>
        </row>
        <row r="103">
          <cell r="B103" t="str">
            <v>Eje A' entre ejes 9 - 12, 17 - 18 y  22 - 25</v>
          </cell>
          <cell r="C103" t="str">
            <v>m3</v>
          </cell>
          <cell r="D103">
            <v>1</v>
          </cell>
          <cell r="E103">
            <v>45.02</v>
          </cell>
          <cell r="F103">
            <v>0.47</v>
          </cell>
          <cell r="G103">
            <v>0.3</v>
          </cell>
          <cell r="H103">
            <v>6.3478200000000005</v>
          </cell>
        </row>
        <row r="104">
          <cell r="B104" t="str">
            <v>Eje 9, 10, 11, 12, 13 - 25 entre ejes A-B</v>
          </cell>
          <cell r="C104" t="str">
            <v>m3</v>
          </cell>
          <cell r="D104">
            <v>16</v>
          </cell>
          <cell r="E104">
            <v>6.45</v>
          </cell>
          <cell r="F104">
            <v>0.47</v>
          </cell>
          <cell r="G104">
            <v>0.3</v>
          </cell>
          <cell r="H104">
            <v>14.551199999999998</v>
          </cell>
        </row>
        <row r="105">
          <cell r="B105" t="str">
            <v>Ejes 8', 9', 10', 11', 12' entre ejes A-B</v>
          </cell>
          <cell r="C105" t="str">
            <v>m3</v>
          </cell>
          <cell r="D105">
            <v>5</v>
          </cell>
          <cell r="E105">
            <v>6.9</v>
          </cell>
          <cell r="F105">
            <v>0.47</v>
          </cell>
          <cell r="G105">
            <v>0.3</v>
          </cell>
          <cell r="H105">
            <v>4.8644999999999996</v>
          </cell>
        </row>
        <row r="106">
          <cell r="B106" t="str">
            <v>Entre ejes 10 - 11 y A - B (Depósito de limpieza)</v>
          </cell>
          <cell r="C106" t="str">
            <v>m3</v>
          </cell>
          <cell r="D106">
            <v>2</v>
          </cell>
          <cell r="E106">
            <v>2.85</v>
          </cell>
          <cell r="F106">
            <v>0.47</v>
          </cell>
          <cell r="G106">
            <v>0.3</v>
          </cell>
          <cell r="H106">
            <v>0.80369999999999997</v>
          </cell>
        </row>
        <row r="107">
          <cell r="B107" t="str">
            <v>Entre ejes 17 - 18 y A - B (Depósito, vestidor, lav, frigorifico)</v>
          </cell>
          <cell r="C107" t="str">
            <v>m3</v>
          </cell>
          <cell r="D107">
            <v>1</v>
          </cell>
          <cell r="E107">
            <v>17.25</v>
          </cell>
          <cell r="F107">
            <v>0.47</v>
          </cell>
          <cell r="G107">
            <v>0.3</v>
          </cell>
          <cell r="H107">
            <v>2.4322499999999998</v>
          </cell>
        </row>
        <row r="108">
          <cell r="B108" t="str">
            <v>Entre ejes A-B y 22-25 (Adm, ss.hh, doping, topico y pesaje)</v>
          </cell>
          <cell r="C108" t="str">
            <v>m3</v>
          </cell>
          <cell r="D108">
            <v>1</v>
          </cell>
          <cell r="E108">
            <v>15.950000000000001</v>
          </cell>
          <cell r="F108">
            <v>0.47</v>
          </cell>
          <cell r="G108">
            <v>0.3</v>
          </cell>
          <cell r="H108">
            <v>2.2489499999999998</v>
          </cell>
        </row>
        <row r="109">
          <cell r="B109" t="str">
            <v>Ejes 2, 3, 4 entre ejes C-D</v>
          </cell>
          <cell r="C109" t="str">
            <v>m3</v>
          </cell>
          <cell r="D109">
            <v>3</v>
          </cell>
          <cell r="E109">
            <v>6.55</v>
          </cell>
          <cell r="F109">
            <v>0.47</v>
          </cell>
          <cell r="G109">
            <v>0.3</v>
          </cell>
          <cell r="H109">
            <v>2.7706499999999994</v>
          </cell>
        </row>
        <row r="110">
          <cell r="B110" t="str">
            <v>Ejes D entre ejes 1-4</v>
          </cell>
          <cell r="C110" t="str">
            <v>m3</v>
          </cell>
          <cell r="D110">
            <v>3</v>
          </cell>
          <cell r="E110">
            <v>5.9</v>
          </cell>
          <cell r="F110">
            <v>0.47</v>
          </cell>
          <cell r="G110">
            <v>0.3</v>
          </cell>
          <cell r="H110">
            <v>2.4957000000000003</v>
          </cell>
        </row>
        <row r="111">
          <cell r="B111" t="str">
            <v>Ensanche en falso piso</v>
          </cell>
        </row>
        <row r="112">
          <cell r="B112" t="str">
            <v>En SS.HH. Administracion hombres y mujeres</v>
          </cell>
          <cell r="C112" t="str">
            <v>m3</v>
          </cell>
          <cell r="D112">
            <v>2</v>
          </cell>
          <cell r="E112" t="str">
            <v>Area Cad=</v>
          </cell>
          <cell r="F112">
            <v>6.15</v>
          </cell>
          <cell r="G112">
            <v>2.2499999999999999E-2</v>
          </cell>
          <cell r="H112">
            <v>0.27675</v>
          </cell>
        </row>
        <row r="113">
          <cell r="B113" t="str">
            <v>En ambientes para vestidor de atletas mujeres y hombres</v>
          </cell>
          <cell r="C113" t="str">
            <v>m3</v>
          </cell>
          <cell r="D113">
            <v>2</v>
          </cell>
          <cell r="E113" t="str">
            <v>Area Cad=</v>
          </cell>
          <cell r="F113">
            <v>22.4</v>
          </cell>
          <cell r="G113">
            <v>2.2499999999999999E-2</v>
          </cell>
          <cell r="H113">
            <v>1.008</v>
          </cell>
        </row>
        <row r="114">
          <cell r="B114" t="str">
            <v>En vestidor de entrenador y juez mujeres y hombres</v>
          </cell>
          <cell r="C114" t="str">
            <v>m3</v>
          </cell>
          <cell r="D114">
            <v>2</v>
          </cell>
          <cell r="E114" t="str">
            <v>Area Cad=</v>
          </cell>
          <cell r="F114">
            <v>7.45</v>
          </cell>
          <cell r="G114">
            <v>2.2499999999999999E-2</v>
          </cell>
          <cell r="H114">
            <v>0.33524999999999999</v>
          </cell>
        </row>
        <row r="115">
          <cell r="B115" t="str">
            <v>Cimentación de muro de sosteniento de sostenimiento</v>
          </cell>
          <cell r="C115" t="str">
            <v>m3</v>
          </cell>
          <cell r="D115">
            <v>1</v>
          </cell>
          <cell r="E115">
            <v>206.23000000000002</v>
          </cell>
          <cell r="F115">
            <v>2.4</v>
          </cell>
          <cell r="G115">
            <v>1.1000000000000001</v>
          </cell>
          <cell r="H115">
            <v>544.44720000000007</v>
          </cell>
        </row>
        <row r="116">
          <cell r="B116" t="str">
            <v>vigas de cimentación</v>
          </cell>
        </row>
        <row r="117">
          <cell r="B117" t="str">
            <v>Eje A entre ejes 13-36, V-C (40x40)cm</v>
          </cell>
          <cell r="C117" t="str">
            <v>m3</v>
          </cell>
          <cell r="D117">
            <v>1</v>
          </cell>
          <cell r="E117">
            <v>160.61000000000001</v>
          </cell>
          <cell r="F117">
            <v>0.8</v>
          </cell>
          <cell r="G117">
            <v>1.7</v>
          </cell>
          <cell r="H117">
            <v>218.42960000000005</v>
          </cell>
        </row>
        <row r="118">
          <cell r="B118" t="str">
            <v>Eje B entre ejes 8-36, V-C (40x40)cm</v>
          </cell>
          <cell r="C118" t="str">
            <v>m3</v>
          </cell>
          <cell r="D118">
            <v>1</v>
          </cell>
          <cell r="E118">
            <v>188.23</v>
          </cell>
          <cell r="F118">
            <v>0.8</v>
          </cell>
          <cell r="G118">
            <v>1.7</v>
          </cell>
          <cell r="H118">
            <v>255.99279999999999</v>
          </cell>
        </row>
        <row r="119">
          <cell r="B119" t="str">
            <v>Eje C entre ejes 8-36, V-C (40x40)cm</v>
          </cell>
          <cell r="C119" t="str">
            <v>m3</v>
          </cell>
          <cell r="D119">
            <v>1</v>
          </cell>
          <cell r="E119">
            <v>186.52</v>
          </cell>
          <cell r="F119">
            <v>0.8</v>
          </cell>
          <cell r="G119">
            <v>1.7</v>
          </cell>
          <cell r="H119">
            <v>253.66720000000001</v>
          </cell>
        </row>
        <row r="120">
          <cell r="B120" t="str">
            <v>Eje D entre ejes 1-8, V-C (40x40)cm</v>
          </cell>
          <cell r="C120" t="str">
            <v>m3</v>
          </cell>
          <cell r="D120">
            <v>7</v>
          </cell>
          <cell r="E120">
            <v>5.9</v>
          </cell>
          <cell r="F120">
            <v>0.8</v>
          </cell>
          <cell r="G120">
            <v>1.7</v>
          </cell>
          <cell r="H120">
            <v>56.168000000000006</v>
          </cell>
        </row>
        <row r="121">
          <cell r="B121" t="str">
            <v>Eje D entre ejes 29-36, V-C (40x40)cm</v>
          </cell>
          <cell r="C121" t="str">
            <v>m3</v>
          </cell>
          <cell r="D121">
            <v>7</v>
          </cell>
          <cell r="E121">
            <v>5.9</v>
          </cell>
          <cell r="F121">
            <v>0.8</v>
          </cell>
          <cell r="G121">
            <v>1.7</v>
          </cell>
          <cell r="H121">
            <v>56.168000000000006</v>
          </cell>
        </row>
        <row r="122">
          <cell r="B122" t="str">
            <v>Eje 1-8 entre ejes C-D, V-C (40x40)cm</v>
          </cell>
          <cell r="C122" t="str">
            <v>m3</v>
          </cell>
          <cell r="D122">
            <v>8</v>
          </cell>
          <cell r="E122">
            <v>6.85</v>
          </cell>
          <cell r="F122">
            <v>0.8</v>
          </cell>
          <cell r="G122">
            <v>1.7</v>
          </cell>
          <cell r="H122">
            <v>74.528000000000006</v>
          </cell>
        </row>
        <row r="123">
          <cell r="B123" t="str">
            <v>Eje 9-36 entre ejes A-D, V-C (40x40)cm</v>
          </cell>
          <cell r="C123" t="str">
            <v>m3</v>
          </cell>
          <cell r="D123">
            <v>28</v>
          </cell>
          <cell r="E123">
            <v>15.999999999999998</v>
          </cell>
          <cell r="F123">
            <v>0.8</v>
          </cell>
          <cell r="G123">
            <v>1.7</v>
          </cell>
          <cell r="H123">
            <v>609.28</v>
          </cell>
          <cell r="I123">
            <v>3288.8401127336519</v>
          </cell>
        </row>
        <row r="125">
          <cell r="A125" t="str">
            <v>03.02.02</v>
          </cell>
          <cell r="B125" t="str">
            <v>RELLENO MASIVO C/MOTONIVELADORA, RODILLO Y CISTERNA MAT. DE PRESTAMO</v>
          </cell>
        </row>
        <row r="126">
          <cell r="B126" t="str">
            <v xml:space="preserve">En area deportiva </v>
          </cell>
          <cell r="C126" t="str">
            <v>m3</v>
          </cell>
          <cell r="D126">
            <v>1</v>
          </cell>
          <cell r="E126" t="str">
            <v>Área CAD=</v>
          </cell>
          <cell r="F126">
            <v>17787.88</v>
          </cell>
          <cell r="G126">
            <v>0.3</v>
          </cell>
          <cell r="H126">
            <v>5336.3640000000005</v>
          </cell>
          <cell r="I126">
            <v>5336.3640000000005</v>
          </cell>
        </row>
        <row r="128">
          <cell r="A128" t="str">
            <v>03.03.00</v>
          </cell>
          <cell r="B128" t="str">
            <v>NIVELACION Y APISONADO</v>
          </cell>
        </row>
        <row r="129">
          <cell r="A129" t="str">
            <v>03.03.01</v>
          </cell>
          <cell r="B129" t="str">
            <v>NIVELACION Y COMPACTACIÓN DE AREA DEPORTIVA</v>
          </cell>
          <cell r="C129" t="str">
            <v>m2</v>
          </cell>
        </row>
        <row r="130">
          <cell r="B130" t="str">
            <v>Area deportiva</v>
          </cell>
          <cell r="C130" t="str">
            <v>m2</v>
          </cell>
          <cell r="D130">
            <v>1</v>
          </cell>
          <cell r="E130">
            <v>17787.900000000001</v>
          </cell>
          <cell r="H130">
            <v>17787.900000000001</v>
          </cell>
          <cell r="I130">
            <v>17787.900000000001</v>
          </cell>
        </row>
        <row r="133">
          <cell r="A133" t="str">
            <v>03.03.02</v>
          </cell>
          <cell r="B133" t="str">
            <v>NIVELACION INTERIOR Y APISONADO PARA FALSO PISO</v>
          </cell>
          <cell r="C133" t="str">
            <v>m2</v>
          </cell>
        </row>
        <row r="134">
          <cell r="B134" t="str">
            <v xml:space="preserve">En Zotano </v>
          </cell>
          <cell r="F134" t="str">
            <v>Área CAD (m2)</v>
          </cell>
        </row>
        <row r="135">
          <cell r="B135" t="str">
            <v>Sala cardiovascular y sala parafina</v>
          </cell>
          <cell r="C135" t="str">
            <v>m2</v>
          </cell>
          <cell r="D135">
            <v>1</v>
          </cell>
          <cell r="E135" t="str">
            <v>Área CAD=</v>
          </cell>
          <cell r="F135">
            <v>46.750399999999999</v>
          </cell>
          <cell r="H135">
            <v>46.750399999999999</v>
          </cell>
        </row>
        <row r="136">
          <cell r="B136" t="str">
            <v>Sala electromagnetismo y  sala de corriente</v>
          </cell>
          <cell r="C136" t="str">
            <v>m2</v>
          </cell>
          <cell r="D136">
            <v>1</v>
          </cell>
          <cell r="E136" t="str">
            <v>Área CAD=</v>
          </cell>
          <cell r="F136">
            <v>46.750399999999999</v>
          </cell>
          <cell r="H136">
            <v>46.750399999999999</v>
          </cell>
        </row>
        <row r="137">
          <cell r="B137" t="str">
            <v>Sala ultrasonido y magnetoterapia</v>
          </cell>
          <cell r="C137" t="str">
            <v>m2</v>
          </cell>
          <cell r="D137">
            <v>1</v>
          </cell>
          <cell r="E137" t="str">
            <v>Área CAD=</v>
          </cell>
          <cell r="F137">
            <v>46.750399999999999</v>
          </cell>
          <cell r="H137">
            <v>46.750399999999999</v>
          </cell>
        </row>
        <row r="138">
          <cell r="B138" t="str">
            <v>Gimnacio Damas</v>
          </cell>
          <cell r="C138" t="str">
            <v>m2</v>
          </cell>
          <cell r="D138">
            <v>1</v>
          </cell>
          <cell r="E138" t="str">
            <v>Área CAD=</v>
          </cell>
          <cell r="F138">
            <v>48.2</v>
          </cell>
          <cell r="H138">
            <v>48.2</v>
          </cell>
        </row>
        <row r="139">
          <cell r="B139" t="str">
            <v>Fisioterapia</v>
          </cell>
          <cell r="C139" t="str">
            <v>m2</v>
          </cell>
          <cell r="D139">
            <v>1</v>
          </cell>
          <cell r="E139" t="str">
            <v>Área CAD=</v>
          </cell>
          <cell r="F139">
            <v>22</v>
          </cell>
          <cell r="H139">
            <v>22</v>
          </cell>
        </row>
        <row r="140">
          <cell r="B140" t="str">
            <v>Estar atletas vestidor mujeres</v>
          </cell>
          <cell r="C140" t="str">
            <v>m2</v>
          </cell>
          <cell r="D140">
            <v>1</v>
          </cell>
          <cell r="E140" t="str">
            <v>Área CAD=</v>
          </cell>
          <cell r="F140">
            <v>22</v>
          </cell>
          <cell r="H140">
            <v>22</v>
          </cell>
        </row>
        <row r="141">
          <cell r="B141" t="str">
            <v>Atletas vestidor mujeres y hombres</v>
          </cell>
          <cell r="C141" t="str">
            <v>m2</v>
          </cell>
          <cell r="D141">
            <v>2</v>
          </cell>
          <cell r="E141" t="str">
            <v>Área CAD=</v>
          </cell>
          <cell r="F141">
            <v>105.285</v>
          </cell>
          <cell r="H141">
            <v>210.57</v>
          </cell>
        </row>
        <row r="142">
          <cell r="B142" t="str">
            <v>Estar entrenador mujeres y hombres</v>
          </cell>
          <cell r="C142" t="str">
            <v>m2</v>
          </cell>
          <cell r="D142">
            <v>2</v>
          </cell>
          <cell r="E142" t="str">
            <v>Área CAD=</v>
          </cell>
          <cell r="F142">
            <v>25.8</v>
          </cell>
          <cell r="H142">
            <v>51.6</v>
          </cell>
        </row>
        <row r="143">
          <cell r="B143" t="str">
            <v>Vestidor mujeres y hombres mas deposito</v>
          </cell>
          <cell r="C143" t="str">
            <v>m2</v>
          </cell>
          <cell r="D143">
            <v>2</v>
          </cell>
          <cell r="E143" t="str">
            <v>Área CAD=</v>
          </cell>
          <cell r="F143">
            <v>50.84</v>
          </cell>
          <cell r="H143">
            <v>101.68</v>
          </cell>
        </row>
        <row r="144">
          <cell r="B144" t="str">
            <v>Fisioterapia</v>
          </cell>
          <cell r="C144" t="str">
            <v>m2</v>
          </cell>
          <cell r="D144">
            <v>1</v>
          </cell>
          <cell r="E144" t="str">
            <v>Área CAD=</v>
          </cell>
          <cell r="F144">
            <v>25.8</v>
          </cell>
          <cell r="H144">
            <v>25.8</v>
          </cell>
        </row>
        <row r="145">
          <cell r="B145" t="str">
            <v>Estar atletas vestidor hombres</v>
          </cell>
          <cell r="C145" t="str">
            <v>m2</v>
          </cell>
          <cell r="D145">
            <v>1</v>
          </cell>
          <cell r="E145" t="str">
            <v>Área CAD=</v>
          </cell>
          <cell r="F145">
            <v>25.8</v>
          </cell>
          <cell r="H145">
            <v>25.8</v>
          </cell>
        </row>
        <row r="146">
          <cell r="B146" t="str">
            <v>Gimnacio Hombres</v>
          </cell>
          <cell r="C146" t="str">
            <v>m2</v>
          </cell>
          <cell r="D146">
            <v>1</v>
          </cell>
          <cell r="E146" t="str">
            <v>Área CAD=</v>
          </cell>
          <cell r="F146">
            <v>52.63</v>
          </cell>
          <cell r="H146">
            <v>52.63</v>
          </cell>
        </row>
        <row r="147">
          <cell r="B147" t="str">
            <v>Estar Juez Hombres y Mujeres</v>
          </cell>
          <cell r="C147" t="str">
            <v>m2</v>
          </cell>
          <cell r="D147">
            <v>2</v>
          </cell>
          <cell r="E147" t="str">
            <v>Área CAD=</v>
          </cell>
          <cell r="F147">
            <v>25.785</v>
          </cell>
          <cell r="H147">
            <v>51.57</v>
          </cell>
        </row>
        <row r="148">
          <cell r="B148" t="str">
            <v>Pesaje, Espera y  SS.HH.</v>
          </cell>
          <cell r="C148" t="str">
            <v>m2</v>
          </cell>
          <cell r="D148">
            <v>1</v>
          </cell>
          <cell r="E148" t="str">
            <v>Área CAD=</v>
          </cell>
          <cell r="F148">
            <v>43.72</v>
          </cell>
          <cell r="H148">
            <v>43.72</v>
          </cell>
        </row>
        <row r="149">
          <cell r="B149" t="str">
            <v>Zona de Circulacion</v>
          </cell>
          <cell r="C149" t="str">
            <v>m2</v>
          </cell>
          <cell r="D149">
            <v>1</v>
          </cell>
          <cell r="E149" t="str">
            <v>Área CAD=</v>
          </cell>
          <cell r="F149">
            <v>327.39</v>
          </cell>
          <cell r="H149">
            <v>327.39</v>
          </cell>
        </row>
        <row r="150">
          <cell r="B150" t="str">
            <v>Zona de Calentamiento 1</v>
          </cell>
          <cell r="C150" t="str">
            <v>m2</v>
          </cell>
          <cell r="D150">
            <v>1</v>
          </cell>
          <cell r="E150" t="str">
            <v>Área CAD=</v>
          </cell>
          <cell r="F150">
            <v>296.45999999999998</v>
          </cell>
          <cell r="H150">
            <v>296.45999999999998</v>
          </cell>
        </row>
        <row r="151">
          <cell r="B151" t="str">
            <v>Zona de Calentamiento 2</v>
          </cell>
          <cell r="C151" t="str">
            <v>m2</v>
          </cell>
          <cell r="D151">
            <v>1</v>
          </cell>
          <cell r="E151" t="str">
            <v>Área CAD=</v>
          </cell>
          <cell r="F151">
            <v>1408.63</v>
          </cell>
          <cell r="H151">
            <v>1408.63</v>
          </cell>
        </row>
        <row r="152">
          <cell r="B152" t="str">
            <v>Depósito 1 de equipos de atletismo</v>
          </cell>
          <cell r="C152" t="str">
            <v>m2</v>
          </cell>
          <cell r="D152">
            <v>1</v>
          </cell>
          <cell r="E152" t="str">
            <v>Área CAD=</v>
          </cell>
          <cell r="F152">
            <v>48.7</v>
          </cell>
          <cell r="H152">
            <v>48.7</v>
          </cell>
        </row>
        <row r="153">
          <cell r="B153" t="str">
            <v>Depósito 2 de equipos de atletismo</v>
          </cell>
          <cell r="C153" t="str">
            <v>m2</v>
          </cell>
          <cell r="D153">
            <v>1</v>
          </cell>
          <cell r="E153" t="str">
            <v>Área CAD=</v>
          </cell>
          <cell r="F153">
            <v>48.2</v>
          </cell>
          <cell r="H153">
            <v>48.2</v>
          </cell>
        </row>
        <row r="154">
          <cell r="B154" t="str">
            <v>Cuarto de maquinas 1 y 2</v>
          </cell>
          <cell r="C154" t="str">
            <v>m2</v>
          </cell>
          <cell r="D154">
            <v>1</v>
          </cell>
          <cell r="E154" t="str">
            <v>Área CAD=</v>
          </cell>
          <cell r="F154">
            <v>35</v>
          </cell>
          <cell r="H154">
            <v>35</v>
          </cell>
        </row>
        <row r="155">
          <cell r="B155" t="str">
            <v>Sauna 1 y 2</v>
          </cell>
          <cell r="C155" t="str">
            <v>m2</v>
          </cell>
          <cell r="D155">
            <v>2</v>
          </cell>
          <cell r="E155" t="str">
            <v>Área CAD=</v>
          </cell>
          <cell r="F155">
            <v>60.64</v>
          </cell>
          <cell r="H155">
            <v>121.28</v>
          </cell>
        </row>
        <row r="156">
          <cell r="B156" t="str">
            <v>SS.HH.</v>
          </cell>
          <cell r="C156" t="str">
            <v>m2</v>
          </cell>
          <cell r="D156">
            <v>2</v>
          </cell>
          <cell r="E156" t="str">
            <v>Área CAD=</v>
          </cell>
          <cell r="F156">
            <v>33</v>
          </cell>
          <cell r="H156">
            <v>66</v>
          </cell>
        </row>
        <row r="157">
          <cell r="B157" t="str">
            <v>Administración hombres y mujeres mas depósito</v>
          </cell>
          <cell r="C157" t="str">
            <v>m2</v>
          </cell>
          <cell r="D157">
            <v>2</v>
          </cell>
          <cell r="E157" t="str">
            <v>Área CAD=</v>
          </cell>
          <cell r="F157">
            <v>27.130000000000003</v>
          </cell>
          <cell r="H157">
            <v>54.260000000000005</v>
          </cell>
        </row>
        <row r="158">
          <cell r="B158" t="str">
            <v>Topico, administración y SS.HH.</v>
          </cell>
          <cell r="C158" t="str">
            <v>m2</v>
          </cell>
          <cell r="D158">
            <v>1</v>
          </cell>
          <cell r="E158" t="str">
            <v>Área CAD=</v>
          </cell>
          <cell r="F158">
            <v>42.980000000000004</v>
          </cell>
          <cell r="H158">
            <v>42.980000000000004</v>
          </cell>
        </row>
        <row r="159">
          <cell r="B159" t="str">
            <v>Doping hombres - mujeres y SS.HH.</v>
          </cell>
          <cell r="C159" t="str">
            <v>m2</v>
          </cell>
          <cell r="D159">
            <v>1</v>
          </cell>
          <cell r="E159" t="str">
            <v>Área CAD=</v>
          </cell>
          <cell r="F159">
            <v>49.7</v>
          </cell>
          <cell r="H159">
            <v>49.7</v>
          </cell>
        </row>
        <row r="160">
          <cell r="B160" t="str">
            <v>Escalera</v>
          </cell>
          <cell r="C160" t="str">
            <v>m2</v>
          </cell>
          <cell r="D160">
            <v>2</v>
          </cell>
          <cell r="E160" t="str">
            <v>Área CAD=</v>
          </cell>
          <cell r="F160">
            <v>53.02</v>
          </cell>
          <cell r="H160">
            <v>106.04</v>
          </cell>
        </row>
        <row r="161">
          <cell r="B161" t="str">
            <v>En exterior de consejeria mantenimiento y sala de personal</v>
          </cell>
          <cell r="C161" t="str">
            <v>m2</v>
          </cell>
          <cell r="D161">
            <v>1</v>
          </cell>
          <cell r="E161" t="str">
            <v>Área CAD=</v>
          </cell>
          <cell r="F161">
            <v>85.92</v>
          </cell>
          <cell r="H161">
            <v>85.92</v>
          </cell>
          <cell r="I161">
            <v>3486.3811999999998</v>
          </cell>
        </row>
        <row r="163">
          <cell r="A163" t="str">
            <v>03.04.00</v>
          </cell>
          <cell r="B163" t="str">
            <v>ELIMINACION DE MATERIAL EXCEDENTE</v>
          </cell>
        </row>
        <row r="164">
          <cell r="A164" t="str">
            <v>03.04.01</v>
          </cell>
          <cell r="B164" t="str">
            <v>ACARREO DE MATERIAL EXCEDENTE HASTA 50M</v>
          </cell>
          <cell r="D164" t="str">
            <v>Nº Veces</v>
          </cell>
          <cell r="H164" t="str">
            <v>Subtotal</v>
          </cell>
        </row>
        <row r="165">
          <cell r="B165" t="str">
            <v>Idem Partida 04.06.00. Eliminación Material Excedente</v>
          </cell>
          <cell r="C165" t="str">
            <v>m³</v>
          </cell>
          <cell r="D165">
            <v>1</v>
          </cell>
          <cell r="H165">
            <v>2766.2511090829348</v>
          </cell>
          <cell r="I165">
            <v>2766.2511090829348</v>
          </cell>
        </row>
        <row r="167">
          <cell r="A167" t="str">
            <v>03.04.02</v>
          </cell>
          <cell r="B167" t="str">
            <v>ELIMINACION MATERIAL EXCEDENTE C/MAQUINARIA</v>
          </cell>
          <cell r="D167" t="str">
            <v>Nº Veces</v>
          </cell>
          <cell r="E167" t="str">
            <v>Vol excav</v>
          </cell>
          <cell r="F167" t="str">
            <v>Vol Rell.</v>
          </cell>
          <cell r="G167" t="str">
            <v>Factor</v>
          </cell>
          <cell r="H167" t="str">
            <v>Subtotal</v>
          </cell>
        </row>
        <row r="168">
          <cell r="B168" t="str">
            <v>Excavación de zanjas</v>
          </cell>
          <cell r="C168" t="str">
            <v>m³</v>
          </cell>
          <cell r="D168">
            <v>1</v>
          </cell>
          <cell r="E168">
            <v>5501.8409999999994</v>
          </cell>
          <cell r="F168" t="str">
            <v>-</v>
          </cell>
          <cell r="G168">
            <v>1.25</v>
          </cell>
          <cell r="H168">
            <v>6877.3012499999995</v>
          </cell>
        </row>
        <row r="169">
          <cell r="B169" t="str">
            <v>Relleno con material de propio</v>
          </cell>
          <cell r="C169" t="str">
            <v>m³</v>
          </cell>
          <cell r="D169">
            <v>-1</v>
          </cell>
          <cell r="E169">
            <v>3288.8401127336519</v>
          </cell>
          <cell r="F169" t="str">
            <v>-</v>
          </cell>
          <cell r="G169">
            <v>1.25</v>
          </cell>
          <cell r="H169">
            <v>-4111.0501409170647</v>
          </cell>
          <cell r="I169">
            <v>2766.2511090829348</v>
          </cell>
        </row>
        <row r="171">
          <cell r="A171" t="str">
            <v>03.05.00</v>
          </cell>
          <cell r="B171" t="str">
            <v>MATERIAL DE BASE</v>
          </cell>
        </row>
        <row r="172">
          <cell r="A172" t="str">
            <v>03.05.01</v>
          </cell>
          <cell r="B172" t="str">
            <v>BASE DE AFIRMADO DE 4" PARA PISOS INTERIORES Y EXTERIORES</v>
          </cell>
        </row>
        <row r="173">
          <cell r="B173" t="str">
            <v xml:space="preserve">En Zotano </v>
          </cell>
          <cell r="F173" t="str">
            <v>Área CAD (m2)</v>
          </cell>
        </row>
        <row r="174">
          <cell r="B174" t="str">
            <v>Estar Tecnico Medico</v>
          </cell>
          <cell r="C174" t="str">
            <v>m2</v>
          </cell>
          <cell r="D174">
            <v>1</v>
          </cell>
          <cell r="E174" t="str">
            <v>Área CAD=</v>
          </cell>
          <cell r="F174">
            <v>23.571999999999999</v>
          </cell>
          <cell r="H174">
            <v>23.571999999999999</v>
          </cell>
        </row>
        <row r="175">
          <cell r="B175" t="str">
            <v>Sala de Hidroterapia</v>
          </cell>
          <cell r="C175" t="str">
            <v>m2</v>
          </cell>
          <cell r="D175">
            <v>1</v>
          </cell>
          <cell r="E175" t="str">
            <v>Área CAD=</v>
          </cell>
          <cell r="F175">
            <v>23.571999999999999</v>
          </cell>
          <cell r="H175">
            <v>23.571999999999999</v>
          </cell>
        </row>
        <row r="176">
          <cell r="B176" t="str">
            <v>Sala Cardiovascular</v>
          </cell>
          <cell r="C176" t="str">
            <v>m2</v>
          </cell>
          <cell r="D176">
            <v>1</v>
          </cell>
          <cell r="E176" t="str">
            <v>Área CAD=</v>
          </cell>
          <cell r="F176">
            <v>23.571999999999999</v>
          </cell>
          <cell r="H176">
            <v>23.571999999999999</v>
          </cell>
        </row>
        <row r="177">
          <cell r="B177" t="str">
            <v>Sala Parafina</v>
          </cell>
          <cell r="C177" t="str">
            <v>m2</v>
          </cell>
          <cell r="D177">
            <v>1</v>
          </cell>
          <cell r="E177" t="str">
            <v>Área CAD=</v>
          </cell>
          <cell r="F177">
            <v>23.571999999999999</v>
          </cell>
          <cell r="H177">
            <v>23.571999999999999</v>
          </cell>
        </row>
        <row r="178">
          <cell r="B178" t="str">
            <v>Sala Electromagnetismo</v>
          </cell>
          <cell r="C178" t="str">
            <v>m2</v>
          </cell>
          <cell r="D178">
            <v>1</v>
          </cell>
          <cell r="E178" t="str">
            <v>Área CAD=</v>
          </cell>
          <cell r="F178">
            <v>23.571999999999999</v>
          </cell>
          <cell r="H178">
            <v>23.571999999999999</v>
          </cell>
        </row>
        <row r="179">
          <cell r="B179" t="str">
            <v>Sala de Corriente</v>
          </cell>
          <cell r="C179" t="str">
            <v>m2</v>
          </cell>
          <cell r="D179">
            <v>1</v>
          </cell>
          <cell r="E179" t="str">
            <v>Área CAD=</v>
          </cell>
          <cell r="F179">
            <v>23.571999999999999</v>
          </cell>
          <cell r="H179">
            <v>23.571999999999999</v>
          </cell>
        </row>
        <row r="180">
          <cell r="B180" t="str">
            <v>Sala de ultrasonido</v>
          </cell>
          <cell r="C180" t="str">
            <v>m2</v>
          </cell>
          <cell r="D180">
            <v>1</v>
          </cell>
          <cell r="E180" t="str">
            <v>Área CAD=</v>
          </cell>
          <cell r="F180">
            <v>23.571999999999999</v>
          </cell>
          <cell r="H180">
            <v>23.571999999999999</v>
          </cell>
        </row>
        <row r="181">
          <cell r="B181" t="str">
            <v>Magnetoterapia</v>
          </cell>
          <cell r="C181" t="str">
            <v>m2</v>
          </cell>
          <cell r="D181">
            <v>1</v>
          </cell>
          <cell r="E181" t="str">
            <v>Área CAD=</v>
          </cell>
          <cell r="F181">
            <v>23.571999999999999</v>
          </cell>
          <cell r="H181">
            <v>23.571999999999999</v>
          </cell>
        </row>
        <row r="182">
          <cell r="B182" t="str">
            <v>Espera Ganadores y Sala de premiación</v>
          </cell>
          <cell r="C182" t="str">
            <v>m2</v>
          </cell>
          <cell r="D182">
            <v>1</v>
          </cell>
          <cell r="E182" t="str">
            <v>Área CAD=</v>
          </cell>
          <cell r="F182">
            <v>48.379999999999995</v>
          </cell>
          <cell r="H182">
            <v>48.379999999999995</v>
          </cell>
        </row>
        <row r="183">
          <cell r="B183" t="str">
            <v>Fisioterapia y Sala de Instrucciones</v>
          </cell>
          <cell r="C183" t="str">
            <v>m2</v>
          </cell>
          <cell r="D183">
            <v>2</v>
          </cell>
          <cell r="E183" t="str">
            <v>Área CAD=</v>
          </cell>
          <cell r="F183">
            <v>51.6</v>
          </cell>
          <cell r="H183">
            <v>103.2</v>
          </cell>
        </row>
        <row r="184">
          <cell r="B184" t="str">
            <v>Atletas vestidor Mujeres y hombres</v>
          </cell>
          <cell r="C184" t="str">
            <v>m2</v>
          </cell>
          <cell r="D184">
            <v>1</v>
          </cell>
          <cell r="E184" t="str">
            <v>Área CAD=</v>
          </cell>
          <cell r="F184">
            <v>25.88</v>
          </cell>
          <cell r="H184">
            <v>25.88</v>
          </cell>
        </row>
        <row r="185">
          <cell r="B185" t="str">
            <v>Estar Entrenador Mujeres y Hombres</v>
          </cell>
          <cell r="C185" t="str">
            <v>m2</v>
          </cell>
          <cell r="D185">
            <v>2</v>
          </cell>
          <cell r="E185" t="str">
            <v>Área CAD=</v>
          </cell>
          <cell r="F185">
            <v>25.79</v>
          </cell>
          <cell r="H185">
            <v>51.58</v>
          </cell>
        </row>
        <row r="186">
          <cell r="B186" t="str">
            <v>Estar Juez Hombres y Mujeres</v>
          </cell>
          <cell r="C186" t="str">
            <v>m2</v>
          </cell>
          <cell r="D186">
            <v>2</v>
          </cell>
          <cell r="E186" t="str">
            <v>Área CAD=</v>
          </cell>
          <cell r="F186">
            <v>25.79</v>
          </cell>
          <cell r="H186">
            <v>51.58</v>
          </cell>
        </row>
        <row r="187">
          <cell r="B187" t="str">
            <v>Admision Topico y pesaje</v>
          </cell>
          <cell r="C187" t="str">
            <v>m2</v>
          </cell>
          <cell r="D187">
            <v>1</v>
          </cell>
          <cell r="E187" t="str">
            <v>Área CAD=</v>
          </cell>
          <cell r="F187">
            <v>36.1</v>
          </cell>
          <cell r="H187">
            <v>36.1</v>
          </cell>
        </row>
        <row r="188">
          <cell r="B188" t="str">
            <v>Pasadizo Central (zona de Circulacion)</v>
          </cell>
          <cell r="C188" t="str">
            <v>m2</v>
          </cell>
          <cell r="D188">
            <v>1</v>
          </cell>
          <cell r="E188" t="str">
            <v>Área CAD=</v>
          </cell>
          <cell r="F188">
            <v>324.55</v>
          </cell>
          <cell r="H188">
            <v>324.55</v>
          </cell>
        </row>
        <row r="189">
          <cell r="B189" t="str">
            <v>Zona de Estiramiento</v>
          </cell>
          <cell r="C189" t="str">
            <v>m2</v>
          </cell>
          <cell r="D189">
            <v>1</v>
          </cell>
          <cell r="E189" t="str">
            <v>Área CAD=</v>
          </cell>
          <cell r="F189">
            <v>198.31</v>
          </cell>
          <cell r="H189">
            <v>198.31</v>
          </cell>
        </row>
        <row r="190">
          <cell r="B190" t="str">
            <v>Zona de Calentamiento 2</v>
          </cell>
          <cell r="C190" t="str">
            <v>m2</v>
          </cell>
          <cell r="D190">
            <v>1</v>
          </cell>
          <cell r="E190" t="str">
            <v>Área CAD=</v>
          </cell>
          <cell r="F190">
            <v>1408.63</v>
          </cell>
          <cell r="H190">
            <v>1408.63</v>
          </cell>
        </row>
        <row r="191">
          <cell r="B191" t="str">
            <v>Depósito de equipos deportivos</v>
          </cell>
          <cell r="C191" t="str">
            <v>m2</v>
          </cell>
          <cell r="D191">
            <v>1</v>
          </cell>
          <cell r="E191" t="str">
            <v>Área CAD=</v>
          </cell>
          <cell r="F191">
            <v>48.2</v>
          </cell>
          <cell r="H191">
            <v>48.2</v>
          </cell>
        </row>
        <row r="192">
          <cell r="B192" t="str">
            <v>Cuarto de maquinas 1 y 2</v>
          </cell>
          <cell r="C192" t="str">
            <v>m2</v>
          </cell>
          <cell r="D192">
            <v>1</v>
          </cell>
          <cell r="E192" t="str">
            <v>Área CAD=</v>
          </cell>
          <cell r="F192">
            <v>35</v>
          </cell>
          <cell r="H192">
            <v>35</v>
          </cell>
        </row>
        <row r="193">
          <cell r="B193" t="str">
            <v>Sauna 1 y 2</v>
          </cell>
          <cell r="C193" t="str">
            <v>m2</v>
          </cell>
          <cell r="D193">
            <v>2</v>
          </cell>
          <cell r="E193" t="str">
            <v>Área CAD=</v>
          </cell>
          <cell r="F193">
            <v>60.64</v>
          </cell>
          <cell r="H193">
            <v>121.28</v>
          </cell>
        </row>
        <row r="194">
          <cell r="B194" t="str">
            <v>SS.HH.</v>
          </cell>
          <cell r="C194" t="str">
            <v>m2</v>
          </cell>
          <cell r="D194">
            <v>2</v>
          </cell>
          <cell r="E194" t="str">
            <v>Área CAD=</v>
          </cell>
          <cell r="F194">
            <v>33</v>
          </cell>
          <cell r="H194">
            <v>66</v>
          </cell>
        </row>
        <row r="195">
          <cell r="B195" t="str">
            <v>Administración hombres y mujeres mas depósito</v>
          </cell>
          <cell r="C195" t="str">
            <v>m2</v>
          </cell>
          <cell r="D195">
            <v>2</v>
          </cell>
          <cell r="E195" t="str">
            <v>Área CAD=</v>
          </cell>
          <cell r="F195">
            <v>27.130000000000003</v>
          </cell>
          <cell r="H195">
            <v>54.260000000000005</v>
          </cell>
        </row>
        <row r="196">
          <cell r="B196" t="str">
            <v>Topico, administración y SS.HH.</v>
          </cell>
          <cell r="C196" t="str">
            <v>m2</v>
          </cell>
          <cell r="D196">
            <v>1</v>
          </cell>
          <cell r="E196" t="str">
            <v>Área CAD=</v>
          </cell>
          <cell r="F196">
            <v>42.980000000000004</v>
          </cell>
          <cell r="H196">
            <v>42.980000000000004</v>
          </cell>
        </row>
        <row r="197">
          <cell r="B197" t="str">
            <v>Escalera</v>
          </cell>
          <cell r="C197" t="str">
            <v>m2</v>
          </cell>
          <cell r="D197">
            <v>2</v>
          </cell>
          <cell r="E197" t="str">
            <v>Área CAD=</v>
          </cell>
          <cell r="F197">
            <v>29.7</v>
          </cell>
          <cell r="H197">
            <v>59.4</v>
          </cell>
        </row>
        <row r="198">
          <cell r="B198" t="str">
            <v>En exterior de consejeria mantenimiento y sala de personal</v>
          </cell>
          <cell r="C198" t="str">
            <v>m2</v>
          </cell>
          <cell r="D198">
            <v>1</v>
          </cell>
          <cell r="E198" t="str">
            <v>Área CAD=</v>
          </cell>
          <cell r="F198">
            <v>85.92</v>
          </cell>
          <cell r="H198">
            <v>85.92</v>
          </cell>
          <cell r="I198">
            <v>2949.8260000000005</v>
          </cell>
        </row>
        <row r="200">
          <cell r="A200" t="str">
            <v>03.05.02</v>
          </cell>
          <cell r="B200" t="str">
            <v>BASE DE HORMIGON DE 4" PARA GRADERIA SOBRE TERRENO</v>
          </cell>
        </row>
        <row r="201">
          <cell r="B201" t="str">
            <v>Area de Tribunas sobre terreno</v>
          </cell>
          <cell r="C201" t="str">
            <v>m2</v>
          </cell>
          <cell r="D201">
            <v>1</v>
          </cell>
          <cell r="E201" t="str">
            <v>Área CAD=</v>
          </cell>
          <cell r="F201">
            <v>655.1</v>
          </cell>
          <cell r="H201">
            <v>656.1</v>
          </cell>
          <cell r="I201">
            <v>656.1</v>
          </cell>
        </row>
        <row r="203">
          <cell r="A203" t="str">
            <v>03.05.03</v>
          </cell>
          <cell r="B203" t="str">
            <v>BASE GRANULAR, E=10 CM. EN PISTA ATLETICA</v>
          </cell>
          <cell r="C203" t="str">
            <v>m2</v>
          </cell>
          <cell r="D203">
            <v>1</v>
          </cell>
          <cell r="E203" t="str">
            <v>Area CAD=</v>
          </cell>
          <cell r="F203">
            <v>4385.83</v>
          </cell>
          <cell r="H203">
            <v>4386.83</v>
          </cell>
          <cell r="I203">
            <v>4386.83</v>
          </cell>
        </row>
        <row r="205">
          <cell r="A205" t="str">
            <v>03.05.04</v>
          </cell>
          <cell r="B205" t="str">
            <v>BASE DE ARENA, E=10 CM. EN PISTA ATLETICA</v>
          </cell>
          <cell r="C205" t="str">
            <v>m2</v>
          </cell>
          <cell r="D205">
            <v>1</v>
          </cell>
          <cell r="E205" t="str">
            <v>Area CAD=</v>
          </cell>
          <cell r="F205">
            <v>4385.83</v>
          </cell>
          <cell r="H205">
            <v>4386.83</v>
          </cell>
          <cell r="I205">
            <v>4386.83</v>
          </cell>
        </row>
        <row r="207">
          <cell r="A207" t="str">
            <v>04.00.00</v>
          </cell>
          <cell r="B207" t="str">
            <v>CONCRETO SIMPLE</v>
          </cell>
        </row>
        <row r="208">
          <cell r="A208" t="str">
            <v>04.01.00</v>
          </cell>
          <cell r="B208" t="str">
            <v>SOLADOS</v>
          </cell>
        </row>
        <row r="209">
          <cell r="A209" t="str">
            <v>04.01.01</v>
          </cell>
          <cell r="B209" t="str">
            <v>SOLADO EN VIGAS DE CIMENTACIÓN MEZCLA 1:12 C:H+30%PG</v>
          </cell>
          <cell r="C209" t="str">
            <v>m2</v>
          </cell>
          <cell r="D209">
            <v>1</v>
          </cell>
          <cell r="E209">
            <v>957.49999999999977</v>
          </cell>
          <cell r="F209">
            <v>0.4</v>
          </cell>
          <cell r="H209">
            <v>382.99999999999994</v>
          </cell>
          <cell r="I209">
            <v>382.99999999999994</v>
          </cell>
        </row>
        <row r="210">
          <cell r="A210" t="str">
            <v>04.01.02</v>
          </cell>
          <cell r="B210" t="str">
            <v>SOLADO EN  GRADERIA SOBRE TERRENO MEZCLA 1:12 C:H+30%PG</v>
          </cell>
          <cell r="C210" t="str">
            <v>m2</v>
          </cell>
          <cell r="D210">
            <v>1</v>
          </cell>
          <cell r="E210" t="str">
            <v>Area =</v>
          </cell>
          <cell r="F210">
            <v>655.1</v>
          </cell>
          <cell r="H210">
            <v>655.1</v>
          </cell>
          <cell r="I210">
            <v>655.1</v>
          </cell>
        </row>
        <row r="212">
          <cell r="A212" t="str">
            <v>04.01.03</v>
          </cell>
          <cell r="B212" t="str">
            <v>SOLADO EN  ZAPATAS MEZCLA 1:12 C:H+30%PG</v>
          </cell>
          <cell r="C212" t="str">
            <v>m2</v>
          </cell>
        </row>
        <row r="213">
          <cell r="B213" t="str">
            <v xml:space="preserve">Zapatas </v>
          </cell>
        </row>
        <row r="214">
          <cell r="B214" t="str">
            <v>Z-1 En eje A eje 8-36</v>
          </cell>
          <cell r="C214" t="str">
            <v>m3</v>
          </cell>
          <cell r="D214">
            <v>28</v>
          </cell>
          <cell r="E214">
            <v>2.5</v>
          </cell>
          <cell r="F214">
            <v>2.5</v>
          </cell>
          <cell r="H214">
            <v>175</v>
          </cell>
        </row>
        <row r="215">
          <cell r="B215" t="str">
            <v>Z-2 En eje B eje 8-36</v>
          </cell>
          <cell r="C215" t="str">
            <v>m3</v>
          </cell>
          <cell r="D215">
            <v>28</v>
          </cell>
          <cell r="E215">
            <v>5.75</v>
          </cell>
          <cell r="F215">
            <v>2.5</v>
          </cell>
          <cell r="H215">
            <v>402.5</v>
          </cell>
        </row>
        <row r="216">
          <cell r="B216" t="str">
            <v>Z-3 En eje C en eje 7 y eje 37</v>
          </cell>
          <cell r="C216" t="str">
            <v>m3</v>
          </cell>
          <cell r="D216">
            <v>1</v>
          </cell>
          <cell r="E216">
            <v>2</v>
          </cell>
          <cell r="F216">
            <v>2</v>
          </cell>
          <cell r="H216">
            <v>4</v>
          </cell>
        </row>
        <row r="217">
          <cell r="B217" t="str">
            <v>Z-4 En eje C entre ejes 2-6 y ejes 30-37</v>
          </cell>
          <cell r="C217" t="str">
            <v>m3</v>
          </cell>
          <cell r="D217">
            <v>14</v>
          </cell>
          <cell r="E217">
            <v>1.8</v>
          </cell>
          <cell r="F217">
            <v>1.8</v>
          </cell>
          <cell r="H217">
            <v>45.36</v>
          </cell>
          <cell r="I217">
            <v>626.86</v>
          </cell>
        </row>
        <row r="219">
          <cell r="A219" t="str">
            <v>04.02.00</v>
          </cell>
          <cell r="B219" t="str">
            <v>SUBCIMIENTOS Y SUBZAPATAS</v>
          </cell>
        </row>
        <row r="220">
          <cell r="A220" t="str">
            <v>04.02.01</v>
          </cell>
          <cell r="B220" t="str">
            <v>Subcimientos y subzapatas mezcla 1:12 C:H. + 30%  P.G.</v>
          </cell>
          <cell r="C220" t="str">
            <v>m3</v>
          </cell>
        </row>
        <row r="221">
          <cell r="B221" t="str">
            <v xml:space="preserve">Sub Zapatas </v>
          </cell>
        </row>
        <row r="222">
          <cell r="B222" t="str">
            <v>Z-1 En eje A eje 8-36</v>
          </cell>
          <cell r="C222" t="str">
            <v>m3</v>
          </cell>
          <cell r="D222">
            <v>28</v>
          </cell>
          <cell r="E222">
            <v>2.5</v>
          </cell>
          <cell r="F222">
            <v>2.5</v>
          </cell>
          <cell r="G222">
            <v>0.2</v>
          </cell>
          <cell r="H222">
            <v>35</v>
          </cell>
        </row>
        <row r="223">
          <cell r="B223" t="str">
            <v>Z-2 En eje B eje 8-36</v>
          </cell>
          <cell r="C223" t="str">
            <v>m3</v>
          </cell>
          <cell r="D223">
            <v>28</v>
          </cell>
          <cell r="E223">
            <v>5.75</v>
          </cell>
          <cell r="F223">
            <v>2.5</v>
          </cell>
          <cell r="G223">
            <v>0.2</v>
          </cell>
          <cell r="H223">
            <v>80.5</v>
          </cell>
        </row>
        <row r="224">
          <cell r="B224" t="str">
            <v>Z-3 En eje C en eje 7 y eje 37</v>
          </cell>
          <cell r="C224" t="str">
            <v>m3</v>
          </cell>
          <cell r="D224">
            <v>1</v>
          </cell>
          <cell r="E224">
            <v>2</v>
          </cell>
          <cell r="F224">
            <v>2</v>
          </cell>
          <cell r="G224">
            <v>0.2</v>
          </cell>
          <cell r="H224">
            <v>0.8</v>
          </cell>
        </row>
        <row r="225">
          <cell r="B225" t="str">
            <v>Z-4 En eje C entre ejes 2-6 y ejes 30-37</v>
          </cell>
          <cell r="C225" t="str">
            <v>m3</v>
          </cell>
          <cell r="D225">
            <v>14</v>
          </cell>
          <cell r="E225">
            <v>1.8</v>
          </cell>
          <cell r="F225">
            <v>1.8</v>
          </cell>
          <cell r="G225">
            <v>0.2</v>
          </cell>
          <cell r="H225">
            <v>9.072000000000001</v>
          </cell>
        </row>
        <row r="226">
          <cell r="B226" t="str">
            <v xml:space="preserve">Sub Cimentos </v>
          </cell>
        </row>
        <row r="227">
          <cell r="B227" t="str">
            <v xml:space="preserve">Eje C entre ejes (9 - 13) </v>
          </cell>
          <cell r="C227" t="str">
            <v>m3</v>
          </cell>
          <cell r="D227">
            <v>4</v>
          </cell>
          <cell r="E227">
            <v>6.74</v>
          </cell>
          <cell r="F227">
            <v>0.7</v>
          </cell>
          <cell r="G227">
            <v>0.2</v>
          </cell>
          <cell r="H227">
            <v>3.7744</v>
          </cell>
        </row>
        <row r="228">
          <cell r="B228" t="str">
            <v xml:space="preserve">Eje C entre ejes (13 - 14 Y 24-35) </v>
          </cell>
          <cell r="C228" t="str">
            <v>m3</v>
          </cell>
          <cell r="D228">
            <v>2</v>
          </cell>
          <cell r="E228">
            <v>5.57</v>
          </cell>
          <cell r="F228">
            <v>0.7</v>
          </cell>
          <cell r="G228">
            <v>0.2</v>
          </cell>
          <cell r="H228">
            <v>1.5596000000000001</v>
          </cell>
        </row>
        <row r="229">
          <cell r="B229" t="str">
            <v xml:space="preserve">Eje C entre ejes (14 - 24) </v>
          </cell>
          <cell r="C229" t="str">
            <v>m3</v>
          </cell>
          <cell r="D229">
            <v>10</v>
          </cell>
          <cell r="E229">
            <v>6.9</v>
          </cell>
          <cell r="F229">
            <v>0.7</v>
          </cell>
          <cell r="G229">
            <v>0.2</v>
          </cell>
          <cell r="H229">
            <v>9.66</v>
          </cell>
        </row>
        <row r="230">
          <cell r="B230" t="str">
            <v>Eje 9, 10, 11, 12, 13 entre ejes C-D</v>
          </cell>
          <cell r="C230" t="str">
            <v>m3</v>
          </cell>
          <cell r="D230">
            <v>5</v>
          </cell>
          <cell r="E230">
            <v>6.7</v>
          </cell>
          <cell r="F230">
            <v>0.7</v>
          </cell>
          <cell r="G230">
            <v>0.2</v>
          </cell>
          <cell r="H230">
            <v>4.6900000000000004</v>
          </cell>
        </row>
        <row r="231">
          <cell r="B231" t="str">
            <v>Ejes 14,16, 17, 18, 20, 21, 22, 23, 24, 25 entre ejes C-D</v>
          </cell>
          <cell r="C231" t="str">
            <v>m3</v>
          </cell>
          <cell r="D231">
            <v>10</v>
          </cell>
          <cell r="E231">
            <v>6.75</v>
          </cell>
          <cell r="F231">
            <v>0.7</v>
          </cell>
          <cell r="G231">
            <v>0.2</v>
          </cell>
          <cell r="H231">
            <v>9.4500000000000011</v>
          </cell>
        </row>
        <row r="232">
          <cell r="B232" t="str">
            <v>Eje 25 entre ejes A-B</v>
          </cell>
          <cell r="C232" t="str">
            <v>m3</v>
          </cell>
          <cell r="D232">
            <v>1</v>
          </cell>
          <cell r="E232">
            <v>6.45</v>
          </cell>
          <cell r="F232">
            <v>0.7</v>
          </cell>
          <cell r="G232">
            <v>0.2</v>
          </cell>
          <cell r="H232">
            <v>0.90300000000000002</v>
          </cell>
        </row>
        <row r="233">
          <cell r="B233" t="str">
            <v>Ejes 9', 10' y 11' entre ejes C-D</v>
          </cell>
          <cell r="C233" t="str">
            <v>m3</v>
          </cell>
          <cell r="D233">
            <v>3</v>
          </cell>
          <cell r="E233">
            <v>6.1</v>
          </cell>
          <cell r="F233">
            <v>0.7</v>
          </cell>
          <cell r="G233">
            <v>0.2</v>
          </cell>
          <cell r="H233">
            <v>2.5619999999999994</v>
          </cell>
        </row>
        <row r="234">
          <cell r="B234" t="str">
            <v xml:space="preserve">Eje C' entre ejes (9 - 12) </v>
          </cell>
          <cell r="C234" t="str">
            <v>m3</v>
          </cell>
          <cell r="D234">
            <v>3</v>
          </cell>
          <cell r="E234">
            <v>3.85</v>
          </cell>
          <cell r="F234">
            <v>0.7</v>
          </cell>
          <cell r="G234">
            <v>0.2</v>
          </cell>
          <cell r="H234">
            <v>1.6170000000000002</v>
          </cell>
        </row>
        <row r="235">
          <cell r="B235" t="str">
            <v>Ejes 14' y 19' entre ejes C-D</v>
          </cell>
          <cell r="C235" t="str">
            <v>m3</v>
          </cell>
          <cell r="D235">
            <v>2</v>
          </cell>
          <cell r="E235">
            <v>5.42</v>
          </cell>
          <cell r="F235">
            <v>0.7</v>
          </cell>
          <cell r="G235">
            <v>0.2</v>
          </cell>
          <cell r="H235">
            <v>1.5175999999999998</v>
          </cell>
        </row>
        <row r="236">
          <cell r="B236" t="str">
            <v>Ejes 16', 17', 22' y23' entre ejes C-D</v>
          </cell>
          <cell r="C236" t="str">
            <v>m3</v>
          </cell>
          <cell r="D236">
            <v>4</v>
          </cell>
          <cell r="E236">
            <v>7.23</v>
          </cell>
          <cell r="F236">
            <v>0.7</v>
          </cell>
          <cell r="G236">
            <v>0.2</v>
          </cell>
          <cell r="H236">
            <v>4.0488</v>
          </cell>
        </row>
        <row r="237">
          <cell r="B237" t="str">
            <v>Eje 24' entre ejes C-D</v>
          </cell>
          <cell r="C237" t="str">
            <v>m3</v>
          </cell>
          <cell r="D237">
            <v>1</v>
          </cell>
          <cell r="E237">
            <v>3.2</v>
          </cell>
          <cell r="F237">
            <v>0.7</v>
          </cell>
          <cell r="G237">
            <v>0.2</v>
          </cell>
          <cell r="H237">
            <v>0.44799999999999995</v>
          </cell>
        </row>
        <row r="238">
          <cell r="B238" t="str">
            <v>Cimentación de escalera</v>
          </cell>
          <cell r="C238" t="str">
            <v>m3</v>
          </cell>
          <cell r="D238">
            <v>2</v>
          </cell>
          <cell r="E238">
            <v>2.0499999999999998</v>
          </cell>
          <cell r="F238">
            <v>0.8</v>
          </cell>
          <cell r="G238">
            <v>0.2</v>
          </cell>
          <cell r="H238">
            <v>0.65600000000000003</v>
          </cell>
        </row>
        <row r="239">
          <cell r="B239" t="str">
            <v>Eje 36 entre ejes A-D</v>
          </cell>
          <cell r="C239" t="str">
            <v>m3</v>
          </cell>
          <cell r="D239">
            <v>1</v>
          </cell>
          <cell r="E239">
            <v>15.7</v>
          </cell>
          <cell r="F239">
            <v>0.7</v>
          </cell>
          <cell r="G239">
            <v>0.2</v>
          </cell>
          <cell r="H239">
            <v>2.198</v>
          </cell>
        </row>
        <row r="240">
          <cell r="B240" t="str">
            <v>Eje B entre ejes 8 - 25</v>
          </cell>
          <cell r="C240" t="str">
            <v>m3</v>
          </cell>
          <cell r="D240">
            <v>1</v>
          </cell>
          <cell r="E240">
            <v>101.64</v>
          </cell>
          <cell r="F240">
            <v>0.7</v>
          </cell>
          <cell r="G240">
            <v>0.2</v>
          </cell>
          <cell r="H240">
            <v>14.2296</v>
          </cell>
        </row>
        <row r="241">
          <cell r="B241" t="str">
            <v>Eje A entre ejes 25 - 36</v>
          </cell>
          <cell r="C241" t="str">
            <v>m3</v>
          </cell>
          <cell r="D241">
            <v>1</v>
          </cell>
          <cell r="E241">
            <v>86.88</v>
          </cell>
          <cell r="F241">
            <v>0.7</v>
          </cell>
          <cell r="G241">
            <v>0.2</v>
          </cell>
          <cell r="H241">
            <v>12.1632</v>
          </cell>
        </row>
        <row r="242">
          <cell r="B242" t="str">
            <v>Eje C' entre ejes 13 y 14 (estar y fisioterapia)</v>
          </cell>
          <cell r="C242" t="str">
            <v>m3</v>
          </cell>
          <cell r="D242">
            <v>1</v>
          </cell>
          <cell r="E242">
            <v>5.6</v>
          </cell>
          <cell r="F242">
            <v>0.7</v>
          </cell>
          <cell r="G242">
            <v>0.2</v>
          </cell>
          <cell r="H242">
            <v>0.78399999999999992</v>
          </cell>
        </row>
        <row r="243">
          <cell r="B243" t="str">
            <v>Entre ejes C-D y 16'-17' , 22'-23' (vestidor hombres y mujeres)</v>
          </cell>
          <cell r="C243" t="str">
            <v>m3</v>
          </cell>
          <cell r="D243">
            <v>2</v>
          </cell>
          <cell r="E243">
            <v>6</v>
          </cell>
          <cell r="F243">
            <v>0.7</v>
          </cell>
          <cell r="G243">
            <v>0.2</v>
          </cell>
          <cell r="H243">
            <v>1.6799999999999997</v>
          </cell>
        </row>
        <row r="244">
          <cell r="B244" t="str">
            <v>Entre ejes C - D y 20 - 21 (estar y fisioterapia)</v>
          </cell>
          <cell r="C244" t="str">
            <v>m3</v>
          </cell>
          <cell r="D244">
            <v>1</v>
          </cell>
          <cell r="E244">
            <v>6.6</v>
          </cell>
          <cell r="F244">
            <v>0.7</v>
          </cell>
          <cell r="G244">
            <v>0.2</v>
          </cell>
          <cell r="H244">
            <v>0.92399999999999993</v>
          </cell>
        </row>
        <row r="245">
          <cell r="B245" t="str">
            <v>Entre ejes C - D y 24 - 25 (doping)</v>
          </cell>
          <cell r="C245" t="str">
            <v>m3</v>
          </cell>
          <cell r="D245">
            <v>1</v>
          </cell>
          <cell r="E245">
            <v>5.6</v>
          </cell>
          <cell r="F245">
            <v>0.7</v>
          </cell>
          <cell r="G245">
            <v>0.2</v>
          </cell>
          <cell r="H245">
            <v>0.78399999999999992</v>
          </cell>
        </row>
        <row r="246">
          <cell r="B246" t="str">
            <v>En zona de estacionamiento</v>
          </cell>
        </row>
        <row r="247">
          <cell r="B247" t="str">
            <v>Eje A entre ejes 8 - 13, 16 - 17, 21 - 22, 24 - 25</v>
          </cell>
          <cell r="C247" t="str">
            <v>m3</v>
          </cell>
          <cell r="D247">
            <v>1</v>
          </cell>
          <cell r="E247">
            <v>58.87</v>
          </cell>
          <cell r="F247">
            <v>0.7</v>
          </cell>
          <cell r="G247">
            <v>0.2</v>
          </cell>
          <cell r="H247">
            <v>8.2417999999999996</v>
          </cell>
        </row>
        <row r="248">
          <cell r="B248" t="str">
            <v>Eje A' entre ejes 9 - 13 y  24 - 25</v>
          </cell>
          <cell r="C248" t="str">
            <v>m3</v>
          </cell>
          <cell r="D248">
            <v>1</v>
          </cell>
          <cell r="E248">
            <v>18.670000000000002</v>
          </cell>
          <cell r="F248">
            <v>0.7</v>
          </cell>
          <cell r="G248">
            <v>0.2</v>
          </cell>
          <cell r="H248">
            <v>2.6138000000000003</v>
          </cell>
        </row>
        <row r="249">
          <cell r="B249" t="str">
            <v>Entre ejes A - B y 23 - 24 (ss.hh, doping hombres y mujeres)</v>
          </cell>
          <cell r="C249" t="str">
            <v>m3</v>
          </cell>
          <cell r="D249">
            <v>1</v>
          </cell>
          <cell r="E249">
            <v>30.15</v>
          </cell>
          <cell r="F249">
            <v>0.7</v>
          </cell>
          <cell r="G249">
            <v>0.2</v>
          </cell>
          <cell r="H249">
            <v>4.2209999999999992</v>
          </cell>
        </row>
        <row r="250">
          <cell r="B250" t="str">
            <v>Eje 9, 10, 11, 12, 13, 24, 25 entre ejes A-B</v>
          </cell>
          <cell r="C250" t="str">
            <v>m3</v>
          </cell>
          <cell r="D250">
            <v>7</v>
          </cell>
          <cell r="E250">
            <v>6.45</v>
          </cell>
          <cell r="F250">
            <v>0.7</v>
          </cell>
          <cell r="G250">
            <v>0.2</v>
          </cell>
          <cell r="H250">
            <v>6.3209999999999997</v>
          </cell>
        </row>
        <row r="251">
          <cell r="B251" t="str">
            <v>Ejes 8', 9', 10', 11', 12' entre ejes A-B</v>
          </cell>
          <cell r="C251" t="str">
            <v>m3</v>
          </cell>
          <cell r="D251">
            <v>5</v>
          </cell>
          <cell r="E251">
            <v>6.9</v>
          </cell>
          <cell r="F251">
            <v>0.7</v>
          </cell>
          <cell r="G251">
            <v>0.2</v>
          </cell>
          <cell r="H251">
            <v>4.83</v>
          </cell>
        </row>
        <row r="252">
          <cell r="B252" t="str">
            <v>Eje 24'  entre ejes A-B</v>
          </cell>
          <cell r="C252" t="str">
            <v>m3</v>
          </cell>
          <cell r="D252">
            <v>1</v>
          </cell>
          <cell r="E252">
            <v>3.25</v>
          </cell>
          <cell r="F252">
            <v>0.7</v>
          </cell>
          <cell r="G252">
            <v>0.2</v>
          </cell>
          <cell r="H252">
            <v>0.45500000000000002</v>
          </cell>
          <cell r="I252">
            <v>225.7038</v>
          </cell>
        </row>
        <row r="254">
          <cell r="A254" t="str">
            <v>04.03.00</v>
          </cell>
          <cell r="B254" t="str">
            <v>CIMIENTOS</v>
          </cell>
        </row>
        <row r="255">
          <cell r="A255" t="str">
            <v>04.03.01</v>
          </cell>
          <cell r="B255" t="str">
            <v>CIMIENTOS CORRIDOS  F'C=140 KG/CM2+30% P.G.</v>
          </cell>
          <cell r="C255" t="str">
            <v>m3</v>
          </cell>
        </row>
        <row r="256">
          <cell r="B256" t="str">
            <v>Cimentación (En Zotano)</v>
          </cell>
        </row>
        <row r="257">
          <cell r="B257" t="str">
            <v xml:space="preserve">Eje C entre ejes (9 - 13) </v>
          </cell>
          <cell r="C257" t="str">
            <v>m3</v>
          </cell>
          <cell r="D257">
            <v>4</v>
          </cell>
          <cell r="E257">
            <v>6.74</v>
          </cell>
          <cell r="F257">
            <v>0.6</v>
          </cell>
          <cell r="G257">
            <v>0.7</v>
          </cell>
          <cell r="H257">
            <v>11.323199999999998</v>
          </cell>
        </row>
        <row r="258">
          <cell r="B258" t="str">
            <v xml:space="preserve">Eje C entre ejes (13 - 14 Y 24-35) </v>
          </cell>
          <cell r="C258" t="str">
            <v>m3</v>
          </cell>
          <cell r="D258">
            <v>2</v>
          </cell>
          <cell r="E258">
            <v>5.57</v>
          </cell>
          <cell r="F258">
            <v>0.6</v>
          </cell>
          <cell r="G258">
            <v>0.7</v>
          </cell>
          <cell r="H258">
            <v>4.6787999999999998</v>
          </cell>
        </row>
        <row r="259">
          <cell r="B259" t="str">
            <v xml:space="preserve">Eje C entre ejes (14 - 24) </v>
          </cell>
          <cell r="C259" t="str">
            <v>m3</v>
          </cell>
          <cell r="D259">
            <v>10</v>
          </cell>
          <cell r="E259">
            <v>6.9</v>
          </cell>
          <cell r="F259">
            <v>0.6</v>
          </cell>
          <cell r="G259">
            <v>0.7</v>
          </cell>
          <cell r="H259">
            <v>28.979999999999997</v>
          </cell>
        </row>
        <row r="260">
          <cell r="B260" t="str">
            <v>Eje 9, 10, 11, 12, 13 entre ejes C-D</v>
          </cell>
          <cell r="C260" t="str">
            <v>m3</v>
          </cell>
          <cell r="D260">
            <v>5</v>
          </cell>
          <cell r="E260">
            <v>6.7</v>
          </cell>
          <cell r="F260">
            <v>0.6</v>
          </cell>
          <cell r="G260">
            <v>0.7</v>
          </cell>
          <cell r="H260">
            <v>14.069999999999997</v>
          </cell>
        </row>
        <row r="261">
          <cell r="B261" t="str">
            <v>Ejes 14,16, 17, 18, 20, 21, 22, 23, 24, 25 entre ejes C-D</v>
          </cell>
          <cell r="C261" t="str">
            <v>m3</v>
          </cell>
          <cell r="D261">
            <v>10</v>
          </cell>
          <cell r="E261">
            <v>6.75</v>
          </cell>
          <cell r="F261">
            <v>0.6</v>
          </cell>
          <cell r="G261">
            <v>0.7</v>
          </cell>
          <cell r="H261">
            <v>28.349999999999998</v>
          </cell>
        </row>
        <row r="262">
          <cell r="B262" t="str">
            <v>Eje 25 entre ejes A-B</v>
          </cell>
          <cell r="C262" t="str">
            <v>m3</v>
          </cell>
          <cell r="D262">
            <v>1</v>
          </cell>
          <cell r="E262">
            <v>6.45</v>
          </cell>
          <cell r="F262">
            <v>0.6</v>
          </cell>
          <cell r="G262">
            <v>0.7</v>
          </cell>
          <cell r="H262">
            <v>2.7090000000000001</v>
          </cell>
        </row>
        <row r="263">
          <cell r="B263" t="str">
            <v>Ejes 9', 10' y 11' entre ejes C-D</v>
          </cell>
          <cell r="C263" t="str">
            <v>m3</v>
          </cell>
          <cell r="D263">
            <v>3</v>
          </cell>
          <cell r="E263">
            <v>6.1</v>
          </cell>
          <cell r="F263">
            <v>0.6</v>
          </cell>
          <cell r="G263">
            <v>0.7</v>
          </cell>
          <cell r="H263">
            <v>7.6859999999999982</v>
          </cell>
        </row>
        <row r="264">
          <cell r="B264" t="str">
            <v xml:space="preserve">Eje C' entre ejes (9 - 12) </v>
          </cell>
          <cell r="C264" t="str">
            <v>m3</v>
          </cell>
          <cell r="D264">
            <v>3</v>
          </cell>
          <cell r="E264">
            <v>3.85</v>
          </cell>
          <cell r="F264">
            <v>0.6</v>
          </cell>
          <cell r="G264">
            <v>0.7</v>
          </cell>
          <cell r="H264">
            <v>4.851</v>
          </cell>
        </row>
        <row r="265">
          <cell r="B265" t="str">
            <v>Ejes 14' y 19' entre ejes C-D</v>
          </cell>
          <cell r="C265" t="str">
            <v>m3</v>
          </cell>
          <cell r="D265">
            <v>2</v>
          </cell>
          <cell r="E265">
            <v>5.42</v>
          </cell>
          <cell r="F265">
            <v>0.6</v>
          </cell>
          <cell r="G265">
            <v>0.7</v>
          </cell>
          <cell r="H265">
            <v>4.5527999999999995</v>
          </cell>
        </row>
        <row r="266">
          <cell r="B266" t="str">
            <v>Ejes 16', 17', 22' y23' entre ejes C-D</v>
          </cell>
          <cell r="C266" t="str">
            <v>m3</v>
          </cell>
          <cell r="D266">
            <v>4</v>
          </cell>
          <cell r="E266">
            <v>7.23</v>
          </cell>
          <cell r="F266">
            <v>0.6</v>
          </cell>
          <cell r="G266">
            <v>0.7</v>
          </cell>
          <cell r="H266">
            <v>12.1464</v>
          </cell>
        </row>
        <row r="267">
          <cell r="B267" t="str">
            <v>Eje 24' entre ejes C-D</v>
          </cell>
          <cell r="C267" t="str">
            <v>m3</v>
          </cell>
          <cell r="D267">
            <v>1</v>
          </cell>
          <cell r="E267">
            <v>3.2</v>
          </cell>
          <cell r="F267">
            <v>0.6</v>
          </cell>
          <cell r="G267">
            <v>0.7</v>
          </cell>
          <cell r="H267">
            <v>1.3439999999999999</v>
          </cell>
        </row>
        <row r="268">
          <cell r="B268" t="str">
            <v>Cimentación de escalera</v>
          </cell>
          <cell r="C268" t="str">
            <v>m3</v>
          </cell>
          <cell r="D268">
            <v>2</v>
          </cell>
          <cell r="E268">
            <v>2.0499999999999998</v>
          </cell>
          <cell r="F268">
            <v>0.8</v>
          </cell>
          <cell r="G268">
            <v>0.8</v>
          </cell>
          <cell r="H268">
            <v>2.6240000000000001</v>
          </cell>
        </row>
        <row r="269">
          <cell r="B269" t="str">
            <v>Eje 36 entre ejes A-D</v>
          </cell>
          <cell r="C269" t="str">
            <v>m3</v>
          </cell>
          <cell r="D269">
            <v>1</v>
          </cell>
          <cell r="E269">
            <v>15.7</v>
          </cell>
          <cell r="F269">
            <v>0.6</v>
          </cell>
          <cell r="G269">
            <v>0.7</v>
          </cell>
          <cell r="H269">
            <v>6.5939999999999994</v>
          </cell>
        </row>
        <row r="270">
          <cell r="B270" t="str">
            <v>Eje B entre ejes 8 - 25</v>
          </cell>
          <cell r="C270" t="str">
            <v>m3</v>
          </cell>
          <cell r="D270">
            <v>1</v>
          </cell>
          <cell r="E270">
            <v>101.64</v>
          </cell>
          <cell r="F270">
            <v>0.6</v>
          </cell>
          <cell r="G270">
            <v>0.7</v>
          </cell>
          <cell r="H270">
            <v>42.688799999999993</v>
          </cell>
        </row>
        <row r="271">
          <cell r="B271" t="str">
            <v>Eje A entre ejes 25 - 36</v>
          </cell>
          <cell r="C271" t="str">
            <v>m3</v>
          </cell>
          <cell r="D271">
            <v>1</v>
          </cell>
          <cell r="E271">
            <v>86.88</v>
          </cell>
          <cell r="F271">
            <v>0.6</v>
          </cell>
          <cell r="G271">
            <v>0.7</v>
          </cell>
          <cell r="H271">
            <v>36.489599999999996</v>
          </cell>
        </row>
        <row r="272">
          <cell r="B272" t="str">
            <v>Eje C' entre ejes 13 y 14 (estar y fisioterapia)</v>
          </cell>
          <cell r="C272" t="str">
            <v>m3</v>
          </cell>
          <cell r="D272">
            <v>1</v>
          </cell>
          <cell r="E272">
            <v>5.6</v>
          </cell>
          <cell r="F272">
            <v>0.6</v>
          </cell>
          <cell r="G272">
            <v>0.7</v>
          </cell>
          <cell r="H272">
            <v>2.3519999999999999</v>
          </cell>
        </row>
        <row r="273">
          <cell r="B273" t="str">
            <v>Entre ejes C-D y 16'-17' , 22'-23' (vestidor hombres y mujeres)</v>
          </cell>
          <cell r="C273" t="str">
            <v>m3</v>
          </cell>
          <cell r="D273">
            <v>2</v>
          </cell>
          <cell r="E273">
            <v>6</v>
          </cell>
          <cell r="F273">
            <v>0.6</v>
          </cell>
          <cell r="G273">
            <v>0.7</v>
          </cell>
          <cell r="H273">
            <v>5.0399999999999991</v>
          </cell>
        </row>
        <row r="274">
          <cell r="B274" t="str">
            <v>Entre ejes C - D y 20 - 21 (estar y fisioterapia)</v>
          </cell>
          <cell r="C274" t="str">
            <v>m3</v>
          </cell>
          <cell r="D274">
            <v>1</v>
          </cell>
          <cell r="E274">
            <v>6.6</v>
          </cell>
          <cell r="F274">
            <v>0.6</v>
          </cell>
          <cell r="G274">
            <v>0.7</v>
          </cell>
          <cell r="H274">
            <v>2.7719999999999994</v>
          </cell>
        </row>
        <row r="275">
          <cell r="B275" t="str">
            <v>Entre ejes C - D y 24 - 25 (doping)</v>
          </cell>
          <cell r="C275" t="str">
            <v>m3</v>
          </cell>
          <cell r="D275">
            <v>1</v>
          </cell>
          <cell r="E275">
            <v>5.6</v>
          </cell>
          <cell r="F275">
            <v>0.6</v>
          </cell>
          <cell r="G275">
            <v>0.7</v>
          </cell>
          <cell r="H275">
            <v>2.3519999999999999</v>
          </cell>
        </row>
        <row r="276">
          <cell r="B276" t="str">
            <v>En zona de estacionamiento</v>
          </cell>
        </row>
        <row r="277">
          <cell r="B277" t="str">
            <v>Eje A entre ejes 8 - 13, 16 - 17, 21 - 22, 24 - 25</v>
          </cell>
          <cell r="C277" t="str">
            <v>m3</v>
          </cell>
          <cell r="D277">
            <v>1</v>
          </cell>
          <cell r="E277">
            <v>58.87</v>
          </cell>
          <cell r="F277">
            <v>0.6</v>
          </cell>
          <cell r="G277">
            <v>0.7</v>
          </cell>
          <cell r="H277">
            <v>24.725399999999997</v>
          </cell>
        </row>
        <row r="278">
          <cell r="B278" t="str">
            <v>Eje A' entre ejes 9 - 13 y  24 - 25</v>
          </cell>
          <cell r="C278" t="str">
            <v>m3</v>
          </cell>
          <cell r="D278">
            <v>1</v>
          </cell>
          <cell r="E278">
            <v>18.670000000000002</v>
          </cell>
          <cell r="F278">
            <v>0.6</v>
          </cell>
          <cell r="G278">
            <v>0.7</v>
          </cell>
          <cell r="H278">
            <v>7.8413999999999993</v>
          </cell>
        </row>
        <row r="279">
          <cell r="B279" t="str">
            <v>Entre ejes A - B y 23 - 24 (ss.hh, doping hombres y mujeres)</v>
          </cell>
          <cell r="C279" t="str">
            <v>m3</v>
          </cell>
          <cell r="D279">
            <v>1</v>
          </cell>
          <cell r="E279">
            <v>30.15</v>
          </cell>
          <cell r="F279">
            <v>0.6</v>
          </cell>
          <cell r="G279">
            <v>0.7</v>
          </cell>
          <cell r="H279">
            <v>12.662999999999998</v>
          </cell>
        </row>
        <row r="280">
          <cell r="B280" t="str">
            <v>Eje 9, 10, 11, 12, 13, 24, 25 entre ejes A-B</v>
          </cell>
          <cell r="C280" t="str">
            <v>m3</v>
          </cell>
          <cell r="D280">
            <v>7</v>
          </cell>
          <cell r="E280">
            <v>6.45</v>
          </cell>
          <cell r="F280">
            <v>0.6</v>
          </cell>
          <cell r="G280">
            <v>0.7</v>
          </cell>
          <cell r="H280">
            <v>18.962999999999997</v>
          </cell>
        </row>
        <row r="281">
          <cell r="B281" t="str">
            <v>Ejes 8', 9', 10', 11', 12' entre ejes A-B</v>
          </cell>
          <cell r="C281" t="str">
            <v>m3</v>
          </cell>
          <cell r="D281">
            <v>5</v>
          </cell>
          <cell r="E281">
            <v>6.9</v>
          </cell>
          <cell r="F281">
            <v>0.6</v>
          </cell>
          <cell r="G281">
            <v>0.7</v>
          </cell>
          <cell r="H281">
            <v>14.489999999999998</v>
          </cell>
        </row>
        <row r="282">
          <cell r="B282" t="str">
            <v>Eje 24'  entre ejes A-B</v>
          </cell>
          <cell r="C282" t="str">
            <v>m3</v>
          </cell>
          <cell r="D282">
            <v>1</v>
          </cell>
          <cell r="E282">
            <v>3.25</v>
          </cell>
          <cell r="F282">
            <v>0.6</v>
          </cell>
          <cell r="G282">
            <v>0.7</v>
          </cell>
          <cell r="H282">
            <v>1.365</v>
          </cell>
        </row>
        <row r="284">
          <cell r="B284" t="str">
            <v>Ensanche en falso piso</v>
          </cell>
        </row>
        <row r="285">
          <cell r="B285" t="str">
            <v>En SS.HH. Administracion hombres y mujeres</v>
          </cell>
          <cell r="C285" t="str">
            <v>m3</v>
          </cell>
          <cell r="D285">
            <v>2</v>
          </cell>
          <cell r="E285" t="str">
            <v>Area Cad=</v>
          </cell>
          <cell r="F285">
            <v>6.15</v>
          </cell>
          <cell r="G285">
            <v>0.15</v>
          </cell>
          <cell r="H285">
            <v>1.845</v>
          </cell>
        </row>
        <row r="286">
          <cell r="B286" t="str">
            <v>En ambientes para vestidor de atletas mujeres y hombres</v>
          </cell>
          <cell r="C286" t="str">
            <v>m3</v>
          </cell>
          <cell r="D286">
            <v>2</v>
          </cell>
          <cell r="E286" t="str">
            <v>Area Cad=</v>
          </cell>
          <cell r="F286">
            <v>22.4</v>
          </cell>
          <cell r="G286">
            <v>0.15</v>
          </cell>
          <cell r="H286">
            <v>6.72</v>
          </cell>
        </row>
        <row r="287">
          <cell r="B287" t="str">
            <v>En vestidor de entrenador y juez mujeres y hombres</v>
          </cell>
          <cell r="C287" t="str">
            <v>m3</v>
          </cell>
          <cell r="D287">
            <v>2</v>
          </cell>
          <cell r="E287" t="str">
            <v>Area Cad=</v>
          </cell>
          <cell r="F287">
            <v>7.45</v>
          </cell>
          <cell r="G287">
            <v>0.15</v>
          </cell>
          <cell r="H287">
            <v>2.2349999999999999</v>
          </cell>
        </row>
        <row r="288">
          <cell r="B288" t="str">
            <v>Cimentación de muro de sosteniento de sostenimiento</v>
          </cell>
          <cell r="C288" t="str">
            <v>m3</v>
          </cell>
          <cell r="D288">
            <v>1</v>
          </cell>
          <cell r="E288">
            <v>206.23000000000002</v>
          </cell>
          <cell r="F288">
            <v>2.4</v>
          </cell>
          <cell r="G288">
            <v>0.4</v>
          </cell>
          <cell r="H288">
            <v>197.98080000000002</v>
          </cell>
          <cell r="I288">
            <v>510.43220000000008</v>
          </cell>
        </row>
        <row r="290">
          <cell r="A290" t="str">
            <v>04.04.00</v>
          </cell>
          <cell r="B290" t="str">
            <v>SOBRECIMIENTO</v>
          </cell>
        </row>
        <row r="291">
          <cell r="A291" t="str">
            <v>04.04.01</v>
          </cell>
          <cell r="B291" t="str">
            <v>CONCRETO F'C=175 KG/CM2 PARA SOBRECIMIENTOS E=0.13m</v>
          </cell>
        </row>
        <row r="292">
          <cell r="B292" t="str">
            <v>En Zotano</v>
          </cell>
        </row>
        <row r="293">
          <cell r="B293" t="str">
            <v xml:space="preserve">Eje C entre ejes  9 - 13 </v>
          </cell>
          <cell r="C293" t="str">
            <v>m3</v>
          </cell>
          <cell r="D293">
            <v>4</v>
          </cell>
          <cell r="E293">
            <v>4.1399999999999997</v>
          </cell>
          <cell r="F293">
            <v>0.13</v>
          </cell>
          <cell r="G293">
            <v>0.75</v>
          </cell>
          <cell r="H293">
            <v>1.6146</v>
          </cell>
        </row>
        <row r="294">
          <cell r="B294" t="str">
            <v>Eje C entre ejes 13 - 14</v>
          </cell>
          <cell r="C294" t="str">
            <v>m3</v>
          </cell>
          <cell r="D294">
            <v>1</v>
          </cell>
          <cell r="E294">
            <v>4.82</v>
          </cell>
          <cell r="F294">
            <v>0.13</v>
          </cell>
          <cell r="G294">
            <v>0.75</v>
          </cell>
          <cell r="H294">
            <v>0.46995000000000003</v>
          </cell>
        </row>
        <row r="295">
          <cell r="B295" t="str">
            <v xml:space="preserve">Eje C entre ejes 24-35 </v>
          </cell>
          <cell r="C295" t="str">
            <v>m3</v>
          </cell>
          <cell r="D295">
            <v>1</v>
          </cell>
          <cell r="E295">
            <v>3.6700000000000004</v>
          </cell>
          <cell r="F295">
            <v>0.13</v>
          </cell>
          <cell r="G295">
            <v>0.75</v>
          </cell>
          <cell r="H295">
            <v>0.35782500000000006</v>
          </cell>
        </row>
        <row r="296">
          <cell r="B296" t="str">
            <v>Eje C entre ejes 14 - 15 y 19 - 20</v>
          </cell>
          <cell r="C296" t="str">
            <v>m3</v>
          </cell>
          <cell r="D296">
            <v>2</v>
          </cell>
          <cell r="E296">
            <v>4.3</v>
          </cell>
          <cell r="F296">
            <v>0.13</v>
          </cell>
          <cell r="G296">
            <v>0.75</v>
          </cell>
          <cell r="H296">
            <v>0.83849999999999991</v>
          </cell>
        </row>
        <row r="297">
          <cell r="B297" t="str">
            <v>Eje C entre ejes 15 - 16 y 18 - 19</v>
          </cell>
          <cell r="C297" t="str">
            <v>m3</v>
          </cell>
          <cell r="D297">
            <v>2</v>
          </cell>
          <cell r="E297">
            <v>6.15</v>
          </cell>
          <cell r="F297">
            <v>0.13</v>
          </cell>
          <cell r="G297">
            <v>0.75</v>
          </cell>
          <cell r="H297">
            <v>1.1992500000000001</v>
          </cell>
        </row>
        <row r="298">
          <cell r="B298" t="str">
            <v>Eje C entre ejes 16 - 17 y 17 - 18</v>
          </cell>
          <cell r="C298" t="str">
            <v>m3</v>
          </cell>
          <cell r="D298">
            <v>2</v>
          </cell>
          <cell r="E298">
            <v>5.01</v>
          </cell>
          <cell r="F298">
            <v>0.13</v>
          </cell>
          <cell r="G298">
            <v>0.75</v>
          </cell>
          <cell r="H298">
            <v>0.97694999999999999</v>
          </cell>
        </row>
        <row r="299">
          <cell r="B299" t="str">
            <v>Eje C entre ejes 20 - 21</v>
          </cell>
          <cell r="C299" t="str">
            <v>m3</v>
          </cell>
          <cell r="D299">
            <v>1</v>
          </cell>
          <cell r="E299">
            <v>6.15</v>
          </cell>
          <cell r="F299">
            <v>0.13</v>
          </cell>
          <cell r="G299">
            <v>0.75</v>
          </cell>
          <cell r="H299">
            <v>0.59962500000000007</v>
          </cell>
        </row>
        <row r="300">
          <cell r="B300" t="str">
            <v>Eje C entre ejes 21 - 22</v>
          </cell>
          <cell r="C300" t="str">
            <v>m3</v>
          </cell>
          <cell r="D300">
            <v>1</v>
          </cell>
          <cell r="E300">
            <v>4.3</v>
          </cell>
          <cell r="F300">
            <v>0.13</v>
          </cell>
          <cell r="G300">
            <v>0.75</v>
          </cell>
          <cell r="H300">
            <v>0.41924999999999996</v>
          </cell>
        </row>
        <row r="301">
          <cell r="B301" t="str">
            <v>Eje C entre ejes 22 - 23 y 23-24</v>
          </cell>
          <cell r="C301" t="str">
            <v>m3</v>
          </cell>
          <cell r="D301">
            <v>2</v>
          </cell>
          <cell r="E301">
            <v>5.01</v>
          </cell>
          <cell r="F301">
            <v>0.13</v>
          </cell>
          <cell r="G301">
            <v>0.75</v>
          </cell>
          <cell r="H301">
            <v>0.97694999999999999</v>
          </cell>
        </row>
        <row r="302">
          <cell r="B302" t="str">
            <v>Eje 9, 10, 11, 12, 13 entre ejes C-D</v>
          </cell>
          <cell r="C302" t="str">
            <v>m3</v>
          </cell>
          <cell r="D302">
            <v>5</v>
          </cell>
          <cell r="E302">
            <v>6</v>
          </cell>
          <cell r="F302">
            <v>0.13</v>
          </cell>
          <cell r="G302">
            <v>0.75</v>
          </cell>
          <cell r="H302">
            <v>2.9250000000000003</v>
          </cell>
        </row>
        <row r="303">
          <cell r="B303" t="str">
            <v>Ejes 14 entre ejes C-D</v>
          </cell>
          <cell r="C303" t="str">
            <v>m3</v>
          </cell>
          <cell r="D303">
            <v>1</v>
          </cell>
          <cell r="E303">
            <v>3.5999999999999996</v>
          </cell>
          <cell r="F303">
            <v>0.13</v>
          </cell>
          <cell r="G303">
            <v>0.75</v>
          </cell>
          <cell r="H303">
            <v>0.35099999999999998</v>
          </cell>
        </row>
        <row r="304">
          <cell r="B304" t="str">
            <v>Ejes 14' y 19' entre ejes C-D</v>
          </cell>
          <cell r="C304" t="str">
            <v>m3</v>
          </cell>
          <cell r="D304">
            <v>2</v>
          </cell>
          <cell r="E304">
            <v>3.5</v>
          </cell>
          <cell r="F304">
            <v>0.13</v>
          </cell>
          <cell r="G304">
            <v>0.75</v>
          </cell>
          <cell r="H304">
            <v>0.6825</v>
          </cell>
        </row>
        <row r="305">
          <cell r="B305" t="str">
            <v>Ejes 16, 18, 22 , 23 y 25 entre ejes C-D</v>
          </cell>
          <cell r="C305" t="str">
            <v>m3</v>
          </cell>
          <cell r="D305">
            <v>5</v>
          </cell>
          <cell r="E305">
            <v>5.95</v>
          </cell>
          <cell r="F305">
            <v>0.13</v>
          </cell>
          <cell r="G305">
            <v>0.75</v>
          </cell>
          <cell r="H305">
            <v>2.9006250000000002</v>
          </cell>
        </row>
        <row r="306">
          <cell r="B306" t="str">
            <v>Ejes 16', 17', 22' y23' entre ejes C-D</v>
          </cell>
          <cell r="C306" t="str">
            <v>m3</v>
          </cell>
          <cell r="D306">
            <v>4</v>
          </cell>
          <cell r="E306">
            <v>5.35</v>
          </cell>
          <cell r="F306">
            <v>0.13</v>
          </cell>
          <cell r="G306">
            <v>0.75</v>
          </cell>
          <cell r="H306">
            <v>2.0865</v>
          </cell>
        </row>
        <row r="307">
          <cell r="B307" t="str">
            <v>Ejes 20 entre ejes C-D</v>
          </cell>
          <cell r="C307" t="str">
            <v>m3</v>
          </cell>
          <cell r="D307">
            <v>1</v>
          </cell>
          <cell r="E307">
            <v>3.5999999999999996</v>
          </cell>
          <cell r="F307">
            <v>0.13</v>
          </cell>
          <cell r="G307">
            <v>0.75</v>
          </cell>
          <cell r="H307">
            <v>0.35099999999999998</v>
          </cell>
        </row>
        <row r="308">
          <cell r="B308" t="str">
            <v>Ejes 21 y 24 entre ejes C-D</v>
          </cell>
          <cell r="C308" t="str">
            <v>m3</v>
          </cell>
          <cell r="D308">
            <v>2</v>
          </cell>
          <cell r="E308">
            <v>6.05</v>
          </cell>
          <cell r="F308">
            <v>0.13</v>
          </cell>
          <cell r="G308">
            <v>0.75</v>
          </cell>
          <cell r="H308">
            <v>1.1797499999999999</v>
          </cell>
        </row>
        <row r="309">
          <cell r="B309" t="str">
            <v>Ejes 24' entre ejes A-B y C-D</v>
          </cell>
          <cell r="C309" t="str">
            <v>m3</v>
          </cell>
          <cell r="D309">
            <v>2</v>
          </cell>
          <cell r="E309">
            <v>3.45</v>
          </cell>
          <cell r="F309">
            <v>0.13</v>
          </cell>
          <cell r="G309">
            <v>0.75</v>
          </cell>
          <cell r="H309">
            <v>0.67275000000000007</v>
          </cell>
        </row>
        <row r="310">
          <cell r="B310" t="str">
            <v>Eje 13, 24 y 25 entre ejes A-B</v>
          </cell>
          <cell r="C310" t="str">
            <v>m3</v>
          </cell>
          <cell r="D310">
            <v>3</v>
          </cell>
          <cell r="E310">
            <v>5.7</v>
          </cell>
          <cell r="F310">
            <v>0.13</v>
          </cell>
          <cell r="G310">
            <v>0.75</v>
          </cell>
          <cell r="H310">
            <v>1.6672500000000001</v>
          </cell>
        </row>
        <row r="311">
          <cell r="B311" t="str">
            <v>Ejes 9', 10' y 11' entre ejes C-D</v>
          </cell>
          <cell r="C311" t="str">
            <v>m3</v>
          </cell>
          <cell r="D311">
            <v>3</v>
          </cell>
          <cell r="E311">
            <v>5.7</v>
          </cell>
          <cell r="F311">
            <v>0.13</v>
          </cell>
          <cell r="G311">
            <v>0.75</v>
          </cell>
          <cell r="H311">
            <v>1.6672500000000001</v>
          </cell>
        </row>
        <row r="312">
          <cell r="B312" t="str">
            <v xml:space="preserve">Eje C' entre ejes (9 - 12) </v>
          </cell>
          <cell r="C312" t="str">
            <v>m3</v>
          </cell>
          <cell r="D312">
            <v>3</v>
          </cell>
          <cell r="E312">
            <v>3.2</v>
          </cell>
          <cell r="F312">
            <v>0.13</v>
          </cell>
          <cell r="G312">
            <v>0.75</v>
          </cell>
          <cell r="H312">
            <v>0.93600000000000017</v>
          </cell>
        </row>
        <row r="313">
          <cell r="B313" t="str">
            <v>Eje 16 - 17, 21 - 22 entre ejes A-B (en escalera)</v>
          </cell>
          <cell r="C313" t="str">
            <v>m3</v>
          </cell>
          <cell r="D313">
            <v>4</v>
          </cell>
          <cell r="E313">
            <v>4.7</v>
          </cell>
          <cell r="F313">
            <v>0.13</v>
          </cell>
          <cell r="G313">
            <v>0.75</v>
          </cell>
          <cell r="H313">
            <v>1.8330000000000002</v>
          </cell>
        </row>
        <row r="314">
          <cell r="B314" t="str">
            <v>Ejes 36 entre ejes A-D</v>
          </cell>
          <cell r="C314" t="str">
            <v>m3</v>
          </cell>
          <cell r="D314">
            <v>1</v>
          </cell>
          <cell r="E314">
            <v>13.7</v>
          </cell>
          <cell r="F314">
            <v>0.13</v>
          </cell>
          <cell r="G314">
            <v>0.75</v>
          </cell>
          <cell r="H314">
            <v>1.33575</v>
          </cell>
        </row>
        <row r="315">
          <cell r="B315" t="str">
            <v>Eje B entre ejes 8 - 25 y 12 - 13</v>
          </cell>
          <cell r="C315" t="str">
            <v>m3</v>
          </cell>
          <cell r="D315">
            <v>2</v>
          </cell>
          <cell r="E315">
            <v>5.3</v>
          </cell>
          <cell r="F315">
            <v>0.13</v>
          </cell>
          <cell r="G315">
            <v>0.75</v>
          </cell>
          <cell r="H315">
            <v>1.0334999999999999</v>
          </cell>
        </row>
        <row r="316">
          <cell r="B316" t="str">
            <v>Eje B entre ejes 9 - 10 y 11 - 12</v>
          </cell>
          <cell r="C316" t="str">
            <v>m3</v>
          </cell>
          <cell r="D316">
            <v>2</v>
          </cell>
          <cell r="E316">
            <v>6.31</v>
          </cell>
          <cell r="F316">
            <v>0.13</v>
          </cell>
          <cell r="G316">
            <v>0.75</v>
          </cell>
          <cell r="H316">
            <v>1.23045</v>
          </cell>
        </row>
        <row r="317">
          <cell r="B317" t="str">
            <v>Eje B entre ejes 10 - 11</v>
          </cell>
          <cell r="C317" t="str">
            <v>m3</v>
          </cell>
          <cell r="D317">
            <v>2</v>
          </cell>
          <cell r="E317">
            <v>1.9500000000000002</v>
          </cell>
          <cell r="F317">
            <v>0.13</v>
          </cell>
          <cell r="G317">
            <v>0.75</v>
          </cell>
          <cell r="H317">
            <v>0.38025000000000009</v>
          </cell>
        </row>
        <row r="318">
          <cell r="B318" t="str">
            <v>Eje B entre ejes 13 - 14</v>
          </cell>
          <cell r="C318" t="str">
            <v>m3</v>
          </cell>
          <cell r="D318">
            <v>1</v>
          </cell>
          <cell r="E318">
            <v>4.82</v>
          </cell>
          <cell r="F318">
            <v>0.13</v>
          </cell>
          <cell r="G318">
            <v>0.75</v>
          </cell>
          <cell r="H318">
            <v>0.46995000000000003</v>
          </cell>
        </row>
        <row r="319">
          <cell r="B319" t="str">
            <v>Eje B entre ejes 14 - 16, 17 - 21 y 22 - 23</v>
          </cell>
          <cell r="C319" t="str">
            <v>m3</v>
          </cell>
          <cell r="D319">
            <v>7</v>
          </cell>
          <cell r="E319">
            <v>6.15</v>
          </cell>
          <cell r="F319">
            <v>0.13</v>
          </cell>
          <cell r="G319">
            <v>0.75</v>
          </cell>
          <cell r="H319">
            <v>4.197375000000001</v>
          </cell>
        </row>
        <row r="320">
          <cell r="B320" t="str">
            <v>Eje B entre ejes  24 y 25</v>
          </cell>
          <cell r="C320" t="str">
            <v>m3</v>
          </cell>
          <cell r="D320">
            <v>1</v>
          </cell>
          <cell r="E320">
            <v>3.68</v>
          </cell>
          <cell r="F320">
            <v>0.13</v>
          </cell>
          <cell r="G320">
            <v>0.75</v>
          </cell>
          <cell r="H320">
            <v>0.35880000000000001</v>
          </cell>
        </row>
        <row r="321">
          <cell r="B321" t="str">
            <v>Eje A'' entre ejes  9 - 10, y 11 - 12</v>
          </cell>
          <cell r="C321" t="str">
            <v>m3</v>
          </cell>
          <cell r="D321">
            <v>2</v>
          </cell>
          <cell r="E321">
            <v>2.2000000000000002</v>
          </cell>
          <cell r="F321">
            <v>0.13</v>
          </cell>
          <cell r="G321">
            <v>0.75</v>
          </cell>
          <cell r="H321">
            <v>0.42900000000000005</v>
          </cell>
        </row>
        <row r="322">
          <cell r="B322" t="str">
            <v>Eje A' entre ejes  10, y 11</v>
          </cell>
          <cell r="C322" t="str">
            <v>m3</v>
          </cell>
          <cell r="D322">
            <v>2</v>
          </cell>
          <cell r="E322">
            <v>2.4</v>
          </cell>
          <cell r="F322">
            <v>0.13</v>
          </cell>
          <cell r="G322">
            <v>0.75</v>
          </cell>
          <cell r="H322">
            <v>0.46799999999999997</v>
          </cell>
        </row>
        <row r="323">
          <cell r="B323" t="str">
            <v>Eje A' entre ejes  24 y 25</v>
          </cell>
          <cell r="C323" t="str">
            <v>m3</v>
          </cell>
          <cell r="D323">
            <v>1</v>
          </cell>
          <cell r="E323">
            <v>3.5999999999999996</v>
          </cell>
          <cell r="F323">
            <v>0.13</v>
          </cell>
          <cell r="G323">
            <v>0.75</v>
          </cell>
          <cell r="H323">
            <v>0.35099999999999998</v>
          </cell>
        </row>
        <row r="324">
          <cell r="B324" t="str">
            <v>Eje A entre ejes 16 - 17 y 21 - 22</v>
          </cell>
          <cell r="C324" t="str">
            <v>m3</v>
          </cell>
          <cell r="D324">
            <v>1</v>
          </cell>
          <cell r="E324">
            <v>6.15</v>
          </cell>
          <cell r="F324">
            <v>0.13</v>
          </cell>
          <cell r="G324">
            <v>0.75</v>
          </cell>
          <cell r="H324">
            <v>0.59962500000000007</v>
          </cell>
        </row>
        <row r="325">
          <cell r="B325" t="str">
            <v>Eje A entre ejes 24 - 25</v>
          </cell>
          <cell r="C325" t="str">
            <v>m3</v>
          </cell>
          <cell r="D325">
            <v>1</v>
          </cell>
          <cell r="E325">
            <v>4.82</v>
          </cell>
          <cell r="F325">
            <v>0.13</v>
          </cell>
          <cell r="G325">
            <v>0.75</v>
          </cell>
          <cell r="H325">
            <v>0.46995000000000003</v>
          </cell>
        </row>
        <row r="326">
          <cell r="B326" t="str">
            <v>Eje A entre ejes 25 - 36</v>
          </cell>
          <cell r="C326" t="str">
            <v>m3</v>
          </cell>
          <cell r="D326">
            <v>1</v>
          </cell>
          <cell r="E326">
            <v>86.88</v>
          </cell>
          <cell r="F326">
            <v>0.13</v>
          </cell>
          <cell r="G326">
            <v>0.75</v>
          </cell>
          <cell r="H326">
            <v>8.4708000000000006</v>
          </cell>
        </row>
        <row r="327">
          <cell r="B327" t="str">
            <v>Eje A entre ejes 8 - 9 y 12 - 13</v>
          </cell>
          <cell r="C327" t="str">
            <v>m3</v>
          </cell>
          <cell r="D327">
            <v>2</v>
          </cell>
          <cell r="E327">
            <v>7</v>
          </cell>
          <cell r="F327">
            <v>0.13</v>
          </cell>
          <cell r="G327">
            <v>0.75</v>
          </cell>
          <cell r="H327">
            <v>1.365</v>
          </cell>
        </row>
        <row r="328">
          <cell r="B328" t="str">
            <v>Eje A entre ejes 9 - 12</v>
          </cell>
          <cell r="C328" t="str">
            <v>m3</v>
          </cell>
          <cell r="D328">
            <v>3</v>
          </cell>
          <cell r="E328">
            <v>7.25</v>
          </cell>
          <cell r="F328">
            <v>0.13</v>
          </cell>
          <cell r="G328">
            <v>0.75</v>
          </cell>
          <cell r="H328">
            <v>2.120625</v>
          </cell>
        </row>
        <row r="329">
          <cell r="B329" t="str">
            <v>Eje 8' y 12' entre ejes A - B</v>
          </cell>
          <cell r="C329" t="str">
            <v>m3</v>
          </cell>
          <cell r="D329">
            <v>2</v>
          </cell>
          <cell r="E329">
            <v>6.8999999999999995</v>
          </cell>
          <cell r="F329">
            <v>0.13</v>
          </cell>
          <cell r="G329">
            <v>0.75</v>
          </cell>
          <cell r="H329">
            <v>1.3454999999999999</v>
          </cell>
        </row>
        <row r="330">
          <cell r="B330" t="str">
            <v>Eje 9 y 12 entre ejes A - B</v>
          </cell>
          <cell r="C330" t="str">
            <v>m3</v>
          </cell>
          <cell r="D330">
            <v>2</v>
          </cell>
          <cell r="E330">
            <v>4.6500000000000004</v>
          </cell>
          <cell r="F330">
            <v>0.13</v>
          </cell>
          <cell r="G330">
            <v>0.75</v>
          </cell>
          <cell r="H330">
            <v>0.90675000000000006</v>
          </cell>
        </row>
        <row r="331">
          <cell r="B331" t="str">
            <v>Eje 9'  y 11' entre ejes A-B</v>
          </cell>
          <cell r="C331" t="str">
            <v>m3</v>
          </cell>
          <cell r="D331">
            <v>2</v>
          </cell>
          <cell r="E331">
            <v>5</v>
          </cell>
          <cell r="F331">
            <v>0.13</v>
          </cell>
          <cell r="G331">
            <v>0.75</v>
          </cell>
          <cell r="H331">
            <v>0.97500000000000009</v>
          </cell>
        </row>
        <row r="332">
          <cell r="B332" t="str">
            <v>Ejes 10 y 11 entre ejes A-B</v>
          </cell>
          <cell r="C332" t="str">
            <v>m3</v>
          </cell>
          <cell r="D332">
            <v>2</v>
          </cell>
          <cell r="E332">
            <v>4.75</v>
          </cell>
          <cell r="F332">
            <v>0.13</v>
          </cell>
          <cell r="G332">
            <v>0.75</v>
          </cell>
          <cell r="H332">
            <v>0.92625000000000002</v>
          </cell>
        </row>
        <row r="333">
          <cell r="B333" t="str">
            <v>Ejes 10' entre ejes A-B</v>
          </cell>
          <cell r="C333" t="str">
            <v>m3</v>
          </cell>
          <cell r="D333">
            <v>1</v>
          </cell>
          <cell r="E333">
            <v>6.9</v>
          </cell>
          <cell r="F333">
            <v>0.13</v>
          </cell>
          <cell r="G333">
            <v>0.75</v>
          </cell>
          <cell r="H333">
            <v>0.67275000000000007</v>
          </cell>
        </row>
        <row r="334">
          <cell r="B334" t="str">
            <v>Entre ejes C' y 13 - 14 (Estar y fisioterapia)</v>
          </cell>
          <cell r="C334" t="str">
            <v>m3</v>
          </cell>
          <cell r="D334">
            <v>1</v>
          </cell>
          <cell r="E334">
            <v>5.6000000000000005</v>
          </cell>
          <cell r="F334">
            <v>0.13</v>
          </cell>
          <cell r="G334">
            <v>0.75</v>
          </cell>
          <cell r="H334">
            <v>0.54600000000000004</v>
          </cell>
        </row>
        <row r="335">
          <cell r="B335" t="str">
            <v>Entre ejes C'' y 16'-17' , 22'-23' (vestidor hombres y mujeres)</v>
          </cell>
          <cell r="C335" t="str">
            <v>m3</v>
          </cell>
          <cell r="D335">
            <v>2</v>
          </cell>
          <cell r="E335">
            <v>4.4000000000000004</v>
          </cell>
          <cell r="F335">
            <v>0.13</v>
          </cell>
          <cell r="G335">
            <v>0.75</v>
          </cell>
          <cell r="H335">
            <v>0.8580000000000001</v>
          </cell>
        </row>
        <row r="336">
          <cell r="B336" t="str">
            <v>Entre ejes C' y 20 - 21 (Estar y fisioterapia)</v>
          </cell>
          <cell r="C336" t="str">
            <v>m3</v>
          </cell>
          <cell r="D336">
            <v>1</v>
          </cell>
          <cell r="E336">
            <v>6.6000000000000005</v>
          </cell>
          <cell r="F336">
            <v>0.13</v>
          </cell>
          <cell r="G336">
            <v>0.75</v>
          </cell>
          <cell r="H336">
            <v>0.64350000000000007</v>
          </cell>
        </row>
        <row r="337">
          <cell r="B337" t="str">
            <v>Entre ejes C' y 24 - 25 (Pesaje)</v>
          </cell>
          <cell r="C337" t="str">
            <v>m3</v>
          </cell>
          <cell r="D337">
            <v>1</v>
          </cell>
          <cell r="E337">
            <v>3.7399999999999998</v>
          </cell>
          <cell r="F337">
            <v>0.13</v>
          </cell>
          <cell r="G337">
            <v>0.75</v>
          </cell>
          <cell r="H337">
            <v>0.36464999999999997</v>
          </cell>
        </row>
        <row r="338">
          <cell r="B338" t="str">
            <v>Ambientes para doping hombres y mujeres</v>
          </cell>
        </row>
        <row r="339">
          <cell r="B339" t="str">
            <v>Eje A entre ejes 23 y 24</v>
          </cell>
          <cell r="C339" t="str">
            <v>m3</v>
          </cell>
          <cell r="D339">
            <v>1</v>
          </cell>
          <cell r="E339">
            <v>6.25</v>
          </cell>
          <cell r="F339">
            <v>0.13</v>
          </cell>
          <cell r="G339">
            <v>0.75</v>
          </cell>
          <cell r="H339">
            <v>0.609375</v>
          </cell>
        </row>
        <row r="340">
          <cell r="B340" t="str">
            <v>Eje A' entre ejes 23 y 25</v>
          </cell>
          <cell r="C340" t="str">
            <v>m3</v>
          </cell>
          <cell r="D340">
            <v>1</v>
          </cell>
          <cell r="E340">
            <v>2</v>
          </cell>
          <cell r="F340">
            <v>0.13</v>
          </cell>
          <cell r="G340">
            <v>0.75</v>
          </cell>
          <cell r="H340">
            <v>0.19500000000000001</v>
          </cell>
        </row>
        <row r="341">
          <cell r="B341" t="str">
            <v>Eje 23 entre ejes A y B</v>
          </cell>
          <cell r="C341" t="str">
            <v>m3</v>
          </cell>
          <cell r="D341">
            <v>1</v>
          </cell>
          <cell r="E341">
            <v>5.7</v>
          </cell>
          <cell r="F341">
            <v>0.13</v>
          </cell>
          <cell r="G341">
            <v>0.75</v>
          </cell>
          <cell r="H341">
            <v>0.55575000000000008</v>
          </cell>
        </row>
        <row r="342">
          <cell r="B342" t="str">
            <v>Eje 23' entre ejes A y B</v>
          </cell>
          <cell r="C342" t="str">
            <v>m3</v>
          </cell>
          <cell r="D342">
            <v>2</v>
          </cell>
          <cell r="E342">
            <v>3.45</v>
          </cell>
          <cell r="F342">
            <v>0.13</v>
          </cell>
          <cell r="G342">
            <v>0.75</v>
          </cell>
          <cell r="H342">
            <v>0.67275000000000007</v>
          </cell>
        </row>
        <row r="343">
          <cell r="B343" t="str">
            <v>Eje 23'' entre ejes A y B</v>
          </cell>
          <cell r="C343" t="str">
            <v>m3</v>
          </cell>
          <cell r="D343">
            <v>1</v>
          </cell>
          <cell r="E343">
            <v>3.35</v>
          </cell>
          <cell r="F343">
            <v>0.13</v>
          </cell>
          <cell r="G343">
            <v>0.75</v>
          </cell>
          <cell r="H343">
            <v>0.32662500000000005</v>
          </cell>
        </row>
        <row r="344">
          <cell r="B344" t="str">
            <v>Eje B entre ejes 23 - 24</v>
          </cell>
          <cell r="C344" t="str">
            <v>m3</v>
          </cell>
          <cell r="D344">
            <v>1</v>
          </cell>
          <cell r="E344">
            <v>5.8500000000000005</v>
          </cell>
          <cell r="F344">
            <v>0.13</v>
          </cell>
          <cell r="G344">
            <v>0.75</v>
          </cell>
          <cell r="H344">
            <v>0.57037500000000008</v>
          </cell>
          <cell r="I344">
            <v>58.153875000000014</v>
          </cell>
        </row>
        <row r="346">
          <cell r="A346" t="str">
            <v>04.04.02</v>
          </cell>
          <cell r="B346" t="str">
            <v>ENCOFRADO Y DESENCOFRADO NORMAL PARA SOBRECIMIENTO</v>
          </cell>
        </row>
        <row r="347">
          <cell r="B347" t="str">
            <v>En Zotano</v>
          </cell>
          <cell r="G347" t="str">
            <v>(Ambos lados)</v>
          </cell>
        </row>
        <row r="348">
          <cell r="B348" t="str">
            <v xml:space="preserve">Eje C entre ejes  9 - 13 </v>
          </cell>
          <cell r="C348" t="str">
            <v>m2</v>
          </cell>
          <cell r="D348">
            <v>4</v>
          </cell>
          <cell r="E348">
            <v>4.1399999999999997</v>
          </cell>
          <cell r="G348">
            <v>1.5</v>
          </cell>
          <cell r="H348">
            <v>24.839999999999996</v>
          </cell>
        </row>
        <row r="349">
          <cell r="B349" t="str">
            <v>Eje C entre ejes 13 - 14</v>
          </cell>
          <cell r="C349" t="str">
            <v>m2</v>
          </cell>
          <cell r="D349">
            <v>1</v>
          </cell>
          <cell r="E349">
            <v>4.82</v>
          </cell>
          <cell r="G349">
            <v>1.5</v>
          </cell>
          <cell r="H349">
            <v>7.23</v>
          </cell>
        </row>
        <row r="350">
          <cell r="B350" t="str">
            <v xml:space="preserve">Eje C entre ejes 24-35 </v>
          </cell>
          <cell r="C350" t="str">
            <v>m2</v>
          </cell>
          <cell r="D350">
            <v>1</v>
          </cell>
          <cell r="E350">
            <v>3.6700000000000004</v>
          </cell>
          <cell r="G350">
            <v>1.5</v>
          </cell>
          <cell r="H350">
            <v>5.5050000000000008</v>
          </cell>
        </row>
        <row r="351">
          <cell r="B351" t="str">
            <v>Eje C entre ejes 14 - 15 y 19 - 20</v>
          </cell>
          <cell r="C351" t="str">
            <v>m2</v>
          </cell>
          <cell r="D351">
            <v>2</v>
          </cell>
          <cell r="E351">
            <v>4.3</v>
          </cell>
          <cell r="G351">
            <v>1.5</v>
          </cell>
          <cell r="H351">
            <v>12.899999999999999</v>
          </cell>
        </row>
        <row r="352">
          <cell r="B352" t="str">
            <v>Eje C entre ejes 15 - 16 y 18 - 19</v>
          </cell>
          <cell r="C352" t="str">
            <v>m2</v>
          </cell>
          <cell r="D352">
            <v>2</v>
          </cell>
          <cell r="E352">
            <v>6.15</v>
          </cell>
          <cell r="G352">
            <v>1.5</v>
          </cell>
          <cell r="H352">
            <v>18.450000000000003</v>
          </cell>
        </row>
        <row r="353">
          <cell r="B353" t="str">
            <v>Eje C entre ejes 16 - 17 y 17 - 18</v>
          </cell>
          <cell r="C353" t="str">
            <v>m2</v>
          </cell>
          <cell r="D353">
            <v>2</v>
          </cell>
          <cell r="E353">
            <v>5.01</v>
          </cell>
          <cell r="G353">
            <v>1.5</v>
          </cell>
          <cell r="H353">
            <v>15.03</v>
          </cell>
        </row>
        <row r="354">
          <cell r="B354" t="str">
            <v>Eje C entre ejes 20 - 21</v>
          </cell>
          <cell r="C354" t="str">
            <v>m2</v>
          </cell>
          <cell r="D354">
            <v>1</v>
          </cell>
          <cell r="E354">
            <v>6.15</v>
          </cell>
          <cell r="G354">
            <v>1.5</v>
          </cell>
          <cell r="H354">
            <v>9.2250000000000014</v>
          </cell>
        </row>
        <row r="355">
          <cell r="B355" t="str">
            <v>Eje C entre ejes 21 - 22</v>
          </cell>
          <cell r="C355" t="str">
            <v>m2</v>
          </cell>
          <cell r="D355">
            <v>1</v>
          </cell>
          <cell r="E355">
            <v>4.3</v>
          </cell>
          <cell r="G355">
            <v>1.5</v>
          </cell>
          <cell r="H355">
            <v>6.4499999999999993</v>
          </cell>
        </row>
        <row r="356">
          <cell r="B356" t="str">
            <v>Eje C entre ejes 22 - 23 y 23-24</v>
          </cell>
          <cell r="C356" t="str">
            <v>m2</v>
          </cell>
          <cell r="D356">
            <v>2</v>
          </cell>
          <cell r="E356">
            <v>5.01</v>
          </cell>
          <cell r="G356">
            <v>1.5</v>
          </cell>
          <cell r="H356">
            <v>15.03</v>
          </cell>
        </row>
        <row r="357">
          <cell r="B357" t="str">
            <v>Eje 9, 10, 11, 12, 13 entre ejes C-D</v>
          </cell>
          <cell r="C357" t="str">
            <v>m2</v>
          </cell>
          <cell r="D357">
            <v>5</v>
          </cell>
          <cell r="E357">
            <v>6</v>
          </cell>
          <cell r="G357">
            <v>1.5</v>
          </cell>
          <cell r="H357">
            <v>45</v>
          </cell>
        </row>
        <row r="358">
          <cell r="B358" t="str">
            <v>Ejes 14 entre ejes C-D</v>
          </cell>
          <cell r="C358" t="str">
            <v>m2</v>
          </cell>
          <cell r="D358">
            <v>1</v>
          </cell>
          <cell r="E358">
            <v>3.5999999999999996</v>
          </cell>
          <cell r="G358">
            <v>1.5</v>
          </cell>
          <cell r="H358">
            <v>5.3999999999999995</v>
          </cell>
        </row>
        <row r="359">
          <cell r="B359" t="str">
            <v>Ejes 14' y 19' entre ejes C-D</v>
          </cell>
          <cell r="C359" t="str">
            <v>m2</v>
          </cell>
          <cell r="D359">
            <v>2</v>
          </cell>
          <cell r="E359">
            <v>3.5</v>
          </cell>
          <cell r="G359">
            <v>1.5</v>
          </cell>
          <cell r="H359">
            <v>10.5</v>
          </cell>
        </row>
        <row r="360">
          <cell r="B360" t="str">
            <v>Ejes 16, 18, 22 , 23 y 25 entre ejes C-D</v>
          </cell>
          <cell r="C360" t="str">
            <v>m2</v>
          </cell>
          <cell r="D360">
            <v>5</v>
          </cell>
          <cell r="E360">
            <v>5.95</v>
          </cell>
          <cell r="G360">
            <v>1.5</v>
          </cell>
          <cell r="H360">
            <v>44.625</v>
          </cell>
        </row>
        <row r="361">
          <cell r="B361" t="str">
            <v>Ejes 16', 17', 22' y23' entre ejes C-D</v>
          </cell>
          <cell r="C361" t="str">
            <v>m2</v>
          </cell>
          <cell r="D361">
            <v>4</v>
          </cell>
          <cell r="E361">
            <v>5.35</v>
          </cell>
          <cell r="G361">
            <v>1.5</v>
          </cell>
          <cell r="H361">
            <v>32.099999999999994</v>
          </cell>
        </row>
        <row r="362">
          <cell r="B362" t="str">
            <v>Ejes 20 entre ejes C-D</v>
          </cell>
          <cell r="C362" t="str">
            <v>m2</v>
          </cell>
          <cell r="D362">
            <v>1</v>
          </cell>
          <cell r="E362">
            <v>3.5999999999999996</v>
          </cell>
          <cell r="G362">
            <v>1.5</v>
          </cell>
          <cell r="H362">
            <v>5.3999999999999995</v>
          </cell>
        </row>
        <row r="363">
          <cell r="B363" t="str">
            <v>Ejes 21 y 24 entre ejes C-D</v>
          </cell>
          <cell r="C363" t="str">
            <v>m2</v>
          </cell>
          <cell r="D363">
            <v>2</v>
          </cell>
          <cell r="E363">
            <v>6.05</v>
          </cell>
          <cell r="G363">
            <v>1.5</v>
          </cell>
          <cell r="H363">
            <v>18.149999999999999</v>
          </cell>
        </row>
        <row r="364">
          <cell r="B364" t="str">
            <v>Ejes 24' entre ejes A-B y C-D</v>
          </cell>
          <cell r="C364" t="str">
            <v>m2</v>
          </cell>
          <cell r="D364">
            <v>2</v>
          </cell>
          <cell r="E364">
            <v>3.45</v>
          </cell>
          <cell r="G364">
            <v>1.5</v>
          </cell>
          <cell r="H364">
            <v>10.350000000000001</v>
          </cell>
        </row>
        <row r="365">
          <cell r="B365" t="str">
            <v>Eje 13, 24 y 25 entre ejes A-B</v>
          </cell>
          <cell r="C365" t="str">
            <v>m2</v>
          </cell>
          <cell r="D365">
            <v>3</v>
          </cell>
          <cell r="E365">
            <v>5.7</v>
          </cell>
          <cell r="G365">
            <v>1.5</v>
          </cell>
          <cell r="H365">
            <v>25.650000000000002</v>
          </cell>
        </row>
        <row r="366">
          <cell r="B366" t="str">
            <v>Ejes 9', 10' y 11' entre ejes C-D</v>
          </cell>
          <cell r="C366" t="str">
            <v>m2</v>
          </cell>
          <cell r="D366">
            <v>3</v>
          </cell>
          <cell r="E366">
            <v>5.7</v>
          </cell>
          <cell r="G366">
            <v>1.5</v>
          </cell>
          <cell r="H366">
            <v>25.650000000000002</v>
          </cell>
        </row>
        <row r="367">
          <cell r="B367" t="str">
            <v xml:space="preserve">Eje C' entre ejes (9 - 12) </v>
          </cell>
          <cell r="C367" t="str">
            <v>m2</v>
          </cell>
          <cell r="D367">
            <v>3</v>
          </cell>
          <cell r="E367">
            <v>3.2</v>
          </cell>
          <cell r="G367">
            <v>1.5</v>
          </cell>
          <cell r="H367">
            <v>14.400000000000002</v>
          </cell>
        </row>
        <row r="368">
          <cell r="B368" t="str">
            <v>Eje 16 - 17, 21 - 22 entre ejes A-B (en escalera)</v>
          </cell>
          <cell r="C368" t="str">
            <v>m2</v>
          </cell>
          <cell r="D368">
            <v>4</v>
          </cell>
          <cell r="E368">
            <v>4.7</v>
          </cell>
          <cell r="G368">
            <v>1.5</v>
          </cell>
          <cell r="H368">
            <v>28.200000000000003</v>
          </cell>
        </row>
        <row r="369">
          <cell r="B369" t="str">
            <v>Ejes 36 entre ejes A-D</v>
          </cell>
          <cell r="C369" t="str">
            <v>m2</v>
          </cell>
          <cell r="D369">
            <v>1</v>
          </cell>
          <cell r="E369">
            <v>13.7</v>
          </cell>
          <cell r="G369">
            <v>1.5</v>
          </cell>
          <cell r="H369">
            <v>20.549999999999997</v>
          </cell>
        </row>
        <row r="370">
          <cell r="B370" t="str">
            <v>Eje B entre ejes 8 - 25 y 12 - 13</v>
          </cell>
          <cell r="C370" t="str">
            <v>m2</v>
          </cell>
          <cell r="D370">
            <v>2</v>
          </cell>
          <cell r="E370">
            <v>5.3</v>
          </cell>
          <cell r="G370">
            <v>1.5</v>
          </cell>
          <cell r="H370">
            <v>15.899999999999999</v>
          </cell>
        </row>
        <row r="371">
          <cell r="B371" t="str">
            <v>Eje B entre ejes 9 - 10 y 11 - 12</v>
          </cell>
          <cell r="C371" t="str">
            <v>m2</v>
          </cell>
          <cell r="D371">
            <v>2</v>
          </cell>
          <cell r="E371">
            <v>6.31</v>
          </cell>
          <cell r="G371">
            <v>1.5</v>
          </cell>
          <cell r="H371">
            <v>18.93</v>
          </cell>
        </row>
        <row r="372">
          <cell r="B372" t="str">
            <v>Eje B entre ejes 10 - 11</v>
          </cell>
          <cell r="C372" t="str">
            <v>m2</v>
          </cell>
          <cell r="D372">
            <v>2</v>
          </cell>
          <cell r="E372">
            <v>1.9500000000000002</v>
          </cell>
          <cell r="G372">
            <v>1.5</v>
          </cell>
          <cell r="H372">
            <v>5.8500000000000005</v>
          </cell>
        </row>
        <row r="373">
          <cell r="B373" t="str">
            <v>Eje B entre ejes 13 - 14</v>
          </cell>
          <cell r="C373" t="str">
            <v>m2</v>
          </cell>
          <cell r="D373">
            <v>1</v>
          </cell>
          <cell r="E373">
            <v>4.82</v>
          </cell>
          <cell r="G373">
            <v>1.5</v>
          </cell>
          <cell r="H373">
            <v>7.23</v>
          </cell>
        </row>
        <row r="374">
          <cell r="B374" t="str">
            <v>Eje B entre ejes 14 - 16, 17 - 21 y 22 - 24</v>
          </cell>
          <cell r="C374" t="str">
            <v>m2</v>
          </cell>
          <cell r="D374">
            <v>8</v>
          </cell>
          <cell r="E374">
            <v>6.15</v>
          </cell>
          <cell r="G374">
            <v>1.5</v>
          </cell>
          <cell r="H374">
            <v>73.800000000000011</v>
          </cell>
        </row>
        <row r="375">
          <cell r="B375" t="str">
            <v>Eje B entre ejes  24 y 25</v>
          </cell>
          <cell r="C375" t="str">
            <v>m2</v>
          </cell>
          <cell r="D375">
            <v>1</v>
          </cell>
          <cell r="E375">
            <v>3.68</v>
          </cell>
          <cell r="G375">
            <v>1.5</v>
          </cell>
          <cell r="H375">
            <v>5.5200000000000005</v>
          </cell>
        </row>
        <row r="376">
          <cell r="B376" t="str">
            <v>Eje A'' entre ejes  9 - 10, y 11 - 12</v>
          </cell>
          <cell r="C376" t="str">
            <v>m2</v>
          </cell>
          <cell r="D376">
            <v>2</v>
          </cell>
          <cell r="E376">
            <v>2.2000000000000002</v>
          </cell>
          <cell r="G376">
            <v>1.5</v>
          </cell>
          <cell r="H376">
            <v>6.6000000000000005</v>
          </cell>
        </row>
        <row r="377">
          <cell r="B377" t="str">
            <v>Eje A' entre ejes  10, y 11</v>
          </cell>
          <cell r="C377" t="str">
            <v>m2</v>
          </cell>
          <cell r="D377">
            <v>2</v>
          </cell>
          <cell r="E377">
            <v>2.4</v>
          </cell>
          <cell r="G377">
            <v>1.5</v>
          </cell>
          <cell r="H377">
            <v>7.1999999999999993</v>
          </cell>
        </row>
        <row r="378">
          <cell r="B378" t="str">
            <v>Eje A' entre ejes  24 y 25</v>
          </cell>
          <cell r="C378" t="str">
            <v>m2</v>
          </cell>
          <cell r="D378">
            <v>1</v>
          </cell>
          <cell r="E378">
            <v>3.5999999999999996</v>
          </cell>
          <cell r="G378">
            <v>1.5</v>
          </cell>
          <cell r="H378">
            <v>5.3999999999999995</v>
          </cell>
        </row>
        <row r="379">
          <cell r="B379" t="str">
            <v>Eje A entre ejes 16 - 17 y 21 - 22</v>
          </cell>
          <cell r="C379" t="str">
            <v>m2</v>
          </cell>
          <cell r="D379">
            <v>1</v>
          </cell>
          <cell r="E379">
            <v>6.15</v>
          </cell>
          <cell r="G379">
            <v>1.5</v>
          </cell>
          <cell r="H379">
            <v>9.2250000000000014</v>
          </cell>
        </row>
        <row r="380">
          <cell r="B380" t="str">
            <v>Eje A entre ejes 24 - 25</v>
          </cell>
          <cell r="C380" t="str">
            <v>m2</v>
          </cell>
          <cell r="D380">
            <v>1</v>
          </cell>
          <cell r="E380">
            <v>4.82</v>
          </cell>
          <cell r="G380">
            <v>1.5</v>
          </cell>
          <cell r="H380">
            <v>7.23</v>
          </cell>
        </row>
        <row r="381">
          <cell r="B381" t="str">
            <v>Eje A entre ejes 25 - 36</v>
          </cell>
          <cell r="C381" t="str">
            <v>m2</v>
          </cell>
          <cell r="D381">
            <v>1</v>
          </cell>
          <cell r="E381">
            <v>86.88</v>
          </cell>
          <cell r="G381">
            <v>1.5</v>
          </cell>
          <cell r="H381">
            <v>130.32</v>
          </cell>
        </row>
        <row r="382">
          <cell r="B382" t="str">
            <v>Eje A entre ejes 8 - 9 y 12 - 13</v>
          </cell>
          <cell r="C382" t="str">
            <v>m2</v>
          </cell>
          <cell r="D382">
            <v>2</v>
          </cell>
          <cell r="E382">
            <v>7</v>
          </cell>
          <cell r="G382">
            <v>1.5</v>
          </cell>
          <cell r="H382">
            <v>21</v>
          </cell>
        </row>
        <row r="383">
          <cell r="B383" t="str">
            <v>Eje A entre ejes 9 - 12</v>
          </cell>
          <cell r="C383" t="str">
            <v>m2</v>
          </cell>
          <cell r="D383">
            <v>3</v>
          </cell>
          <cell r="E383">
            <v>7.25</v>
          </cell>
          <cell r="G383">
            <v>1.5</v>
          </cell>
          <cell r="H383">
            <v>32.625</v>
          </cell>
        </row>
        <row r="384">
          <cell r="B384" t="str">
            <v>Eje 8' y 12' entre ejes A - B</v>
          </cell>
          <cell r="C384" t="str">
            <v>m2</v>
          </cell>
          <cell r="D384">
            <v>2</v>
          </cell>
          <cell r="E384">
            <v>6.8999999999999995</v>
          </cell>
          <cell r="G384">
            <v>1.5</v>
          </cell>
          <cell r="H384">
            <v>20.7</v>
          </cell>
        </row>
        <row r="385">
          <cell r="B385" t="str">
            <v>Eje 9 y 12 entre ejes A - B</v>
          </cell>
          <cell r="C385" t="str">
            <v>m2</v>
          </cell>
          <cell r="D385">
            <v>2</v>
          </cell>
          <cell r="E385">
            <v>4.6500000000000004</v>
          </cell>
          <cell r="G385">
            <v>1.5</v>
          </cell>
          <cell r="H385">
            <v>13.950000000000001</v>
          </cell>
        </row>
        <row r="386">
          <cell r="B386" t="str">
            <v>Eje 9'  y 11' entre ejes A-B</v>
          </cell>
          <cell r="C386" t="str">
            <v>m2</v>
          </cell>
          <cell r="D386">
            <v>2</v>
          </cell>
          <cell r="E386">
            <v>5</v>
          </cell>
          <cell r="G386">
            <v>1.5</v>
          </cell>
          <cell r="H386">
            <v>15</v>
          </cell>
        </row>
        <row r="387">
          <cell r="B387" t="str">
            <v>Ejes 10 y 11 entre ejes A-B</v>
          </cell>
          <cell r="C387" t="str">
            <v>m2</v>
          </cell>
          <cell r="D387">
            <v>2</v>
          </cell>
          <cell r="E387">
            <v>4.75</v>
          </cell>
          <cell r="G387">
            <v>1.5</v>
          </cell>
          <cell r="H387">
            <v>14.25</v>
          </cell>
        </row>
        <row r="388">
          <cell r="B388" t="str">
            <v>Ejes 10' entre ejes A-B</v>
          </cell>
          <cell r="C388" t="str">
            <v>m2</v>
          </cell>
          <cell r="D388">
            <v>1</v>
          </cell>
          <cell r="E388">
            <v>6.9</v>
          </cell>
          <cell r="G388">
            <v>1.5</v>
          </cell>
          <cell r="H388">
            <v>10.350000000000001</v>
          </cell>
        </row>
        <row r="389">
          <cell r="B389" t="str">
            <v>Entre ejes C' y 13 - 14 (Estar y fisioterapia)</v>
          </cell>
          <cell r="C389" t="str">
            <v>m2</v>
          </cell>
          <cell r="D389">
            <v>1</v>
          </cell>
          <cell r="E389">
            <v>5.6000000000000005</v>
          </cell>
          <cell r="G389">
            <v>1.5</v>
          </cell>
          <cell r="H389">
            <v>8.4</v>
          </cell>
        </row>
        <row r="390">
          <cell r="B390" t="str">
            <v>Entre ejes C'' y 16'-17' , 22'-23' (vestidor hombres y mujeres)</v>
          </cell>
          <cell r="C390" t="str">
            <v>m2</v>
          </cell>
          <cell r="D390">
            <v>2</v>
          </cell>
          <cell r="E390">
            <v>4.4000000000000004</v>
          </cell>
          <cell r="G390">
            <v>1.5</v>
          </cell>
          <cell r="H390">
            <v>13.200000000000001</v>
          </cell>
        </row>
        <row r="391">
          <cell r="B391" t="str">
            <v>Entre ejes C' y 20 - 21 (Estar y fisioterapia)</v>
          </cell>
          <cell r="C391" t="str">
            <v>m2</v>
          </cell>
          <cell r="D391">
            <v>1</v>
          </cell>
          <cell r="E391">
            <v>6.6000000000000005</v>
          </cell>
          <cell r="G391">
            <v>1.5</v>
          </cell>
          <cell r="H391">
            <v>9.9</v>
          </cell>
        </row>
        <row r="392">
          <cell r="B392" t="str">
            <v>Entre ejes C' y 24 - 25 (pesaje)</v>
          </cell>
          <cell r="C392" t="str">
            <v>m2</v>
          </cell>
          <cell r="D392">
            <v>1</v>
          </cell>
          <cell r="E392">
            <v>3.7399999999999998</v>
          </cell>
          <cell r="G392">
            <v>1.5</v>
          </cell>
          <cell r="H392">
            <v>5.6099999999999994</v>
          </cell>
        </row>
        <row r="393">
          <cell r="B393" t="str">
            <v>Ambientes para doping hombres y mujeres</v>
          </cell>
        </row>
        <row r="394">
          <cell r="B394" t="str">
            <v>Eje A entre ejes 23 y 24</v>
          </cell>
          <cell r="C394" t="str">
            <v>m3</v>
          </cell>
          <cell r="D394">
            <v>1</v>
          </cell>
          <cell r="E394">
            <v>6.25</v>
          </cell>
          <cell r="G394">
            <v>1.5</v>
          </cell>
          <cell r="H394">
            <v>9.375</v>
          </cell>
        </row>
        <row r="395">
          <cell r="B395" t="str">
            <v>Eje A' entre ejes 23 y 25</v>
          </cell>
          <cell r="C395" t="str">
            <v>m3</v>
          </cell>
          <cell r="D395">
            <v>1</v>
          </cell>
          <cell r="E395">
            <v>2</v>
          </cell>
          <cell r="G395">
            <v>1.5</v>
          </cell>
          <cell r="H395">
            <v>3</v>
          </cell>
        </row>
        <row r="396">
          <cell r="B396" t="str">
            <v>Eje 23 entre ejes A y B</v>
          </cell>
          <cell r="C396" t="str">
            <v>m3</v>
          </cell>
          <cell r="D396">
            <v>1</v>
          </cell>
          <cell r="E396">
            <v>5.7</v>
          </cell>
          <cell r="G396">
            <v>1.5</v>
          </cell>
          <cell r="H396">
            <v>8.5500000000000007</v>
          </cell>
        </row>
        <row r="397">
          <cell r="B397" t="str">
            <v>Eje 23' entre ejes A y B</v>
          </cell>
          <cell r="C397" t="str">
            <v>m3</v>
          </cell>
          <cell r="D397">
            <v>2</v>
          </cell>
          <cell r="E397">
            <v>3.45</v>
          </cell>
          <cell r="G397">
            <v>1.5</v>
          </cell>
          <cell r="H397">
            <v>10.350000000000001</v>
          </cell>
        </row>
        <row r="398">
          <cell r="B398" t="str">
            <v>Eje 23'' entre ejes A y B</v>
          </cell>
          <cell r="C398" t="str">
            <v>m3</v>
          </cell>
          <cell r="D398">
            <v>1</v>
          </cell>
          <cell r="E398">
            <v>3.35</v>
          </cell>
          <cell r="G398">
            <v>1.5</v>
          </cell>
          <cell r="H398">
            <v>5.0250000000000004</v>
          </cell>
        </row>
        <row r="399">
          <cell r="B399" t="str">
            <v>Eje B entre ejes 23 - 24</v>
          </cell>
          <cell r="C399" t="str">
            <v>m3</v>
          </cell>
          <cell r="D399">
            <v>1</v>
          </cell>
          <cell r="E399">
            <v>5.8500000000000005</v>
          </cell>
          <cell r="G399">
            <v>1.5</v>
          </cell>
          <cell r="H399">
            <v>8.7750000000000004</v>
          </cell>
          <cell r="I399">
            <v>903.9000000000002</v>
          </cell>
        </row>
        <row r="401">
          <cell r="A401" t="str">
            <v>05.01.02</v>
          </cell>
          <cell r="B401" t="str">
            <v>ACERO fy=4200 kg/cm2 GRADO 60 EN SOBRECIMIENTO</v>
          </cell>
          <cell r="C401" t="str">
            <v>kg</v>
          </cell>
        </row>
        <row r="402">
          <cell r="B402" t="str">
            <v>Se ha considerado 25 Kg/m3 de volumen de concreto</v>
          </cell>
          <cell r="C402" t="str">
            <v>kg</v>
          </cell>
          <cell r="D402">
            <v>1</v>
          </cell>
          <cell r="E402">
            <v>1453.8468750000004</v>
          </cell>
          <cell r="H402">
            <v>1453.8468750000004</v>
          </cell>
          <cell r="I402">
            <v>1453.8468750000004</v>
          </cell>
        </row>
        <row r="404">
          <cell r="A404" t="str">
            <v>04.05.00</v>
          </cell>
          <cell r="B404" t="str">
            <v>FALSO PISO</v>
          </cell>
        </row>
        <row r="405">
          <cell r="A405" t="str">
            <v>04.05.01</v>
          </cell>
          <cell r="B405" t="str">
            <v>FALSO PISO MEZCLA  1:8 CEMENTO-HORMIGON E=4"</v>
          </cell>
          <cell r="C405" t="str">
            <v>m2</v>
          </cell>
        </row>
        <row r="406">
          <cell r="B406" t="str">
            <v xml:space="preserve">En Zotano </v>
          </cell>
          <cell r="F406" t="str">
            <v>Área CAD (m2)</v>
          </cell>
        </row>
        <row r="407">
          <cell r="B407" t="str">
            <v>Sala cardiovascular y sala parafina</v>
          </cell>
          <cell r="C407" t="str">
            <v>m2</v>
          </cell>
          <cell r="D407">
            <v>1</v>
          </cell>
          <cell r="E407" t="str">
            <v>Área CAD=</v>
          </cell>
          <cell r="F407">
            <v>46.750399999999999</v>
          </cell>
          <cell r="H407">
            <v>46.750399999999999</v>
          </cell>
        </row>
        <row r="408">
          <cell r="B408" t="str">
            <v>Sala electromagnetismo y  sala de corriente</v>
          </cell>
          <cell r="C408" t="str">
            <v>m2</v>
          </cell>
          <cell r="D408">
            <v>1</v>
          </cell>
          <cell r="E408" t="str">
            <v>Área CAD=</v>
          </cell>
          <cell r="F408">
            <v>46.750399999999999</v>
          </cell>
          <cell r="H408">
            <v>46.750399999999999</v>
          </cell>
        </row>
        <row r="409">
          <cell r="B409" t="str">
            <v>Sala ultrasonido y magnetoterapia</v>
          </cell>
          <cell r="C409" t="str">
            <v>m2</v>
          </cell>
          <cell r="D409">
            <v>1</v>
          </cell>
          <cell r="E409" t="str">
            <v>Área CAD=</v>
          </cell>
          <cell r="F409">
            <v>46.750399999999999</v>
          </cell>
          <cell r="H409">
            <v>46.750399999999999</v>
          </cell>
        </row>
        <row r="410">
          <cell r="B410" t="str">
            <v>Gimnacio Damas</v>
          </cell>
          <cell r="C410" t="str">
            <v>m2</v>
          </cell>
          <cell r="D410">
            <v>1</v>
          </cell>
          <cell r="E410" t="str">
            <v>Área CAD=</v>
          </cell>
          <cell r="F410">
            <v>48.2</v>
          </cell>
          <cell r="H410">
            <v>48.2</v>
          </cell>
        </row>
        <row r="411">
          <cell r="B411" t="str">
            <v>Fisioterapia</v>
          </cell>
          <cell r="C411" t="str">
            <v>m2</v>
          </cell>
          <cell r="D411">
            <v>1</v>
          </cell>
          <cell r="E411" t="str">
            <v>Área CAD=</v>
          </cell>
          <cell r="F411">
            <v>21.985499999999998</v>
          </cell>
          <cell r="H411">
            <v>21.985499999999998</v>
          </cell>
        </row>
        <row r="412">
          <cell r="B412" t="str">
            <v>Estar atletas vestidor mujeres</v>
          </cell>
          <cell r="C412" t="str">
            <v>m2</v>
          </cell>
          <cell r="D412">
            <v>1</v>
          </cell>
          <cell r="E412" t="str">
            <v>Área CAD=</v>
          </cell>
          <cell r="F412">
            <v>21.986000000000001</v>
          </cell>
          <cell r="H412">
            <v>21.986000000000001</v>
          </cell>
        </row>
        <row r="413">
          <cell r="B413" t="str">
            <v>Atletas vestidor mujeres y hombres</v>
          </cell>
          <cell r="C413" t="str">
            <v>m2</v>
          </cell>
          <cell r="D413">
            <v>2</v>
          </cell>
          <cell r="E413" t="str">
            <v>Área CAD=</v>
          </cell>
          <cell r="F413">
            <v>105.285</v>
          </cell>
          <cell r="H413">
            <v>210.57</v>
          </cell>
        </row>
        <row r="414">
          <cell r="B414" t="str">
            <v>Estar entrenador mujeres y hombres</v>
          </cell>
          <cell r="C414" t="str">
            <v>m2</v>
          </cell>
          <cell r="D414">
            <v>2</v>
          </cell>
          <cell r="E414" t="str">
            <v>Área CAD=</v>
          </cell>
          <cell r="F414">
            <v>25.785</v>
          </cell>
          <cell r="H414">
            <v>51.57</v>
          </cell>
        </row>
        <row r="415">
          <cell r="B415" t="str">
            <v>Vestidor mujeres y hombres</v>
          </cell>
          <cell r="C415" t="str">
            <v>m2</v>
          </cell>
          <cell r="D415">
            <v>2</v>
          </cell>
          <cell r="E415" t="str">
            <v>Área CAD=</v>
          </cell>
          <cell r="F415">
            <v>50.835000000000001</v>
          </cell>
          <cell r="H415">
            <v>101.67</v>
          </cell>
        </row>
        <row r="416">
          <cell r="B416" t="str">
            <v>Fisioterapia, Sauna - ducha, Depósito</v>
          </cell>
          <cell r="C416" t="str">
            <v>m2</v>
          </cell>
          <cell r="D416">
            <v>1</v>
          </cell>
          <cell r="E416" t="str">
            <v>Área CAD=</v>
          </cell>
          <cell r="F416">
            <v>25.8</v>
          </cell>
          <cell r="H416">
            <v>25.8</v>
          </cell>
        </row>
        <row r="417">
          <cell r="B417" t="str">
            <v>Estar atletas vestidor hombres</v>
          </cell>
          <cell r="C417" t="str">
            <v>m2</v>
          </cell>
          <cell r="D417">
            <v>1</v>
          </cell>
          <cell r="E417" t="str">
            <v>Área CAD=</v>
          </cell>
          <cell r="F417">
            <v>25.8</v>
          </cell>
          <cell r="H417">
            <v>25.8</v>
          </cell>
        </row>
        <row r="418">
          <cell r="B418" t="str">
            <v>Gimnacio Hombres</v>
          </cell>
          <cell r="C418" t="str">
            <v>m2</v>
          </cell>
          <cell r="D418">
            <v>1</v>
          </cell>
          <cell r="E418" t="str">
            <v>Área CAD=</v>
          </cell>
          <cell r="F418">
            <v>52.63</v>
          </cell>
          <cell r="H418">
            <v>52.63</v>
          </cell>
        </row>
        <row r="419">
          <cell r="B419" t="str">
            <v>Estar Juez Hombres y Mujeres</v>
          </cell>
          <cell r="C419" t="str">
            <v>m2</v>
          </cell>
          <cell r="D419">
            <v>2</v>
          </cell>
          <cell r="E419" t="str">
            <v>Área CAD=</v>
          </cell>
          <cell r="F419">
            <v>25.785</v>
          </cell>
          <cell r="H419">
            <v>51.57</v>
          </cell>
        </row>
        <row r="420">
          <cell r="B420" t="str">
            <v>Doping, Espera y  SS.HH.</v>
          </cell>
          <cell r="C420" t="str">
            <v>m2</v>
          </cell>
          <cell r="D420">
            <v>1</v>
          </cell>
          <cell r="E420" t="str">
            <v>Área CAD=</v>
          </cell>
          <cell r="F420">
            <v>43.72</v>
          </cell>
          <cell r="H420">
            <v>43.72</v>
          </cell>
        </row>
        <row r="421">
          <cell r="B421" t="str">
            <v>Zona de Circulacion</v>
          </cell>
          <cell r="C421" t="str">
            <v>m2</v>
          </cell>
          <cell r="D421">
            <v>1</v>
          </cell>
          <cell r="E421" t="str">
            <v>Área CAD=</v>
          </cell>
          <cell r="F421">
            <v>327.39</v>
          </cell>
          <cell r="H421">
            <v>327.39</v>
          </cell>
        </row>
        <row r="422">
          <cell r="B422" t="str">
            <v>Zona de Calentamiento 1</v>
          </cell>
          <cell r="C422" t="str">
            <v>m2</v>
          </cell>
          <cell r="D422">
            <v>1</v>
          </cell>
          <cell r="E422" t="str">
            <v>Área CAD=</v>
          </cell>
          <cell r="F422">
            <v>396.85</v>
          </cell>
          <cell r="H422">
            <v>396.85</v>
          </cell>
        </row>
        <row r="423">
          <cell r="B423" t="str">
            <v>Zona de Calentamiento 2</v>
          </cell>
          <cell r="C423" t="str">
            <v>m2</v>
          </cell>
          <cell r="D423">
            <v>1</v>
          </cell>
          <cell r="E423" t="str">
            <v>Área CAD=</v>
          </cell>
          <cell r="F423">
            <v>1408.63</v>
          </cell>
          <cell r="H423">
            <v>1408.63</v>
          </cell>
        </row>
        <row r="424">
          <cell r="B424" t="str">
            <v>Depósito de equipos deportivos</v>
          </cell>
          <cell r="C424" t="str">
            <v>m2</v>
          </cell>
          <cell r="D424">
            <v>1</v>
          </cell>
          <cell r="E424" t="str">
            <v>Área CAD=</v>
          </cell>
          <cell r="F424">
            <v>48.2</v>
          </cell>
          <cell r="H424">
            <v>48.2</v>
          </cell>
        </row>
        <row r="425">
          <cell r="B425" t="str">
            <v>Cuarto de maquinas 1 y 2</v>
          </cell>
          <cell r="C425" t="str">
            <v>m2</v>
          </cell>
          <cell r="D425">
            <v>1</v>
          </cell>
          <cell r="E425" t="str">
            <v>Área CAD=</v>
          </cell>
          <cell r="F425">
            <v>35</v>
          </cell>
          <cell r="H425">
            <v>35</v>
          </cell>
        </row>
        <row r="426">
          <cell r="B426" t="str">
            <v>Sauna 1 y 2</v>
          </cell>
          <cell r="C426" t="str">
            <v>m2</v>
          </cell>
          <cell r="D426">
            <v>2</v>
          </cell>
          <cell r="E426" t="str">
            <v>Área CAD=</v>
          </cell>
          <cell r="F426">
            <v>60.64</v>
          </cell>
          <cell r="H426">
            <v>121.28</v>
          </cell>
        </row>
        <row r="427">
          <cell r="B427" t="str">
            <v>SS.HH.</v>
          </cell>
          <cell r="C427" t="str">
            <v>m2</v>
          </cell>
          <cell r="D427">
            <v>2</v>
          </cell>
          <cell r="E427" t="str">
            <v>Área CAD=</v>
          </cell>
          <cell r="F427">
            <v>33</v>
          </cell>
          <cell r="H427">
            <v>66</v>
          </cell>
        </row>
        <row r="428">
          <cell r="B428" t="str">
            <v>Administración hombres y mujeres mas depósito</v>
          </cell>
          <cell r="C428" t="str">
            <v>m2</v>
          </cell>
          <cell r="D428">
            <v>2</v>
          </cell>
          <cell r="E428" t="str">
            <v>Área CAD=</v>
          </cell>
          <cell r="F428">
            <v>27.130000000000003</v>
          </cell>
          <cell r="H428">
            <v>54.260000000000005</v>
          </cell>
        </row>
        <row r="429">
          <cell r="B429" t="str">
            <v>Topico, administración y SS.HH.</v>
          </cell>
          <cell r="C429" t="str">
            <v>m2</v>
          </cell>
          <cell r="D429">
            <v>1</v>
          </cell>
          <cell r="E429" t="str">
            <v>Área CAD=</v>
          </cell>
          <cell r="F429">
            <v>42.980000000000004</v>
          </cell>
          <cell r="H429">
            <v>42.980000000000004</v>
          </cell>
        </row>
        <row r="430">
          <cell r="B430" t="str">
            <v>Escalera</v>
          </cell>
          <cell r="C430" t="str">
            <v>m2</v>
          </cell>
          <cell r="D430">
            <v>2</v>
          </cell>
          <cell r="E430" t="str">
            <v>Área CAD=</v>
          </cell>
          <cell r="F430">
            <v>29.7</v>
          </cell>
          <cell r="H430">
            <v>59.4</v>
          </cell>
        </row>
        <row r="431">
          <cell r="B431" t="str">
            <v>En exterior de consejeria mantenimiento y sala de personal</v>
          </cell>
          <cell r="C431" t="str">
            <v>m2</v>
          </cell>
          <cell r="D431">
            <v>1</v>
          </cell>
          <cell r="E431" t="str">
            <v>Área CAD=</v>
          </cell>
          <cell r="F431">
            <v>85.92</v>
          </cell>
          <cell r="H431">
            <v>85.92</v>
          </cell>
          <cell r="I431">
            <v>3441.6627000000003</v>
          </cell>
        </row>
        <row r="433">
          <cell r="A433" t="str">
            <v>05.00.00</v>
          </cell>
          <cell r="B433" t="str">
            <v>CONCRETO ARMADO</v>
          </cell>
        </row>
        <row r="434">
          <cell r="A434" t="str">
            <v>05.01.00</v>
          </cell>
          <cell r="B434" t="str">
            <v>ZAPATAS</v>
          </cell>
        </row>
        <row r="435">
          <cell r="A435" t="str">
            <v>05.01.01</v>
          </cell>
          <cell r="B435" t="str">
            <v>CONCRETO PREMEZCLADO F'C=280 KG/CM2  ZAPATAS</v>
          </cell>
          <cell r="C435" t="str">
            <v>m3</v>
          </cell>
        </row>
        <row r="436">
          <cell r="B436" t="str">
            <v xml:space="preserve">Sub Zapatas </v>
          </cell>
        </row>
        <row r="437">
          <cell r="B437" t="str">
            <v>Z-1 En eje A eje 8-36</v>
          </cell>
          <cell r="C437" t="str">
            <v>m3</v>
          </cell>
          <cell r="D437">
            <v>28</v>
          </cell>
          <cell r="E437">
            <v>2.5</v>
          </cell>
          <cell r="F437">
            <v>2.5</v>
          </cell>
          <cell r="G437">
            <v>0.6</v>
          </cell>
          <cell r="H437">
            <v>105</v>
          </cell>
        </row>
        <row r="438">
          <cell r="B438" t="str">
            <v>Z-2 En eje B eje 8-36</v>
          </cell>
          <cell r="C438" t="str">
            <v>m3</v>
          </cell>
          <cell r="D438">
            <v>28</v>
          </cell>
          <cell r="E438">
            <v>5.75</v>
          </cell>
          <cell r="F438">
            <v>2.5</v>
          </cell>
          <cell r="G438">
            <v>0.6</v>
          </cell>
          <cell r="H438">
            <v>241.5</v>
          </cell>
        </row>
        <row r="439">
          <cell r="B439" t="str">
            <v>Z-3 En eje C en eje 37</v>
          </cell>
          <cell r="C439" t="str">
            <v>m3</v>
          </cell>
          <cell r="D439">
            <v>1</v>
          </cell>
          <cell r="E439">
            <v>2</v>
          </cell>
          <cell r="F439">
            <v>2</v>
          </cell>
          <cell r="G439">
            <v>0.6</v>
          </cell>
          <cell r="H439">
            <v>2.4</v>
          </cell>
        </row>
        <row r="440">
          <cell r="B440" t="str">
            <v>Z-4 En eje D entre ejes 2-8 y ejes 30-37</v>
          </cell>
          <cell r="C440" t="str">
            <v>m3</v>
          </cell>
          <cell r="D440">
            <v>15</v>
          </cell>
          <cell r="E440">
            <v>1.8</v>
          </cell>
          <cell r="F440">
            <v>1.8</v>
          </cell>
          <cell r="G440">
            <v>0.6</v>
          </cell>
          <cell r="H440">
            <v>29.16</v>
          </cell>
          <cell r="I440">
            <v>378.06</v>
          </cell>
        </row>
        <row r="442">
          <cell r="A442" t="str">
            <v>05.01.02</v>
          </cell>
          <cell r="B442" t="str">
            <v>ENCOFRADO Y DESENCOFRADO NORMAL EN ZAPATAS</v>
          </cell>
        </row>
        <row r="443">
          <cell r="B443" t="str">
            <v>Z-1 En eje A eje 8-36</v>
          </cell>
          <cell r="C443" t="str">
            <v>m3</v>
          </cell>
          <cell r="D443">
            <v>28</v>
          </cell>
          <cell r="E443">
            <v>10</v>
          </cell>
          <cell r="G443">
            <v>0.6</v>
          </cell>
          <cell r="H443">
            <v>168</v>
          </cell>
        </row>
        <row r="444">
          <cell r="B444" t="str">
            <v>Z-2 En eje B eje 8-36</v>
          </cell>
          <cell r="C444" t="str">
            <v>m3</v>
          </cell>
          <cell r="D444">
            <v>28</v>
          </cell>
          <cell r="E444">
            <v>16.5</v>
          </cell>
          <cell r="G444">
            <v>0.6</v>
          </cell>
          <cell r="H444">
            <v>277.2</v>
          </cell>
        </row>
        <row r="445">
          <cell r="B445" t="str">
            <v>Z-3 En eje C en eje 7 y eje 37</v>
          </cell>
          <cell r="C445" t="str">
            <v>m3</v>
          </cell>
          <cell r="D445">
            <v>2</v>
          </cell>
          <cell r="E445">
            <v>8</v>
          </cell>
          <cell r="G445">
            <v>0.6</v>
          </cell>
          <cell r="H445">
            <v>9.6</v>
          </cell>
        </row>
        <row r="446">
          <cell r="B446" t="str">
            <v>Z-4 En eje C entre ejes 2-6 y ejes 30-37</v>
          </cell>
          <cell r="C446" t="str">
            <v>m3</v>
          </cell>
          <cell r="D446">
            <v>13</v>
          </cell>
          <cell r="E446">
            <v>7.2</v>
          </cell>
          <cell r="G446">
            <v>0.6</v>
          </cell>
          <cell r="H446">
            <v>56.160000000000004</v>
          </cell>
          <cell r="I446">
            <v>510.96000000000004</v>
          </cell>
        </row>
        <row r="448">
          <cell r="A448" t="str">
            <v>05.01.02</v>
          </cell>
          <cell r="B448" t="str">
            <v>ACERO fy=4200 kg/cm2 GRADO 60 en ZAPATAS</v>
          </cell>
          <cell r="C448" t="str">
            <v>kg</v>
          </cell>
        </row>
        <row r="449">
          <cell r="B449" t="str">
            <v>Se ha considerado 40 Kg/m3 de volumen de concreto</v>
          </cell>
          <cell r="C449" t="str">
            <v>kg</v>
          </cell>
          <cell r="D449">
            <v>1</v>
          </cell>
          <cell r="E449">
            <v>15122.4</v>
          </cell>
          <cell r="H449">
            <v>15122.4</v>
          </cell>
          <cell r="I449">
            <v>15122.4</v>
          </cell>
        </row>
        <row r="451">
          <cell r="A451" t="str">
            <v>05.02.00</v>
          </cell>
          <cell r="B451" t="str">
            <v>VIGAS DE CIMENTACIÓN</v>
          </cell>
        </row>
        <row r="452">
          <cell r="A452" t="str">
            <v>05.02.01</v>
          </cell>
          <cell r="B452" t="str">
            <v>CONCRETO EN VIGAS DE CIMENTACIÓN f'c=210 kg/cm2</v>
          </cell>
          <cell r="C452" t="str">
            <v>m3</v>
          </cell>
        </row>
        <row r="453">
          <cell r="B453" t="str">
            <v>Eje A entre ejes 8-36, V-C (40x40)cm</v>
          </cell>
          <cell r="C453" t="str">
            <v>m3</v>
          </cell>
          <cell r="D453">
            <v>1</v>
          </cell>
          <cell r="E453">
            <v>198.38</v>
          </cell>
          <cell r="F453">
            <v>0.4</v>
          </cell>
          <cell r="G453">
            <v>0.4</v>
          </cell>
          <cell r="H453">
            <v>31.740800000000004</v>
          </cell>
        </row>
        <row r="454">
          <cell r="B454" t="str">
            <v>Eje B entre ejes 8-36, V-C (40x40)cm</v>
          </cell>
          <cell r="C454" t="str">
            <v>m3</v>
          </cell>
          <cell r="D454">
            <v>1</v>
          </cell>
          <cell r="E454">
            <v>188</v>
          </cell>
          <cell r="F454">
            <v>0.4</v>
          </cell>
          <cell r="G454">
            <v>0.4</v>
          </cell>
          <cell r="H454">
            <v>30.080000000000002</v>
          </cell>
        </row>
        <row r="455">
          <cell r="B455" t="str">
            <v>Eje C entre ejes 1-37, V-C (40x40)cm</v>
          </cell>
          <cell r="C455" t="str">
            <v>m3</v>
          </cell>
          <cell r="D455">
            <v>1</v>
          </cell>
          <cell r="E455">
            <v>234.36</v>
          </cell>
          <cell r="F455">
            <v>0.4</v>
          </cell>
          <cell r="G455">
            <v>0.4</v>
          </cell>
          <cell r="H455">
            <v>37.497600000000006</v>
          </cell>
        </row>
        <row r="456">
          <cell r="B456" t="str">
            <v>Eje D entre ejes 1-9 y 29  -37 V-C (40x40)cm</v>
          </cell>
          <cell r="C456" t="str">
            <v>m3</v>
          </cell>
          <cell r="D456">
            <v>16</v>
          </cell>
          <cell r="E456">
            <v>5.9</v>
          </cell>
          <cell r="F456">
            <v>0.4</v>
          </cell>
          <cell r="G456">
            <v>0.4</v>
          </cell>
          <cell r="H456">
            <v>15.104000000000003</v>
          </cell>
        </row>
        <row r="457">
          <cell r="B457" t="str">
            <v>Eje 1-8 y eje 37 entre ejes C-D, V-C (40x40)cm</v>
          </cell>
          <cell r="C457" t="str">
            <v>m3</v>
          </cell>
          <cell r="D457">
            <v>8</v>
          </cell>
          <cell r="E457">
            <v>6.55</v>
          </cell>
          <cell r="F457">
            <v>0.4</v>
          </cell>
          <cell r="G457">
            <v>0.4</v>
          </cell>
          <cell r="H457">
            <v>8.3840000000000003</v>
          </cell>
        </row>
        <row r="458">
          <cell r="B458" t="str">
            <v>Eje 9-36 entre ejes A-D, V-C (40x40)cm</v>
          </cell>
          <cell r="C458" t="str">
            <v>m3</v>
          </cell>
          <cell r="D458">
            <v>28</v>
          </cell>
          <cell r="E458">
            <v>15.999999999999998</v>
          </cell>
          <cell r="F458">
            <v>0.4</v>
          </cell>
          <cell r="G458">
            <v>0.4</v>
          </cell>
          <cell r="H458">
            <v>71.679999999999993</v>
          </cell>
          <cell r="I458">
            <v>194.4864</v>
          </cell>
        </row>
        <row r="460">
          <cell r="A460" t="str">
            <v>05.02.02</v>
          </cell>
          <cell r="B460" t="str">
            <v>ENCOFRADO Y DESENCOFRADO NORMAL EN VIGAS DE CIMENTACIÓN</v>
          </cell>
        </row>
        <row r="461">
          <cell r="B461" t="str">
            <v>Eje A entre ejes 8-36, V-C (40x40)cm</v>
          </cell>
          <cell r="C461" t="str">
            <v>m3</v>
          </cell>
          <cell r="D461">
            <v>1</v>
          </cell>
          <cell r="E461">
            <v>198.38</v>
          </cell>
          <cell r="G461">
            <v>0.8</v>
          </cell>
          <cell r="H461">
            <v>158.70400000000001</v>
          </cell>
        </row>
        <row r="462">
          <cell r="B462" t="str">
            <v>Eje B entre ejes 8-36, V-C (40x40)cm</v>
          </cell>
          <cell r="C462" t="str">
            <v>m3</v>
          </cell>
          <cell r="D462">
            <v>1</v>
          </cell>
          <cell r="E462">
            <v>188</v>
          </cell>
          <cell r="G462">
            <v>0.8</v>
          </cell>
          <cell r="H462">
            <v>150.4</v>
          </cell>
        </row>
        <row r="463">
          <cell r="B463" t="str">
            <v>Eje C entre ejes 1-37, V-C (40x40)cm</v>
          </cell>
          <cell r="C463" t="str">
            <v>m3</v>
          </cell>
          <cell r="D463">
            <v>1</v>
          </cell>
          <cell r="E463">
            <v>234.36</v>
          </cell>
          <cell r="G463">
            <v>0.8</v>
          </cell>
          <cell r="H463">
            <v>187.48800000000003</v>
          </cell>
        </row>
        <row r="464">
          <cell r="B464" t="str">
            <v>Eje D entre ejes 1-9 y 29  -37 V-C (40x40)cm</v>
          </cell>
          <cell r="C464" t="str">
            <v>m3</v>
          </cell>
          <cell r="D464">
            <v>16</v>
          </cell>
          <cell r="E464">
            <v>5.9</v>
          </cell>
          <cell r="G464">
            <v>0.8</v>
          </cell>
          <cell r="H464">
            <v>75.52000000000001</v>
          </cell>
        </row>
        <row r="465">
          <cell r="B465" t="str">
            <v>Eje 1-8 y eje 37 entre ejes C-D, V-C (40x40)cm</v>
          </cell>
          <cell r="C465" t="str">
            <v>m3</v>
          </cell>
          <cell r="D465">
            <v>8</v>
          </cell>
          <cell r="E465">
            <v>6.55</v>
          </cell>
          <cell r="G465">
            <v>0.8</v>
          </cell>
          <cell r="H465">
            <v>41.92</v>
          </cell>
        </row>
        <row r="466">
          <cell r="B466" t="str">
            <v>Eje 9-36 entre ejes A-D, V-C (40x40)cm</v>
          </cell>
          <cell r="C466" t="str">
            <v>m3</v>
          </cell>
          <cell r="D466">
            <v>28</v>
          </cell>
          <cell r="E466">
            <v>15.999999999999998</v>
          </cell>
          <cell r="G466">
            <v>0.8</v>
          </cell>
          <cell r="H466">
            <v>358.4</v>
          </cell>
          <cell r="I466">
            <v>972.43200000000002</v>
          </cell>
        </row>
        <row r="468">
          <cell r="A468" t="str">
            <v>05.02.03</v>
          </cell>
          <cell r="B468" t="str">
            <v>ACERO fy=4200 kg/cm2 GRADO 60 en VIGAS DE CIMENTACIÓN</v>
          </cell>
        </row>
        <row r="469">
          <cell r="B469" t="str">
            <v>Se ha considerado 49.5 Kg/m3 de volumen de concreto</v>
          </cell>
          <cell r="C469" t="str">
            <v>kg</v>
          </cell>
          <cell r="D469">
            <v>1</v>
          </cell>
          <cell r="E469">
            <v>9627.0768000000007</v>
          </cell>
          <cell r="H469">
            <v>9627.0768000000007</v>
          </cell>
          <cell r="I469">
            <v>9627.0768000000007</v>
          </cell>
        </row>
        <row r="471">
          <cell r="A471" t="str">
            <v>05.03.00</v>
          </cell>
          <cell r="B471" t="str">
            <v xml:space="preserve">COLUMNAS </v>
          </cell>
        </row>
        <row r="472">
          <cell r="A472" t="str">
            <v>05.03.01</v>
          </cell>
          <cell r="B472" t="str">
            <v>CONCRETO PREMEZCLADO F'C=280 KG/CM2 EN COLUMNAS</v>
          </cell>
          <cell r="E472" t="str">
            <v>Area (m2)</v>
          </cell>
        </row>
        <row r="473">
          <cell r="B473" t="str">
            <v>B-LOQUE -1</v>
          </cell>
        </row>
        <row r="474">
          <cell r="B474" t="str">
            <v>En eje A entre eje 1 y 7 columnas 30x70 cm</v>
          </cell>
          <cell r="C474" t="str">
            <v>m3</v>
          </cell>
          <cell r="D474">
            <v>7</v>
          </cell>
          <cell r="E474">
            <v>0.7</v>
          </cell>
          <cell r="F474">
            <v>0.30000000000000004</v>
          </cell>
          <cell r="G474">
            <v>8.73</v>
          </cell>
          <cell r="H474">
            <v>12.8331</v>
          </cell>
        </row>
        <row r="475">
          <cell r="B475" t="str">
            <v>En eje B entre eje 1 y 7 columnas 30x70 cm</v>
          </cell>
          <cell r="C475" t="str">
            <v>m3</v>
          </cell>
          <cell r="D475">
            <v>7</v>
          </cell>
          <cell r="E475">
            <v>0.7</v>
          </cell>
          <cell r="F475">
            <v>0.30000000000000004</v>
          </cell>
          <cell r="G475">
            <v>5.4</v>
          </cell>
          <cell r="H475">
            <v>7.9380000000000006</v>
          </cell>
          <cell r="I475">
            <v>20.771100000000001</v>
          </cell>
        </row>
        <row r="477">
          <cell r="A477" t="str">
            <v>05.03.02</v>
          </cell>
          <cell r="B477" t="str">
            <v xml:space="preserve">ENCOFRADO Y DESENCOFRADO CARAVISTA EN COLUMNAS </v>
          </cell>
          <cell r="E477" t="str">
            <v>Primetro (m)</v>
          </cell>
        </row>
        <row r="478">
          <cell r="B478" t="str">
            <v>B-LOQUE -1</v>
          </cell>
        </row>
        <row r="479">
          <cell r="B479" t="str">
            <v>En eje A entre eje 1 y 7 columnas 30x70 cm</v>
          </cell>
          <cell r="C479" t="str">
            <v>m2</v>
          </cell>
          <cell r="D479">
            <v>7</v>
          </cell>
          <cell r="E479">
            <v>2</v>
          </cell>
          <cell r="G479">
            <v>8.73</v>
          </cell>
          <cell r="H479">
            <v>122.22</v>
          </cell>
        </row>
        <row r="480">
          <cell r="B480" t="str">
            <v>En eje B entre eje 1 y 7 columnas 30x70 cm</v>
          </cell>
          <cell r="C480" t="str">
            <v>m2</v>
          </cell>
          <cell r="D480">
            <v>7</v>
          </cell>
          <cell r="E480">
            <v>2</v>
          </cell>
          <cell r="G480">
            <v>5.4</v>
          </cell>
          <cell r="H480">
            <v>75.600000000000009</v>
          </cell>
          <cell r="I480">
            <v>197.82</v>
          </cell>
        </row>
        <row r="482">
          <cell r="A482" t="str">
            <v>05.03.03</v>
          </cell>
          <cell r="B482" t="str">
            <v>ACERO fy=4200 kg/cm2 GRADO 60 EN COLUMNAS</v>
          </cell>
          <cell r="C482" t="str">
            <v>kg</v>
          </cell>
        </row>
        <row r="483">
          <cell r="B483" t="str">
            <v>Se ha considerado 220 Kg/m3 de volumen de concreto</v>
          </cell>
          <cell r="C483" t="str">
            <v>kg</v>
          </cell>
          <cell r="D483">
            <v>1</v>
          </cell>
          <cell r="E483">
            <v>4569.6419999999998</v>
          </cell>
          <cell r="I483">
            <v>4569.6419999999998</v>
          </cell>
        </row>
        <row r="485">
          <cell r="A485" t="str">
            <v>05.04.00</v>
          </cell>
          <cell r="B485" t="str">
            <v>VIGAS</v>
          </cell>
        </row>
        <row r="486">
          <cell r="A486" t="str">
            <v>05.04.01</v>
          </cell>
          <cell r="B486" t="str">
            <v>CONCRETO PREMEZCLADO F'C=280 KG/CM2 EN VIGAS</v>
          </cell>
          <cell r="C486" t="str">
            <v>m3</v>
          </cell>
        </row>
        <row r="487">
          <cell r="B487" t="str">
            <v>B-LOQUE -1</v>
          </cell>
        </row>
        <row r="488">
          <cell r="B488" t="str">
            <v>V-100  en ejes A-B entre 1-7</v>
          </cell>
          <cell r="C488" t="str">
            <v>m3</v>
          </cell>
          <cell r="D488">
            <v>7</v>
          </cell>
          <cell r="E488">
            <v>4.17</v>
          </cell>
          <cell r="F488">
            <v>0.30000000000000004</v>
          </cell>
          <cell r="G488">
            <v>0.5</v>
          </cell>
          <cell r="H488">
            <v>4.3785000000000007</v>
          </cell>
        </row>
        <row r="489">
          <cell r="B489" t="str">
            <v>V-200 en ejes A-B entre 1-7</v>
          </cell>
          <cell r="C489" t="str">
            <v>m3</v>
          </cell>
          <cell r="D489">
            <v>7</v>
          </cell>
          <cell r="E489">
            <v>7.34</v>
          </cell>
          <cell r="F489">
            <v>0.30000000000000004</v>
          </cell>
          <cell r="G489">
            <v>0.60000000000000009</v>
          </cell>
          <cell r="H489">
            <v>9.248400000000002</v>
          </cell>
        </row>
        <row r="490">
          <cell r="B490" t="str">
            <v>V-201 en ejes A-B entre 1-7</v>
          </cell>
          <cell r="C490" t="str">
            <v>m3</v>
          </cell>
          <cell r="D490">
            <v>7</v>
          </cell>
          <cell r="E490" t="str">
            <v>Area (m2)=</v>
          </cell>
          <cell r="F490">
            <v>0.98</v>
          </cell>
          <cell r="G490">
            <v>0.30000000000000004</v>
          </cell>
          <cell r="H490">
            <v>2.0580000000000003</v>
          </cell>
        </row>
        <row r="491">
          <cell r="B491" t="str">
            <v>VA-1 eje B entre ejes 1 – 7</v>
          </cell>
          <cell r="C491" t="str">
            <v>m3</v>
          </cell>
          <cell r="D491">
            <v>1</v>
          </cell>
          <cell r="E491">
            <v>38.049999999999997</v>
          </cell>
          <cell r="F491">
            <v>0.3</v>
          </cell>
          <cell r="G491">
            <v>0.6</v>
          </cell>
          <cell r="H491">
            <v>6.8489999999999993</v>
          </cell>
        </row>
        <row r="492">
          <cell r="B492" t="str">
            <v>VA-2 eje A entre ejes 1 – 8</v>
          </cell>
          <cell r="C492" t="str">
            <v>m3</v>
          </cell>
          <cell r="D492">
            <v>2</v>
          </cell>
          <cell r="E492">
            <v>42.1</v>
          </cell>
          <cell r="F492">
            <v>0.3</v>
          </cell>
          <cell r="G492">
            <v>0.6</v>
          </cell>
          <cell r="H492">
            <v>15.156000000000001</v>
          </cell>
          <cell r="I492">
            <v>37.689900000000002</v>
          </cell>
        </row>
        <row r="494">
          <cell r="A494" t="str">
            <v>05.04.02</v>
          </cell>
          <cell r="B494" t="str">
            <v>ENCOFRADO Y DESENCOFRADO CARAVISTA EN VIGAS</v>
          </cell>
        </row>
        <row r="495">
          <cell r="B495" t="str">
            <v>B-LOQUE -1</v>
          </cell>
          <cell r="E495" t="str">
            <v>Primetro (m)</v>
          </cell>
        </row>
        <row r="496">
          <cell r="B496" t="str">
            <v>V-100  en ejes A-B entre 1-7</v>
          </cell>
          <cell r="C496" t="str">
            <v>m2</v>
          </cell>
          <cell r="D496">
            <v>7</v>
          </cell>
          <cell r="E496">
            <v>4.17</v>
          </cell>
          <cell r="G496">
            <v>1.3</v>
          </cell>
          <cell r="H496">
            <v>37.946999999999996</v>
          </cell>
        </row>
        <row r="497">
          <cell r="B497" t="str">
            <v>V-200 en ejes A-B entre 1-7</v>
          </cell>
          <cell r="C497" t="str">
            <v>m2</v>
          </cell>
          <cell r="D497">
            <v>7</v>
          </cell>
          <cell r="E497">
            <v>7.34</v>
          </cell>
          <cell r="G497">
            <v>1.34</v>
          </cell>
          <cell r="H497">
            <v>68.849199999999996</v>
          </cell>
        </row>
        <row r="498">
          <cell r="B498" t="str">
            <v>V-201 en ejes A-B entre 1-7</v>
          </cell>
          <cell r="C498" t="str">
            <v>m2</v>
          </cell>
          <cell r="D498">
            <v>7</v>
          </cell>
          <cell r="E498" t="str">
            <v>Area (m2)=</v>
          </cell>
          <cell r="F498">
            <v>2.6349999999999998</v>
          </cell>
          <cell r="H498">
            <v>18.445</v>
          </cell>
        </row>
        <row r="499">
          <cell r="B499" t="str">
            <v>VA-1 eje B entre ejes 1 – 7</v>
          </cell>
          <cell r="C499" t="str">
            <v>m2</v>
          </cell>
          <cell r="D499">
            <v>1</v>
          </cell>
          <cell r="E499">
            <v>38.049999999999997</v>
          </cell>
          <cell r="G499">
            <v>1.5000000000000002</v>
          </cell>
          <cell r="H499">
            <v>57.075000000000003</v>
          </cell>
        </row>
        <row r="500">
          <cell r="B500" t="str">
            <v>VA-2 eje A entre ejes 1 – 8</v>
          </cell>
          <cell r="C500" t="str">
            <v>m2</v>
          </cell>
          <cell r="D500">
            <v>2</v>
          </cell>
          <cell r="E500">
            <v>42.1</v>
          </cell>
          <cell r="G500">
            <v>1.5000000000000002</v>
          </cell>
          <cell r="H500">
            <v>126.30000000000003</v>
          </cell>
          <cell r="I500">
            <v>308.61619999999999</v>
          </cell>
        </row>
        <row r="502">
          <cell r="A502" t="str">
            <v>05.04.03</v>
          </cell>
          <cell r="B502" t="str">
            <v>ACERO fy=4200 kg/cm2 GRADO 60 en VIGAS</v>
          </cell>
          <cell r="C502" t="str">
            <v>kg</v>
          </cell>
        </row>
        <row r="503">
          <cell r="B503" t="str">
            <v>Se ha considerado 122 Kg/m3 de volumen de concreto</v>
          </cell>
          <cell r="C503" t="str">
            <v>kg</v>
          </cell>
          <cell r="D503">
            <v>1</v>
          </cell>
          <cell r="E503">
            <v>4598.1678000000002</v>
          </cell>
          <cell r="I503">
            <v>4598.1678000000002</v>
          </cell>
        </row>
        <row r="505">
          <cell r="A505" t="str">
            <v>05.05.00</v>
          </cell>
          <cell r="B505" t="str">
            <v>GRADERIAS ENTRE PORTICOS</v>
          </cell>
        </row>
        <row r="506">
          <cell r="A506" t="str">
            <v>05.05.01</v>
          </cell>
          <cell r="B506" t="str">
            <v>CONCRETO PREMEZCLADO F'C=280 KG/CM2 EN GRADERIAS ENTRE PORTICOS</v>
          </cell>
        </row>
        <row r="507">
          <cell r="B507" t="str">
            <v>B-LOQUE -1</v>
          </cell>
        </row>
        <row r="508">
          <cell r="B508" t="str">
            <v>Area de graderias en planta</v>
          </cell>
          <cell r="C508" t="str">
            <v>m3</v>
          </cell>
          <cell r="D508">
            <v>1</v>
          </cell>
          <cell r="E508">
            <v>3038.8100000000004</v>
          </cell>
          <cell r="G508">
            <v>0.12</v>
          </cell>
          <cell r="H508">
            <v>364.65720000000005</v>
          </cell>
        </row>
        <row r="510">
          <cell r="B510" t="str">
            <v>Vigas de graderias (verticales)</v>
          </cell>
        </row>
        <row r="511">
          <cell r="B511" t="str">
            <v>Graderia 01</v>
          </cell>
          <cell r="C511" t="str">
            <v>m3</v>
          </cell>
          <cell r="D511">
            <v>1</v>
          </cell>
          <cell r="E511">
            <v>36.950000000000003</v>
          </cell>
          <cell r="F511">
            <v>0.17</v>
          </cell>
          <cell r="G511">
            <v>0.42</v>
          </cell>
          <cell r="H511">
            <v>2.6382300000000005</v>
          </cell>
        </row>
        <row r="512">
          <cell r="B512" t="str">
            <v>Graderia 02</v>
          </cell>
          <cell r="C512" t="str">
            <v>m3</v>
          </cell>
          <cell r="D512">
            <v>1</v>
          </cell>
          <cell r="E512">
            <v>37.5</v>
          </cell>
          <cell r="F512">
            <v>0.17</v>
          </cell>
          <cell r="G512">
            <v>0.42</v>
          </cell>
          <cell r="H512">
            <v>2.6775000000000002</v>
          </cell>
        </row>
        <row r="513">
          <cell r="B513" t="str">
            <v>Graderia 03</v>
          </cell>
          <cell r="C513" t="str">
            <v>m3</v>
          </cell>
          <cell r="D513">
            <v>1</v>
          </cell>
          <cell r="E513">
            <v>38.020000000000003</v>
          </cell>
          <cell r="F513">
            <v>0.17</v>
          </cell>
          <cell r="G513">
            <v>0.42</v>
          </cell>
          <cell r="H513">
            <v>2.7146280000000003</v>
          </cell>
        </row>
        <row r="514">
          <cell r="B514" t="str">
            <v>Graderia 04</v>
          </cell>
          <cell r="C514" t="str">
            <v>m3</v>
          </cell>
          <cell r="D514">
            <v>1</v>
          </cell>
          <cell r="E514">
            <v>38.56</v>
          </cell>
          <cell r="F514">
            <v>0.17</v>
          </cell>
          <cell r="G514">
            <v>0.42</v>
          </cell>
          <cell r="H514">
            <v>2.7531840000000005</v>
          </cell>
        </row>
        <row r="515">
          <cell r="B515" t="str">
            <v>Graderia 05</v>
          </cell>
          <cell r="C515" t="str">
            <v>m3</v>
          </cell>
          <cell r="D515">
            <v>1</v>
          </cell>
          <cell r="E515">
            <v>39.1</v>
          </cell>
          <cell r="F515">
            <v>0.17</v>
          </cell>
          <cell r="G515">
            <v>0.42</v>
          </cell>
          <cell r="H515">
            <v>2.7917400000000003</v>
          </cell>
        </row>
        <row r="516">
          <cell r="B516" t="str">
            <v>Graderia 06</v>
          </cell>
          <cell r="C516" t="str">
            <v>m3</v>
          </cell>
          <cell r="D516">
            <v>1</v>
          </cell>
          <cell r="E516">
            <v>39.65</v>
          </cell>
          <cell r="F516">
            <v>0.17</v>
          </cell>
          <cell r="G516">
            <v>0.42</v>
          </cell>
          <cell r="H516">
            <v>2.83101</v>
          </cell>
        </row>
        <row r="517">
          <cell r="B517" t="str">
            <v>Graderia 07</v>
          </cell>
          <cell r="C517" t="str">
            <v>m3</v>
          </cell>
          <cell r="D517">
            <v>1</v>
          </cell>
          <cell r="E517">
            <v>40.17</v>
          </cell>
          <cell r="F517">
            <v>0.17</v>
          </cell>
          <cell r="G517">
            <v>0.45</v>
          </cell>
          <cell r="H517">
            <v>3.0730050000000007</v>
          </cell>
        </row>
        <row r="518">
          <cell r="B518" t="str">
            <v>Graderia 08</v>
          </cell>
          <cell r="C518" t="str">
            <v>m3</v>
          </cell>
          <cell r="D518">
            <v>1</v>
          </cell>
          <cell r="E518">
            <v>40.700000000000003</v>
          </cell>
          <cell r="F518">
            <v>0.17</v>
          </cell>
          <cell r="G518">
            <v>0.45</v>
          </cell>
          <cell r="H518">
            <v>3.1135500000000005</v>
          </cell>
        </row>
        <row r="519">
          <cell r="B519" t="str">
            <v>Graderia 09</v>
          </cell>
          <cell r="C519" t="str">
            <v>m3</v>
          </cell>
          <cell r="D519">
            <v>1</v>
          </cell>
          <cell r="E519">
            <v>41.25</v>
          </cell>
          <cell r="F519">
            <v>0.17</v>
          </cell>
          <cell r="G519">
            <v>0.45</v>
          </cell>
          <cell r="H519">
            <v>3.1556250000000001</v>
          </cell>
        </row>
        <row r="520">
          <cell r="B520" t="str">
            <v>Graderia 10</v>
          </cell>
          <cell r="C520" t="str">
            <v>m3</v>
          </cell>
          <cell r="D520">
            <v>1</v>
          </cell>
          <cell r="E520">
            <v>41.79</v>
          </cell>
          <cell r="F520">
            <v>0.17</v>
          </cell>
          <cell r="G520">
            <v>0.45</v>
          </cell>
          <cell r="H520">
            <v>3.1969350000000003</v>
          </cell>
        </row>
        <row r="521">
          <cell r="B521" t="str">
            <v>Muro de concreto armado 1</v>
          </cell>
          <cell r="C521" t="str">
            <v>m3</v>
          </cell>
          <cell r="D521">
            <v>2</v>
          </cell>
          <cell r="E521">
            <v>6.2</v>
          </cell>
          <cell r="F521">
            <v>0.15</v>
          </cell>
          <cell r="G521">
            <v>1.3</v>
          </cell>
          <cell r="H521">
            <v>2.4179999999999997</v>
          </cell>
        </row>
        <row r="522">
          <cell r="B522" t="str">
            <v>Muro de concreto armado 2</v>
          </cell>
          <cell r="C522" t="str">
            <v>m3</v>
          </cell>
          <cell r="D522">
            <v>3</v>
          </cell>
          <cell r="E522">
            <v>5.63</v>
          </cell>
          <cell r="F522">
            <v>0.15</v>
          </cell>
          <cell r="G522">
            <v>1.3</v>
          </cell>
          <cell r="H522">
            <v>3.2935500000000002</v>
          </cell>
        </row>
        <row r="523">
          <cell r="B523" t="str">
            <v>Muro de concreto armado 3</v>
          </cell>
          <cell r="C523" t="str">
            <v>m3</v>
          </cell>
          <cell r="D523">
            <v>1</v>
          </cell>
          <cell r="E523">
            <v>6.2</v>
          </cell>
          <cell r="F523">
            <v>0.15</v>
          </cell>
          <cell r="G523">
            <v>1.3</v>
          </cell>
          <cell r="H523">
            <v>1.2089999999999999</v>
          </cell>
        </row>
        <row r="524">
          <cell r="B524" t="str">
            <v>cerramiento de muros 1, 2 y 3</v>
          </cell>
          <cell r="C524" t="str">
            <v>m3</v>
          </cell>
          <cell r="D524">
            <v>12</v>
          </cell>
          <cell r="E524" t="str">
            <v>Area CAD(m2)=</v>
          </cell>
          <cell r="F524">
            <v>1.1000000000000001</v>
          </cell>
          <cell r="G524">
            <v>0.15</v>
          </cell>
          <cell r="H524">
            <v>1.98</v>
          </cell>
        </row>
        <row r="525">
          <cell r="B525" t="str">
            <v>Area de discapacitados en planta</v>
          </cell>
          <cell r="C525" t="str">
            <v>m3</v>
          </cell>
          <cell r="D525">
            <v>1</v>
          </cell>
          <cell r="E525" t="str">
            <v>Area CAD(m2)=</v>
          </cell>
          <cell r="F525">
            <v>52.95</v>
          </cell>
          <cell r="G525">
            <v>0.12</v>
          </cell>
          <cell r="H525">
            <v>6.3540000000000001</v>
          </cell>
        </row>
        <row r="526">
          <cell r="B526" t="str">
            <v xml:space="preserve">Pasos en tribunas 1° Nivel </v>
          </cell>
          <cell r="C526" t="str">
            <v>m2</v>
          </cell>
          <cell r="H526">
            <v>0</v>
          </cell>
        </row>
        <row r="527">
          <cell r="B527" t="str">
            <v>Eje 1 y 7 entre A - B (pasos laterales)    contrapasos de 0,14m</v>
          </cell>
          <cell r="C527" t="str">
            <v>m2</v>
          </cell>
          <cell r="D527">
            <v>10</v>
          </cell>
          <cell r="E527">
            <v>0.6</v>
          </cell>
          <cell r="F527">
            <v>0.53500000000000003</v>
          </cell>
          <cell r="G527">
            <v>0.21</v>
          </cell>
          <cell r="H527">
            <v>0.67409999999999992</v>
          </cell>
        </row>
        <row r="528">
          <cell r="B528" t="str">
            <v xml:space="preserve"> contrapasos de 0,15m</v>
          </cell>
          <cell r="C528" t="str">
            <v>m2</v>
          </cell>
          <cell r="D528">
            <v>8</v>
          </cell>
          <cell r="E528">
            <v>0.6</v>
          </cell>
          <cell r="F528">
            <v>0.53500000000000003</v>
          </cell>
          <cell r="G528">
            <v>0.22500000000000001</v>
          </cell>
          <cell r="H528">
            <v>0.57779999999999998</v>
          </cell>
        </row>
        <row r="529">
          <cell r="B529" t="str">
            <v xml:space="preserve"> contrapaso inicio de gradas</v>
          </cell>
          <cell r="C529" t="str">
            <v>m2</v>
          </cell>
          <cell r="D529">
            <v>2</v>
          </cell>
          <cell r="E529">
            <v>0.6</v>
          </cell>
          <cell r="F529">
            <v>0.26500000000000001</v>
          </cell>
          <cell r="G529">
            <v>0.14000000000000001</v>
          </cell>
          <cell r="H529">
            <v>4.4520000000000004E-2</v>
          </cell>
        </row>
        <row r="530">
          <cell r="B530" t="str">
            <v>Eje 2 - 6 entre A – B (pasos intermedios)    contrapasos de 0,14m</v>
          </cell>
          <cell r="C530" t="str">
            <v>m2</v>
          </cell>
          <cell r="D530">
            <v>25</v>
          </cell>
          <cell r="E530">
            <v>1.2</v>
          </cell>
          <cell r="F530">
            <v>0.53500000000000003</v>
          </cell>
          <cell r="G530">
            <v>0.21</v>
          </cell>
          <cell r="H530">
            <v>3.3704999999999998</v>
          </cell>
        </row>
        <row r="531">
          <cell r="B531" t="str">
            <v xml:space="preserve"> contrapasos de 0,15m</v>
          </cell>
          <cell r="C531" t="str">
            <v>m2</v>
          </cell>
          <cell r="D531">
            <v>20</v>
          </cell>
          <cell r="E531">
            <v>1.2</v>
          </cell>
          <cell r="F531">
            <v>0.53500000000000003</v>
          </cell>
          <cell r="G531">
            <v>0.22500000000000001</v>
          </cell>
          <cell r="H531">
            <v>2.8890000000000002</v>
          </cell>
        </row>
        <row r="532">
          <cell r="B532" t="str">
            <v xml:space="preserve"> contrapaso inicio de gradas</v>
          </cell>
          <cell r="C532" t="str">
            <v>m2</v>
          </cell>
          <cell r="D532">
            <v>5</v>
          </cell>
          <cell r="E532">
            <v>1.2</v>
          </cell>
          <cell r="F532">
            <v>0.26500000000000001</v>
          </cell>
          <cell r="G532">
            <v>0.14000000000000001</v>
          </cell>
          <cell r="H532">
            <v>0.22260000000000002</v>
          </cell>
        </row>
        <row r="533">
          <cell r="B533" t="str">
            <v>B-LOQUE -2</v>
          </cell>
        </row>
        <row r="534">
          <cell r="B534" t="str">
            <v xml:space="preserve">Pasos en tribunas 2° Nivel </v>
          </cell>
          <cell r="C534" t="str">
            <v>m2</v>
          </cell>
          <cell r="H534">
            <v>0</v>
          </cell>
        </row>
        <row r="535">
          <cell r="B535" t="str">
            <v>Eje 8 y 36 entre A - B (mitad de pasos)</v>
          </cell>
          <cell r="C535" t="str">
            <v>m2</v>
          </cell>
          <cell r="D535">
            <v>16</v>
          </cell>
          <cell r="E535">
            <v>1.2</v>
          </cell>
          <cell r="F535">
            <v>0.53200000000000003</v>
          </cell>
          <cell r="G535">
            <v>0.22499999999999998</v>
          </cell>
          <cell r="H535">
            <v>2.2982399999999998</v>
          </cell>
        </row>
        <row r="536">
          <cell r="B536" t="str">
            <v>Eje 9, 10, 13-15, 23-25, 28-30, 33-35 entre A - C</v>
          </cell>
          <cell r="C536" t="str">
            <v>m2</v>
          </cell>
          <cell r="D536">
            <v>112</v>
          </cell>
          <cell r="E536">
            <v>1.2</v>
          </cell>
          <cell r="F536">
            <v>0.53200000000000003</v>
          </cell>
          <cell r="G536">
            <v>0.22499999999999998</v>
          </cell>
          <cell r="H536">
            <v>16.087680000000002</v>
          </cell>
        </row>
        <row r="537">
          <cell r="B537" t="str">
            <v>Eje 11, 12, 16-17, 21-22, 26-27, 31-32 entre A - C</v>
          </cell>
          <cell r="C537" t="str">
            <v>m2</v>
          </cell>
          <cell r="D537">
            <v>65</v>
          </cell>
          <cell r="E537">
            <v>1.2</v>
          </cell>
          <cell r="F537">
            <v>0.53200000000000003</v>
          </cell>
          <cell r="G537">
            <v>0.22499999999999998</v>
          </cell>
          <cell r="H537">
            <v>9.3365999999999989</v>
          </cell>
        </row>
        <row r="538">
          <cell r="B538" t="str">
            <v>Eje 18, 19, 20 entre A - C</v>
          </cell>
          <cell r="C538" t="str">
            <v>m2</v>
          </cell>
          <cell r="D538">
            <v>18</v>
          </cell>
          <cell r="E538">
            <v>1.2</v>
          </cell>
          <cell r="F538">
            <v>0.53200000000000003</v>
          </cell>
          <cell r="G538">
            <v>0.22499999999999998</v>
          </cell>
          <cell r="H538">
            <v>2.5855199999999994</v>
          </cell>
          <cell r="I538">
            <v>446.94371699999999</v>
          </cell>
        </row>
        <row r="540">
          <cell r="A540" t="str">
            <v>05.05.02</v>
          </cell>
          <cell r="B540" t="str">
            <v>ENCOFRADO Y DESENCOFRADO CARAVISTA EN GRADERIAS /PORTICOS</v>
          </cell>
        </row>
        <row r="541">
          <cell r="B541" t="str">
            <v>Area de graderias en planta</v>
          </cell>
          <cell r="C541" t="str">
            <v>m2</v>
          </cell>
          <cell r="D541">
            <v>1</v>
          </cell>
          <cell r="E541">
            <v>3038.8100000000004</v>
          </cell>
          <cell r="G541">
            <v>0.12</v>
          </cell>
          <cell r="H541">
            <v>364.65720000000005</v>
          </cell>
        </row>
        <row r="542">
          <cell r="B542" t="str">
            <v xml:space="preserve">Graderias verticales </v>
          </cell>
        </row>
        <row r="543">
          <cell r="B543" t="str">
            <v>Graderia 01</v>
          </cell>
          <cell r="C543" t="str">
            <v>m2</v>
          </cell>
          <cell r="D543">
            <v>2</v>
          </cell>
          <cell r="E543">
            <v>228.3</v>
          </cell>
          <cell r="G543">
            <v>0.35</v>
          </cell>
          <cell r="H543">
            <v>159.81</v>
          </cell>
        </row>
        <row r="544">
          <cell r="B544" t="str">
            <v>Graderia 02</v>
          </cell>
          <cell r="C544" t="str">
            <v>m2</v>
          </cell>
          <cell r="D544">
            <v>2</v>
          </cell>
          <cell r="E544">
            <v>230.36</v>
          </cell>
          <cell r="G544">
            <v>0.35</v>
          </cell>
          <cell r="H544">
            <v>161.25200000000001</v>
          </cell>
        </row>
        <row r="545">
          <cell r="B545" t="str">
            <v>Graderia 03</v>
          </cell>
          <cell r="C545" t="str">
            <v>m2</v>
          </cell>
          <cell r="D545">
            <v>2</v>
          </cell>
          <cell r="E545">
            <v>232.43</v>
          </cell>
          <cell r="G545">
            <v>0.35</v>
          </cell>
          <cell r="H545">
            <v>162.70099999999999</v>
          </cell>
        </row>
        <row r="546">
          <cell r="B546" t="str">
            <v>Graderia 04</v>
          </cell>
          <cell r="C546" t="str">
            <v>m2</v>
          </cell>
          <cell r="D546">
            <v>2</v>
          </cell>
          <cell r="E546">
            <v>234.5</v>
          </cell>
          <cell r="G546">
            <v>0.35</v>
          </cell>
          <cell r="H546">
            <v>164.14999999999998</v>
          </cell>
        </row>
        <row r="547">
          <cell r="B547" t="str">
            <v>Graderia 05</v>
          </cell>
          <cell r="C547" t="str">
            <v>m2</v>
          </cell>
          <cell r="D547">
            <v>2</v>
          </cell>
          <cell r="E547">
            <v>246.56</v>
          </cell>
          <cell r="G547">
            <v>0.35</v>
          </cell>
          <cell r="H547">
            <v>172.59199999999998</v>
          </cell>
        </row>
        <row r="548">
          <cell r="B548" t="str">
            <v>Graderia 06</v>
          </cell>
          <cell r="C548" t="str">
            <v>m2</v>
          </cell>
          <cell r="D548">
            <v>2</v>
          </cell>
          <cell r="E548">
            <v>238.62</v>
          </cell>
          <cell r="G548">
            <v>0.35</v>
          </cell>
          <cell r="H548">
            <v>167.03399999999999</v>
          </cell>
        </row>
        <row r="549">
          <cell r="B549" t="str">
            <v>Graderia 07</v>
          </cell>
          <cell r="C549" t="str">
            <v>m2</v>
          </cell>
          <cell r="D549">
            <v>2</v>
          </cell>
          <cell r="E549">
            <v>240.7</v>
          </cell>
          <cell r="G549">
            <v>0.35</v>
          </cell>
          <cell r="H549">
            <v>168.48999999999998</v>
          </cell>
        </row>
        <row r="550">
          <cell r="B550" t="str">
            <v>Graderia 08</v>
          </cell>
          <cell r="C550" t="str">
            <v>m2</v>
          </cell>
          <cell r="D550">
            <v>2</v>
          </cell>
          <cell r="E550">
            <v>242.75</v>
          </cell>
          <cell r="G550">
            <v>0.35</v>
          </cell>
          <cell r="H550">
            <v>169.92499999999998</v>
          </cell>
        </row>
        <row r="551">
          <cell r="B551" t="str">
            <v>Graderia 09</v>
          </cell>
          <cell r="C551" t="str">
            <v>m2</v>
          </cell>
          <cell r="D551">
            <v>2</v>
          </cell>
          <cell r="E551">
            <v>244.82</v>
          </cell>
          <cell r="G551">
            <v>0.35</v>
          </cell>
          <cell r="H551">
            <v>171.374</v>
          </cell>
        </row>
        <row r="552">
          <cell r="B552" t="str">
            <v>Graderia 10</v>
          </cell>
          <cell r="C552" t="str">
            <v>m2</v>
          </cell>
          <cell r="D552">
            <v>2</v>
          </cell>
          <cell r="E552">
            <v>157.38</v>
          </cell>
          <cell r="G552">
            <v>0.45</v>
          </cell>
          <cell r="H552">
            <v>141.642</v>
          </cell>
        </row>
        <row r="553">
          <cell r="B553" t="str">
            <v>Graderia 11</v>
          </cell>
          <cell r="C553" t="str">
            <v>m2</v>
          </cell>
          <cell r="D553">
            <v>2</v>
          </cell>
          <cell r="E553">
            <v>158.18</v>
          </cell>
          <cell r="G553">
            <v>0.45</v>
          </cell>
          <cell r="H553">
            <v>142.36200000000002</v>
          </cell>
        </row>
        <row r="554">
          <cell r="B554" t="str">
            <v>Graderia 12</v>
          </cell>
          <cell r="C554" t="str">
            <v>m2</v>
          </cell>
          <cell r="D554">
            <v>2</v>
          </cell>
          <cell r="E554">
            <v>159.35</v>
          </cell>
          <cell r="G554">
            <v>0.45</v>
          </cell>
          <cell r="H554">
            <v>143.41499999999999</v>
          </cell>
        </row>
        <row r="555">
          <cell r="B555" t="str">
            <v>Graderia 13</v>
          </cell>
          <cell r="C555" t="str">
            <v>m2</v>
          </cell>
          <cell r="D555">
            <v>2</v>
          </cell>
          <cell r="E555">
            <v>206.04</v>
          </cell>
          <cell r="G555">
            <v>0.45</v>
          </cell>
          <cell r="H555">
            <v>185.43600000000001</v>
          </cell>
        </row>
        <row r="556">
          <cell r="B556" t="str">
            <v>Graderia 14</v>
          </cell>
          <cell r="C556" t="str">
            <v>m2</v>
          </cell>
          <cell r="D556">
            <v>2</v>
          </cell>
          <cell r="E556">
            <v>207.48</v>
          </cell>
          <cell r="G556">
            <v>0.45</v>
          </cell>
          <cell r="H556">
            <v>186.732</v>
          </cell>
        </row>
        <row r="557">
          <cell r="B557" t="str">
            <v>Graderia 15</v>
          </cell>
          <cell r="C557" t="str">
            <v>m2</v>
          </cell>
          <cell r="D557">
            <v>2</v>
          </cell>
          <cell r="E557">
            <v>208.92</v>
          </cell>
          <cell r="G557">
            <v>0.45</v>
          </cell>
          <cell r="H557">
            <v>188.02799999999999</v>
          </cell>
        </row>
        <row r="558">
          <cell r="B558" t="str">
            <v>Graderia 16</v>
          </cell>
          <cell r="C558" t="str">
            <v>m2</v>
          </cell>
          <cell r="D558">
            <v>2</v>
          </cell>
          <cell r="E558">
            <v>210.35</v>
          </cell>
          <cell r="G558">
            <v>0.45</v>
          </cell>
          <cell r="H558">
            <v>189.315</v>
          </cell>
        </row>
        <row r="559">
          <cell r="B559" t="str">
            <v>Graderia 17</v>
          </cell>
          <cell r="C559" t="str">
            <v>m2</v>
          </cell>
          <cell r="D559">
            <v>2</v>
          </cell>
          <cell r="E559">
            <v>211.79</v>
          </cell>
          <cell r="G559">
            <v>0.45</v>
          </cell>
          <cell r="H559">
            <v>190.61099999999999</v>
          </cell>
        </row>
        <row r="560">
          <cell r="B560" t="str">
            <v>Graderia 18</v>
          </cell>
          <cell r="C560" t="str">
            <v>m2</v>
          </cell>
          <cell r="D560">
            <v>2</v>
          </cell>
          <cell r="E560">
            <v>213.22</v>
          </cell>
          <cell r="G560">
            <v>0.45</v>
          </cell>
          <cell r="H560">
            <v>191.898</v>
          </cell>
        </row>
        <row r="561">
          <cell r="B561" t="str">
            <v>Graderia 19</v>
          </cell>
          <cell r="C561" t="str">
            <v>m2</v>
          </cell>
          <cell r="D561">
            <v>2</v>
          </cell>
          <cell r="E561">
            <v>214.66</v>
          </cell>
          <cell r="G561">
            <v>0.45</v>
          </cell>
          <cell r="H561">
            <v>193.19399999999999</v>
          </cell>
        </row>
        <row r="562">
          <cell r="B562" t="str">
            <v>VS-2 (zona de cubiculos para periodistas</v>
          </cell>
          <cell r="C562" t="str">
            <v>m3</v>
          </cell>
          <cell r="D562">
            <v>1</v>
          </cell>
          <cell r="E562">
            <v>27.6</v>
          </cell>
          <cell r="G562">
            <v>1.9</v>
          </cell>
          <cell r="H562">
            <v>52.44</v>
          </cell>
        </row>
        <row r="563">
          <cell r="B563" t="str">
            <v xml:space="preserve">Pasos en tribunas 1° Nivel </v>
          </cell>
          <cell r="C563" t="str">
            <v>m2</v>
          </cell>
          <cell r="H563">
            <v>0</v>
          </cell>
        </row>
        <row r="564">
          <cell r="B564" t="str">
            <v>Eje 1 y 37 entre C - D (mitad de pasos)</v>
          </cell>
          <cell r="C564" t="str">
            <v>m2</v>
          </cell>
          <cell r="D564">
            <v>18</v>
          </cell>
          <cell r="E564">
            <v>1.4</v>
          </cell>
          <cell r="G564">
            <v>0.17499999999999999</v>
          </cell>
          <cell r="H564">
            <v>4.4099999999999993</v>
          </cell>
        </row>
        <row r="565">
          <cell r="B565" t="str">
            <v>Eje 8 y 36 entre C - D</v>
          </cell>
          <cell r="C565" t="str">
            <v>m2</v>
          </cell>
          <cell r="D565">
            <v>18</v>
          </cell>
          <cell r="E565">
            <v>2</v>
          </cell>
          <cell r="G565">
            <v>0.17499999999999999</v>
          </cell>
          <cell r="H565">
            <v>6.3</v>
          </cell>
        </row>
        <row r="566">
          <cell r="B566" t="str">
            <v>Eje 2 - 7 entre C - D</v>
          </cell>
          <cell r="C566" t="str">
            <v>m2</v>
          </cell>
          <cell r="D566">
            <v>54</v>
          </cell>
          <cell r="E566">
            <v>2</v>
          </cell>
          <cell r="G566">
            <v>0.17499999999999999</v>
          </cell>
          <cell r="H566">
            <v>18.899999999999999</v>
          </cell>
        </row>
        <row r="567">
          <cell r="B567" t="str">
            <v>Eje 9, 10, 13-15, 23-25, 28-30, 33-35 entre A - C</v>
          </cell>
          <cell r="C567" t="str">
            <v>m2</v>
          </cell>
          <cell r="D567">
            <v>126</v>
          </cell>
          <cell r="E567">
            <v>2</v>
          </cell>
          <cell r="G567">
            <v>0.17499999999999999</v>
          </cell>
          <cell r="H567">
            <v>44.099999999999994</v>
          </cell>
        </row>
        <row r="568">
          <cell r="B568" t="str">
            <v>Eje 11, 12, 16-17, 21-22, 26-27, 31-32 entre A - C</v>
          </cell>
          <cell r="C568" t="str">
            <v>m2</v>
          </cell>
          <cell r="D568">
            <v>90</v>
          </cell>
          <cell r="E568">
            <v>2</v>
          </cell>
          <cell r="G568">
            <v>0.17499999999999999</v>
          </cell>
          <cell r="H568">
            <v>31.499999999999996</v>
          </cell>
        </row>
        <row r="569">
          <cell r="B569" t="str">
            <v>Eje 18, 19, 20 entre A - C</v>
          </cell>
          <cell r="C569" t="str">
            <v>m2</v>
          </cell>
          <cell r="D569">
            <v>27</v>
          </cell>
          <cell r="E569">
            <v>2</v>
          </cell>
          <cell r="G569">
            <v>0.17499999999999999</v>
          </cell>
          <cell r="H569">
            <v>9.4499999999999993</v>
          </cell>
        </row>
        <row r="570">
          <cell r="B570" t="str">
            <v xml:space="preserve">Pasos en tribunas 2° Nivel </v>
          </cell>
          <cell r="C570" t="str">
            <v>m2</v>
          </cell>
          <cell r="H570">
            <v>0</v>
          </cell>
        </row>
        <row r="571">
          <cell r="B571" t="str">
            <v>Eje 8 y 36 entre A - B (mitad de pasos)</v>
          </cell>
          <cell r="C571" t="str">
            <v>m2</v>
          </cell>
          <cell r="D571">
            <v>16</v>
          </cell>
          <cell r="E571">
            <v>0.59939999999999993</v>
          </cell>
          <cell r="H571">
            <v>9.5903999999999989</v>
          </cell>
        </row>
        <row r="572">
          <cell r="B572" t="str">
            <v>Eje 9, 10, 13-15, 23-25, 28-30, 33-35 entre A - C</v>
          </cell>
          <cell r="C572" t="str">
            <v>m2</v>
          </cell>
          <cell r="D572">
            <v>112</v>
          </cell>
          <cell r="E572">
            <v>0.59939999999999993</v>
          </cell>
          <cell r="H572">
            <v>67.132799999999989</v>
          </cell>
        </row>
        <row r="573">
          <cell r="B573" t="str">
            <v>Eje 11, 12, 16-17, 21-22, 26-27, 31-32 entre A - C</v>
          </cell>
          <cell r="C573" t="str">
            <v>m2</v>
          </cell>
          <cell r="D573">
            <v>65</v>
          </cell>
          <cell r="E573">
            <v>0.59939999999999993</v>
          </cell>
          <cell r="H573">
            <v>38.960999999999999</v>
          </cell>
        </row>
        <row r="574">
          <cell r="B574" t="str">
            <v>Eje 18, 19, 20 entre A - C</v>
          </cell>
          <cell r="C574" t="str">
            <v>m2</v>
          </cell>
          <cell r="D574">
            <v>18</v>
          </cell>
          <cell r="E574">
            <v>0.59939999999999993</v>
          </cell>
          <cell r="H574">
            <v>10.789199999999999</v>
          </cell>
          <cell r="I574">
            <v>3908.1915999999997</v>
          </cell>
        </row>
        <row r="576">
          <cell r="A576" t="str">
            <v>05.05.03</v>
          </cell>
          <cell r="B576" t="str">
            <v>ACERO fy=4200 kg/cm2 GRADO 60 EN GRADERIAS ENTRE PORTICOS</v>
          </cell>
        </row>
        <row r="577">
          <cell r="B577" t="str">
            <v>Se ha considerado 80 Kg/m3 de volumen de concreto</v>
          </cell>
          <cell r="C577" t="str">
            <v>kg</v>
          </cell>
          <cell r="D577">
            <v>1</v>
          </cell>
          <cell r="E577">
            <v>35755.497360000001</v>
          </cell>
          <cell r="H577">
            <v>35755.497360000001</v>
          </cell>
          <cell r="I577">
            <v>35755.497360000001</v>
          </cell>
        </row>
        <row r="579">
          <cell r="A579" t="str">
            <v>05.06.00</v>
          </cell>
          <cell r="B579" t="str">
            <v>GRADERIAS SOBRE TERRENO</v>
          </cell>
        </row>
        <row r="580">
          <cell r="A580" t="str">
            <v>05.06.01</v>
          </cell>
          <cell r="B580" t="str">
            <v>CONCRETO PREMEZCLADO F'C=280 KG/CM2 EN GRADERIAS S/TERRENO</v>
          </cell>
        </row>
        <row r="581">
          <cell r="B581" t="str">
            <v>pasos de 0.40 x 120</v>
          </cell>
          <cell r="C581" t="str">
            <v>m2</v>
          </cell>
          <cell r="D581">
            <v>113</v>
          </cell>
          <cell r="E581">
            <v>1.2</v>
          </cell>
          <cell r="F581">
            <v>0.4</v>
          </cell>
          <cell r="G581">
            <v>0.17499999999999999</v>
          </cell>
          <cell r="H581">
            <v>9.4919999999999991</v>
          </cell>
        </row>
        <row r="582">
          <cell r="B582" t="str">
            <v>En graderias sobre terreno</v>
          </cell>
          <cell r="C582" t="str">
            <v>m3</v>
          </cell>
          <cell r="D582">
            <v>1</v>
          </cell>
          <cell r="E582">
            <v>113.2</v>
          </cell>
          <cell r="F582">
            <v>8.75</v>
          </cell>
          <cell r="G582">
            <v>0.12</v>
          </cell>
          <cell r="H582">
            <v>118.86</v>
          </cell>
          <cell r="I582">
            <v>128.352</v>
          </cell>
        </row>
        <row r="584">
          <cell r="A584" t="str">
            <v>05.06.02</v>
          </cell>
          <cell r="B584" t="str">
            <v>ENCOFRADO Y DESENCOFRADO CARAVISTA EN GRADERIAS S/TERRENO</v>
          </cell>
        </row>
        <row r="585">
          <cell r="B585" t="str">
            <v>En graderias sobre terreno (contrapasos)</v>
          </cell>
          <cell r="C585" t="str">
            <v>m2</v>
          </cell>
          <cell r="D585">
            <v>1</v>
          </cell>
          <cell r="E585">
            <v>132.5</v>
          </cell>
          <cell r="G585">
            <v>4</v>
          </cell>
          <cell r="H585">
            <v>530</v>
          </cell>
        </row>
        <row r="586">
          <cell r="B586" t="str">
            <v>pasos de 0.40 x 120</v>
          </cell>
          <cell r="C586" t="str">
            <v>m2</v>
          </cell>
          <cell r="D586">
            <v>113</v>
          </cell>
          <cell r="E586">
            <v>2</v>
          </cell>
          <cell r="G586">
            <v>0.17499999999999999</v>
          </cell>
          <cell r="H586">
            <v>39.549999999999997</v>
          </cell>
          <cell r="I586">
            <v>569.54999999999995</v>
          </cell>
        </row>
        <row r="588">
          <cell r="A588" t="str">
            <v>05.06.03</v>
          </cell>
          <cell r="B588" t="str">
            <v>ACERO fy=4200 kg/cm2 GRADO 60 EN GRADERIAS S/TERRENO</v>
          </cell>
          <cell r="F588" t="str">
            <v>Peso (Kg/m)</v>
          </cell>
        </row>
        <row r="589">
          <cell r="B589" t="str">
            <v>Acero longitudinal Ø 3/8"</v>
          </cell>
          <cell r="C589" t="str">
            <v>kg</v>
          </cell>
          <cell r="D589">
            <v>29</v>
          </cell>
          <cell r="E589">
            <v>126</v>
          </cell>
          <cell r="F589">
            <v>0.56000000000000005</v>
          </cell>
          <cell r="H589">
            <v>2046.2400000000002</v>
          </cell>
        </row>
        <row r="590">
          <cell r="B590" t="str">
            <v>Acero transversal Ø 3/8"</v>
          </cell>
          <cell r="C590" t="str">
            <v>kg</v>
          </cell>
          <cell r="D590">
            <v>377</v>
          </cell>
          <cell r="E590">
            <v>8.8000000000000007</v>
          </cell>
          <cell r="F590">
            <v>0.56000000000000005</v>
          </cell>
          <cell r="H590">
            <v>1857.8560000000004</v>
          </cell>
          <cell r="I590">
            <v>3904.0960000000005</v>
          </cell>
        </row>
        <row r="592">
          <cell r="A592" t="str">
            <v>05.07.00</v>
          </cell>
          <cell r="B592" t="str">
            <v>COLUMNETAS</v>
          </cell>
        </row>
        <row r="593">
          <cell r="A593" t="str">
            <v>05.07.01</v>
          </cell>
          <cell r="B593" t="str">
            <v>CONCRETO EN COLUMNETAS f'c=210 kg/cm2</v>
          </cell>
          <cell r="C593" t="str">
            <v>m3</v>
          </cell>
        </row>
        <row r="594">
          <cell r="B594" t="str">
            <v xml:space="preserve">En Zotano </v>
          </cell>
        </row>
        <row r="595">
          <cell r="B595" t="str">
            <v xml:space="preserve">Eje C entre ejes (7 - 13) </v>
          </cell>
          <cell r="C595" t="str">
            <v>m3</v>
          </cell>
          <cell r="D595">
            <v>24</v>
          </cell>
          <cell r="E595">
            <v>0.25</v>
          </cell>
          <cell r="F595">
            <v>0.13</v>
          </cell>
          <cell r="G595">
            <v>3.4</v>
          </cell>
          <cell r="H595">
            <v>2.6520000000000001</v>
          </cell>
        </row>
        <row r="596">
          <cell r="B596" t="str">
            <v xml:space="preserve">Eje C entre ejes (13 - 14 Y 24-35) </v>
          </cell>
          <cell r="C596" t="str">
            <v>m3</v>
          </cell>
          <cell r="D596">
            <v>6</v>
          </cell>
          <cell r="E596">
            <v>0.25</v>
          </cell>
          <cell r="F596">
            <v>0.13</v>
          </cell>
          <cell r="G596">
            <v>3.4</v>
          </cell>
          <cell r="H596">
            <v>0.66300000000000003</v>
          </cell>
        </row>
        <row r="597">
          <cell r="B597" t="str">
            <v xml:space="preserve">Eje C entre ejes (14-15, 16-17, 19-20, 21-22, 23-24) </v>
          </cell>
          <cell r="C597" t="str">
            <v>m3</v>
          </cell>
          <cell r="D597">
            <v>24</v>
          </cell>
          <cell r="E597">
            <v>0.25</v>
          </cell>
          <cell r="F597">
            <v>0.13</v>
          </cell>
          <cell r="G597">
            <v>3.4</v>
          </cell>
          <cell r="H597">
            <v>2.6520000000000001</v>
          </cell>
        </row>
        <row r="598">
          <cell r="B598" t="str">
            <v xml:space="preserve">Eje C entre ejes (18-19 ) </v>
          </cell>
          <cell r="C598" t="str">
            <v>m3</v>
          </cell>
          <cell r="D598">
            <v>4</v>
          </cell>
          <cell r="E598">
            <v>0.25</v>
          </cell>
          <cell r="F598">
            <v>0.13</v>
          </cell>
          <cell r="G598">
            <v>3.4</v>
          </cell>
          <cell r="H598">
            <v>0.442</v>
          </cell>
        </row>
        <row r="599">
          <cell r="B599" t="str">
            <v xml:space="preserve">Eje C entre ejes (15-16, 17-18, 20- 21, 22-23) </v>
          </cell>
          <cell r="C599" t="str">
            <v>m3</v>
          </cell>
          <cell r="D599">
            <v>12</v>
          </cell>
          <cell r="E599">
            <v>0.25</v>
          </cell>
          <cell r="F599">
            <v>0.13</v>
          </cell>
          <cell r="G599">
            <v>3.4</v>
          </cell>
          <cell r="H599">
            <v>1.3260000000000001</v>
          </cell>
        </row>
        <row r="600">
          <cell r="B600" t="str">
            <v>Eje 7-13 entre ejes C-D</v>
          </cell>
          <cell r="C600" t="str">
            <v>m3</v>
          </cell>
          <cell r="D600">
            <v>21</v>
          </cell>
          <cell r="E600">
            <v>0.25</v>
          </cell>
          <cell r="F600">
            <v>0.13</v>
          </cell>
          <cell r="G600">
            <v>3.4</v>
          </cell>
          <cell r="H600">
            <v>2.3205</v>
          </cell>
        </row>
        <row r="601">
          <cell r="B601" t="str">
            <v>Ejes 16,18, 19, 20, 22, 25 entre ejes C-D</v>
          </cell>
          <cell r="C601" t="str">
            <v>m3</v>
          </cell>
          <cell r="D601">
            <v>24</v>
          </cell>
          <cell r="E601">
            <v>0.25</v>
          </cell>
          <cell r="F601">
            <v>0.13</v>
          </cell>
          <cell r="G601">
            <v>3.4</v>
          </cell>
          <cell r="H601">
            <v>2.6520000000000001</v>
          </cell>
        </row>
        <row r="602">
          <cell r="B602" t="str">
            <v>Ejes 25 entre ejes A-B</v>
          </cell>
          <cell r="C602" t="str">
            <v>m3</v>
          </cell>
          <cell r="D602">
            <v>3</v>
          </cell>
          <cell r="E602">
            <v>0.25</v>
          </cell>
          <cell r="F602">
            <v>0.13</v>
          </cell>
          <cell r="G602">
            <v>3.4</v>
          </cell>
          <cell r="H602">
            <v>0.33150000000000002</v>
          </cell>
        </row>
        <row r="603">
          <cell r="B603" t="str">
            <v>Eje A entre ejes 25-36</v>
          </cell>
          <cell r="C603" t="str">
            <v>m3</v>
          </cell>
          <cell r="D603">
            <v>33</v>
          </cell>
          <cell r="E603">
            <v>0.25</v>
          </cell>
          <cell r="F603">
            <v>0.13</v>
          </cell>
          <cell r="G603">
            <v>3.4</v>
          </cell>
          <cell r="H603">
            <v>3.6465000000000001</v>
          </cell>
        </row>
        <row r="604">
          <cell r="B604" t="str">
            <v>Eje C entre ejes 36-37</v>
          </cell>
          <cell r="C604" t="str">
            <v>m3</v>
          </cell>
          <cell r="D604">
            <v>3</v>
          </cell>
          <cell r="E604">
            <v>0.25</v>
          </cell>
          <cell r="F604">
            <v>0.13</v>
          </cell>
          <cell r="G604">
            <v>3.4</v>
          </cell>
          <cell r="H604">
            <v>0.33150000000000002</v>
          </cell>
        </row>
        <row r="605">
          <cell r="B605" t="str">
            <v>Ejes 36 entre ejes A-C</v>
          </cell>
          <cell r="C605" t="str">
            <v>m3</v>
          </cell>
          <cell r="D605">
            <v>5</v>
          </cell>
          <cell r="E605">
            <v>0.25</v>
          </cell>
          <cell r="F605">
            <v>0.13</v>
          </cell>
          <cell r="G605">
            <v>3.4</v>
          </cell>
          <cell r="H605">
            <v>0.55249999999999999</v>
          </cell>
        </row>
        <row r="606">
          <cell r="B606" t="str">
            <v>Ejes 37 entre ejes C-D</v>
          </cell>
          <cell r="C606" t="str">
            <v>m3</v>
          </cell>
          <cell r="D606">
            <v>3</v>
          </cell>
          <cell r="E606">
            <v>0.25</v>
          </cell>
          <cell r="F606">
            <v>0.13</v>
          </cell>
          <cell r="G606">
            <v>3.4</v>
          </cell>
          <cell r="H606">
            <v>0.33150000000000002</v>
          </cell>
        </row>
        <row r="607">
          <cell r="B607" t="str">
            <v>En Cubiculos para periodistas</v>
          </cell>
          <cell r="H607">
            <v>0</v>
          </cell>
        </row>
        <row r="608">
          <cell r="B608" t="str">
            <v xml:space="preserve">Eje A entre ejes 17 - 18 y 20 - 21 </v>
          </cell>
          <cell r="C608" t="str">
            <v>m3</v>
          </cell>
          <cell r="D608">
            <v>12</v>
          </cell>
          <cell r="E608">
            <v>0.25</v>
          </cell>
          <cell r="F608">
            <v>0.13</v>
          </cell>
          <cell r="G608">
            <v>2.35</v>
          </cell>
          <cell r="H608">
            <v>0.91650000000000009</v>
          </cell>
        </row>
        <row r="609">
          <cell r="B609" t="str">
            <v xml:space="preserve">Eje A' entre ejes 17 - 18 y 20 - 21 </v>
          </cell>
          <cell r="C609" t="str">
            <v>m3</v>
          </cell>
          <cell r="D609">
            <v>6</v>
          </cell>
          <cell r="E609">
            <v>0.25</v>
          </cell>
          <cell r="F609">
            <v>0.13</v>
          </cell>
          <cell r="G609">
            <v>1</v>
          </cell>
          <cell r="H609">
            <v>0.19500000000000001</v>
          </cell>
        </row>
        <row r="610">
          <cell r="B610" t="str">
            <v>Eje A' entre ejes  18 - 20</v>
          </cell>
          <cell r="C610" t="str">
            <v>m3</v>
          </cell>
          <cell r="D610">
            <v>6</v>
          </cell>
          <cell r="E610">
            <v>0.25</v>
          </cell>
          <cell r="F610">
            <v>0.13</v>
          </cell>
          <cell r="G610">
            <v>1</v>
          </cell>
          <cell r="H610">
            <v>0.19500000000000001</v>
          </cell>
        </row>
        <row r="611">
          <cell r="B611" t="str">
            <v>Eje 17, 21 entre ejes A y A'</v>
          </cell>
          <cell r="C611" t="str">
            <v>m3</v>
          </cell>
          <cell r="D611">
            <v>6</v>
          </cell>
          <cell r="E611">
            <v>0.25</v>
          </cell>
          <cell r="F611">
            <v>0.13</v>
          </cell>
          <cell r="G611">
            <v>2.35</v>
          </cell>
          <cell r="H611">
            <v>0.45825000000000005</v>
          </cell>
        </row>
        <row r="612">
          <cell r="B612" t="str">
            <v>Ejes 18, 19,y 20 entre ejes A y A'</v>
          </cell>
          <cell r="C612" t="str">
            <v>m3</v>
          </cell>
          <cell r="D612">
            <v>6</v>
          </cell>
          <cell r="E612">
            <v>1.3</v>
          </cell>
          <cell r="F612">
            <v>0.13</v>
          </cell>
          <cell r="G612">
            <v>2.35</v>
          </cell>
          <cell r="H612">
            <v>2.3829000000000007</v>
          </cell>
        </row>
        <row r="613">
          <cell r="B613" t="str">
            <v>En ambientes interiores</v>
          </cell>
          <cell r="H613">
            <v>0</v>
          </cell>
        </row>
        <row r="614">
          <cell r="B614" t="str">
            <v>CA-2 Eje A entre ejes 8 - 36</v>
          </cell>
          <cell r="C614" t="str">
            <v>m3</v>
          </cell>
          <cell r="D614">
            <v>86</v>
          </cell>
          <cell r="E614">
            <v>0.25</v>
          </cell>
          <cell r="F614">
            <v>0.13</v>
          </cell>
          <cell r="G614">
            <v>2.8</v>
          </cell>
          <cell r="H614">
            <v>7.8259999999999996</v>
          </cell>
        </row>
        <row r="615">
          <cell r="B615" t="str">
            <v>CA-1 Eje B entre ejes 8 - 36</v>
          </cell>
          <cell r="C615" t="str">
            <v>m3</v>
          </cell>
          <cell r="D615">
            <v>108</v>
          </cell>
          <cell r="E615">
            <v>0.25</v>
          </cell>
          <cell r="F615">
            <v>0.13</v>
          </cell>
          <cell r="G615">
            <v>2.8</v>
          </cell>
          <cell r="H615">
            <v>9.8279999999999994</v>
          </cell>
        </row>
        <row r="616">
          <cell r="B616" t="str">
            <v>CA-1 Eje 1-8-37 entre ejes A - B</v>
          </cell>
          <cell r="C616" t="str">
            <v>m3</v>
          </cell>
          <cell r="D616">
            <v>151</v>
          </cell>
          <cell r="E616">
            <v>0.25</v>
          </cell>
          <cell r="F616">
            <v>0.13</v>
          </cell>
          <cell r="G616">
            <v>2.8</v>
          </cell>
          <cell r="H616">
            <v>13.740999999999998</v>
          </cell>
        </row>
        <row r="617">
          <cell r="B617" t="str">
            <v>En parapeto de tribunas</v>
          </cell>
          <cell r="H617">
            <v>0</v>
          </cell>
        </row>
        <row r="618">
          <cell r="B618" t="str">
            <v>CA-2 Eje 1 y 37 entre ejes C - D</v>
          </cell>
          <cell r="C618" t="str">
            <v>m3</v>
          </cell>
          <cell r="D618">
            <v>8</v>
          </cell>
          <cell r="E618">
            <v>0.25</v>
          </cell>
          <cell r="F618">
            <v>0.13</v>
          </cell>
          <cell r="G618">
            <v>1.2</v>
          </cell>
          <cell r="H618">
            <v>0.312</v>
          </cell>
        </row>
        <row r="619">
          <cell r="B619" t="str">
            <v>CA-2 Eje 8 y 36 entre ejes A - B</v>
          </cell>
          <cell r="C619" t="str">
            <v>m3</v>
          </cell>
          <cell r="D619">
            <v>6</v>
          </cell>
          <cell r="E619">
            <v>0.25</v>
          </cell>
          <cell r="F619">
            <v>0.13</v>
          </cell>
          <cell r="G619">
            <v>1.2</v>
          </cell>
          <cell r="H619">
            <v>0.23399999999999999</v>
          </cell>
        </row>
        <row r="620">
          <cell r="B620" t="str">
            <v>CA-2 Eje C entre ejes 1 - 8 y 36 - 37</v>
          </cell>
          <cell r="C620" t="str">
            <v>m3</v>
          </cell>
          <cell r="D620">
            <v>21</v>
          </cell>
          <cell r="E620">
            <v>0.25</v>
          </cell>
          <cell r="F620">
            <v>0.13</v>
          </cell>
          <cell r="G620">
            <v>2</v>
          </cell>
          <cell r="H620">
            <v>1.365</v>
          </cell>
        </row>
        <row r="621">
          <cell r="B621" t="str">
            <v>CA-2 Eje A entre ejes 8 - 36</v>
          </cell>
          <cell r="C621" t="str">
            <v>m3</v>
          </cell>
          <cell r="D621">
            <v>70</v>
          </cell>
          <cell r="E621">
            <v>0.25</v>
          </cell>
          <cell r="F621">
            <v>0.13</v>
          </cell>
          <cell r="G621">
            <v>2</v>
          </cell>
          <cell r="H621">
            <v>4.55</v>
          </cell>
          <cell r="I621">
            <v>59.904649999999997</v>
          </cell>
        </row>
        <row r="623">
          <cell r="A623" t="str">
            <v>05.07.02</v>
          </cell>
          <cell r="B623" t="str">
            <v>ENCOFRADO Y DESENCOFRADO NORMAL EN COLUMNETAS</v>
          </cell>
          <cell r="C623" t="str">
            <v>m2</v>
          </cell>
        </row>
        <row r="624">
          <cell r="B624" t="str">
            <v xml:space="preserve">En Zotano </v>
          </cell>
        </row>
        <row r="625">
          <cell r="B625" t="str">
            <v xml:space="preserve">Eje C entre ejes (7 - 13) </v>
          </cell>
          <cell r="C625" t="str">
            <v>m3</v>
          </cell>
          <cell r="D625">
            <v>24</v>
          </cell>
          <cell r="E625">
            <v>0.63</v>
          </cell>
          <cell r="G625">
            <v>3.4</v>
          </cell>
          <cell r="H625">
            <v>51.408000000000001</v>
          </cell>
        </row>
        <row r="626">
          <cell r="B626" t="str">
            <v xml:space="preserve">Eje C entre ejes (13 - 14 Y 24-35) </v>
          </cell>
          <cell r="C626" t="str">
            <v>m3</v>
          </cell>
          <cell r="D626">
            <v>6</v>
          </cell>
          <cell r="E626">
            <v>0.63</v>
          </cell>
          <cell r="G626">
            <v>3.4</v>
          </cell>
          <cell r="H626">
            <v>12.852</v>
          </cell>
        </row>
        <row r="627">
          <cell r="B627" t="str">
            <v xml:space="preserve">Eje C entre ejes (14-15, 16-17, 19-20, 21-22, 23-24) </v>
          </cell>
          <cell r="C627" t="str">
            <v>m2</v>
          </cell>
          <cell r="D627">
            <v>24</v>
          </cell>
          <cell r="E627">
            <v>0.63</v>
          </cell>
          <cell r="G627">
            <v>3.4</v>
          </cell>
          <cell r="H627">
            <v>51.408000000000001</v>
          </cell>
        </row>
        <row r="628">
          <cell r="B628" t="str">
            <v xml:space="preserve">Eje C entre ejes (18-19 ) </v>
          </cell>
          <cell r="C628" t="str">
            <v>m3</v>
          </cell>
          <cell r="D628">
            <v>4</v>
          </cell>
          <cell r="E628">
            <v>0.63</v>
          </cell>
          <cell r="G628">
            <v>3.4</v>
          </cell>
          <cell r="H628">
            <v>8.5679999999999996</v>
          </cell>
        </row>
        <row r="629">
          <cell r="B629" t="str">
            <v xml:space="preserve">Eje C entre ejes (15-16, 17-18, 20- 21, 22-23) </v>
          </cell>
          <cell r="C629" t="str">
            <v>m2</v>
          </cell>
          <cell r="D629">
            <v>12</v>
          </cell>
          <cell r="E629">
            <v>0.63</v>
          </cell>
          <cell r="G629">
            <v>3.4</v>
          </cell>
          <cell r="H629">
            <v>25.704000000000001</v>
          </cell>
        </row>
        <row r="630">
          <cell r="B630" t="str">
            <v>Eje 7-13 entre ejes C-D</v>
          </cell>
          <cell r="C630" t="str">
            <v>m2</v>
          </cell>
          <cell r="D630">
            <v>21</v>
          </cell>
          <cell r="E630">
            <v>0.63</v>
          </cell>
          <cell r="G630">
            <v>3.4</v>
          </cell>
          <cell r="H630">
            <v>44.981999999999999</v>
          </cell>
        </row>
        <row r="631">
          <cell r="B631" t="str">
            <v>Ejes 16,18, 19, 20, 22, 25 entre ejes C-D</v>
          </cell>
          <cell r="C631" t="str">
            <v>m2</v>
          </cell>
          <cell r="D631">
            <v>24</v>
          </cell>
          <cell r="E631">
            <v>0.63</v>
          </cell>
          <cell r="G631">
            <v>3.4</v>
          </cell>
          <cell r="H631">
            <v>51.408000000000001</v>
          </cell>
        </row>
        <row r="632">
          <cell r="B632" t="str">
            <v>Ejes 25 entre ejes A-B</v>
          </cell>
          <cell r="C632" t="str">
            <v>m2</v>
          </cell>
          <cell r="D632">
            <v>3</v>
          </cell>
          <cell r="E632">
            <v>0.63</v>
          </cell>
          <cell r="G632">
            <v>3.4</v>
          </cell>
          <cell r="H632">
            <v>6.4260000000000002</v>
          </cell>
        </row>
        <row r="633">
          <cell r="B633" t="str">
            <v>Eje A entre ejes 25-36</v>
          </cell>
          <cell r="C633" t="str">
            <v>m2</v>
          </cell>
          <cell r="D633">
            <v>33</v>
          </cell>
          <cell r="E633">
            <v>0.63</v>
          </cell>
          <cell r="G633">
            <v>3.4</v>
          </cell>
          <cell r="H633">
            <v>70.685999999999993</v>
          </cell>
        </row>
        <row r="634">
          <cell r="B634" t="str">
            <v>Eje C entre ejes 36-37</v>
          </cell>
          <cell r="C634" t="str">
            <v>m2</v>
          </cell>
          <cell r="D634">
            <v>3</v>
          </cell>
          <cell r="E634">
            <v>0.63</v>
          </cell>
          <cell r="G634">
            <v>3.4</v>
          </cell>
          <cell r="H634">
            <v>6.4260000000000002</v>
          </cell>
        </row>
        <row r="635">
          <cell r="B635" t="str">
            <v>Ejes 36 entre ejes A-C</v>
          </cell>
          <cell r="C635" t="str">
            <v>m2</v>
          </cell>
          <cell r="D635">
            <v>5</v>
          </cell>
          <cell r="E635">
            <v>0.63</v>
          </cell>
          <cell r="G635">
            <v>3.4</v>
          </cell>
          <cell r="H635">
            <v>10.709999999999999</v>
          </cell>
        </row>
        <row r="636">
          <cell r="B636" t="str">
            <v>Ejes 37 entre ejes C-D</v>
          </cell>
          <cell r="C636" t="str">
            <v>m2</v>
          </cell>
          <cell r="D636">
            <v>3</v>
          </cell>
          <cell r="E636">
            <v>0.63</v>
          </cell>
          <cell r="G636">
            <v>3.4</v>
          </cell>
          <cell r="H636">
            <v>6.4260000000000002</v>
          </cell>
        </row>
        <row r="637">
          <cell r="B637" t="str">
            <v>En Cubiculos para periodistas</v>
          </cell>
          <cell r="H637">
            <v>0</v>
          </cell>
        </row>
        <row r="638">
          <cell r="B638" t="str">
            <v xml:space="preserve">Eje A entre ejes 17 - 18 y 20 - 21 </v>
          </cell>
          <cell r="C638" t="str">
            <v>m2</v>
          </cell>
          <cell r="D638">
            <v>12</v>
          </cell>
          <cell r="E638">
            <v>0.63</v>
          </cell>
          <cell r="G638">
            <v>2.35</v>
          </cell>
          <cell r="H638">
            <v>17.766000000000002</v>
          </cell>
        </row>
        <row r="639">
          <cell r="B639" t="str">
            <v xml:space="preserve">Eje A' entre ejes 17 - 18 y 20 - 21 </v>
          </cell>
          <cell r="C639" t="str">
            <v>m2</v>
          </cell>
          <cell r="D639">
            <v>6</v>
          </cell>
          <cell r="E639">
            <v>0.63</v>
          </cell>
          <cell r="G639">
            <v>1</v>
          </cell>
          <cell r="H639">
            <v>3.7800000000000002</v>
          </cell>
        </row>
        <row r="640">
          <cell r="B640" t="str">
            <v>Eje A' entre ejes  18 - 20</v>
          </cell>
          <cell r="C640" t="str">
            <v>m2</v>
          </cell>
          <cell r="D640">
            <v>6</v>
          </cell>
          <cell r="E640">
            <v>0.63</v>
          </cell>
          <cell r="G640">
            <v>1</v>
          </cell>
          <cell r="H640">
            <v>3.7800000000000002</v>
          </cell>
        </row>
        <row r="641">
          <cell r="B641" t="str">
            <v>Eje 17, 21 entre ejes A y A'</v>
          </cell>
          <cell r="C641" t="str">
            <v>m2</v>
          </cell>
          <cell r="D641">
            <v>6</v>
          </cell>
          <cell r="E641">
            <v>0.63</v>
          </cell>
          <cell r="G641">
            <v>2.35</v>
          </cell>
          <cell r="H641">
            <v>8.8830000000000009</v>
          </cell>
        </row>
        <row r="642">
          <cell r="B642" t="str">
            <v>Ejes 18, 19,y 20 entre ejes A y A'</v>
          </cell>
          <cell r="C642" t="str">
            <v>m2</v>
          </cell>
          <cell r="D642">
            <v>6</v>
          </cell>
          <cell r="E642">
            <v>0.63</v>
          </cell>
          <cell r="G642">
            <v>2.35</v>
          </cell>
          <cell r="H642">
            <v>8.8830000000000009</v>
          </cell>
        </row>
        <row r="643">
          <cell r="B643" t="str">
            <v>En ambientes interiores</v>
          </cell>
          <cell r="H643">
            <v>0</v>
          </cell>
        </row>
        <row r="644">
          <cell r="B644" t="str">
            <v>CA-2 Eje A entre ejes 8 - 36</v>
          </cell>
          <cell r="C644" t="str">
            <v>m2</v>
          </cell>
          <cell r="D644">
            <v>86</v>
          </cell>
          <cell r="E644">
            <v>0.63</v>
          </cell>
          <cell r="G644">
            <v>2.1</v>
          </cell>
          <cell r="H644">
            <v>113.77800000000001</v>
          </cell>
        </row>
        <row r="645">
          <cell r="B645" t="str">
            <v>CA-1 Eje B entre ejes 8 - 36</v>
          </cell>
          <cell r="C645" t="str">
            <v>m2</v>
          </cell>
          <cell r="D645">
            <v>108</v>
          </cell>
          <cell r="E645">
            <v>0.63</v>
          </cell>
          <cell r="G645">
            <v>2.9</v>
          </cell>
          <cell r="H645">
            <v>197.316</v>
          </cell>
        </row>
        <row r="646">
          <cell r="B646" t="str">
            <v>CA-1 Eje 1-8-37 entre ejes A - B</v>
          </cell>
          <cell r="C646" t="str">
            <v>m2</v>
          </cell>
          <cell r="D646">
            <v>151</v>
          </cell>
          <cell r="E646">
            <v>0.63</v>
          </cell>
          <cell r="G646">
            <v>3</v>
          </cell>
          <cell r="H646">
            <v>285.39</v>
          </cell>
        </row>
        <row r="647">
          <cell r="B647" t="str">
            <v>En parapeto de tribunas</v>
          </cell>
          <cell r="H647">
            <v>0</v>
          </cell>
        </row>
        <row r="648">
          <cell r="B648" t="str">
            <v>CA-2 Eje 1 y 37 entre ejes C - D</v>
          </cell>
          <cell r="C648" t="str">
            <v>m2</v>
          </cell>
          <cell r="D648">
            <v>8</v>
          </cell>
          <cell r="E648">
            <v>0.5</v>
          </cell>
          <cell r="G648">
            <v>1.2</v>
          </cell>
          <cell r="H648">
            <v>4.8</v>
          </cell>
        </row>
        <row r="649">
          <cell r="B649" t="str">
            <v>CA-2 Eje 8 y 36 entre ejes A - B</v>
          </cell>
          <cell r="C649" t="str">
            <v>m2</v>
          </cell>
          <cell r="D649">
            <v>6</v>
          </cell>
          <cell r="E649">
            <v>0.5</v>
          </cell>
          <cell r="G649">
            <v>1.2</v>
          </cell>
          <cell r="H649">
            <v>3.5999999999999996</v>
          </cell>
        </row>
        <row r="650">
          <cell r="B650" t="str">
            <v>CA-2 Eje C entre ejes 1 - 8 y 36 - 37</v>
          </cell>
          <cell r="C650" t="str">
            <v>m2</v>
          </cell>
          <cell r="D650">
            <v>21</v>
          </cell>
          <cell r="E650">
            <v>0.63</v>
          </cell>
          <cell r="G650">
            <v>2</v>
          </cell>
          <cell r="H650">
            <v>26.46</v>
          </cell>
        </row>
        <row r="651">
          <cell r="B651" t="str">
            <v>CA-2 Eje A entre ejes 8 - 36</v>
          </cell>
          <cell r="C651" t="str">
            <v>m2</v>
          </cell>
          <cell r="D651">
            <v>70</v>
          </cell>
          <cell r="E651">
            <v>0.63</v>
          </cell>
          <cell r="G651">
            <v>2</v>
          </cell>
          <cell r="H651">
            <v>88.2</v>
          </cell>
          <cell r="I651">
            <v>1109.6399999999999</v>
          </cell>
        </row>
        <row r="653">
          <cell r="A653" t="str">
            <v>05.07.03</v>
          </cell>
          <cell r="B653" t="str">
            <v>ACERO fy=4200 kg/cm2 GRADO 60 en COLUMNETAS</v>
          </cell>
          <cell r="C653" t="str">
            <v>kg</v>
          </cell>
        </row>
        <row r="654">
          <cell r="B654" t="str">
            <v>Se ha considerado 153 Kg/m3 de volumen de concreto</v>
          </cell>
          <cell r="C654" t="str">
            <v>kg</v>
          </cell>
          <cell r="D654">
            <v>1</v>
          </cell>
          <cell r="E654">
            <v>9165.4114499999996</v>
          </cell>
          <cell r="H654">
            <v>9165.4114499999996</v>
          </cell>
          <cell r="I654">
            <v>9165.4114499999996</v>
          </cell>
        </row>
        <row r="656">
          <cell r="A656" t="str">
            <v>05.08.00</v>
          </cell>
          <cell r="B656" t="str">
            <v>VIGA SOLERA TABIQUE</v>
          </cell>
        </row>
        <row r="657">
          <cell r="A657" t="str">
            <v>05.08.01</v>
          </cell>
          <cell r="B657" t="str">
            <v>CONCRETO EN SOLERA TABIQUE f'c=210 kg/cm2</v>
          </cell>
          <cell r="C657" t="str">
            <v>m3</v>
          </cell>
        </row>
        <row r="658">
          <cell r="B658" t="str">
            <v xml:space="preserve">En Zotano </v>
          </cell>
        </row>
        <row r="659">
          <cell r="B659" t="str">
            <v xml:space="preserve">Eje C entre ejes (7 - 13) </v>
          </cell>
          <cell r="C659" t="str">
            <v>m3</v>
          </cell>
          <cell r="D659">
            <v>6</v>
          </cell>
          <cell r="E659">
            <v>4.1399999999999997</v>
          </cell>
          <cell r="F659">
            <v>0.13</v>
          </cell>
          <cell r="G659">
            <v>0.15</v>
          </cell>
          <cell r="H659">
            <v>0.48437999999999992</v>
          </cell>
        </row>
        <row r="660">
          <cell r="B660" t="str">
            <v xml:space="preserve">Eje C entre ejes (13 - 14 Y 24-35) </v>
          </cell>
          <cell r="C660" t="str">
            <v>m3</v>
          </cell>
          <cell r="D660">
            <v>2</v>
          </cell>
          <cell r="E660">
            <v>4.82</v>
          </cell>
          <cell r="F660">
            <v>0.13</v>
          </cell>
          <cell r="G660">
            <v>0.15</v>
          </cell>
          <cell r="H660">
            <v>0.18798000000000001</v>
          </cell>
        </row>
        <row r="661">
          <cell r="B661" t="str">
            <v xml:space="preserve">Eje C entre ejes (14-15, 16-17, 19-20, 21-22, 23-24) </v>
          </cell>
          <cell r="C661" t="str">
            <v>m3</v>
          </cell>
          <cell r="D661">
            <v>6</v>
          </cell>
          <cell r="E661">
            <v>4.3</v>
          </cell>
          <cell r="F661">
            <v>0.13</v>
          </cell>
          <cell r="G661">
            <v>0.15</v>
          </cell>
          <cell r="H661">
            <v>0.50309999999999988</v>
          </cell>
        </row>
        <row r="662">
          <cell r="B662" t="str">
            <v xml:space="preserve">Eje C entre ejes (18-19 ) </v>
          </cell>
          <cell r="C662" t="str">
            <v>m3</v>
          </cell>
          <cell r="D662">
            <v>1</v>
          </cell>
          <cell r="E662">
            <v>3.3600000000000003</v>
          </cell>
          <cell r="F662">
            <v>0.13</v>
          </cell>
          <cell r="G662">
            <v>0.15</v>
          </cell>
          <cell r="H662">
            <v>6.5520000000000009E-2</v>
          </cell>
        </row>
        <row r="663">
          <cell r="B663" t="str">
            <v xml:space="preserve">Eje C entre ejes (15-16, 17-18, 20- 21, 22-23) </v>
          </cell>
          <cell r="C663" t="str">
            <v>m3</v>
          </cell>
          <cell r="D663">
            <v>4</v>
          </cell>
          <cell r="E663">
            <v>6.15</v>
          </cell>
          <cell r="F663">
            <v>0.13</v>
          </cell>
          <cell r="G663">
            <v>0.15</v>
          </cell>
          <cell r="H663">
            <v>0.47970000000000002</v>
          </cell>
        </row>
        <row r="664">
          <cell r="B664" t="str">
            <v>Eje 7-13 entre ejes C-D</v>
          </cell>
          <cell r="C664" t="str">
            <v>m3</v>
          </cell>
          <cell r="D664">
            <v>7</v>
          </cell>
          <cell r="E664">
            <v>5.95</v>
          </cell>
          <cell r="F664">
            <v>0.13</v>
          </cell>
          <cell r="G664">
            <v>0.15</v>
          </cell>
          <cell r="H664">
            <v>0.81217499999999998</v>
          </cell>
        </row>
        <row r="665">
          <cell r="B665" t="str">
            <v>Ejes 16,18, 19, 20, 22, 25 entre ejes C-D</v>
          </cell>
          <cell r="C665" t="str">
            <v>m3</v>
          </cell>
          <cell r="D665">
            <v>6</v>
          </cell>
          <cell r="E665">
            <v>5.7</v>
          </cell>
          <cell r="F665">
            <v>0.13</v>
          </cell>
          <cell r="G665">
            <v>0.15</v>
          </cell>
          <cell r="H665">
            <v>0.66690000000000005</v>
          </cell>
        </row>
        <row r="666">
          <cell r="B666" t="str">
            <v>Ejes 25 entre ejes A-B</v>
          </cell>
          <cell r="C666" t="str">
            <v>m3</v>
          </cell>
          <cell r="D666">
            <v>1</v>
          </cell>
          <cell r="E666">
            <v>5.55</v>
          </cell>
          <cell r="F666">
            <v>0.13</v>
          </cell>
          <cell r="G666">
            <v>0.15</v>
          </cell>
          <cell r="H666">
            <v>0.108225</v>
          </cell>
        </row>
        <row r="667">
          <cell r="B667" t="str">
            <v>Eje A entre ejes 25-36</v>
          </cell>
          <cell r="C667" t="str">
            <v>m3</v>
          </cell>
          <cell r="D667">
            <v>11</v>
          </cell>
          <cell r="E667">
            <v>6.95</v>
          </cell>
          <cell r="F667">
            <v>0.13</v>
          </cell>
          <cell r="G667">
            <v>0.15</v>
          </cell>
          <cell r="H667">
            <v>1.4907750000000002</v>
          </cell>
        </row>
        <row r="668">
          <cell r="B668" t="str">
            <v>Eje C entre ejes 36-37</v>
          </cell>
          <cell r="C668" t="str">
            <v>m3</v>
          </cell>
          <cell r="D668">
            <v>1</v>
          </cell>
          <cell r="E668">
            <v>5.99</v>
          </cell>
          <cell r="F668">
            <v>0.13</v>
          </cell>
          <cell r="G668">
            <v>0.15</v>
          </cell>
          <cell r="H668">
            <v>0.11680500000000001</v>
          </cell>
        </row>
        <row r="669">
          <cell r="B669" t="str">
            <v>Ejes 36 entre ejes A-C</v>
          </cell>
          <cell r="C669" t="str">
            <v>m3</v>
          </cell>
          <cell r="D669">
            <v>1</v>
          </cell>
          <cell r="E669">
            <v>7.75</v>
          </cell>
          <cell r="F669">
            <v>0.13</v>
          </cell>
          <cell r="G669">
            <v>0.15</v>
          </cell>
          <cell r="H669">
            <v>0.15112500000000001</v>
          </cell>
        </row>
        <row r="670">
          <cell r="B670" t="str">
            <v>Ejes 37 entre ejes C-D</v>
          </cell>
          <cell r="C670" t="str">
            <v>m3</v>
          </cell>
          <cell r="D670">
            <v>1</v>
          </cell>
          <cell r="E670">
            <v>5.95</v>
          </cell>
          <cell r="F670">
            <v>0.13</v>
          </cell>
          <cell r="G670">
            <v>0.15</v>
          </cell>
          <cell r="H670">
            <v>0.116025</v>
          </cell>
        </row>
        <row r="671">
          <cell r="B671" t="str">
            <v>En Cubiculos para periodistas</v>
          </cell>
          <cell r="H671">
            <v>0</v>
          </cell>
        </row>
        <row r="672">
          <cell r="B672" t="str">
            <v xml:space="preserve">Eje A entre ejes 17 - 18 y 20 - 21 </v>
          </cell>
          <cell r="C672" t="str">
            <v>m3</v>
          </cell>
          <cell r="D672">
            <v>4</v>
          </cell>
          <cell r="E672">
            <v>6.15</v>
          </cell>
          <cell r="F672">
            <v>0.13</v>
          </cell>
          <cell r="G672">
            <v>0.15</v>
          </cell>
          <cell r="H672">
            <v>0.47970000000000002</v>
          </cell>
        </row>
        <row r="673">
          <cell r="B673" t="str">
            <v xml:space="preserve">Eje A' entre ejes 17 - 18 y 20 - 21 </v>
          </cell>
          <cell r="C673" t="str">
            <v>m3</v>
          </cell>
          <cell r="D673">
            <v>2</v>
          </cell>
          <cell r="E673">
            <v>5.63</v>
          </cell>
          <cell r="F673">
            <v>0.13</v>
          </cell>
          <cell r="G673">
            <v>0.15</v>
          </cell>
          <cell r="H673">
            <v>0.21956999999999999</v>
          </cell>
        </row>
        <row r="674">
          <cell r="B674" t="str">
            <v>Eje A' entre ejes  18 - 20</v>
          </cell>
          <cell r="C674" t="str">
            <v>m3</v>
          </cell>
          <cell r="D674">
            <v>2</v>
          </cell>
          <cell r="E674">
            <v>6.3</v>
          </cell>
          <cell r="F674">
            <v>0.13</v>
          </cell>
          <cell r="G674">
            <v>0.15</v>
          </cell>
          <cell r="H674">
            <v>0.24569999999999997</v>
          </cell>
        </row>
        <row r="675">
          <cell r="B675" t="str">
            <v>Eje 17, 21 entre ejes A y A'</v>
          </cell>
          <cell r="C675" t="str">
            <v>m3</v>
          </cell>
          <cell r="D675">
            <v>2</v>
          </cell>
          <cell r="E675">
            <v>1.6</v>
          </cell>
          <cell r="F675">
            <v>0.13</v>
          </cell>
          <cell r="G675">
            <v>0.15</v>
          </cell>
          <cell r="H675">
            <v>6.2400000000000004E-2</v>
          </cell>
        </row>
        <row r="676">
          <cell r="B676" t="str">
            <v>Ejes 18, 19,y 20 entre ejes A y A'</v>
          </cell>
          <cell r="C676" t="str">
            <v>m3</v>
          </cell>
          <cell r="D676">
            <v>3</v>
          </cell>
          <cell r="E676">
            <v>1.3</v>
          </cell>
          <cell r="F676">
            <v>0.13</v>
          </cell>
          <cell r="G676">
            <v>0.15</v>
          </cell>
          <cell r="H676">
            <v>7.605000000000002E-2</v>
          </cell>
        </row>
        <row r="677">
          <cell r="B677" t="str">
            <v>En ambientes interiores</v>
          </cell>
          <cell r="H677">
            <v>0</v>
          </cell>
        </row>
        <row r="678">
          <cell r="B678" t="str">
            <v>Eje 8 - 36</v>
          </cell>
          <cell r="C678" t="str">
            <v>m3</v>
          </cell>
          <cell r="D678">
            <v>26</v>
          </cell>
          <cell r="E678">
            <v>9</v>
          </cell>
          <cell r="F678">
            <v>0.13</v>
          </cell>
          <cell r="G678">
            <v>0.15</v>
          </cell>
          <cell r="H678">
            <v>4.5629999999999997</v>
          </cell>
        </row>
        <row r="679">
          <cell r="B679" t="str">
            <v>Eje A desde eje 8 - 36</v>
          </cell>
          <cell r="C679" t="str">
            <v>m3</v>
          </cell>
          <cell r="D679">
            <v>17</v>
          </cell>
          <cell r="E679">
            <v>6.3</v>
          </cell>
          <cell r="F679">
            <v>0.13</v>
          </cell>
          <cell r="G679">
            <v>0.15</v>
          </cell>
          <cell r="H679">
            <v>2.0884499999999999</v>
          </cell>
        </row>
        <row r="680">
          <cell r="B680" t="str">
            <v>Eje C desde eje 1 - 37</v>
          </cell>
          <cell r="C680" t="str">
            <v>m3</v>
          </cell>
          <cell r="D680">
            <v>36</v>
          </cell>
          <cell r="E680">
            <v>7</v>
          </cell>
          <cell r="F680">
            <v>0.13</v>
          </cell>
          <cell r="G680">
            <v>0.15</v>
          </cell>
          <cell r="H680">
            <v>4.9139999999999997</v>
          </cell>
        </row>
        <row r="681">
          <cell r="B681" t="str">
            <v>Eje A desde eje 14 - 16, 22 - 24, 32-34</v>
          </cell>
          <cell r="C681" t="str">
            <v>m3</v>
          </cell>
          <cell r="D681">
            <v>3</v>
          </cell>
          <cell r="E681">
            <v>11.4</v>
          </cell>
          <cell r="F681">
            <v>0.13</v>
          </cell>
          <cell r="G681">
            <v>0.15</v>
          </cell>
          <cell r="H681">
            <v>0.66690000000000005</v>
          </cell>
        </row>
        <row r="682">
          <cell r="B682" t="str">
            <v>En parapeto de tribunas</v>
          </cell>
          <cell r="H682">
            <v>0</v>
          </cell>
        </row>
        <row r="683">
          <cell r="B683" t="str">
            <v>CA-2 Eje 1 y 37 entre ejes C - D</v>
          </cell>
          <cell r="C683" t="str">
            <v>m3</v>
          </cell>
          <cell r="D683">
            <v>2</v>
          </cell>
          <cell r="E683">
            <v>9.25</v>
          </cell>
          <cell r="F683">
            <v>0.13</v>
          </cell>
          <cell r="G683">
            <v>0.15</v>
          </cell>
          <cell r="H683">
            <v>0.36075000000000002</v>
          </cell>
        </row>
        <row r="684">
          <cell r="B684" t="str">
            <v>CA-2 Eje 8 y 36 entre ejes A - B</v>
          </cell>
          <cell r="C684" t="str">
            <v>m3</v>
          </cell>
          <cell r="D684">
            <v>2</v>
          </cell>
          <cell r="E684">
            <v>7.51</v>
          </cell>
          <cell r="F684">
            <v>0.13</v>
          </cell>
          <cell r="G684">
            <v>0.15</v>
          </cell>
          <cell r="H684">
            <v>0.29288999999999998</v>
          </cell>
        </row>
        <row r="685">
          <cell r="B685" t="str">
            <v>CA-2 Eje C entre ejes 1 - 8 y 36 - 37</v>
          </cell>
          <cell r="C685" t="str">
            <v>m3</v>
          </cell>
          <cell r="D685">
            <v>1</v>
          </cell>
          <cell r="E685">
            <v>52.550000000000004</v>
          </cell>
          <cell r="F685">
            <v>0.13</v>
          </cell>
          <cell r="G685">
            <v>0.15</v>
          </cell>
          <cell r="H685">
            <v>1.0247250000000001</v>
          </cell>
        </row>
        <row r="686">
          <cell r="B686" t="str">
            <v>CA-2 Eje A entre ejes 8 - 36</v>
          </cell>
          <cell r="C686" t="str">
            <v>m3</v>
          </cell>
          <cell r="D686">
            <v>1</v>
          </cell>
          <cell r="E686">
            <v>199.08</v>
          </cell>
          <cell r="F686">
            <v>0.13</v>
          </cell>
          <cell r="G686">
            <v>0.15</v>
          </cell>
          <cell r="H686">
            <v>3.8820600000000001</v>
          </cell>
          <cell r="I686">
            <v>24.058904999999999</v>
          </cell>
        </row>
        <row r="688">
          <cell r="A688" t="str">
            <v>05.08.02</v>
          </cell>
          <cell r="B688" t="str">
            <v>ENCOFRADO Y DESENCOFRADO NORMAL EN SOLERA TABIQUE</v>
          </cell>
        </row>
        <row r="689">
          <cell r="B689" t="str">
            <v xml:space="preserve">En Zotano </v>
          </cell>
        </row>
        <row r="690">
          <cell r="B690" t="str">
            <v xml:space="preserve">Eje C entre ejes (7 - 13) </v>
          </cell>
          <cell r="C690" t="str">
            <v>m2</v>
          </cell>
          <cell r="D690">
            <v>6</v>
          </cell>
          <cell r="E690">
            <v>4.1399999999999997</v>
          </cell>
          <cell r="F690">
            <v>0.3</v>
          </cell>
          <cell r="H690">
            <v>7.4519999999999982</v>
          </cell>
        </row>
        <row r="691">
          <cell r="B691" t="str">
            <v xml:space="preserve">Eje C entre ejes (13 - 14 Y 24-35) </v>
          </cell>
          <cell r="C691" t="str">
            <v>m2</v>
          </cell>
          <cell r="D691">
            <v>2</v>
          </cell>
          <cell r="E691">
            <v>4.82</v>
          </cell>
          <cell r="F691">
            <v>0.3</v>
          </cell>
          <cell r="H691">
            <v>2.8919999999999999</v>
          </cell>
        </row>
        <row r="692">
          <cell r="B692" t="str">
            <v xml:space="preserve">Eje C entre ejes (14-15, 16-17, 19-20, 21-22, 23-24) </v>
          </cell>
          <cell r="C692" t="str">
            <v>m2</v>
          </cell>
          <cell r="D692">
            <v>6</v>
          </cell>
          <cell r="E692">
            <v>4.3</v>
          </cell>
          <cell r="F692">
            <v>0.3</v>
          </cell>
          <cell r="H692">
            <v>7.7399999999999984</v>
          </cell>
        </row>
        <row r="693">
          <cell r="B693" t="str">
            <v xml:space="preserve">Eje C entre ejes (18-19 ) </v>
          </cell>
          <cell r="C693" t="str">
            <v>m3</v>
          </cell>
          <cell r="D693">
            <v>1</v>
          </cell>
          <cell r="E693">
            <v>3.3600000000000003</v>
          </cell>
          <cell r="F693">
            <v>0.3</v>
          </cell>
          <cell r="H693">
            <v>1.008</v>
          </cell>
        </row>
        <row r="694">
          <cell r="B694" t="str">
            <v xml:space="preserve">Eje C entre ejes (15-16, 17-18, 20- 21, 22-23) </v>
          </cell>
          <cell r="C694" t="str">
            <v>m2</v>
          </cell>
          <cell r="D694">
            <v>4</v>
          </cell>
          <cell r="E694">
            <v>6.15</v>
          </cell>
          <cell r="F694">
            <v>0.3</v>
          </cell>
          <cell r="H694">
            <v>7.38</v>
          </cell>
        </row>
        <row r="695">
          <cell r="B695" t="str">
            <v>Eje 7-13 entre ejes C-D</v>
          </cell>
          <cell r="C695" t="str">
            <v>m2</v>
          </cell>
          <cell r="D695">
            <v>7</v>
          </cell>
          <cell r="E695">
            <v>5.95</v>
          </cell>
          <cell r="F695">
            <v>0.3</v>
          </cell>
          <cell r="H695">
            <v>12.494999999999999</v>
          </cell>
        </row>
        <row r="696">
          <cell r="B696" t="str">
            <v>Ejes 16,18, 19, 20, 22, 25 entre ejes C-D</v>
          </cell>
          <cell r="C696" t="str">
            <v>m2</v>
          </cell>
          <cell r="D696">
            <v>6</v>
          </cell>
          <cell r="E696">
            <v>5.7</v>
          </cell>
          <cell r="F696">
            <v>0.3</v>
          </cell>
          <cell r="H696">
            <v>10.26</v>
          </cell>
        </row>
        <row r="697">
          <cell r="B697" t="str">
            <v>Ejes 25 entre ejes A-B</v>
          </cell>
          <cell r="C697" t="str">
            <v>m2</v>
          </cell>
          <cell r="D697">
            <v>1</v>
          </cell>
          <cell r="E697">
            <v>5.55</v>
          </cell>
          <cell r="F697">
            <v>0.3</v>
          </cell>
          <cell r="H697">
            <v>1.6649999999999998</v>
          </cell>
        </row>
        <row r="698">
          <cell r="B698" t="str">
            <v>Eje A entre ejes 25-36</v>
          </cell>
          <cell r="C698" t="str">
            <v>m2</v>
          </cell>
          <cell r="D698">
            <v>11</v>
          </cell>
          <cell r="E698">
            <v>6.95</v>
          </cell>
          <cell r="F698">
            <v>0.3</v>
          </cell>
          <cell r="H698">
            <v>22.934999999999999</v>
          </cell>
        </row>
        <row r="699">
          <cell r="B699" t="str">
            <v>Eje C entre ejes 36-37</v>
          </cell>
          <cell r="C699" t="str">
            <v>m2</v>
          </cell>
          <cell r="D699">
            <v>1</v>
          </cell>
          <cell r="E699">
            <v>5.99</v>
          </cell>
          <cell r="F699">
            <v>0.3</v>
          </cell>
          <cell r="H699">
            <v>1.7969999999999999</v>
          </cell>
        </row>
        <row r="700">
          <cell r="B700" t="str">
            <v>Ejes 36 entre ejes A-C</v>
          </cell>
          <cell r="C700" t="str">
            <v>m2</v>
          </cell>
          <cell r="D700">
            <v>1</v>
          </cell>
          <cell r="E700">
            <v>7.75</v>
          </cell>
          <cell r="F700">
            <v>0.3</v>
          </cell>
          <cell r="H700">
            <v>2.3249999999999997</v>
          </cell>
        </row>
        <row r="701">
          <cell r="B701" t="str">
            <v>Ejes 37 entre ejes C-D</v>
          </cell>
          <cell r="C701" t="str">
            <v>m2</v>
          </cell>
          <cell r="D701">
            <v>1</v>
          </cell>
          <cell r="E701">
            <v>5.95</v>
          </cell>
          <cell r="F701">
            <v>0.3</v>
          </cell>
          <cell r="H701">
            <v>1.7849999999999999</v>
          </cell>
        </row>
        <row r="702">
          <cell r="B702" t="str">
            <v>En Cubiculos para periodistas</v>
          </cell>
          <cell r="H702">
            <v>0</v>
          </cell>
        </row>
        <row r="703">
          <cell r="B703" t="str">
            <v xml:space="preserve">Eje A entre ejes 17 - 18 y 20 - 21 </v>
          </cell>
          <cell r="C703" t="str">
            <v>m2</v>
          </cell>
          <cell r="D703">
            <v>4</v>
          </cell>
          <cell r="E703">
            <v>6.15</v>
          </cell>
          <cell r="F703">
            <v>0.3</v>
          </cell>
          <cell r="H703">
            <v>7.38</v>
          </cell>
        </row>
        <row r="704">
          <cell r="B704" t="str">
            <v xml:space="preserve">Eje A' entre ejes 17 - 18 y 20 - 21 </v>
          </cell>
          <cell r="C704" t="str">
            <v>m2</v>
          </cell>
          <cell r="D704">
            <v>2</v>
          </cell>
          <cell r="E704">
            <v>5.63</v>
          </cell>
          <cell r="F704">
            <v>0.3</v>
          </cell>
          <cell r="H704">
            <v>3.3779999999999997</v>
          </cell>
        </row>
        <row r="705">
          <cell r="B705" t="str">
            <v>Eje A' entre ejes  18 - 20</v>
          </cell>
          <cell r="C705" t="str">
            <v>m2</v>
          </cell>
          <cell r="D705">
            <v>2</v>
          </cell>
          <cell r="E705">
            <v>6.3</v>
          </cell>
          <cell r="F705">
            <v>0.3</v>
          </cell>
          <cell r="H705">
            <v>3.78</v>
          </cell>
        </row>
        <row r="706">
          <cell r="B706" t="str">
            <v>Eje 17, 21 entre ejes A y A'</v>
          </cell>
          <cell r="C706" t="str">
            <v>m2</v>
          </cell>
          <cell r="D706">
            <v>2</v>
          </cell>
          <cell r="E706">
            <v>1.6</v>
          </cell>
          <cell r="F706">
            <v>0.3</v>
          </cell>
          <cell r="H706">
            <v>0.96</v>
          </cell>
        </row>
        <row r="707">
          <cell r="B707" t="str">
            <v>Ejes 18, 19,y 20 entre ejes A y A'</v>
          </cell>
          <cell r="C707" t="str">
            <v>m2</v>
          </cell>
          <cell r="D707">
            <v>3</v>
          </cell>
          <cell r="E707">
            <v>1.3</v>
          </cell>
          <cell r="F707">
            <v>0.3</v>
          </cell>
          <cell r="H707">
            <v>1.1700000000000002</v>
          </cell>
        </row>
        <row r="708">
          <cell r="B708" t="str">
            <v>En ambientes interiores</v>
          </cell>
        </row>
        <row r="709">
          <cell r="B709" t="str">
            <v>Eje 8 - 36</v>
          </cell>
          <cell r="C709" t="str">
            <v>m2</v>
          </cell>
          <cell r="D709">
            <v>26</v>
          </cell>
          <cell r="E709">
            <v>9</v>
          </cell>
          <cell r="F709">
            <v>0.3</v>
          </cell>
          <cell r="H709">
            <v>70.2</v>
          </cell>
        </row>
        <row r="710">
          <cell r="B710" t="str">
            <v>Eje A desde eje 8 - 36</v>
          </cell>
          <cell r="C710" t="str">
            <v>m2</v>
          </cell>
          <cell r="D710">
            <v>17</v>
          </cell>
          <cell r="E710">
            <v>6.3</v>
          </cell>
          <cell r="F710">
            <v>0.3</v>
          </cell>
          <cell r="H710">
            <v>32.129999999999995</v>
          </cell>
        </row>
        <row r="711">
          <cell r="B711" t="str">
            <v>Eje C desde eje 1 - 37</v>
          </cell>
          <cell r="C711" t="str">
            <v>m2</v>
          </cell>
          <cell r="D711">
            <v>36</v>
          </cell>
          <cell r="E711">
            <v>7</v>
          </cell>
          <cell r="F711">
            <v>0.3</v>
          </cell>
          <cell r="H711">
            <v>75.599999999999994</v>
          </cell>
        </row>
        <row r="712">
          <cell r="B712" t="str">
            <v>Eje A desde eje 14 - 16, 22 - 24, 32-34</v>
          </cell>
          <cell r="C712" t="str">
            <v>m2</v>
          </cell>
          <cell r="D712">
            <v>3</v>
          </cell>
          <cell r="E712">
            <v>11.4</v>
          </cell>
          <cell r="F712">
            <v>0.3</v>
          </cell>
          <cell r="H712">
            <v>10.26</v>
          </cell>
        </row>
        <row r="713">
          <cell r="B713" t="str">
            <v>En parapeto de tribunas</v>
          </cell>
        </row>
        <row r="714">
          <cell r="B714" t="str">
            <v>CA-2 Eje 1 y 37 entre ejes C - D</v>
          </cell>
          <cell r="C714" t="str">
            <v>m2</v>
          </cell>
          <cell r="D714">
            <v>2</v>
          </cell>
          <cell r="E714">
            <v>9.25</v>
          </cell>
          <cell r="F714">
            <v>0.3</v>
          </cell>
          <cell r="H714">
            <v>5.55</v>
          </cell>
        </row>
        <row r="715">
          <cell r="B715" t="str">
            <v>CA-2 Eje 8 y 36 entre ejes A - B</v>
          </cell>
          <cell r="C715" t="str">
            <v>m2</v>
          </cell>
          <cell r="D715">
            <v>2</v>
          </cell>
          <cell r="E715">
            <v>7.51</v>
          </cell>
          <cell r="F715">
            <v>0.3</v>
          </cell>
          <cell r="H715">
            <v>4.5059999999999993</v>
          </cell>
        </row>
        <row r="716">
          <cell r="B716" t="str">
            <v>CA-2 Eje C entre ejes 1 - 8 y 36 - 37</v>
          </cell>
          <cell r="C716" t="str">
            <v>m2</v>
          </cell>
          <cell r="D716">
            <v>1</v>
          </cell>
          <cell r="E716">
            <v>52.550000000000004</v>
          </cell>
          <cell r="F716">
            <v>0.3</v>
          </cell>
          <cell r="H716">
            <v>15.765000000000001</v>
          </cell>
        </row>
        <row r="717">
          <cell r="B717" t="str">
            <v>CA-2 Eje A entre ejes 8 - 36</v>
          </cell>
          <cell r="C717" t="str">
            <v>m2</v>
          </cell>
          <cell r="D717">
            <v>1</v>
          </cell>
          <cell r="E717">
            <v>199.08</v>
          </cell>
          <cell r="F717">
            <v>0.3</v>
          </cell>
          <cell r="H717">
            <v>59.724000000000004</v>
          </cell>
          <cell r="I717">
            <v>370.13699999999994</v>
          </cell>
        </row>
        <row r="719">
          <cell r="A719" t="str">
            <v>05.08.03</v>
          </cell>
          <cell r="B719" t="str">
            <v>ACERO fy=4200 kg/cm2 GRADO 60 EN SOLERA TABIQUE</v>
          </cell>
          <cell r="C719" t="str">
            <v>kg</v>
          </cell>
        </row>
        <row r="720">
          <cell r="B720" t="str">
            <v>Se ha considerado 83 Kg/m3 de volumen de concreto</v>
          </cell>
          <cell r="C720" t="str">
            <v>kg</v>
          </cell>
          <cell r="D720">
            <v>1</v>
          </cell>
          <cell r="E720">
            <v>1996.8891149999999</v>
          </cell>
          <cell r="H720">
            <v>1996.8891149999999</v>
          </cell>
          <cell r="I720">
            <v>1996.8891149999999</v>
          </cell>
        </row>
        <row r="722">
          <cell r="A722" t="str">
            <v>05.09.00</v>
          </cell>
          <cell r="B722" t="str">
            <v>ESCALERA</v>
          </cell>
        </row>
        <row r="723">
          <cell r="A723" t="str">
            <v>05.09.01</v>
          </cell>
          <cell r="B723" t="str">
            <v>CONCRETO PREMEZCLADO F'C=280 KG/CM2 EN ESCALERAS</v>
          </cell>
          <cell r="E723" t="str">
            <v>Area CAD</v>
          </cell>
        </row>
        <row r="724">
          <cell r="B724" t="str">
            <v>escalera de ambientes interiores</v>
          </cell>
          <cell r="C724" t="str">
            <v>m3</v>
          </cell>
          <cell r="D724">
            <v>17</v>
          </cell>
          <cell r="E724">
            <v>1.33</v>
          </cell>
          <cell r="F724">
            <v>1</v>
          </cell>
          <cell r="H724">
            <v>22.61</v>
          </cell>
        </row>
        <row r="725">
          <cell r="B725" t="str">
            <v>Area de la sección transversal por ancho de escalera</v>
          </cell>
          <cell r="C725" t="str">
            <v>m3</v>
          </cell>
          <cell r="D725">
            <v>5</v>
          </cell>
          <cell r="E725">
            <v>1.81</v>
          </cell>
          <cell r="F725">
            <v>6</v>
          </cell>
          <cell r="H725">
            <v>54.300000000000004</v>
          </cell>
          <cell r="I725">
            <v>76.91</v>
          </cell>
        </row>
        <row r="727">
          <cell r="A727" t="str">
            <v>05.09.02</v>
          </cell>
          <cell r="B727" t="str">
            <v>ENCOFRADO Y DESENCOFRADO NORMAL EN ESCALERA</v>
          </cell>
          <cell r="C727" t="str">
            <v>m2</v>
          </cell>
        </row>
        <row r="728">
          <cell r="B728" t="str">
            <v>Escalera para acceso ambientes interiores</v>
          </cell>
        </row>
        <row r="729">
          <cell r="B729" t="str">
            <v>Contrapasos</v>
          </cell>
          <cell r="C729" t="str">
            <v>m2</v>
          </cell>
          <cell r="D729">
            <v>17</v>
          </cell>
          <cell r="E729">
            <v>3.15</v>
          </cell>
          <cell r="F729">
            <v>1</v>
          </cell>
          <cell r="H729">
            <v>53.55</v>
          </cell>
        </row>
        <row r="730">
          <cell r="B730" t="str">
            <v>Costados</v>
          </cell>
          <cell r="C730" t="str">
            <v>m2</v>
          </cell>
          <cell r="D730">
            <v>17</v>
          </cell>
          <cell r="E730" t="str">
            <v>Area=</v>
          </cell>
          <cell r="F730">
            <v>1.33</v>
          </cell>
          <cell r="G730">
            <v>2</v>
          </cell>
          <cell r="H730">
            <v>45.22</v>
          </cell>
        </row>
        <row r="731">
          <cell r="B731" t="str">
            <v>Fondo de escalera</v>
          </cell>
          <cell r="C731" t="str">
            <v>m2</v>
          </cell>
          <cell r="D731">
            <v>17</v>
          </cell>
          <cell r="E731">
            <v>6.49</v>
          </cell>
          <cell r="F731">
            <v>1</v>
          </cell>
          <cell r="H731">
            <v>110.33</v>
          </cell>
        </row>
        <row r="732">
          <cell r="B732" t="str">
            <v>Escalera para acceso a tribunas</v>
          </cell>
        </row>
        <row r="733">
          <cell r="B733" t="str">
            <v>Contrapasos</v>
          </cell>
          <cell r="C733" t="str">
            <v>m2</v>
          </cell>
          <cell r="D733">
            <v>5</v>
          </cell>
          <cell r="E733">
            <v>3.3249999999999997</v>
          </cell>
          <cell r="F733">
            <v>6</v>
          </cell>
          <cell r="H733">
            <v>99.75</v>
          </cell>
        </row>
        <row r="734">
          <cell r="B734" t="str">
            <v>Costados</v>
          </cell>
          <cell r="C734" t="str">
            <v>m2</v>
          </cell>
          <cell r="D734">
            <v>5</v>
          </cell>
          <cell r="E734" t="str">
            <v>Area cad=</v>
          </cell>
          <cell r="F734">
            <v>1.81</v>
          </cell>
          <cell r="G734">
            <v>2</v>
          </cell>
          <cell r="H734">
            <v>18.100000000000001</v>
          </cell>
        </row>
        <row r="735">
          <cell r="B735" t="str">
            <v>Fondo de escalera</v>
          </cell>
          <cell r="C735" t="str">
            <v>m2</v>
          </cell>
          <cell r="D735">
            <v>5</v>
          </cell>
          <cell r="E735">
            <v>8.1999999999999993</v>
          </cell>
          <cell r="F735">
            <v>6</v>
          </cell>
          <cell r="H735">
            <v>246</v>
          </cell>
          <cell r="I735">
            <v>572.95000000000005</v>
          </cell>
        </row>
        <row r="737">
          <cell r="A737" t="str">
            <v>05.09.03</v>
          </cell>
          <cell r="B737" t="str">
            <v>ACERO fy=4200 kg/cm2 GRADO 60 en ESCALERA</v>
          </cell>
          <cell r="C737" t="str">
            <v>kg</v>
          </cell>
        </row>
        <row r="738">
          <cell r="B738" t="str">
            <v>Se ha considerado 94 Kg/m3 de volumen de concreto</v>
          </cell>
          <cell r="C738" t="str">
            <v>kg</v>
          </cell>
          <cell r="D738">
            <v>1</v>
          </cell>
          <cell r="E738">
            <v>12767.06</v>
          </cell>
          <cell r="H738">
            <v>12767.06</v>
          </cell>
          <cell r="I738">
            <v>12767.06</v>
          </cell>
        </row>
        <row r="741">
          <cell r="A741" t="str">
            <v>05.10.00</v>
          </cell>
          <cell r="B741" t="str">
            <v>LOSA MACIZA</v>
          </cell>
        </row>
        <row r="742">
          <cell r="A742" t="str">
            <v>05.10.01</v>
          </cell>
          <cell r="B742" t="str">
            <v xml:space="preserve">CONCRETO PREMEZCLADO F'C=280 KG/CM2 EN LOSAS MACIZAS </v>
          </cell>
        </row>
        <row r="743">
          <cell r="B743" t="str">
            <v>Corredor de circulacion</v>
          </cell>
          <cell r="C743" t="str">
            <v>m3</v>
          </cell>
          <cell r="D743">
            <v>1</v>
          </cell>
          <cell r="E743" t="str">
            <v>Area cad=</v>
          </cell>
          <cell r="F743">
            <v>723.21</v>
          </cell>
          <cell r="G743">
            <v>0.12</v>
          </cell>
          <cell r="H743">
            <v>86.785200000000003</v>
          </cell>
        </row>
        <row r="744">
          <cell r="B744" t="str">
            <v>En techo de cubiculos para periodistas</v>
          </cell>
          <cell r="C744" t="str">
            <v>m3</v>
          </cell>
          <cell r="D744">
            <v>4</v>
          </cell>
          <cell r="E744">
            <v>6.9</v>
          </cell>
          <cell r="F744">
            <v>2.4</v>
          </cell>
          <cell r="G744">
            <v>0.12</v>
          </cell>
          <cell r="H744">
            <v>7.9487999999999994</v>
          </cell>
        </row>
        <row r="745">
          <cell r="B745" t="str">
            <v>En mesa de concreto</v>
          </cell>
          <cell r="C745" t="str">
            <v>m3</v>
          </cell>
          <cell r="D745">
            <v>2</v>
          </cell>
          <cell r="E745">
            <v>26.86</v>
          </cell>
          <cell r="F745">
            <v>0.55000000000000004</v>
          </cell>
          <cell r="G745">
            <v>0.1</v>
          </cell>
          <cell r="H745">
            <v>2.9546000000000006</v>
          </cell>
          <cell r="I745">
            <v>97.688600000000008</v>
          </cell>
        </row>
        <row r="747">
          <cell r="A747" t="str">
            <v>05.10.02</v>
          </cell>
          <cell r="B747" t="str">
            <v>ENCOFRADO Y DESENCOFRADO CARAVISTA EN LOSA MACIZA</v>
          </cell>
        </row>
        <row r="748">
          <cell r="B748" t="str">
            <v>En techo de cubiculos para periodistas</v>
          </cell>
          <cell r="C748" t="str">
            <v>m2</v>
          </cell>
          <cell r="D748">
            <v>4</v>
          </cell>
          <cell r="E748">
            <v>6.9</v>
          </cell>
          <cell r="F748">
            <v>2.4</v>
          </cell>
          <cell r="H748">
            <v>66.239999999999995</v>
          </cell>
        </row>
        <row r="749">
          <cell r="B749" t="str">
            <v>Corredor de circulacion</v>
          </cell>
          <cell r="C749" t="str">
            <v>m2</v>
          </cell>
          <cell r="D749">
            <v>1</v>
          </cell>
          <cell r="E749" t="str">
            <v>Area CAD=</v>
          </cell>
          <cell r="F749">
            <v>723.21</v>
          </cell>
          <cell r="H749">
            <v>723.21</v>
          </cell>
        </row>
        <row r="750">
          <cell r="B750" t="str">
            <v>En mesa de concreto</v>
          </cell>
          <cell r="C750" t="str">
            <v>m3</v>
          </cell>
          <cell r="D750">
            <v>2</v>
          </cell>
          <cell r="E750">
            <v>26.86</v>
          </cell>
          <cell r="F750">
            <v>0.55000000000000004</v>
          </cell>
          <cell r="H750">
            <v>29.546000000000003</v>
          </cell>
          <cell r="I750">
            <v>818.99600000000009</v>
          </cell>
        </row>
        <row r="752">
          <cell r="A752" t="str">
            <v>05.10.03</v>
          </cell>
          <cell r="B752" t="str">
            <v>ACERO fy=4200 kg/cm2 GRADO 60 en LOSA MACIZA</v>
          </cell>
          <cell r="C752" t="str">
            <v>Kg</v>
          </cell>
        </row>
        <row r="753">
          <cell r="B753" t="str">
            <v>Se ha considerado 126.33 Kg/m3 de volumen de concreto</v>
          </cell>
          <cell r="C753" t="str">
            <v>Kg</v>
          </cell>
          <cell r="D753">
            <v>1</v>
          </cell>
          <cell r="E753">
            <v>12341.000838000002</v>
          </cell>
          <cell r="H753">
            <v>12341.000838000002</v>
          </cell>
          <cell r="I753">
            <v>12341.000838000002</v>
          </cell>
        </row>
        <row r="755">
          <cell r="A755" t="str">
            <v>05.11.00</v>
          </cell>
          <cell r="B755" t="str">
            <v>MUROS Y TABIQUES DE ALBAÑILERIA</v>
          </cell>
        </row>
        <row r="756">
          <cell r="A756" t="str">
            <v>05.11.01</v>
          </cell>
          <cell r="B756" t="str">
            <v>MURO DE LADRILLLO KK 18 HUECOS SOGA</v>
          </cell>
          <cell r="C756" t="str">
            <v>m2</v>
          </cell>
        </row>
        <row r="757">
          <cell r="B757" t="str">
            <v>En ambientes interiores 1° NIVEL</v>
          </cell>
        </row>
        <row r="758">
          <cell r="B758" t="str">
            <v xml:space="preserve">Eje 8 - 36 - (A y C) </v>
          </cell>
          <cell r="C758" t="str">
            <v>m2</v>
          </cell>
          <cell r="D758">
            <v>26</v>
          </cell>
          <cell r="E758">
            <v>4.5999999999999996</v>
          </cell>
          <cell r="G758">
            <v>2.8</v>
          </cell>
          <cell r="H758">
            <v>334.87999999999994</v>
          </cell>
        </row>
        <row r="759">
          <cell r="B759" t="str">
            <v xml:space="preserve">Eje 1 - 37 - (C y D) </v>
          </cell>
          <cell r="C759" t="str">
            <v>m2</v>
          </cell>
          <cell r="D759">
            <v>2</v>
          </cell>
          <cell r="E759">
            <v>5.95</v>
          </cell>
          <cell r="G759">
            <v>3</v>
          </cell>
          <cell r="H759">
            <v>35.700000000000003</v>
          </cell>
        </row>
        <row r="760">
          <cell r="B760" t="str">
            <v>Eje A (8 - 11, 25 - 31, y 34 - 36) entre vanos</v>
          </cell>
          <cell r="C760" t="str">
            <v>m2</v>
          </cell>
          <cell r="D760">
            <v>11</v>
          </cell>
          <cell r="E760">
            <v>5.3</v>
          </cell>
          <cell r="G760">
            <v>2.8</v>
          </cell>
          <cell r="H760">
            <v>163.23999999999998</v>
          </cell>
        </row>
        <row r="761">
          <cell r="B761" t="str">
            <v>Eje A entre ejes 13 - 14 y 24 - 25 (entre vanos)</v>
          </cell>
          <cell r="C761" t="str">
            <v>m2</v>
          </cell>
          <cell r="D761">
            <v>2</v>
          </cell>
          <cell r="E761">
            <v>2.9699999999999998</v>
          </cell>
          <cell r="G761">
            <v>2.8</v>
          </cell>
          <cell r="H761">
            <v>16.631999999999998</v>
          </cell>
        </row>
        <row r="762">
          <cell r="B762" t="str">
            <v>Eje A entre ejes 14 - 16 (en ss.hh.)</v>
          </cell>
          <cell r="C762" t="str">
            <v>m2</v>
          </cell>
          <cell r="D762">
            <v>2</v>
          </cell>
          <cell r="E762">
            <v>11.4</v>
          </cell>
          <cell r="G762">
            <v>2.8</v>
          </cell>
          <cell r="H762">
            <v>63.839999999999996</v>
          </cell>
        </row>
        <row r="763">
          <cell r="B763" t="str">
            <v>Eje A entre ejes 14 - 16 y 22 - 24 (en ss.hh.)</v>
          </cell>
          <cell r="C763" t="str">
            <v>m2</v>
          </cell>
          <cell r="D763">
            <v>1</v>
          </cell>
          <cell r="E763">
            <v>13.4</v>
          </cell>
          <cell r="G763">
            <v>2.8</v>
          </cell>
          <cell r="H763">
            <v>37.519999999999996</v>
          </cell>
        </row>
        <row r="764">
          <cell r="B764" t="str">
            <v>Eje A entre ejes 17 - 21 (entre vanos)</v>
          </cell>
          <cell r="C764" t="str">
            <v>m2</v>
          </cell>
          <cell r="D764">
            <v>4</v>
          </cell>
          <cell r="E764">
            <v>4.3</v>
          </cell>
          <cell r="G764">
            <v>2.8</v>
          </cell>
          <cell r="H764">
            <v>48.16</v>
          </cell>
        </row>
        <row r="765">
          <cell r="B765" t="str">
            <v>Eje A' entre ejes 14 - 16, 22-24, 32-34 (en ss.hh.)</v>
          </cell>
          <cell r="C765" t="str">
            <v>m2</v>
          </cell>
          <cell r="D765">
            <v>3</v>
          </cell>
          <cell r="E765">
            <v>3.7</v>
          </cell>
          <cell r="G765">
            <v>2.8</v>
          </cell>
          <cell r="H765">
            <v>31.080000000000002</v>
          </cell>
        </row>
        <row r="766">
          <cell r="B766" t="str">
            <v>Eje C desde eje 1 - 13 y 25 - 37</v>
          </cell>
          <cell r="C766" t="str">
            <v>m2</v>
          </cell>
          <cell r="D766">
            <v>24</v>
          </cell>
          <cell r="E766">
            <v>6.7</v>
          </cell>
          <cell r="G766">
            <v>2.8</v>
          </cell>
          <cell r="H766">
            <v>450.24</v>
          </cell>
        </row>
        <row r="767">
          <cell r="B767" t="str">
            <v>Eje C desde eje 13 - 14 y 24 - 25</v>
          </cell>
          <cell r="C767" t="str">
            <v>m2</v>
          </cell>
          <cell r="D767">
            <v>2</v>
          </cell>
          <cell r="E767">
            <v>5.57</v>
          </cell>
          <cell r="G767">
            <v>2.8</v>
          </cell>
          <cell r="H767">
            <v>31.192</v>
          </cell>
        </row>
        <row r="768">
          <cell r="B768" t="str">
            <v>Eje C desde eje 13 - 14 y 24 - 25</v>
          </cell>
          <cell r="C768" t="str">
            <v>m2</v>
          </cell>
          <cell r="D768">
            <v>10</v>
          </cell>
          <cell r="E768">
            <v>6.9</v>
          </cell>
          <cell r="G768">
            <v>2.8</v>
          </cell>
          <cell r="H768">
            <v>193.2</v>
          </cell>
        </row>
        <row r="769">
          <cell r="B769" t="str">
            <v xml:space="preserve">En Zotano </v>
          </cell>
          <cell r="H769">
            <v>0</v>
          </cell>
        </row>
        <row r="770">
          <cell r="B770" t="str">
            <v xml:space="preserve">Eje C entre ejes (7 - 13) </v>
          </cell>
          <cell r="C770" t="str">
            <v>m2</v>
          </cell>
          <cell r="D770">
            <v>6</v>
          </cell>
          <cell r="E770">
            <v>4.1399999999999997</v>
          </cell>
          <cell r="G770">
            <v>2.5499999999999998</v>
          </cell>
          <cell r="H770">
            <v>63.341999999999985</v>
          </cell>
        </row>
        <row r="771">
          <cell r="B771" t="str">
            <v xml:space="preserve">Eje C entre ejes (13 - 14 Y 24-35) </v>
          </cell>
          <cell r="C771" t="str">
            <v>m2</v>
          </cell>
          <cell r="D771">
            <v>2</v>
          </cell>
          <cell r="E771">
            <v>4.82</v>
          </cell>
          <cell r="G771">
            <v>2.5499999999999998</v>
          </cell>
          <cell r="H771">
            <v>24.582000000000001</v>
          </cell>
        </row>
        <row r="772">
          <cell r="B772" t="str">
            <v xml:space="preserve">Eje C entre ejes (14-15, 16-17, 19-20, 21-22, 23-24) </v>
          </cell>
          <cell r="C772" t="str">
            <v>m2</v>
          </cell>
          <cell r="D772">
            <v>6</v>
          </cell>
          <cell r="E772">
            <v>4.3</v>
          </cell>
          <cell r="G772">
            <v>2.5499999999999998</v>
          </cell>
          <cell r="H772">
            <v>65.789999999999992</v>
          </cell>
        </row>
        <row r="773">
          <cell r="B773" t="str">
            <v xml:space="preserve">Eje C entre ejes (18-19 ) </v>
          </cell>
          <cell r="C773" t="str">
            <v>m2</v>
          </cell>
          <cell r="D773">
            <v>1</v>
          </cell>
          <cell r="E773">
            <v>3.3600000000000003</v>
          </cell>
          <cell r="G773">
            <v>2.5499999999999998</v>
          </cell>
          <cell r="H773">
            <v>8.5679999999999996</v>
          </cell>
        </row>
        <row r="774">
          <cell r="B774" t="str">
            <v xml:space="preserve">Eje C entre ejes (15-16, 17-18, 20- 21, 22-23) </v>
          </cell>
          <cell r="C774" t="str">
            <v>m2</v>
          </cell>
          <cell r="D774">
            <v>4</v>
          </cell>
          <cell r="E774">
            <v>6.15</v>
          </cell>
          <cell r="G774">
            <v>2.5499999999999998</v>
          </cell>
          <cell r="H774">
            <v>62.73</v>
          </cell>
        </row>
        <row r="775">
          <cell r="B775" t="str">
            <v>Eje 7-13 entre ejes C-D</v>
          </cell>
          <cell r="C775" t="str">
            <v>m2</v>
          </cell>
          <cell r="D775">
            <v>7</v>
          </cell>
          <cell r="E775">
            <v>5.95</v>
          </cell>
          <cell r="G775">
            <v>2.5499999999999998</v>
          </cell>
          <cell r="H775">
            <v>106.2075</v>
          </cell>
        </row>
        <row r="776">
          <cell r="B776" t="str">
            <v>Ejes 16,18, 19, 20, 22, 25 entre ejes C-D</v>
          </cell>
          <cell r="C776" t="str">
            <v>m2</v>
          </cell>
          <cell r="D776">
            <v>6</v>
          </cell>
          <cell r="E776">
            <v>5.7</v>
          </cell>
          <cell r="G776">
            <v>2.5499999999999998</v>
          </cell>
          <cell r="H776">
            <v>87.210000000000008</v>
          </cell>
        </row>
        <row r="777">
          <cell r="B777" t="str">
            <v>Ejes 25 entre ejes A-B</v>
          </cell>
          <cell r="C777" t="str">
            <v>m2</v>
          </cell>
          <cell r="D777">
            <v>1</v>
          </cell>
          <cell r="E777">
            <v>5.55</v>
          </cell>
          <cell r="G777">
            <v>2.5499999999999998</v>
          </cell>
          <cell r="H777">
            <v>14.152499999999998</v>
          </cell>
        </row>
        <row r="778">
          <cell r="B778" t="str">
            <v>Eje A entre ejes 25-36</v>
          </cell>
          <cell r="C778" t="str">
            <v>m2</v>
          </cell>
          <cell r="D778">
            <v>11</v>
          </cell>
          <cell r="E778">
            <v>6.95</v>
          </cell>
          <cell r="G778">
            <v>2.5499999999999998</v>
          </cell>
          <cell r="H778">
            <v>194.94749999999999</v>
          </cell>
        </row>
        <row r="779">
          <cell r="B779" t="str">
            <v>Eje C entre ejes 36-37</v>
          </cell>
          <cell r="C779" t="str">
            <v>m2</v>
          </cell>
          <cell r="D779">
            <v>1</v>
          </cell>
          <cell r="E779">
            <v>5.99</v>
          </cell>
          <cell r="G779">
            <v>2.5499999999999998</v>
          </cell>
          <cell r="H779">
            <v>15.2745</v>
          </cell>
        </row>
        <row r="780">
          <cell r="B780" t="str">
            <v>Ejes 36 entre ejes A-C</v>
          </cell>
          <cell r="C780" t="str">
            <v>m2</v>
          </cell>
          <cell r="D780">
            <v>1</v>
          </cell>
          <cell r="E780">
            <v>7.75</v>
          </cell>
          <cell r="G780">
            <v>2.5499999999999998</v>
          </cell>
          <cell r="H780">
            <v>19.762499999999999</v>
          </cell>
        </row>
        <row r="781">
          <cell r="B781" t="str">
            <v>Ejes 37 entre ejes C-D</v>
          </cell>
          <cell r="C781" t="str">
            <v>m2</v>
          </cell>
          <cell r="D781">
            <v>1</v>
          </cell>
          <cell r="E781">
            <v>5.95</v>
          </cell>
          <cell r="G781">
            <v>2.5499999999999998</v>
          </cell>
          <cell r="H781">
            <v>15.172499999999999</v>
          </cell>
        </row>
        <row r="782">
          <cell r="B782" t="str">
            <v>SS.HH. En Zotano</v>
          </cell>
        </row>
        <row r="783">
          <cell r="B783" t="str">
            <v>Vestidor de Mujeres y Hombres</v>
          </cell>
        </row>
        <row r="784">
          <cell r="B784" t="str">
            <v>En muros de lavatorios</v>
          </cell>
          <cell r="C784" t="str">
            <v>m2</v>
          </cell>
          <cell r="D784">
            <v>4</v>
          </cell>
          <cell r="E784">
            <v>4.6500000000000004</v>
          </cell>
          <cell r="G784">
            <v>2.1</v>
          </cell>
          <cell r="H784">
            <v>39.06</v>
          </cell>
        </row>
        <row r="785">
          <cell r="B785" t="str">
            <v>Muros de duchas</v>
          </cell>
          <cell r="C785" t="str">
            <v>m2</v>
          </cell>
          <cell r="D785">
            <v>2</v>
          </cell>
          <cell r="E785">
            <v>21.85</v>
          </cell>
          <cell r="G785">
            <v>2.1</v>
          </cell>
          <cell r="H785">
            <v>91.77000000000001</v>
          </cell>
        </row>
        <row r="786">
          <cell r="B786" t="str">
            <v>En muros de vestidores</v>
          </cell>
          <cell r="C786" t="str">
            <v>m2</v>
          </cell>
          <cell r="D786">
            <v>2</v>
          </cell>
          <cell r="E786">
            <v>21.5</v>
          </cell>
          <cell r="G786">
            <v>2.1</v>
          </cell>
          <cell r="H786">
            <v>90.3</v>
          </cell>
        </row>
        <row r="787">
          <cell r="B787" t="str">
            <v>Vestidor de Jueces Mujeres y Hombres entre ejes 18-19 y A-B</v>
          </cell>
          <cell r="C787" t="str">
            <v>m2</v>
          </cell>
          <cell r="D787">
            <v>2</v>
          </cell>
          <cell r="E787">
            <v>12.1</v>
          </cell>
          <cell r="G787">
            <v>2.5499999999999998</v>
          </cell>
          <cell r="H787">
            <v>61.709999999999994</v>
          </cell>
        </row>
        <row r="788">
          <cell r="B788" t="str">
            <v>En muros divisorios de ss.hh.</v>
          </cell>
          <cell r="C788" t="str">
            <v>m2</v>
          </cell>
          <cell r="D788">
            <v>2</v>
          </cell>
          <cell r="E788">
            <v>7.6999999999999993</v>
          </cell>
          <cell r="G788">
            <v>2.1</v>
          </cell>
          <cell r="H788">
            <v>32.339999999999996</v>
          </cell>
        </row>
        <row r="789">
          <cell r="B789" t="str">
            <v>En Cubiculos para periodistas</v>
          </cell>
        </row>
        <row r="790">
          <cell r="B790" t="str">
            <v xml:space="preserve">Eje A entre ejes 17 - 18 y 20 - 21 </v>
          </cell>
          <cell r="C790" t="str">
            <v>m2</v>
          </cell>
          <cell r="D790">
            <v>4</v>
          </cell>
          <cell r="E790">
            <v>6.15</v>
          </cell>
          <cell r="G790">
            <v>2.35</v>
          </cell>
          <cell r="H790">
            <v>57.81</v>
          </cell>
        </row>
        <row r="791">
          <cell r="B791" t="str">
            <v xml:space="preserve">Eje A' entre ejes 17 - 18 y 20 - 21 </v>
          </cell>
          <cell r="C791" t="str">
            <v>m2</v>
          </cell>
          <cell r="D791">
            <v>2</v>
          </cell>
          <cell r="E791">
            <v>5.63</v>
          </cell>
          <cell r="G791">
            <v>1</v>
          </cell>
          <cell r="H791">
            <v>11.26</v>
          </cell>
        </row>
        <row r="792">
          <cell r="B792" t="str">
            <v>Eje A' entre ejes  18 - 20</v>
          </cell>
          <cell r="C792" t="str">
            <v>m2</v>
          </cell>
          <cell r="D792">
            <v>2</v>
          </cell>
          <cell r="E792">
            <v>6.3</v>
          </cell>
          <cell r="G792">
            <v>1</v>
          </cell>
          <cell r="H792">
            <v>12.6</v>
          </cell>
        </row>
        <row r="793">
          <cell r="B793" t="str">
            <v>Eje 17, 21 entre ejes A y A'</v>
          </cell>
          <cell r="C793" t="str">
            <v>m2</v>
          </cell>
          <cell r="D793">
            <v>2</v>
          </cell>
          <cell r="E793">
            <v>1.6</v>
          </cell>
          <cell r="G793">
            <v>2.35</v>
          </cell>
          <cell r="H793">
            <v>7.5200000000000005</v>
          </cell>
        </row>
        <row r="794">
          <cell r="B794" t="str">
            <v>Ejes 18, 19,y 20 entre ejes A y A'</v>
          </cell>
          <cell r="C794" t="str">
            <v>m2</v>
          </cell>
          <cell r="D794">
            <v>3</v>
          </cell>
          <cell r="E794">
            <v>1.3</v>
          </cell>
          <cell r="G794">
            <v>2.35</v>
          </cell>
          <cell r="H794">
            <v>9.1650000000000009</v>
          </cell>
        </row>
        <row r="795">
          <cell r="B795" t="str">
            <v>En parapeto de tribunas</v>
          </cell>
          <cell r="H795">
            <v>0</v>
          </cell>
        </row>
        <row r="796">
          <cell r="B796" t="str">
            <v>CA-2 Eje 1 y 37 entre ejes C - D</v>
          </cell>
          <cell r="C796" t="str">
            <v>m2</v>
          </cell>
          <cell r="D796">
            <v>2</v>
          </cell>
          <cell r="E796">
            <v>9.25</v>
          </cell>
          <cell r="G796">
            <v>1</v>
          </cell>
          <cell r="H796">
            <v>18.5</v>
          </cell>
        </row>
        <row r="797">
          <cell r="B797" t="str">
            <v>CA-2 Eje 8 y 36 entre ejes A - B</v>
          </cell>
          <cell r="C797" t="str">
            <v>m2</v>
          </cell>
          <cell r="D797">
            <v>2</v>
          </cell>
          <cell r="E797">
            <v>7.51</v>
          </cell>
          <cell r="G797">
            <v>1</v>
          </cell>
          <cell r="H797">
            <v>15.02</v>
          </cell>
        </row>
        <row r="798">
          <cell r="B798" t="str">
            <v>CA-2 Eje C entre ejes 1 - 8 y 36 - 37</v>
          </cell>
          <cell r="C798" t="str">
            <v>m2</v>
          </cell>
          <cell r="D798">
            <v>1</v>
          </cell>
          <cell r="E798">
            <v>52.550000000000004</v>
          </cell>
          <cell r="G798">
            <v>1.8</v>
          </cell>
          <cell r="H798">
            <v>94.59</v>
          </cell>
        </row>
        <row r="799">
          <cell r="B799" t="str">
            <v>CA-2 Eje A entre ejes 8 - 36</v>
          </cell>
          <cell r="C799" t="str">
            <v>m2</v>
          </cell>
          <cell r="D799">
            <v>1</v>
          </cell>
          <cell r="E799">
            <v>199.08</v>
          </cell>
          <cell r="G799">
            <v>1.8</v>
          </cell>
          <cell r="H799">
            <v>358.34400000000005</v>
          </cell>
          <cell r="I799">
            <v>2983.4120000000003</v>
          </cell>
        </row>
        <row r="801">
          <cell r="A801" t="str">
            <v>05.12.00</v>
          </cell>
          <cell r="B801" t="str">
            <v>MUROS DE SOSTENIEMIENTO DEBAJO DE GRADERIAS H=3.00mts.</v>
          </cell>
        </row>
        <row r="802">
          <cell r="A802" t="str">
            <v>05.12.01</v>
          </cell>
          <cell r="B802" t="str">
            <v>Concreto f'c=210 kg/cm2 en muro de sostenimiento e=0,25 m</v>
          </cell>
          <cell r="C802" t="str">
            <v>m3</v>
          </cell>
        </row>
        <row r="803">
          <cell r="B803" t="str">
            <v xml:space="preserve">En Zotano </v>
          </cell>
        </row>
        <row r="804">
          <cell r="B804" t="str">
            <v>En eje D entre eje 7 - 13</v>
          </cell>
          <cell r="C804" t="str">
            <v>m3</v>
          </cell>
          <cell r="D804">
            <v>6</v>
          </cell>
          <cell r="E804">
            <v>5.89</v>
          </cell>
          <cell r="F804">
            <v>0.25</v>
          </cell>
          <cell r="G804">
            <v>3</v>
          </cell>
          <cell r="H804">
            <v>26.504999999999995</v>
          </cell>
        </row>
        <row r="805">
          <cell r="B805" t="str">
            <v>En eje D entre eje 13 - 14 y 24 - 25</v>
          </cell>
          <cell r="C805" t="str">
            <v>m3</v>
          </cell>
          <cell r="D805">
            <v>2</v>
          </cell>
          <cell r="E805">
            <v>5.57</v>
          </cell>
          <cell r="F805">
            <v>0.25</v>
          </cell>
          <cell r="G805">
            <v>3</v>
          </cell>
          <cell r="H805">
            <v>8.3550000000000004</v>
          </cell>
        </row>
        <row r="806">
          <cell r="B806" t="str">
            <v xml:space="preserve">En eje D entre eje 14 - 24 </v>
          </cell>
          <cell r="C806" t="str">
            <v>m3</v>
          </cell>
          <cell r="D806">
            <v>10</v>
          </cell>
          <cell r="E806">
            <v>6.9</v>
          </cell>
          <cell r="F806">
            <v>0.25</v>
          </cell>
          <cell r="G806">
            <v>3</v>
          </cell>
          <cell r="H806">
            <v>51.75</v>
          </cell>
        </row>
        <row r="807">
          <cell r="B807" t="str">
            <v>En eje 1 entre eje C - D</v>
          </cell>
          <cell r="C807" t="str">
            <v>m3</v>
          </cell>
          <cell r="D807">
            <v>1</v>
          </cell>
          <cell r="E807">
            <v>6.7</v>
          </cell>
          <cell r="F807">
            <v>0.25</v>
          </cell>
          <cell r="G807">
            <v>3</v>
          </cell>
          <cell r="H807">
            <v>5.0250000000000004</v>
          </cell>
        </row>
        <row r="808">
          <cell r="B808" t="str">
            <v>En eje C entre eje 1 - 6</v>
          </cell>
          <cell r="C808" t="str">
            <v>m3</v>
          </cell>
          <cell r="D808">
            <v>5</v>
          </cell>
          <cell r="E808">
            <v>6.74</v>
          </cell>
          <cell r="F808">
            <v>0.25</v>
          </cell>
          <cell r="G808">
            <v>3</v>
          </cell>
          <cell r="H808">
            <v>25.275000000000002</v>
          </cell>
        </row>
        <row r="809">
          <cell r="B809" t="str">
            <v>En eje 6 entre eje B - C</v>
          </cell>
          <cell r="C809" t="str">
            <v>m3</v>
          </cell>
          <cell r="D809">
            <v>1</v>
          </cell>
          <cell r="E809">
            <v>3</v>
          </cell>
          <cell r="F809">
            <v>0.25</v>
          </cell>
          <cell r="G809">
            <v>3</v>
          </cell>
          <cell r="H809">
            <v>2.25</v>
          </cell>
        </row>
        <row r="810">
          <cell r="B810" t="str">
            <v>En eje B entre eje 6 - 8</v>
          </cell>
          <cell r="C810" t="str">
            <v>m3</v>
          </cell>
          <cell r="D810">
            <v>1</v>
          </cell>
          <cell r="E810">
            <v>14.45</v>
          </cell>
          <cell r="F810">
            <v>0.25</v>
          </cell>
          <cell r="G810">
            <v>3</v>
          </cell>
          <cell r="H810">
            <v>10.837499999999999</v>
          </cell>
        </row>
        <row r="811">
          <cell r="B811" t="str">
            <v>En eje 8 entre eje A - B</v>
          </cell>
          <cell r="C811" t="str">
            <v>m3</v>
          </cell>
          <cell r="D811">
            <v>1</v>
          </cell>
          <cell r="E811">
            <v>6.3</v>
          </cell>
          <cell r="F811">
            <v>0.25</v>
          </cell>
          <cell r="G811">
            <v>3</v>
          </cell>
          <cell r="H811">
            <v>4.7249999999999996</v>
          </cell>
        </row>
        <row r="812">
          <cell r="B812" t="str">
            <v xml:space="preserve">Cimentación de muros </v>
          </cell>
          <cell r="C812" t="str">
            <v>m3</v>
          </cell>
          <cell r="D812">
            <v>1</v>
          </cell>
          <cell r="E812">
            <v>566.23</v>
          </cell>
          <cell r="F812">
            <v>2.4</v>
          </cell>
          <cell r="G812">
            <v>0.4</v>
          </cell>
          <cell r="H812">
            <v>543.58080000000007</v>
          </cell>
          <cell r="I812">
            <v>678.30330000000004</v>
          </cell>
        </row>
        <row r="814">
          <cell r="A814" t="str">
            <v>05.12.02</v>
          </cell>
          <cell r="B814" t="str">
            <v>ENCOFRADO Y DESENCOFRADO CARAVISTA EN MUROS DE SOSTENIMIENTO (A / LADOS)</v>
          </cell>
        </row>
        <row r="815">
          <cell r="B815" t="str">
            <v>Encofrado de muro DE SOSTENIMIENTO</v>
          </cell>
          <cell r="C815" t="str">
            <v>m2</v>
          </cell>
          <cell r="D815">
            <v>2</v>
          </cell>
          <cell r="E815">
            <v>566.23</v>
          </cell>
          <cell r="G815">
            <v>3</v>
          </cell>
          <cell r="H815">
            <v>3397.38</v>
          </cell>
          <cell r="I815">
            <v>3397.38</v>
          </cell>
        </row>
        <row r="817">
          <cell r="A817" t="str">
            <v>05.12.03</v>
          </cell>
          <cell r="B817" t="str">
            <v xml:space="preserve">ACERO  FY=4200 KG/CM2 MUROS DE SOSTENIMIENTO </v>
          </cell>
          <cell r="C817" t="str">
            <v>kg</v>
          </cell>
        </row>
        <row r="818">
          <cell r="B818" t="str">
            <v>Se ha considerado 30 Kg/m3 de concreto</v>
          </cell>
          <cell r="C818" t="str">
            <v>Kg</v>
          </cell>
          <cell r="D818">
            <v>1</v>
          </cell>
          <cell r="E818">
            <v>20349.099000000002</v>
          </cell>
          <cell r="H818">
            <v>20349.099000000002</v>
          </cell>
          <cell r="I818">
            <v>20349.099000000002</v>
          </cell>
        </row>
        <row r="820">
          <cell r="A820" t="str">
            <v>05.13.00</v>
          </cell>
          <cell r="B820" t="str">
            <v>LOSA ALIGERADA UNIDIRECCIONAL</v>
          </cell>
        </row>
        <row r="821">
          <cell r="A821" t="str">
            <v>05.13.01</v>
          </cell>
          <cell r="B821" t="str">
            <v>CONCRETO PREMEZCLADO EN LOSA ALIGERADA  UNIDIRECCIONAL f'c=210 kg/cm2</v>
          </cell>
          <cell r="I821">
            <v>123.18643749999997</v>
          </cell>
        </row>
        <row r="822">
          <cell r="B822" t="str">
            <v>1º PISO</v>
          </cell>
        </row>
        <row r="823">
          <cell r="B823" t="str">
            <v>Losa tipo LA-1 (H=0.20M)</v>
          </cell>
          <cell r="C823" t="str">
            <v>m3</v>
          </cell>
          <cell r="D823">
            <v>1</v>
          </cell>
          <cell r="E823" t="str">
            <v>Area cad=</v>
          </cell>
          <cell r="F823">
            <v>11.493</v>
          </cell>
          <cell r="G823">
            <v>8.7499999999999994E-2</v>
          </cell>
          <cell r="H823">
            <v>1.0056375</v>
          </cell>
        </row>
        <row r="824">
          <cell r="B824" t="str">
            <v>Losa tipo LA-2 (H=0.20M)</v>
          </cell>
          <cell r="C824" t="str">
            <v>m3</v>
          </cell>
          <cell r="D824">
            <v>1</v>
          </cell>
          <cell r="E824" t="str">
            <v>Area cad=</v>
          </cell>
          <cell r="F824">
            <v>11.175000000000001</v>
          </cell>
          <cell r="G824">
            <v>8.7499999999999994E-2</v>
          </cell>
          <cell r="H824">
            <v>0.97781249999999997</v>
          </cell>
        </row>
        <row r="825">
          <cell r="B825" t="str">
            <v>Losa tipo LA-3 (H=0.20M)</v>
          </cell>
          <cell r="C825" t="str">
            <v>m3</v>
          </cell>
          <cell r="D825">
            <v>1</v>
          </cell>
          <cell r="E825" t="str">
            <v>Area cad=</v>
          </cell>
          <cell r="F825">
            <v>11.169</v>
          </cell>
          <cell r="G825">
            <v>8.7499999999999994E-2</v>
          </cell>
          <cell r="H825">
            <v>0.97728749999999998</v>
          </cell>
        </row>
        <row r="826">
          <cell r="B826" t="str">
            <v>Losa tipo LA-4 (H=0.20M)</v>
          </cell>
          <cell r="C826" t="str">
            <v>m3</v>
          </cell>
          <cell r="D826">
            <v>1</v>
          </cell>
          <cell r="E826" t="str">
            <v>Area cad=</v>
          </cell>
          <cell r="F826">
            <v>11.164999999999999</v>
          </cell>
          <cell r="G826">
            <v>8.7499999999999994E-2</v>
          </cell>
          <cell r="H826">
            <v>0.9769374999999999</v>
          </cell>
        </row>
        <row r="827">
          <cell r="B827" t="str">
            <v>Losa tipo LA-5 (H=0.20M)</v>
          </cell>
          <cell r="C827" t="str">
            <v>m3</v>
          </cell>
          <cell r="D827">
            <v>1</v>
          </cell>
          <cell r="E827" t="str">
            <v>Area cad=</v>
          </cell>
          <cell r="F827">
            <v>11.164</v>
          </cell>
          <cell r="G827">
            <v>8.7499999999999994E-2</v>
          </cell>
          <cell r="H827">
            <v>0.97684999999999989</v>
          </cell>
        </row>
        <row r="828">
          <cell r="B828" t="str">
            <v>Losa tipo LA-6 (H=0.20M)</v>
          </cell>
          <cell r="C828" t="str">
            <v>m3</v>
          </cell>
          <cell r="D828">
            <v>1</v>
          </cell>
          <cell r="E828" t="str">
            <v>Area cad=</v>
          </cell>
          <cell r="F828">
            <v>5.2539999999999996</v>
          </cell>
          <cell r="G828">
            <v>8.7499999999999994E-2</v>
          </cell>
          <cell r="H828">
            <v>0.45972499999999994</v>
          </cell>
        </row>
        <row r="829">
          <cell r="B829" t="str">
            <v>Losa tipo LA-7 (H=0.20M)</v>
          </cell>
          <cell r="C829" t="str">
            <v>m3</v>
          </cell>
          <cell r="D829">
            <v>1</v>
          </cell>
          <cell r="E829" t="str">
            <v>Area cad=</v>
          </cell>
          <cell r="F829">
            <v>5.2539999999999996</v>
          </cell>
          <cell r="G829">
            <v>8.7499999999999994E-2</v>
          </cell>
          <cell r="H829">
            <v>0.45972499999999994</v>
          </cell>
        </row>
        <row r="830">
          <cell r="B830" t="str">
            <v>Losa tipo LA-8 (H=0.20M)</v>
          </cell>
          <cell r="C830" t="str">
            <v>m3</v>
          </cell>
          <cell r="D830">
            <v>1</v>
          </cell>
          <cell r="E830" t="str">
            <v>Area cad=</v>
          </cell>
          <cell r="F830">
            <v>11.483000000000001</v>
          </cell>
          <cell r="G830">
            <v>8.7499999999999994E-2</v>
          </cell>
          <cell r="H830">
            <v>1.0047625</v>
          </cell>
        </row>
        <row r="832">
          <cell r="B832" t="str">
            <v>MEZANINE</v>
          </cell>
        </row>
        <row r="833">
          <cell r="B833" t="str">
            <v>Losa tipo LA-1 (H=0.20M)</v>
          </cell>
          <cell r="C833" t="str">
            <v>m3</v>
          </cell>
          <cell r="D833">
            <v>1</v>
          </cell>
          <cell r="E833" t="str">
            <v>Area cad=</v>
          </cell>
          <cell r="F833">
            <v>13.672000000000001</v>
          </cell>
          <cell r="G833">
            <v>8.7499999999999994E-2</v>
          </cell>
          <cell r="H833">
            <v>1.1962999999999999</v>
          </cell>
        </row>
        <row r="834">
          <cell r="B834" t="str">
            <v>Losa tipo LA-2 (H=0.20M)</v>
          </cell>
          <cell r="C834" t="str">
            <v>m3</v>
          </cell>
          <cell r="D834">
            <v>1</v>
          </cell>
          <cell r="E834" t="str">
            <v>Area cad=</v>
          </cell>
          <cell r="F834">
            <v>15.855</v>
          </cell>
          <cell r="G834">
            <v>8.7499999999999994E-2</v>
          </cell>
          <cell r="H834">
            <v>1.3873124999999999</v>
          </cell>
        </row>
        <row r="835">
          <cell r="B835" t="str">
            <v>Losa tipo LA-3 (H=0.20M)</v>
          </cell>
          <cell r="C835" t="str">
            <v>m3</v>
          </cell>
          <cell r="D835">
            <v>1</v>
          </cell>
          <cell r="E835" t="str">
            <v>Area cad=</v>
          </cell>
          <cell r="F835">
            <v>17.455000000000002</v>
          </cell>
          <cell r="G835">
            <v>8.7499999999999994E-2</v>
          </cell>
          <cell r="H835">
            <v>1.5273125000000001</v>
          </cell>
        </row>
        <row r="836">
          <cell r="B836" t="str">
            <v>Losa tipo LA-4 (H=0.20M)</v>
          </cell>
          <cell r="C836" t="str">
            <v>m3</v>
          </cell>
          <cell r="D836">
            <v>1</v>
          </cell>
          <cell r="E836" t="str">
            <v>Area cad=</v>
          </cell>
          <cell r="F836">
            <v>17.327999999999999</v>
          </cell>
          <cell r="G836">
            <v>8.7499999999999994E-2</v>
          </cell>
          <cell r="H836">
            <v>1.5161999999999998</v>
          </cell>
        </row>
        <row r="837">
          <cell r="B837" t="str">
            <v>Losa tipo LA-5 (H=0.20M)</v>
          </cell>
          <cell r="C837" t="str">
            <v>m3</v>
          </cell>
          <cell r="D837">
            <v>1</v>
          </cell>
          <cell r="E837" t="str">
            <v>Area cad=</v>
          </cell>
          <cell r="F837">
            <v>18.457000000000001</v>
          </cell>
          <cell r="G837">
            <v>8.7499999999999994E-2</v>
          </cell>
          <cell r="H837">
            <v>1.6149875</v>
          </cell>
        </row>
        <row r="838">
          <cell r="B838" t="str">
            <v>Losa tipo LA-6 (H=0.20M)</v>
          </cell>
          <cell r="C838" t="str">
            <v>m3</v>
          </cell>
          <cell r="D838">
            <v>1</v>
          </cell>
          <cell r="E838" t="str">
            <v>Area cad=</v>
          </cell>
          <cell r="F838">
            <v>41.792999999999992</v>
          </cell>
          <cell r="G838">
            <v>8.7499999999999994E-2</v>
          </cell>
          <cell r="H838">
            <v>3.656887499999999</v>
          </cell>
        </row>
        <row r="839">
          <cell r="B839" t="str">
            <v>Losa tipo LA-7 (H=0.20M)</v>
          </cell>
          <cell r="C839" t="str">
            <v>m3</v>
          </cell>
          <cell r="D839">
            <v>1</v>
          </cell>
          <cell r="E839" t="str">
            <v>Area cad=</v>
          </cell>
          <cell r="F839">
            <v>17.326999999999998</v>
          </cell>
          <cell r="G839">
            <v>8.7499999999999994E-2</v>
          </cell>
          <cell r="H839">
            <v>1.5161124999999998</v>
          </cell>
        </row>
        <row r="840">
          <cell r="B840" t="str">
            <v>Losa tipo LA-8 (H=0.20M)</v>
          </cell>
          <cell r="C840" t="str">
            <v>m3</v>
          </cell>
          <cell r="D840">
            <v>1</v>
          </cell>
          <cell r="E840" t="str">
            <v>Area cad=</v>
          </cell>
          <cell r="F840">
            <v>20.707999999999998</v>
          </cell>
          <cell r="G840">
            <v>8.7499999999999994E-2</v>
          </cell>
          <cell r="H840">
            <v>1.8119499999999997</v>
          </cell>
        </row>
        <row r="841">
          <cell r="B841" t="str">
            <v>Losa tipo LA-9 (H=0.20M)</v>
          </cell>
          <cell r="C841" t="str">
            <v>m3</v>
          </cell>
          <cell r="D841">
            <v>1</v>
          </cell>
          <cell r="E841" t="str">
            <v>Area cad=</v>
          </cell>
          <cell r="F841">
            <v>11.433</v>
          </cell>
          <cell r="G841">
            <v>8.7499999999999994E-2</v>
          </cell>
          <cell r="H841">
            <v>1.0003875</v>
          </cell>
        </row>
        <row r="842">
          <cell r="B842" t="str">
            <v>Losa tipo LA-10 (H=0.20M)</v>
          </cell>
          <cell r="C842" t="str">
            <v>m3</v>
          </cell>
          <cell r="D842">
            <v>1</v>
          </cell>
          <cell r="E842" t="str">
            <v>Area cad=</v>
          </cell>
          <cell r="F842">
            <v>12.744</v>
          </cell>
          <cell r="G842">
            <v>8.7499999999999994E-2</v>
          </cell>
          <cell r="H842">
            <v>1.1151</v>
          </cell>
        </row>
        <row r="843">
          <cell r="B843" t="str">
            <v>Losa tipo LA-11 (H=0.20M)</v>
          </cell>
          <cell r="C843" t="str">
            <v>m3</v>
          </cell>
          <cell r="D843">
            <v>1</v>
          </cell>
          <cell r="E843" t="str">
            <v>Area cad=</v>
          </cell>
          <cell r="F843">
            <v>16.277000000000001</v>
          </cell>
          <cell r="G843">
            <v>8.7499999999999994E-2</v>
          </cell>
          <cell r="H843">
            <v>1.4242375</v>
          </cell>
        </row>
        <row r="844">
          <cell r="B844" t="str">
            <v>Losa tipo LA-12 (H=0.20M)</v>
          </cell>
          <cell r="C844" t="str">
            <v>m3</v>
          </cell>
          <cell r="D844">
            <v>1</v>
          </cell>
          <cell r="E844" t="str">
            <v>Area cad=</v>
          </cell>
          <cell r="F844">
            <v>12.14</v>
          </cell>
          <cell r="G844">
            <v>8.7499999999999994E-2</v>
          </cell>
          <cell r="H844">
            <v>1.0622499999999999</v>
          </cell>
        </row>
        <row r="845">
          <cell r="B845" t="str">
            <v>Losa tipo LA-13 (H=0.20M)</v>
          </cell>
          <cell r="C845" t="str">
            <v>m3</v>
          </cell>
          <cell r="D845">
            <v>1</v>
          </cell>
          <cell r="E845" t="str">
            <v>Area cad=</v>
          </cell>
          <cell r="F845">
            <v>16.273</v>
          </cell>
          <cell r="G845">
            <v>8.7499999999999994E-2</v>
          </cell>
          <cell r="H845">
            <v>1.4238875</v>
          </cell>
        </row>
        <row r="846">
          <cell r="B846" t="str">
            <v>Losa tipo LA-14 (H=0.20M)</v>
          </cell>
          <cell r="C846" t="str">
            <v>m3</v>
          </cell>
          <cell r="D846">
            <v>1</v>
          </cell>
          <cell r="E846" t="str">
            <v>Area cad=</v>
          </cell>
          <cell r="F846">
            <v>17.417999999999999</v>
          </cell>
          <cell r="G846">
            <v>8.7499999999999994E-2</v>
          </cell>
          <cell r="H846">
            <v>1.5240749999999998</v>
          </cell>
        </row>
        <row r="847">
          <cell r="B847" t="str">
            <v>Losa tipo LA-15 (H=0.20M)</v>
          </cell>
          <cell r="C847" t="str">
            <v>m3</v>
          </cell>
          <cell r="D847">
            <v>1</v>
          </cell>
          <cell r="E847" t="str">
            <v>Area cad=</v>
          </cell>
          <cell r="F847">
            <v>18.495000000000001</v>
          </cell>
          <cell r="G847">
            <v>8.7499999999999994E-2</v>
          </cell>
          <cell r="H847">
            <v>1.6183125</v>
          </cell>
        </row>
        <row r="848">
          <cell r="B848" t="str">
            <v>Losa tipo LA-16 (H=0.20M)</v>
          </cell>
          <cell r="C848" t="str">
            <v>m3</v>
          </cell>
          <cell r="D848">
            <v>1</v>
          </cell>
          <cell r="E848" t="str">
            <v>Area cad=</v>
          </cell>
          <cell r="F848">
            <v>41.911999999999999</v>
          </cell>
          <cell r="G848">
            <v>8.7499999999999994E-2</v>
          </cell>
          <cell r="H848">
            <v>3.6672999999999996</v>
          </cell>
        </row>
        <row r="849">
          <cell r="B849" t="str">
            <v>Losa tipo LA-17 (H=0.20M)</v>
          </cell>
          <cell r="C849" t="str">
            <v>m3</v>
          </cell>
          <cell r="D849">
            <v>1</v>
          </cell>
          <cell r="E849" t="str">
            <v>Area cad=</v>
          </cell>
          <cell r="F849">
            <v>16.273</v>
          </cell>
          <cell r="G849">
            <v>8.7499999999999994E-2</v>
          </cell>
          <cell r="H849">
            <v>1.4238875</v>
          </cell>
        </row>
        <row r="850">
          <cell r="B850" t="str">
            <v>Losa tipo LA-18 (H=0.20M)</v>
          </cell>
          <cell r="C850" t="str">
            <v>m3</v>
          </cell>
          <cell r="D850">
            <v>1</v>
          </cell>
          <cell r="E850" t="str">
            <v>Area cad=</v>
          </cell>
          <cell r="F850">
            <v>17.417999999999999</v>
          </cell>
          <cell r="G850">
            <v>8.7499999999999994E-2</v>
          </cell>
          <cell r="H850">
            <v>1.5240749999999998</v>
          </cell>
        </row>
        <row r="851">
          <cell r="B851" t="str">
            <v>Losa tipo LA-19 (H=0.20M)</v>
          </cell>
          <cell r="C851" t="str">
            <v>m3</v>
          </cell>
          <cell r="D851">
            <v>1</v>
          </cell>
          <cell r="E851" t="str">
            <v>Area cad=</v>
          </cell>
          <cell r="F851">
            <v>17.920999999999999</v>
          </cell>
          <cell r="G851">
            <v>8.7499999999999994E-2</v>
          </cell>
          <cell r="H851">
            <v>1.5680874999999999</v>
          </cell>
        </row>
        <row r="852">
          <cell r="B852" t="str">
            <v>Losa tipo LA-20 (H=0.20M)</v>
          </cell>
          <cell r="C852" t="str">
            <v>m3</v>
          </cell>
          <cell r="D852">
            <v>1</v>
          </cell>
          <cell r="E852" t="str">
            <v>Area cad=</v>
          </cell>
          <cell r="F852">
            <v>16.809999999999999</v>
          </cell>
          <cell r="G852">
            <v>8.7499999999999994E-2</v>
          </cell>
          <cell r="H852">
            <v>1.4708749999999997</v>
          </cell>
        </row>
        <row r="853">
          <cell r="B853" t="str">
            <v>Losa tipo LA-21 (H=0.20M)</v>
          </cell>
          <cell r="C853" t="str">
            <v>m3</v>
          </cell>
          <cell r="D853">
            <v>1</v>
          </cell>
          <cell r="E853" t="str">
            <v>Area cad=</v>
          </cell>
          <cell r="F853">
            <v>16.273</v>
          </cell>
          <cell r="G853">
            <v>8.7499999999999994E-2</v>
          </cell>
          <cell r="H853">
            <v>1.4238875</v>
          </cell>
        </row>
        <row r="854">
          <cell r="B854" t="str">
            <v>Losa tipo LA-22 (H=0.20M)</v>
          </cell>
          <cell r="C854" t="str">
            <v>m3</v>
          </cell>
          <cell r="D854">
            <v>1</v>
          </cell>
          <cell r="E854" t="str">
            <v>Area cad=</v>
          </cell>
          <cell r="F854">
            <v>17.417999999999999</v>
          </cell>
          <cell r="G854">
            <v>8.7499999999999994E-2</v>
          </cell>
          <cell r="H854">
            <v>1.5240749999999998</v>
          </cell>
        </row>
        <row r="855">
          <cell r="B855" t="str">
            <v>Losa tipo LA-23 (H=0.20M)</v>
          </cell>
          <cell r="C855" t="str">
            <v>m3</v>
          </cell>
          <cell r="D855">
            <v>1</v>
          </cell>
          <cell r="E855" t="str">
            <v>Area cad=</v>
          </cell>
          <cell r="F855">
            <v>18.495000000000001</v>
          </cell>
          <cell r="G855">
            <v>8.7499999999999994E-2</v>
          </cell>
          <cell r="H855">
            <v>1.6183125</v>
          </cell>
        </row>
        <row r="856">
          <cell r="B856" t="str">
            <v>Losa tipo LA-24 (H=0.20M)</v>
          </cell>
          <cell r="C856" t="str">
            <v>m3</v>
          </cell>
          <cell r="D856">
            <v>1</v>
          </cell>
          <cell r="E856" t="str">
            <v>Area cad=</v>
          </cell>
          <cell r="F856">
            <v>41.911999999999999</v>
          </cell>
          <cell r="G856">
            <v>8.7499999999999994E-2</v>
          </cell>
          <cell r="H856">
            <v>3.6672999999999996</v>
          </cell>
        </row>
        <row r="857">
          <cell r="B857" t="str">
            <v>Losa tipo LA-25 (H=0.20M)</v>
          </cell>
          <cell r="C857" t="str">
            <v>m3</v>
          </cell>
          <cell r="D857">
            <v>1</v>
          </cell>
          <cell r="E857" t="str">
            <v>Area cad=</v>
          </cell>
          <cell r="F857">
            <v>16.273</v>
          </cell>
          <cell r="G857">
            <v>8.7499999999999994E-2</v>
          </cell>
          <cell r="H857">
            <v>1.4238875</v>
          </cell>
        </row>
        <row r="858">
          <cell r="B858" t="str">
            <v>Losa tipo LA-26 (H=0.20M)</v>
          </cell>
          <cell r="C858" t="str">
            <v>m3</v>
          </cell>
          <cell r="D858">
            <v>1</v>
          </cell>
          <cell r="E858" t="str">
            <v>Area cad=</v>
          </cell>
          <cell r="F858">
            <v>17.417999999999999</v>
          </cell>
          <cell r="G858">
            <v>8.7499999999999994E-2</v>
          </cell>
          <cell r="H858">
            <v>1.5240749999999998</v>
          </cell>
        </row>
        <row r="859">
          <cell r="B859" t="str">
            <v>Losa tipo LA-27 (H=0.20M)</v>
          </cell>
          <cell r="C859" t="str">
            <v>m3</v>
          </cell>
          <cell r="D859">
            <v>1</v>
          </cell>
          <cell r="E859" t="str">
            <v>Area cad=</v>
          </cell>
          <cell r="F859">
            <v>12.14</v>
          </cell>
          <cell r="G859">
            <v>8.7499999999999994E-2</v>
          </cell>
          <cell r="H859">
            <v>1.0622499999999999</v>
          </cell>
        </row>
        <row r="860">
          <cell r="B860" t="str">
            <v>Losa tipo LA-28 (H=0.20M)</v>
          </cell>
          <cell r="C860" t="str">
            <v>m3</v>
          </cell>
          <cell r="D860">
            <v>1</v>
          </cell>
          <cell r="E860" t="str">
            <v>Area cad=</v>
          </cell>
          <cell r="F860">
            <v>16.273</v>
          </cell>
          <cell r="G860">
            <v>8.7499999999999994E-2</v>
          </cell>
          <cell r="H860">
            <v>1.4238875</v>
          </cell>
        </row>
        <row r="861">
          <cell r="B861" t="str">
            <v>Losa tipo LA-29 (H=0.20M)</v>
          </cell>
          <cell r="C861" t="str">
            <v>m3</v>
          </cell>
          <cell r="D861">
            <v>1</v>
          </cell>
          <cell r="E861" t="str">
            <v>Area cad=</v>
          </cell>
          <cell r="F861">
            <v>11.433</v>
          </cell>
          <cell r="G861">
            <v>8.7499999999999994E-2</v>
          </cell>
          <cell r="H861">
            <v>1.0003875</v>
          </cell>
        </row>
        <row r="862">
          <cell r="B862" t="str">
            <v>Losa tipo LA-30 (H=0.20M)</v>
          </cell>
          <cell r="C862" t="str">
            <v>m3</v>
          </cell>
          <cell r="D862">
            <v>1</v>
          </cell>
          <cell r="E862" t="str">
            <v>Area cad=</v>
          </cell>
          <cell r="F862">
            <v>12.744</v>
          </cell>
          <cell r="G862">
            <v>8.7499999999999994E-2</v>
          </cell>
          <cell r="H862">
            <v>1.1151</v>
          </cell>
        </row>
        <row r="863">
          <cell r="B863" t="str">
            <v>Losa tipo LA-31 (H=0.20M)</v>
          </cell>
          <cell r="C863" t="str">
            <v>m3</v>
          </cell>
          <cell r="D863">
            <v>1</v>
          </cell>
          <cell r="E863" t="str">
            <v>Area cad=</v>
          </cell>
          <cell r="F863">
            <v>17.283999999999999</v>
          </cell>
          <cell r="G863">
            <v>8.7499999999999994E-2</v>
          </cell>
          <cell r="H863">
            <v>1.5123499999999999</v>
          </cell>
        </row>
        <row r="864">
          <cell r="B864" t="str">
            <v>Losa tipo LA-32 (H=0.20M)</v>
          </cell>
          <cell r="C864" t="str">
            <v>m3</v>
          </cell>
          <cell r="D864">
            <v>1</v>
          </cell>
          <cell r="E864" t="str">
            <v>Area cad=</v>
          </cell>
          <cell r="F864">
            <v>20.356000000000002</v>
          </cell>
          <cell r="G864">
            <v>8.7499999999999994E-2</v>
          </cell>
          <cell r="H864">
            <v>1.78115</v>
          </cell>
        </row>
        <row r="865">
          <cell r="B865" t="str">
            <v>Losa tipo LA-33 (H=0.20M)</v>
          </cell>
          <cell r="C865" t="str">
            <v>m3</v>
          </cell>
          <cell r="D865">
            <v>1</v>
          </cell>
          <cell r="E865" t="str">
            <v>Area cad=</v>
          </cell>
          <cell r="F865">
            <v>18.468</v>
          </cell>
          <cell r="G865">
            <v>8.7499999999999994E-2</v>
          </cell>
          <cell r="H865">
            <v>1.61595</v>
          </cell>
        </row>
        <row r="866">
          <cell r="B866" t="str">
            <v>Losa tipo LA-34 (H=0.20M)</v>
          </cell>
          <cell r="C866" t="str">
            <v>m3</v>
          </cell>
          <cell r="D866">
            <v>1</v>
          </cell>
          <cell r="E866" t="str">
            <v>Area cad=</v>
          </cell>
          <cell r="F866">
            <v>37.216999999999999</v>
          </cell>
          <cell r="G866">
            <v>8.7499999999999994E-2</v>
          </cell>
          <cell r="H866">
            <v>3.2564874999999995</v>
          </cell>
        </row>
        <row r="867">
          <cell r="B867" t="str">
            <v>Losa tipo LA-35 (H=0.20M)</v>
          </cell>
          <cell r="C867" t="str">
            <v>m3</v>
          </cell>
          <cell r="D867">
            <v>1</v>
          </cell>
          <cell r="E867" t="str">
            <v>Area cad=</v>
          </cell>
          <cell r="F867">
            <v>16.530999999999999</v>
          </cell>
          <cell r="G867">
            <v>8.7499999999999994E-2</v>
          </cell>
          <cell r="H867">
            <v>1.4464624999999998</v>
          </cell>
        </row>
        <row r="868">
          <cell r="B868" t="str">
            <v>Losa tipo LA-36 (H=0.20M)</v>
          </cell>
          <cell r="C868" t="str">
            <v>m3</v>
          </cell>
          <cell r="D868">
            <v>1</v>
          </cell>
          <cell r="E868" t="str">
            <v>Area cad=</v>
          </cell>
          <cell r="F868">
            <v>19.524000000000001</v>
          </cell>
          <cell r="G868">
            <v>8.7499999999999994E-2</v>
          </cell>
          <cell r="H868">
            <v>1.70835</v>
          </cell>
        </row>
        <row r="869">
          <cell r="B869" t="str">
            <v>Losa tipo LA-37 (H=0.20M)</v>
          </cell>
          <cell r="C869" t="str">
            <v>m3</v>
          </cell>
          <cell r="D869">
            <v>1</v>
          </cell>
          <cell r="E869" t="str">
            <v>Area cad=</v>
          </cell>
          <cell r="F869">
            <v>16.262999999999998</v>
          </cell>
          <cell r="G869">
            <v>8.7499999999999994E-2</v>
          </cell>
          <cell r="H869">
            <v>1.4230124999999998</v>
          </cell>
        </row>
        <row r="870">
          <cell r="B870" t="str">
            <v>Losa tipo LA-38 (H=0.20M)</v>
          </cell>
          <cell r="C870" t="str">
            <v>m3</v>
          </cell>
          <cell r="D870">
            <v>1</v>
          </cell>
          <cell r="E870" t="str">
            <v>Area cad=</v>
          </cell>
          <cell r="F870">
            <v>19.535</v>
          </cell>
          <cell r="G870">
            <v>8.7499999999999994E-2</v>
          </cell>
          <cell r="H870">
            <v>1.7093125</v>
          </cell>
        </row>
        <row r="871">
          <cell r="B871" t="str">
            <v>Losa tipo LA-39 (H=0.20M)</v>
          </cell>
          <cell r="C871" t="str">
            <v>m3</v>
          </cell>
          <cell r="D871">
            <v>1</v>
          </cell>
          <cell r="E871" t="str">
            <v>Area cad=</v>
          </cell>
          <cell r="F871">
            <v>15.673999999999999</v>
          </cell>
          <cell r="G871">
            <v>8.7499999999999994E-2</v>
          </cell>
          <cell r="H871">
            <v>1.3714749999999998</v>
          </cell>
        </row>
        <row r="872">
          <cell r="B872" t="str">
            <v>Losa tipo LA-40 (H=0.20M)</v>
          </cell>
          <cell r="C872" t="str">
            <v>m3</v>
          </cell>
          <cell r="D872">
            <v>1</v>
          </cell>
          <cell r="E872" t="str">
            <v>Area cad=</v>
          </cell>
          <cell r="F872">
            <v>18.87</v>
          </cell>
          <cell r="G872">
            <v>8.7499999999999994E-2</v>
          </cell>
          <cell r="H872">
            <v>1.651125</v>
          </cell>
        </row>
        <row r="873">
          <cell r="B873" t="str">
            <v>Losa tipo LA-41 (H=0.20M)</v>
          </cell>
          <cell r="C873" t="str">
            <v>m3</v>
          </cell>
          <cell r="D873">
            <v>1</v>
          </cell>
          <cell r="E873" t="str">
            <v>Area cad=</v>
          </cell>
          <cell r="F873">
            <v>15.826000000000001</v>
          </cell>
          <cell r="G873">
            <v>8.7499999999999994E-2</v>
          </cell>
          <cell r="H873">
            <v>1.3847749999999999</v>
          </cell>
        </row>
        <row r="874">
          <cell r="B874" t="str">
            <v>Losa tipo LA-42 (H=0.20M)</v>
          </cell>
          <cell r="C874" t="str">
            <v>m3</v>
          </cell>
          <cell r="D874">
            <v>1</v>
          </cell>
          <cell r="E874" t="str">
            <v>Area cad=</v>
          </cell>
          <cell r="F874">
            <v>18.972000000000001</v>
          </cell>
          <cell r="G874">
            <v>8.7499999999999994E-2</v>
          </cell>
          <cell r="H874">
            <v>1.66005</v>
          </cell>
        </row>
        <row r="875">
          <cell r="B875" t="str">
            <v>Losa tipo LA-43 (H=0.20M)</v>
          </cell>
          <cell r="C875" t="str">
            <v>m3</v>
          </cell>
          <cell r="D875">
            <v>1</v>
          </cell>
          <cell r="E875" t="str">
            <v>Area cad=</v>
          </cell>
          <cell r="F875">
            <v>18.428999999999998</v>
          </cell>
          <cell r="G875">
            <v>8.7499999999999994E-2</v>
          </cell>
          <cell r="H875">
            <v>1.6125374999999997</v>
          </cell>
        </row>
        <row r="876">
          <cell r="B876" t="str">
            <v>Losa tipo LA-44 (H=0.20M)</v>
          </cell>
          <cell r="C876" t="str">
            <v>m3</v>
          </cell>
          <cell r="D876">
            <v>1</v>
          </cell>
          <cell r="E876" t="str">
            <v>Area cad=</v>
          </cell>
          <cell r="F876">
            <v>16.245000000000001</v>
          </cell>
          <cell r="G876">
            <v>8.7499999999999994E-2</v>
          </cell>
          <cell r="H876">
            <v>1.4214374999999999</v>
          </cell>
        </row>
        <row r="877">
          <cell r="B877" t="str">
            <v>Losa tipo LA-45 (H=0.20M)</v>
          </cell>
          <cell r="C877" t="str">
            <v>m3</v>
          </cell>
          <cell r="D877">
            <v>1</v>
          </cell>
          <cell r="E877" t="str">
            <v>Area cad=</v>
          </cell>
          <cell r="F877">
            <v>19.558</v>
          </cell>
          <cell r="G877">
            <v>8.7499999999999994E-2</v>
          </cell>
          <cell r="H877">
            <v>1.711325</v>
          </cell>
        </row>
        <row r="878">
          <cell r="B878" t="str">
            <v>Losa tipo LA-46 (H=0.20M)</v>
          </cell>
          <cell r="C878" t="str">
            <v>m3</v>
          </cell>
          <cell r="D878">
            <v>1</v>
          </cell>
          <cell r="E878" t="str">
            <v>Area cad=</v>
          </cell>
          <cell r="F878">
            <v>19.503</v>
          </cell>
          <cell r="G878">
            <v>8.7499999999999994E-2</v>
          </cell>
          <cell r="H878">
            <v>1.7065124999999999</v>
          </cell>
        </row>
        <row r="879">
          <cell r="B879" t="str">
            <v>Losa tipo LA-47 (H=0.20M)</v>
          </cell>
          <cell r="C879" t="str">
            <v>m3</v>
          </cell>
          <cell r="D879">
            <v>1</v>
          </cell>
          <cell r="E879" t="str">
            <v>Area cad=</v>
          </cell>
          <cell r="F879">
            <v>16.261000000000003</v>
          </cell>
          <cell r="G879">
            <v>8.7499999999999994E-2</v>
          </cell>
          <cell r="H879">
            <v>1.4228375000000002</v>
          </cell>
        </row>
        <row r="880">
          <cell r="B880" t="str">
            <v>Losa tipo LA-48 (H=0.20M)</v>
          </cell>
          <cell r="C880" t="str">
            <v>m3</v>
          </cell>
          <cell r="D880">
            <v>1</v>
          </cell>
          <cell r="E880" t="str">
            <v>Area cad=</v>
          </cell>
          <cell r="F880">
            <v>18.059000000000001</v>
          </cell>
          <cell r="G880">
            <v>8.7499999999999994E-2</v>
          </cell>
          <cell r="H880">
            <v>1.5801624999999999</v>
          </cell>
        </row>
        <row r="881">
          <cell r="B881" t="str">
            <v>Losa tipo LA-49 (H=0.20M)</v>
          </cell>
          <cell r="C881" t="str">
            <v>m3</v>
          </cell>
          <cell r="D881">
            <v>1</v>
          </cell>
          <cell r="E881" t="str">
            <v>Area cad=</v>
          </cell>
          <cell r="F881">
            <v>16.242000000000001</v>
          </cell>
          <cell r="G881">
            <v>8.7499999999999994E-2</v>
          </cell>
          <cell r="H881">
            <v>1.4211750000000001</v>
          </cell>
        </row>
        <row r="883">
          <cell r="B883" t="str">
            <v>2º PISO</v>
          </cell>
        </row>
        <row r="884">
          <cell r="B884" t="str">
            <v>Losa tipo LA-1 (H=0.20M)</v>
          </cell>
          <cell r="C884" t="str">
            <v>m3</v>
          </cell>
          <cell r="D884">
            <v>1</v>
          </cell>
          <cell r="E884" t="str">
            <v>Area cad=</v>
          </cell>
          <cell r="F884">
            <v>12.375999999999999</v>
          </cell>
          <cell r="G884">
            <v>8.7499999999999994E-2</v>
          </cell>
          <cell r="H884">
            <v>1.0829</v>
          </cell>
        </row>
        <row r="885">
          <cell r="B885" t="str">
            <v>Losa tipo LA-2 (H=0.20M)</v>
          </cell>
          <cell r="C885" t="str">
            <v>m3</v>
          </cell>
          <cell r="D885">
            <v>1</v>
          </cell>
          <cell r="E885" t="str">
            <v>Area cad=</v>
          </cell>
          <cell r="F885">
            <v>18.425000000000001</v>
          </cell>
          <cell r="G885">
            <v>8.7499999999999994E-2</v>
          </cell>
          <cell r="H885">
            <v>1.6121874999999999</v>
          </cell>
        </row>
        <row r="886">
          <cell r="B886" t="str">
            <v>Losa tipo LA-3 (H=0.20M)</v>
          </cell>
          <cell r="C886" t="str">
            <v>m3</v>
          </cell>
          <cell r="D886">
            <v>1</v>
          </cell>
          <cell r="E886" t="str">
            <v>Area cad=</v>
          </cell>
          <cell r="F886">
            <v>18.388999999999999</v>
          </cell>
          <cell r="G886">
            <v>8.7499999999999994E-2</v>
          </cell>
          <cell r="H886">
            <v>1.6090374999999999</v>
          </cell>
        </row>
        <row r="887">
          <cell r="B887" t="str">
            <v>Losa tipo LA-4 (H=0.20M)</v>
          </cell>
          <cell r="C887" t="str">
            <v>m3</v>
          </cell>
          <cell r="D887">
            <v>1</v>
          </cell>
          <cell r="E887" t="str">
            <v>Area cad=</v>
          </cell>
          <cell r="F887">
            <v>19.164000000000001</v>
          </cell>
          <cell r="G887">
            <v>8.7499999999999994E-2</v>
          </cell>
          <cell r="H887">
            <v>1.67685</v>
          </cell>
        </row>
        <row r="888">
          <cell r="B888" t="str">
            <v>Losa tipo LA-5 (H=0.20M)</v>
          </cell>
          <cell r="C888" t="str">
            <v>m3</v>
          </cell>
          <cell r="D888">
            <v>1</v>
          </cell>
          <cell r="E888" t="str">
            <v>Area cad=</v>
          </cell>
          <cell r="F888">
            <v>11.992000000000001</v>
          </cell>
          <cell r="G888">
            <v>8.7499999999999994E-2</v>
          </cell>
          <cell r="H888">
            <v>1.0493000000000001</v>
          </cell>
        </row>
        <row r="889">
          <cell r="B889" t="str">
            <v>Losa tipo LA-6 (H=0.20M)</v>
          </cell>
          <cell r="C889" t="str">
            <v>m3</v>
          </cell>
          <cell r="D889">
            <v>1</v>
          </cell>
          <cell r="E889" t="str">
            <v>Area cad=</v>
          </cell>
          <cell r="F889">
            <v>11.121</v>
          </cell>
          <cell r="G889">
            <v>8.7499999999999994E-2</v>
          </cell>
          <cell r="H889">
            <v>0.97308749999999999</v>
          </cell>
        </row>
        <row r="890">
          <cell r="B890" t="str">
            <v>Losa tipo LA-7 (H=0.20M)</v>
          </cell>
          <cell r="C890" t="str">
            <v>m3</v>
          </cell>
          <cell r="D890">
            <v>1</v>
          </cell>
          <cell r="E890" t="str">
            <v>Area cad=</v>
          </cell>
          <cell r="F890">
            <v>16.39</v>
          </cell>
          <cell r="G890">
            <v>8.7499999999999994E-2</v>
          </cell>
          <cell r="H890">
            <v>1.4341249999999999</v>
          </cell>
        </row>
        <row r="891">
          <cell r="B891" t="str">
            <v>Losa tipo LA-8 (H=0.20M)</v>
          </cell>
          <cell r="C891" t="str">
            <v>m3</v>
          </cell>
          <cell r="D891">
            <v>1</v>
          </cell>
          <cell r="E891" t="str">
            <v>Area cad=</v>
          </cell>
          <cell r="F891">
            <v>16.39</v>
          </cell>
          <cell r="G891">
            <v>8.7499999999999994E-2</v>
          </cell>
          <cell r="H891">
            <v>1.4341249999999999</v>
          </cell>
        </row>
        <row r="892">
          <cell r="B892" t="str">
            <v>Losa tipo LA-9 (H=0.20M)</v>
          </cell>
          <cell r="C892" t="str">
            <v>m3</v>
          </cell>
          <cell r="D892">
            <v>1</v>
          </cell>
          <cell r="E892" t="str">
            <v>Area cad=</v>
          </cell>
          <cell r="F892">
            <v>15.78</v>
          </cell>
          <cell r="G892">
            <v>8.7499999999999994E-2</v>
          </cell>
          <cell r="H892">
            <v>1.3807499999999999</v>
          </cell>
        </row>
        <row r="893">
          <cell r="B893" t="str">
            <v>Losa tipo LA-10 (H=0.20M)</v>
          </cell>
          <cell r="C893" t="str">
            <v>m3</v>
          </cell>
          <cell r="D893">
            <v>1</v>
          </cell>
          <cell r="E893" t="str">
            <v>Area cad=</v>
          </cell>
          <cell r="F893">
            <v>15.78</v>
          </cell>
          <cell r="G893">
            <v>8.7499999999999994E-2</v>
          </cell>
          <cell r="H893">
            <v>1.3807499999999999</v>
          </cell>
        </row>
        <row r="894">
          <cell r="B894" t="str">
            <v>Losa tipo LA-11 (H=0.20M)</v>
          </cell>
          <cell r="C894" t="str">
            <v>m3</v>
          </cell>
          <cell r="D894">
            <v>1</v>
          </cell>
          <cell r="E894" t="str">
            <v>Area cad=</v>
          </cell>
          <cell r="F894">
            <v>16.39</v>
          </cell>
          <cell r="G894">
            <v>8.7499999999999994E-2</v>
          </cell>
          <cell r="H894">
            <v>1.4341249999999999</v>
          </cell>
        </row>
        <row r="895">
          <cell r="B895" t="str">
            <v>Losa tipo LA-12 (H=0.20M)</v>
          </cell>
          <cell r="C895" t="str">
            <v>m3</v>
          </cell>
          <cell r="D895">
            <v>1</v>
          </cell>
          <cell r="E895" t="str">
            <v>Area cad=</v>
          </cell>
          <cell r="F895">
            <v>16.39</v>
          </cell>
          <cell r="G895">
            <v>8.7499999999999994E-2</v>
          </cell>
          <cell r="H895">
            <v>1.4341249999999999</v>
          </cell>
        </row>
        <row r="896">
          <cell r="B896" t="str">
            <v>Losa tipo LA-13 (H=0.20M)</v>
          </cell>
          <cell r="C896" t="str">
            <v>m3</v>
          </cell>
          <cell r="D896">
            <v>1</v>
          </cell>
          <cell r="E896" t="str">
            <v>Area cad=</v>
          </cell>
          <cell r="F896">
            <v>16.39</v>
          </cell>
          <cell r="G896">
            <v>8.7499999999999994E-2</v>
          </cell>
          <cell r="H896">
            <v>1.4341249999999999</v>
          </cell>
        </row>
        <row r="897">
          <cell r="B897" t="str">
            <v>Losa tipo LA-14 (H=0.20M)</v>
          </cell>
          <cell r="C897" t="str">
            <v>m3</v>
          </cell>
          <cell r="D897">
            <v>1</v>
          </cell>
          <cell r="E897" t="str">
            <v>Area cad=</v>
          </cell>
          <cell r="F897">
            <v>11.815</v>
          </cell>
          <cell r="G897">
            <v>8.7499999999999994E-2</v>
          </cell>
          <cell r="H897">
            <v>1.0338124999999998</v>
          </cell>
        </row>
        <row r="898">
          <cell r="B898" t="str">
            <v>Losa tipo LA-15 (H=0.20M)</v>
          </cell>
          <cell r="C898" t="str">
            <v>m3</v>
          </cell>
          <cell r="D898">
            <v>1</v>
          </cell>
          <cell r="E898" t="str">
            <v>Area cad=</v>
          </cell>
          <cell r="F898">
            <v>12.013</v>
          </cell>
          <cell r="G898">
            <v>8.7499999999999994E-2</v>
          </cell>
          <cell r="H898">
            <v>1.0511374999999998</v>
          </cell>
        </row>
        <row r="899">
          <cell r="B899" t="str">
            <v>Losa tipo LA-16 (H=0.20M)</v>
          </cell>
          <cell r="C899" t="str">
            <v>m3</v>
          </cell>
          <cell r="D899">
            <v>1</v>
          </cell>
          <cell r="E899" t="str">
            <v>Area cad=</v>
          </cell>
          <cell r="F899">
            <v>19.170000000000002</v>
          </cell>
          <cell r="G899">
            <v>8.7499999999999994E-2</v>
          </cell>
          <cell r="H899">
            <v>1.6773750000000001</v>
          </cell>
        </row>
        <row r="900">
          <cell r="B900" t="str">
            <v>Losa tipo LA-17 (H=0.20M)</v>
          </cell>
          <cell r="C900" t="str">
            <v>m3</v>
          </cell>
          <cell r="D900">
            <v>1</v>
          </cell>
          <cell r="E900" t="str">
            <v>Area cad=</v>
          </cell>
          <cell r="F900">
            <v>18.207000000000001</v>
          </cell>
          <cell r="G900">
            <v>8.7499999999999994E-2</v>
          </cell>
          <cell r="H900">
            <v>1.5931124999999999</v>
          </cell>
        </row>
        <row r="901">
          <cell r="B901" t="str">
            <v>Losa tipo LA-18 (H=0.20M)</v>
          </cell>
          <cell r="C901" t="str">
            <v>m3</v>
          </cell>
          <cell r="D901">
            <v>1</v>
          </cell>
          <cell r="E901" t="str">
            <v>Area cad=</v>
          </cell>
          <cell r="F901">
            <v>18.213000000000001</v>
          </cell>
          <cell r="G901">
            <v>8.7499999999999994E-2</v>
          </cell>
          <cell r="H901">
            <v>1.5936375</v>
          </cell>
        </row>
        <row r="902">
          <cell r="B902" t="str">
            <v>Losa tipo LA-19 (H=0.20M)</v>
          </cell>
          <cell r="C902" t="str">
            <v>m3</v>
          </cell>
          <cell r="D902">
            <v>1</v>
          </cell>
          <cell r="E902" t="str">
            <v>Area cad=</v>
          </cell>
          <cell r="F902">
            <v>17.675999999999998</v>
          </cell>
          <cell r="G902">
            <v>8.7499999999999994E-2</v>
          </cell>
          <cell r="H902">
            <v>1.5466499999999999</v>
          </cell>
        </row>
        <row r="903">
          <cell r="B903" t="str">
            <v>Losa tipo LA-20 (H=0.20M)</v>
          </cell>
          <cell r="C903" t="str">
            <v>m3</v>
          </cell>
          <cell r="D903">
            <v>1</v>
          </cell>
          <cell r="E903" t="str">
            <v>Area cad=</v>
          </cell>
          <cell r="F903">
            <v>17.867999999999999</v>
          </cell>
          <cell r="G903">
            <v>8.7499999999999994E-2</v>
          </cell>
          <cell r="H903">
            <v>1.5634499999999998</v>
          </cell>
        </row>
        <row r="904">
          <cell r="B904" t="str">
            <v>Losa tipo LA-21 (H=0.20M)</v>
          </cell>
          <cell r="C904" t="str">
            <v>m3</v>
          </cell>
          <cell r="D904">
            <v>1</v>
          </cell>
          <cell r="E904" t="str">
            <v>Area cad=</v>
          </cell>
          <cell r="F904">
            <v>18.370999999999999</v>
          </cell>
          <cell r="G904">
            <v>8.7499999999999994E-2</v>
          </cell>
          <cell r="H904">
            <v>1.6074624999999998</v>
          </cell>
        </row>
        <row r="905">
          <cell r="B905" t="str">
            <v>Losa tipo LA-22 (H=0.20M)</v>
          </cell>
          <cell r="C905" t="str">
            <v>m3</v>
          </cell>
          <cell r="D905">
            <v>1</v>
          </cell>
          <cell r="E905" t="str">
            <v>Area cad=</v>
          </cell>
          <cell r="F905">
            <v>18.425000000000001</v>
          </cell>
          <cell r="G905">
            <v>8.7499999999999994E-2</v>
          </cell>
          <cell r="H905">
            <v>1.6121874999999999</v>
          </cell>
        </row>
        <row r="906">
          <cell r="B906" t="str">
            <v>Losa tipo LA-23 (H=0.20M)</v>
          </cell>
          <cell r="C906" t="str">
            <v>m3</v>
          </cell>
          <cell r="D906">
            <v>1</v>
          </cell>
          <cell r="E906" t="str">
            <v>Area cad=</v>
          </cell>
          <cell r="F906">
            <v>18.373000000000001</v>
          </cell>
          <cell r="G906">
            <v>8.7499999999999994E-2</v>
          </cell>
          <cell r="H906">
            <v>1.6076375000000001</v>
          </cell>
        </row>
        <row r="907">
          <cell r="B907" t="str">
            <v>Losa tipo LA-24 (H=0.20M)</v>
          </cell>
          <cell r="C907" t="str">
            <v>m3</v>
          </cell>
          <cell r="D907">
            <v>1</v>
          </cell>
          <cell r="E907" t="str">
            <v>Area cad=</v>
          </cell>
          <cell r="F907">
            <v>18.931999999999999</v>
          </cell>
          <cell r="G907">
            <v>8.7499999999999994E-2</v>
          </cell>
          <cell r="H907">
            <v>1.6565499999999997</v>
          </cell>
        </row>
        <row r="908">
          <cell r="B908" t="str">
            <v>Losa tipo LA-25 (H=0.20M)</v>
          </cell>
          <cell r="C908" t="str">
            <v>m3</v>
          </cell>
          <cell r="D908">
            <v>1</v>
          </cell>
          <cell r="E908" t="str">
            <v>Area cad=</v>
          </cell>
          <cell r="F908">
            <v>18.742999999999999</v>
          </cell>
          <cell r="G908">
            <v>8.7499999999999994E-2</v>
          </cell>
          <cell r="H908">
            <v>1.6400124999999999</v>
          </cell>
        </row>
        <row r="910">
          <cell r="A910" t="str">
            <v>05.13.02</v>
          </cell>
          <cell r="B910" t="str">
            <v>ENCOFRADO Y DESENCOFRADO EN LOSAS ALIGERADAS UNIDIRECCIONAL</v>
          </cell>
          <cell r="I910">
            <v>1407.8450000000003</v>
          </cell>
        </row>
        <row r="911">
          <cell r="B911" t="str">
            <v>1º PISO</v>
          </cell>
        </row>
        <row r="912">
          <cell r="B912" t="str">
            <v>Losa tipo LA-1 (H=0.20M)</v>
          </cell>
          <cell r="C912" t="str">
            <v>m2</v>
          </cell>
          <cell r="D912">
            <v>1</v>
          </cell>
          <cell r="E912" t="str">
            <v>Area cad=</v>
          </cell>
          <cell r="F912">
            <v>11.493</v>
          </cell>
          <cell r="H912">
            <v>11.493</v>
          </cell>
        </row>
        <row r="913">
          <cell r="B913" t="str">
            <v>Losa tipo LA-2 (H=0.20M)</v>
          </cell>
          <cell r="C913" t="str">
            <v>m2</v>
          </cell>
          <cell r="D913">
            <v>1</v>
          </cell>
          <cell r="E913" t="str">
            <v>Area cad=</v>
          </cell>
          <cell r="F913">
            <v>11.175000000000001</v>
          </cell>
          <cell r="H913">
            <v>11.175000000000001</v>
          </cell>
        </row>
        <row r="914">
          <cell r="B914" t="str">
            <v>Losa tipo LA-3 (H=0.20M)</v>
          </cell>
          <cell r="C914" t="str">
            <v>m2</v>
          </cell>
          <cell r="D914">
            <v>1</v>
          </cell>
          <cell r="E914" t="str">
            <v>Area cad=</v>
          </cell>
          <cell r="F914">
            <v>11.169</v>
          </cell>
          <cell r="H914">
            <v>11.169</v>
          </cell>
        </row>
        <row r="915">
          <cell r="B915" t="str">
            <v>Losa tipo LA-4 (H=0.20M)</v>
          </cell>
          <cell r="C915" t="str">
            <v>m2</v>
          </cell>
          <cell r="D915">
            <v>1</v>
          </cell>
          <cell r="E915" t="str">
            <v>Area cad=</v>
          </cell>
          <cell r="F915">
            <v>11.164999999999999</v>
          </cell>
          <cell r="H915">
            <v>11.164999999999999</v>
          </cell>
        </row>
        <row r="916">
          <cell r="B916" t="str">
            <v>Losa tipo LA-5 (H=0.20M)</v>
          </cell>
          <cell r="C916" t="str">
            <v>m2</v>
          </cell>
          <cell r="D916">
            <v>1</v>
          </cell>
          <cell r="E916" t="str">
            <v>Area cad=</v>
          </cell>
          <cell r="F916">
            <v>11.164</v>
          </cell>
          <cell r="H916">
            <v>11.164</v>
          </cell>
        </row>
        <row r="917">
          <cell r="B917" t="str">
            <v>Losa tipo LA-6 (H=0.20M)</v>
          </cell>
          <cell r="C917" t="str">
            <v>m2</v>
          </cell>
          <cell r="D917">
            <v>1</v>
          </cell>
          <cell r="E917" t="str">
            <v>Area cad=</v>
          </cell>
          <cell r="F917">
            <v>5.2539999999999996</v>
          </cell>
          <cell r="H917">
            <v>5.2539999999999996</v>
          </cell>
        </row>
        <row r="918">
          <cell r="B918" t="str">
            <v>Losa tipo LA-7 (H=0.20M)</v>
          </cell>
          <cell r="C918" t="str">
            <v>m2</v>
          </cell>
          <cell r="D918">
            <v>1</v>
          </cell>
          <cell r="E918" t="str">
            <v>Area cad=</v>
          </cell>
          <cell r="F918">
            <v>5.2539999999999996</v>
          </cell>
          <cell r="H918">
            <v>5.2539999999999996</v>
          </cell>
        </row>
        <row r="919">
          <cell r="B919" t="str">
            <v>Losa tipo LA-8 (H=0.20M)</v>
          </cell>
          <cell r="C919" t="str">
            <v>m2</v>
          </cell>
          <cell r="D919">
            <v>1</v>
          </cell>
          <cell r="E919" t="str">
            <v>Area cad=</v>
          </cell>
          <cell r="F919">
            <v>11.483000000000001</v>
          </cell>
          <cell r="H919">
            <v>11.483000000000001</v>
          </cell>
        </row>
        <row r="921">
          <cell r="B921" t="str">
            <v>MEZANINE</v>
          </cell>
        </row>
        <row r="922">
          <cell r="B922" t="str">
            <v>Losa tipo LA-1 (H=0.20M)</v>
          </cell>
          <cell r="C922" t="str">
            <v>m2</v>
          </cell>
          <cell r="D922">
            <v>1</v>
          </cell>
          <cell r="E922" t="str">
            <v>Area cad=</v>
          </cell>
          <cell r="F922">
            <v>13.672000000000001</v>
          </cell>
          <cell r="H922">
            <v>13.672000000000001</v>
          </cell>
        </row>
        <row r="923">
          <cell r="B923" t="str">
            <v>Losa tipo LA-2 (H=0.20M)</v>
          </cell>
          <cell r="C923" t="str">
            <v>m2</v>
          </cell>
          <cell r="D923">
            <v>1</v>
          </cell>
          <cell r="E923" t="str">
            <v>Area cad=</v>
          </cell>
          <cell r="F923">
            <v>15.855</v>
          </cell>
          <cell r="H923">
            <v>15.855</v>
          </cell>
        </row>
        <row r="924">
          <cell r="B924" t="str">
            <v>Losa tipo LA-3 (H=0.20M)</v>
          </cell>
          <cell r="C924" t="str">
            <v>m2</v>
          </cell>
          <cell r="D924">
            <v>1</v>
          </cell>
          <cell r="E924" t="str">
            <v>Area cad=</v>
          </cell>
          <cell r="F924">
            <v>17.455000000000002</v>
          </cell>
          <cell r="H924">
            <v>17.455000000000002</v>
          </cell>
        </row>
        <row r="925">
          <cell r="B925" t="str">
            <v>Losa tipo LA-4 (H=0.20M)</v>
          </cell>
          <cell r="C925" t="str">
            <v>m2</v>
          </cell>
          <cell r="D925">
            <v>1</v>
          </cell>
          <cell r="E925" t="str">
            <v>Area cad=</v>
          </cell>
          <cell r="F925">
            <v>17.327999999999999</v>
          </cell>
          <cell r="H925">
            <v>17.327999999999999</v>
          </cell>
        </row>
        <row r="926">
          <cell r="B926" t="str">
            <v>Losa tipo LA-5 (H=0.20M)</v>
          </cell>
          <cell r="C926" t="str">
            <v>m2</v>
          </cell>
          <cell r="D926">
            <v>1</v>
          </cell>
          <cell r="E926" t="str">
            <v>Area cad=</v>
          </cell>
          <cell r="F926">
            <v>18.457000000000001</v>
          </cell>
          <cell r="H926">
            <v>18.457000000000001</v>
          </cell>
        </row>
        <row r="927">
          <cell r="B927" t="str">
            <v>Losa tipo LA-6 (H=0.20M)</v>
          </cell>
          <cell r="C927" t="str">
            <v>m2</v>
          </cell>
          <cell r="D927">
            <v>1</v>
          </cell>
          <cell r="E927" t="str">
            <v>Area cad=</v>
          </cell>
          <cell r="F927">
            <v>41.792999999999992</v>
          </cell>
          <cell r="H927">
            <v>41.792999999999992</v>
          </cell>
        </row>
        <row r="928">
          <cell r="B928" t="str">
            <v>Losa tipo LA-7 (H=0.20M)</v>
          </cell>
          <cell r="C928" t="str">
            <v>m2</v>
          </cell>
          <cell r="D928">
            <v>1</v>
          </cell>
          <cell r="E928" t="str">
            <v>Area cad=</v>
          </cell>
          <cell r="F928">
            <v>17.326999999999998</v>
          </cell>
          <cell r="H928">
            <v>17.326999999999998</v>
          </cell>
        </row>
        <row r="929">
          <cell r="B929" t="str">
            <v>Losa tipo LA-8 (H=0.20M)</v>
          </cell>
          <cell r="C929" t="str">
            <v>m2</v>
          </cell>
          <cell r="D929">
            <v>1</v>
          </cell>
          <cell r="E929" t="str">
            <v>Area cad=</v>
          </cell>
          <cell r="F929">
            <v>20.707999999999998</v>
          </cell>
          <cell r="H929">
            <v>20.707999999999998</v>
          </cell>
        </row>
        <row r="930">
          <cell r="B930" t="str">
            <v>Losa tipo LA-9 (H=0.20M)</v>
          </cell>
          <cell r="C930" t="str">
            <v>m2</v>
          </cell>
          <cell r="D930">
            <v>1</v>
          </cell>
          <cell r="E930" t="str">
            <v>Area cad=</v>
          </cell>
          <cell r="F930">
            <v>11.433</v>
          </cell>
          <cell r="H930">
            <v>11.433</v>
          </cell>
        </row>
        <row r="931">
          <cell r="B931" t="str">
            <v>Losa tipo LA-10 (H=0.20M)</v>
          </cell>
          <cell r="C931" t="str">
            <v>m2</v>
          </cell>
          <cell r="D931">
            <v>1</v>
          </cell>
          <cell r="E931" t="str">
            <v>Area cad=</v>
          </cell>
          <cell r="F931">
            <v>12.744</v>
          </cell>
          <cell r="H931">
            <v>12.744</v>
          </cell>
        </row>
        <row r="932">
          <cell r="B932" t="str">
            <v>Losa tipo LA-11 (H=0.20M)</v>
          </cell>
          <cell r="C932" t="str">
            <v>m2</v>
          </cell>
          <cell r="D932">
            <v>1</v>
          </cell>
          <cell r="E932" t="str">
            <v>Area cad=</v>
          </cell>
          <cell r="F932">
            <v>16.277000000000001</v>
          </cell>
          <cell r="H932">
            <v>16.277000000000001</v>
          </cell>
        </row>
        <row r="933">
          <cell r="B933" t="str">
            <v>Losa tipo LA-12 (H=0.20M)</v>
          </cell>
          <cell r="C933" t="str">
            <v>m2</v>
          </cell>
          <cell r="D933">
            <v>1</v>
          </cell>
          <cell r="E933" t="str">
            <v>Area cad=</v>
          </cell>
          <cell r="F933">
            <v>12.14</v>
          </cell>
          <cell r="H933">
            <v>12.14</v>
          </cell>
        </row>
        <row r="934">
          <cell r="B934" t="str">
            <v>Losa tipo LA-13 (H=0.20M)</v>
          </cell>
          <cell r="C934" t="str">
            <v>m2</v>
          </cell>
          <cell r="D934">
            <v>1</v>
          </cell>
          <cell r="E934" t="str">
            <v>Area cad=</v>
          </cell>
          <cell r="F934">
            <v>16.273</v>
          </cell>
          <cell r="H934">
            <v>16.273</v>
          </cell>
        </row>
        <row r="935">
          <cell r="B935" t="str">
            <v>Losa tipo LA-14 (H=0.20M)</v>
          </cell>
          <cell r="C935" t="str">
            <v>m2</v>
          </cell>
          <cell r="D935">
            <v>1</v>
          </cell>
          <cell r="E935" t="str">
            <v>Area cad=</v>
          </cell>
          <cell r="F935">
            <v>17.417999999999999</v>
          </cell>
          <cell r="H935">
            <v>17.417999999999999</v>
          </cell>
        </row>
        <row r="936">
          <cell r="B936" t="str">
            <v>Losa tipo LA-15 (H=0.20M)</v>
          </cell>
          <cell r="C936" t="str">
            <v>m2</v>
          </cell>
          <cell r="D936">
            <v>1</v>
          </cell>
          <cell r="E936" t="str">
            <v>Area cad=</v>
          </cell>
          <cell r="F936">
            <v>18.495000000000001</v>
          </cell>
          <cell r="H936">
            <v>18.495000000000001</v>
          </cell>
        </row>
        <row r="937">
          <cell r="B937" t="str">
            <v>Losa tipo LA-16 (H=0.20M)</v>
          </cell>
          <cell r="C937" t="str">
            <v>m2</v>
          </cell>
          <cell r="D937">
            <v>1</v>
          </cell>
          <cell r="E937" t="str">
            <v>Area cad=</v>
          </cell>
          <cell r="F937">
            <v>41.911999999999999</v>
          </cell>
          <cell r="H937">
            <v>41.911999999999999</v>
          </cell>
        </row>
        <row r="938">
          <cell r="B938" t="str">
            <v>Losa tipo LA-17 (H=0.20M)</v>
          </cell>
          <cell r="C938" t="str">
            <v>m2</v>
          </cell>
          <cell r="D938">
            <v>1</v>
          </cell>
          <cell r="E938" t="str">
            <v>Area cad=</v>
          </cell>
          <cell r="F938">
            <v>16.273</v>
          </cell>
          <cell r="H938">
            <v>16.273</v>
          </cell>
        </row>
        <row r="939">
          <cell r="B939" t="str">
            <v>Losa tipo LA-18 (H=0.20M)</v>
          </cell>
          <cell r="C939" t="str">
            <v>m2</v>
          </cell>
          <cell r="D939">
            <v>1</v>
          </cell>
          <cell r="E939" t="str">
            <v>Area cad=</v>
          </cell>
          <cell r="F939">
            <v>17.417999999999999</v>
          </cell>
          <cell r="H939">
            <v>17.417999999999999</v>
          </cell>
        </row>
        <row r="940">
          <cell r="B940" t="str">
            <v>Losa tipo LA-19 (H=0.20M)</v>
          </cell>
          <cell r="C940" t="str">
            <v>m2</v>
          </cell>
          <cell r="D940">
            <v>1</v>
          </cell>
          <cell r="E940" t="str">
            <v>Area cad=</v>
          </cell>
          <cell r="F940">
            <v>17.920999999999999</v>
          </cell>
          <cell r="H940">
            <v>17.920999999999999</v>
          </cell>
        </row>
        <row r="941">
          <cell r="B941" t="str">
            <v>Losa tipo LA-20 (H=0.20M)</v>
          </cell>
          <cell r="C941" t="str">
            <v>m2</v>
          </cell>
          <cell r="D941">
            <v>1</v>
          </cell>
          <cell r="E941" t="str">
            <v>Area cad=</v>
          </cell>
          <cell r="F941">
            <v>16.809999999999999</v>
          </cell>
          <cell r="H941">
            <v>16.809999999999999</v>
          </cell>
        </row>
        <row r="942">
          <cell r="B942" t="str">
            <v>Losa tipo LA-21 (H=0.20M)</v>
          </cell>
          <cell r="C942" t="str">
            <v>m2</v>
          </cell>
          <cell r="D942">
            <v>1</v>
          </cell>
          <cell r="E942" t="str">
            <v>Area cad=</v>
          </cell>
          <cell r="F942">
            <v>16.273</v>
          </cell>
          <cell r="H942">
            <v>16.273</v>
          </cell>
        </row>
        <row r="943">
          <cell r="B943" t="str">
            <v>Losa tipo LA-22 (H=0.20M)</v>
          </cell>
          <cell r="C943" t="str">
            <v>m2</v>
          </cell>
          <cell r="D943">
            <v>1</v>
          </cell>
          <cell r="E943" t="str">
            <v>Area cad=</v>
          </cell>
          <cell r="F943">
            <v>17.417999999999999</v>
          </cell>
          <cell r="H943">
            <v>17.417999999999999</v>
          </cell>
        </row>
        <row r="944">
          <cell r="B944" t="str">
            <v>Losa tipo LA-23 (H=0.20M)</v>
          </cell>
          <cell r="C944" t="str">
            <v>m2</v>
          </cell>
          <cell r="D944">
            <v>1</v>
          </cell>
          <cell r="E944" t="str">
            <v>Area cad=</v>
          </cell>
          <cell r="F944">
            <v>18.495000000000001</v>
          </cell>
          <cell r="H944">
            <v>18.495000000000001</v>
          </cell>
        </row>
        <row r="945">
          <cell r="B945" t="str">
            <v>Losa tipo LA-24 (H=0.20M)</v>
          </cell>
          <cell r="C945" t="str">
            <v>m2</v>
          </cell>
          <cell r="D945">
            <v>1</v>
          </cell>
          <cell r="E945" t="str">
            <v>Area cad=</v>
          </cell>
          <cell r="F945">
            <v>41.911999999999999</v>
          </cell>
          <cell r="H945">
            <v>41.911999999999999</v>
          </cell>
        </row>
        <row r="946">
          <cell r="B946" t="str">
            <v>Losa tipo LA-25 (H=0.20M)</v>
          </cell>
          <cell r="C946" t="str">
            <v>m2</v>
          </cell>
          <cell r="D946">
            <v>1</v>
          </cell>
          <cell r="E946" t="str">
            <v>Area cad=</v>
          </cell>
          <cell r="F946">
            <v>16.273</v>
          </cell>
          <cell r="H946">
            <v>16.273</v>
          </cell>
        </row>
        <row r="947">
          <cell r="B947" t="str">
            <v>Losa tipo LA-26 (H=0.20M)</v>
          </cell>
          <cell r="C947" t="str">
            <v>m2</v>
          </cell>
          <cell r="D947">
            <v>1</v>
          </cell>
          <cell r="E947" t="str">
            <v>Area cad=</v>
          </cell>
          <cell r="F947">
            <v>17.417999999999999</v>
          </cell>
          <cell r="H947">
            <v>17.417999999999999</v>
          </cell>
        </row>
        <row r="948">
          <cell r="B948" t="str">
            <v>Losa tipo LA-27 (H=0.20M)</v>
          </cell>
          <cell r="C948" t="str">
            <v>m2</v>
          </cell>
          <cell r="D948">
            <v>1</v>
          </cell>
          <cell r="E948" t="str">
            <v>Area cad=</v>
          </cell>
          <cell r="F948">
            <v>12.14</v>
          </cell>
          <cell r="H948">
            <v>12.14</v>
          </cell>
        </row>
        <row r="949">
          <cell r="B949" t="str">
            <v>Losa tipo LA-28 (H=0.20M)</v>
          </cell>
          <cell r="C949" t="str">
            <v>m2</v>
          </cell>
          <cell r="D949">
            <v>1</v>
          </cell>
          <cell r="E949" t="str">
            <v>Area cad=</v>
          </cell>
          <cell r="F949">
            <v>16.273</v>
          </cell>
          <cell r="H949">
            <v>16.273</v>
          </cell>
        </row>
        <row r="950">
          <cell r="B950" t="str">
            <v>Losa tipo LA-29 (H=0.20M)</v>
          </cell>
          <cell r="C950" t="str">
            <v>m2</v>
          </cell>
          <cell r="D950">
            <v>1</v>
          </cell>
          <cell r="E950" t="str">
            <v>Area cad=</v>
          </cell>
          <cell r="F950">
            <v>11.433</v>
          </cell>
          <cell r="H950">
            <v>11.433</v>
          </cell>
        </row>
        <row r="951">
          <cell r="B951" t="str">
            <v>Losa tipo LA-30 (H=0.20M)</v>
          </cell>
          <cell r="C951" t="str">
            <v>m2</v>
          </cell>
          <cell r="D951">
            <v>1</v>
          </cell>
          <cell r="E951" t="str">
            <v>Area cad=</v>
          </cell>
          <cell r="F951">
            <v>12.744</v>
          </cell>
          <cell r="H951">
            <v>12.744</v>
          </cell>
        </row>
        <row r="952">
          <cell r="B952" t="str">
            <v>Losa tipo LA-31 (H=0.20M)</v>
          </cell>
          <cell r="C952" t="str">
            <v>m2</v>
          </cell>
          <cell r="D952">
            <v>1</v>
          </cell>
          <cell r="E952" t="str">
            <v>Area cad=</v>
          </cell>
          <cell r="F952">
            <v>17.283999999999999</v>
          </cell>
          <cell r="H952">
            <v>17.283999999999999</v>
          </cell>
        </row>
        <row r="953">
          <cell r="B953" t="str">
            <v>Losa tipo LA-32 (H=0.20M)</v>
          </cell>
          <cell r="C953" t="str">
            <v>m2</v>
          </cell>
          <cell r="D953">
            <v>1</v>
          </cell>
          <cell r="E953" t="str">
            <v>Area cad=</v>
          </cell>
          <cell r="F953">
            <v>20.356000000000002</v>
          </cell>
          <cell r="H953">
            <v>20.356000000000002</v>
          </cell>
        </row>
        <row r="954">
          <cell r="B954" t="str">
            <v>Losa tipo LA-33 (H=0.20M)</v>
          </cell>
          <cell r="C954" t="str">
            <v>m2</v>
          </cell>
          <cell r="D954">
            <v>1</v>
          </cell>
          <cell r="E954" t="str">
            <v>Area cad=</v>
          </cell>
          <cell r="F954">
            <v>18.468</v>
          </cell>
          <cell r="H954">
            <v>18.468</v>
          </cell>
        </row>
        <row r="955">
          <cell r="B955" t="str">
            <v>Losa tipo LA-34 (H=0.20M)</v>
          </cell>
          <cell r="C955" t="str">
            <v>m2</v>
          </cell>
          <cell r="D955">
            <v>1</v>
          </cell>
          <cell r="E955" t="str">
            <v>Area cad=</v>
          </cell>
          <cell r="F955">
            <v>37.216999999999999</v>
          </cell>
          <cell r="H955">
            <v>37.216999999999999</v>
          </cell>
        </row>
        <row r="956">
          <cell r="B956" t="str">
            <v>Losa tipo LA-35 (H=0.20M)</v>
          </cell>
          <cell r="C956" t="str">
            <v>m2</v>
          </cell>
          <cell r="D956">
            <v>1</v>
          </cell>
          <cell r="E956" t="str">
            <v>Area cad=</v>
          </cell>
          <cell r="F956">
            <v>16.530999999999999</v>
          </cell>
          <cell r="H956">
            <v>16.530999999999999</v>
          </cell>
        </row>
        <row r="957">
          <cell r="B957" t="str">
            <v>Losa tipo LA-36 (H=0.20M)</v>
          </cell>
          <cell r="C957" t="str">
            <v>m2</v>
          </cell>
          <cell r="D957">
            <v>1</v>
          </cell>
          <cell r="E957" t="str">
            <v>Area cad=</v>
          </cell>
          <cell r="F957">
            <v>19.524000000000001</v>
          </cell>
          <cell r="H957">
            <v>19.524000000000001</v>
          </cell>
        </row>
        <row r="958">
          <cell r="B958" t="str">
            <v>Losa tipo LA-37 (H=0.20M)</v>
          </cell>
          <cell r="C958" t="str">
            <v>m2</v>
          </cell>
          <cell r="D958">
            <v>1</v>
          </cell>
          <cell r="E958" t="str">
            <v>Area cad=</v>
          </cell>
          <cell r="F958">
            <v>16.262999999999998</v>
          </cell>
          <cell r="H958">
            <v>16.262999999999998</v>
          </cell>
        </row>
        <row r="959">
          <cell r="B959" t="str">
            <v>Losa tipo LA-38 (H=0.20M)</v>
          </cell>
          <cell r="C959" t="str">
            <v>m2</v>
          </cell>
          <cell r="D959">
            <v>1</v>
          </cell>
          <cell r="E959" t="str">
            <v>Area cad=</v>
          </cell>
          <cell r="F959">
            <v>19.535</v>
          </cell>
          <cell r="H959">
            <v>19.535</v>
          </cell>
        </row>
        <row r="960">
          <cell r="B960" t="str">
            <v>Losa tipo LA-39 (H=0.20M)</v>
          </cell>
          <cell r="C960" t="str">
            <v>m2</v>
          </cell>
          <cell r="D960">
            <v>1</v>
          </cell>
          <cell r="E960" t="str">
            <v>Area cad=</v>
          </cell>
          <cell r="F960">
            <v>15.673999999999999</v>
          </cell>
          <cell r="H960">
            <v>15.673999999999999</v>
          </cell>
        </row>
        <row r="961">
          <cell r="B961" t="str">
            <v>Losa tipo LA-40 (H=0.20M)</v>
          </cell>
          <cell r="C961" t="str">
            <v>m2</v>
          </cell>
          <cell r="D961">
            <v>1</v>
          </cell>
          <cell r="E961" t="str">
            <v>Area cad=</v>
          </cell>
          <cell r="F961">
            <v>18.87</v>
          </cell>
          <cell r="H961">
            <v>18.87</v>
          </cell>
        </row>
        <row r="962">
          <cell r="B962" t="str">
            <v>Losa tipo LA-41 (H=0.20M)</v>
          </cell>
          <cell r="C962" t="str">
            <v>m2</v>
          </cell>
          <cell r="D962">
            <v>1</v>
          </cell>
          <cell r="E962" t="str">
            <v>Area cad=</v>
          </cell>
          <cell r="F962">
            <v>15.826000000000001</v>
          </cell>
          <cell r="H962">
            <v>15.826000000000001</v>
          </cell>
        </row>
        <row r="963">
          <cell r="B963" t="str">
            <v>Losa tipo LA-42 (H=0.20M)</v>
          </cell>
          <cell r="C963" t="str">
            <v>m2</v>
          </cell>
          <cell r="D963">
            <v>1</v>
          </cell>
          <cell r="E963" t="str">
            <v>Area cad=</v>
          </cell>
          <cell r="F963">
            <v>18.972000000000001</v>
          </cell>
          <cell r="H963">
            <v>18.972000000000001</v>
          </cell>
        </row>
        <row r="964">
          <cell r="B964" t="str">
            <v>Losa tipo LA-43 (H=0.20M)</v>
          </cell>
          <cell r="C964" t="str">
            <v>m2</v>
          </cell>
          <cell r="D964">
            <v>1</v>
          </cell>
          <cell r="E964" t="str">
            <v>Area cad=</v>
          </cell>
          <cell r="F964">
            <v>18.428999999999998</v>
          </cell>
          <cell r="H964">
            <v>18.428999999999998</v>
          </cell>
        </row>
        <row r="965">
          <cell r="B965" t="str">
            <v>Losa tipo LA-44 (H=0.20M)</v>
          </cell>
          <cell r="C965" t="str">
            <v>m2</v>
          </cell>
          <cell r="D965">
            <v>1</v>
          </cell>
          <cell r="E965" t="str">
            <v>Area cad=</v>
          </cell>
          <cell r="F965">
            <v>16.245000000000001</v>
          </cell>
          <cell r="H965">
            <v>16.245000000000001</v>
          </cell>
        </row>
        <row r="966">
          <cell r="B966" t="str">
            <v>Losa tipo LA-45 (H=0.20M)</v>
          </cell>
          <cell r="C966" t="str">
            <v>m2</v>
          </cell>
          <cell r="D966">
            <v>1</v>
          </cell>
          <cell r="E966" t="str">
            <v>Area cad=</v>
          </cell>
          <cell r="F966">
            <v>19.558</v>
          </cell>
          <cell r="H966">
            <v>19.558</v>
          </cell>
        </row>
        <row r="967">
          <cell r="B967" t="str">
            <v>Losa tipo LA-46 (H=0.20M)</v>
          </cell>
          <cell r="C967" t="str">
            <v>m2</v>
          </cell>
          <cell r="D967">
            <v>1</v>
          </cell>
          <cell r="E967" t="str">
            <v>Area cad=</v>
          </cell>
          <cell r="F967">
            <v>19.503</v>
          </cell>
          <cell r="H967">
            <v>19.503</v>
          </cell>
        </row>
        <row r="968">
          <cell r="B968" t="str">
            <v>Losa tipo LA-47 (H=0.20M)</v>
          </cell>
          <cell r="C968" t="str">
            <v>m2</v>
          </cell>
          <cell r="D968">
            <v>1</v>
          </cell>
          <cell r="E968" t="str">
            <v>Area cad=</v>
          </cell>
          <cell r="F968">
            <v>16.261000000000003</v>
          </cell>
          <cell r="H968">
            <v>16.261000000000003</v>
          </cell>
        </row>
        <row r="969">
          <cell r="B969" t="str">
            <v>Losa tipo LA-48 (H=0.20M)</v>
          </cell>
          <cell r="C969" t="str">
            <v>m2</v>
          </cell>
          <cell r="D969">
            <v>1</v>
          </cell>
          <cell r="E969" t="str">
            <v>Area cad=</v>
          </cell>
          <cell r="F969">
            <v>18.059000000000001</v>
          </cell>
          <cell r="H969">
            <v>18.059000000000001</v>
          </cell>
        </row>
        <row r="970">
          <cell r="B970" t="str">
            <v>Losa tipo LA-49 (H=0.20M)</v>
          </cell>
          <cell r="C970" t="str">
            <v>m2</v>
          </cell>
          <cell r="D970">
            <v>1</v>
          </cell>
          <cell r="E970" t="str">
            <v>Area cad=</v>
          </cell>
          <cell r="F970">
            <v>16.242000000000001</v>
          </cell>
          <cell r="H970">
            <v>16.242000000000001</v>
          </cell>
        </row>
        <row r="972">
          <cell r="B972" t="str">
            <v>2º PISO</v>
          </cell>
        </row>
        <row r="973">
          <cell r="B973" t="str">
            <v>Losa tipo LA-1 (H=0.20M)</v>
          </cell>
          <cell r="C973" t="str">
            <v>m2</v>
          </cell>
          <cell r="D973">
            <v>1</v>
          </cell>
          <cell r="E973" t="str">
            <v>Area cad=</v>
          </cell>
          <cell r="F973">
            <v>12.375999999999999</v>
          </cell>
          <cell r="H973">
            <v>12.375999999999999</v>
          </cell>
        </row>
        <row r="974">
          <cell r="B974" t="str">
            <v>Losa tipo LA-2 (H=0.20M)</v>
          </cell>
          <cell r="C974" t="str">
            <v>m2</v>
          </cell>
          <cell r="D974">
            <v>1</v>
          </cell>
          <cell r="E974" t="str">
            <v>Area cad=</v>
          </cell>
          <cell r="F974">
            <v>18.425000000000001</v>
          </cell>
          <cell r="H974">
            <v>18.425000000000001</v>
          </cell>
        </row>
        <row r="975">
          <cell r="B975" t="str">
            <v>Losa tipo LA-3 (H=0.20M)</v>
          </cell>
          <cell r="C975" t="str">
            <v>m2</v>
          </cell>
          <cell r="D975">
            <v>1</v>
          </cell>
          <cell r="E975" t="str">
            <v>Area cad=</v>
          </cell>
          <cell r="F975">
            <v>18.388999999999999</v>
          </cell>
          <cell r="H975">
            <v>18.388999999999999</v>
          </cell>
        </row>
        <row r="976">
          <cell r="B976" t="str">
            <v>Losa tipo LA-4 (H=0.20M)</v>
          </cell>
          <cell r="C976" t="str">
            <v>m2</v>
          </cell>
          <cell r="D976">
            <v>1</v>
          </cell>
          <cell r="E976" t="str">
            <v>Area cad=</v>
          </cell>
          <cell r="F976">
            <v>19.164000000000001</v>
          </cell>
          <cell r="H976">
            <v>19.164000000000001</v>
          </cell>
        </row>
        <row r="977">
          <cell r="B977" t="str">
            <v>Losa tipo LA-5 (H=0.20M)</v>
          </cell>
          <cell r="C977" t="str">
            <v>m2</v>
          </cell>
          <cell r="D977">
            <v>1</v>
          </cell>
          <cell r="E977" t="str">
            <v>Area cad=</v>
          </cell>
          <cell r="F977">
            <v>11.992000000000001</v>
          </cell>
          <cell r="H977">
            <v>11.992000000000001</v>
          </cell>
        </row>
        <row r="978">
          <cell r="B978" t="str">
            <v>Losa tipo LA-6 (H=0.20M)</v>
          </cell>
          <cell r="C978" t="str">
            <v>m2</v>
          </cell>
          <cell r="D978">
            <v>1</v>
          </cell>
          <cell r="E978" t="str">
            <v>Area cad=</v>
          </cell>
          <cell r="F978">
            <v>11.121</v>
          </cell>
          <cell r="H978">
            <v>11.121</v>
          </cell>
        </row>
        <row r="979">
          <cell r="B979" t="str">
            <v>Losa tipo LA-7 (H=0.20M)</v>
          </cell>
          <cell r="C979" t="str">
            <v>m2</v>
          </cell>
          <cell r="D979">
            <v>1</v>
          </cell>
          <cell r="E979" t="str">
            <v>Area cad=</v>
          </cell>
          <cell r="F979">
            <v>16.39</v>
          </cell>
          <cell r="H979">
            <v>16.39</v>
          </cell>
        </row>
        <row r="980">
          <cell r="B980" t="str">
            <v>Losa tipo LA-8 (H=0.20M)</v>
          </cell>
          <cell r="C980" t="str">
            <v>m2</v>
          </cell>
          <cell r="D980">
            <v>1</v>
          </cell>
          <cell r="E980" t="str">
            <v>Area cad=</v>
          </cell>
          <cell r="F980">
            <v>16.39</v>
          </cell>
          <cell r="H980">
            <v>16.39</v>
          </cell>
        </row>
        <row r="981">
          <cell r="B981" t="str">
            <v>Losa tipo LA-9 (H=0.20M)</v>
          </cell>
          <cell r="C981" t="str">
            <v>m2</v>
          </cell>
          <cell r="D981">
            <v>1</v>
          </cell>
          <cell r="E981" t="str">
            <v>Area cad=</v>
          </cell>
          <cell r="F981">
            <v>15.78</v>
          </cell>
          <cell r="H981">
            <v>15.78</v>
          </cell>
        </row>
        <row r="982">
          <cell r="B982" t="str">
            <v>Losa tipo LA-10 (H=0.20M)</v>
          </cell>
          <cell r="C982" t="str">
            <v>m2</v>
          </cell>
          <cell r="D982">
            <v>1</v>
          </cell>
          <cell r="E982" t="str">
            <v>Area cad=</v>
          </cell>
          <cell r="F982">
            <v>15.78</v>
          </cell>
          <cell r="H982">
            <v>15.78</v>
          </cell>
        </row>
        <row r="983">
          <cell r="B983" t="str">
            <v>Losa tipo LA-11 (H=0.20M)</v>
          </cell>
          <cell r="C983" t="str">
            <v>m2</v>
          </cell>
          <cell r="D983">
            <v>1</v>
          </cell>
          <cell r="E983" t="str">
            <v>Area cad=</v>
          </cell>
          <cell r="F983">
            <v>16.39</v>
          </cell>
          <cell r="H983">
            <v>16.39</v>
          </cell>
        </row>
        <row r="984">
          <cell r="B984" t="str">
            <v>Losa tipo LA-12 (H=0.20M)</v>
          </cell>
          <cell r="C984" t="str">
            <v>m2</v>
          </cell>
          <cell r="D984">
            <v>1</v>
          </cell>
          <cell r="E984" t="str">
            <v>Area cad=</v>
          </cell>
          <cell r="F984">
            <v>16.39</v>
          </cell>
          <cell r="H984">
            <v>16.39</v>
          </cell>
        </row>
        <row r="985">
          <cell r="B985" t="str">
            <v>Losa tipo LA-13 (H=0.20M)</v>
          </cell>
          <cell r="C985" t="str">
            <v>m2</v>
          </cell>
          <cell r="D985">
            <v>1</v>
          </cell>
          <cell r="E985" t="str">
            <v>Area cad=</v>
          </cell>
          <cell r="F985">
            <v>16.39</v>
          </cell>
          <cell r="H985">
            <v>16.39</v>
          </cell>
        </row>
        <row r="986">
          <cell r="B986" t="str">
            <v>Losa tipo LA-14 (H=0.20M)</v>
          </cell>
          <cell r="C986" t="str">
            <v>m2</v>
          </cell>
          <cell r="D986">
            <v>1</v>
          </cell>
          <cell r="E986" t="str">
            <v>Area cad=</v>
          </cell>
          <cell r="F986">
            <v>11.815</v>
          </cell>
          <cell r="H986">
            <v>11.815</v>
          </cell>
        </row>
        <row r="987">
          <cell r="B987" t="str">
            <v>Losa tipo LA-15 (H=0.20M)</v>
          </cell>
          <cell r="C987" t="str">
            <v>m2</v>
          </cell>
          <cell r="D987">
            <v>1</v>
          </cell>
          <cell r="E987" t="str">
            <v>Area cad=</v>
          </cell>
          <cell r="F987">
            <v>12.013</v>
          </cell>
          <cell r="H987">
            <v>12.013</v>
          </cell>
        </row>
        <row r="988">
          <cell r="B988" t="str">
            <v>Losa tipo LA-16 (H=0.20M)</v>
          </cell>
          <cell r="C988" t="str">
            <v>m2</v>
          </cell>
          <cell r="D988">
            <v>1</v>
          </cell>
          <cell r="E988" t="str">
            <v>Area cad=</v>
          </cell>
          <cell r="F988">
            <v>19.170000000000002</v>
          </cell>
          <cell r="H988">
            <v>19.170000000000002</v>
          </cell>
        </row>
        <row r="989">
          <cell r="B989" t="str">
            <v>Losa tipo LA-17 (H=0.20M)</v>
          </cell>
          <cell r="C989" t="str">
            <v>m2</v>
          </cell>
          <cell r="D989">
            <v>1</v>
          </cell>
          <cell r="E989" t="str">
            <v>Area cad=</v>
          </cell>
          <cell r="F989">
            <v>18.207000000000001</v>
          </cell>
          <cell r="H989">
            <v>18.207000000000001</v>
          </cell>
        </row>
        <row r="990">
          <cell r="B990" t="str">
            <v>Losa tipo LA-18 (H=0.20M)</v>
          </cell>
          <cell r="C990" t="str">
            <v>m2</v>
          </cell>
          <cell r="D990">
            <v>1</v>
          </cell>
          <cell r="E990" t="str">
            <v>Area cad=</v>
          </cell>
          <cell r="F990">
            <v>18.213000000000001</v>
          </cell>
          <cell r="H990">
            <v>18.213000000000001</v>
          </cell>
        </row>
        <row r="991">
          <cell r="B991" t="str">
            <v>Losa tipo LA-19 (H=0.20M)</v>
          </cell>
          <cell r="C991" t="str">
            <v>m2</v>
          </cell>
          <cell r="D991">
            <v>1</v>
          </cell>
          <cell r="E991" t="str">
            <v>Area cad=</v>
          </cell>
          <cell r="F991">
            <v>17.675999999999998</v>
          </cell>
          <cell r="H991">
            <v>17.675999999999998</v>
          </cell>
        </row>
        <row r="992">
          <cell r="B992" t="str">
            <v>Losa tipo LA-20 (H=0.20M)</v>
          </cell>
          <cell r="C992" t="str">
            <v>m2</v>
          </cell>
          <cell r="D992">
            <v>1</v>
          </cell>
          <cell r="E992" t="str">
            <v>Area cad=</v>
          </cell>
          <cell r="F992">
            <v>17.867999999999999</v>
          </cell>
          <cell r="H992">
            <v>17.867999999999999</v>
          </cell>
        </row>
        <row r="993">
          <cell r="B993" t="str">
            <v>Losa tipo LA-21 (H=0.20M)</v>
          </cell>
          <cell r="C993" t="str">
            <v>m2</v>
          </cell>
          <cell r="D993">
            <v>1</v>
          </cell>
          <cell r="E993" t="str">
            <v>Area cad=</v>
          </cell>
          <cell r="F993">
            <v>18.370999999999999</v>
          </cell>
          <cell r="H993">
            <v>18.370999999999999</v>
          </cell>
        </row>
        <row r="994">
          <cell r="B994" t="str">
            <v>Losa tipo LA-22 (H=0.20M)</v>
          </cell>
          <cell r="C994" t="str">
            <v>m2</v>
          </cell>
          <cell r="D994">
            <v>1</v>
          </cell>
          <cell r="E994" t="str">
            <v>Area cad=</v>
          </cell>
          <cell r="F994">
            <v>18.425000000000001</v>
          </cell>
          <cell r="H994">
            <v>18.425000000000001</v>
          </cell>
        </row>
        <row r="995">
          <cell r="B995" t="str">
            <v>Losa tipo LA-23 (H=0.20M)</v>
          </cell>
          <cell r="C995" t="str">
            <v>m2</v>
          </cell>
          <cell r="D995">
            <v>1</v>
          </cell>
          <cell r="E995" t="str">
            <v>Area cad=</v>
          </cell>
          <cell r="F995">
            <v>18.373000000000001</v>
          </cell>
          <cell r="H995">
            <v>18.373000000000001</v>
          </cell>
        </row>
        <row r="996">
          <cell r="B996" t="str">
            <v>Losa tipo LA-24 (H=0.20M)</v>
          </cell>
          <cell r="C996" t="str">
            <v>m2</v>
          </cell>
          <cell r="D996">
            <v>1</v>
          </cell>
          <cell r="E996" t="str">
            <v>Area cad=</v>
          </cell>
          <cell r="F996">
            <v>18.931999999999999</v>
          </cell>
          <cell r="H996">
            <v>18.931999999999999</v>
          </cell>
        </row>
        <row r="997">
          <cell r="B997" t="str">
            <v>Losa tipo LA-25 (H=0.20M)</v>
          </cell>
          <cell r="C997" t="str">
            <v>m2</v>
          </cell>
          <cell r="D997">
            <v>1</v>
          </cell>
          <cell r="E997" t="str">
            <v>Area cad=</v>
          </cell>
          <cell r="F997">
            <v>18.742999999999999</v>
          </cell>
          <cell r="H997">
            <v>18.742999999999999</v>
          </cell>
        </row>
        <row r="999">
          <cell r="A999" t="str">
            <v>05.13.03</v>
          </cell>
          <cell r="B999" t="str">
            <v>LADRILLO HUECO DE ARCILLA 15X30X30 cm PARA TECHO ALIGERADO</v>
          </cell>
          <cell r="I999">
            <v>11727.348850000004</v>
          </cell>
        </row>
        <row r="1000">
          <cell r="B1000" t="str">
            <v>1º PISO</v>
          </cell>
        </row>
        <row r="1001">
          <cell r="B1001" t="str">
            <v>Losa tipo LA-1 (H=0.20M)</v>
          </cell>
          <cell r="C1001" t="str">
            <v>und</v>
          </cell>
          <cell r="D1001">
            <v>1</v>
          </cell>
          <cell r="E1001" t="str">
            <v>Area cad=</v>
          </cell>
          <cell r="F1001">
            <v>11.493</v>
          </cell>
          <cell r="G1001">
            <v>8.33</v>
          </cell>
          <cell r="H1001">
            <v>95.73669000000001</v>
          </cell>
        </row>
        <row r="1002">
          <cell r="B1002" t="str">
            <v>Losa tipo LA-2 (H=0.20M)</v>
          </cell>
          <cell r="C1002" t="str">
            <v>und</v>
          </cell>
          <cell r="D1002">
            <v>1</v>
          </cell>
          <cell r="E1002" t="str">
            <v>Area cad=</v>
          </cell>
          <cell r="F1002">
            <v>11.175000000000001</v>
          </cell>
          <cell r="G1002">
            <v>8.33</v>
          </cell>
          <cell r="H1002">
            <v>93.08775</v>
          </cell>
        </row>
        <row r="1003">
          <cell r="B1003" t="str">
            <v>Losa tipo LA-3 (H=0.20M)</v>
          </cell>
          <cell r="C1003" t="str">
            <v>und</v>
          </cell>
          <cell r="D1003">
            <v>1</v>
          </cell>
          <cell r="E1003" t="str">
            <v>Area cad=</v>
          </cell>
          <cell r="F1003">
            <v>11.169</v>
          </cell>
          <cell r="G1003">
            <v>8.33</v>
          </cell>
          <cell r="H1003">
            <v>93.037770000000009</v>
          </cell>
        </row>
        <row r="1004">
          <cell r="B1004" t="str">
            <v>Losa tipo LA-4 (H=0.20M)</v>
          </cell>
          <cell r="C1004" t="str">
            <v>und</v>
          </cell>
          <cell r="D1004">
            <v>1</v>
          </cell>
          <cell r="E1004" t="str">
            <v>Area cad=</v>
          </cell>
          <cell r="F1004">
            <v>11.164999999999999</v>
          </cell>
          <cell r="G1004">
            <v>8.33</v>
          </cell>
          <cell r="H1004">
            <v>93.004449999999991</v>
          </cell>
        </row>
        <row r="1005">
          <cell r="B1005" t="str">
            <v>Losa tipo LA-5 (H=0.20M)</v>
          </cell>
          <cell r="C1005" t="str">
            <v>und</v>
          </cell>
          <cell r="D1005">
            <v>1</v>
          </cell>
          <cell r="E1005" t="str">
            <v>Area cad=</v>
          </cell>
          <cell r="F1005">
            <v>11.164</v>
          </cell>
          <cell r="G1005">
            <v>8.33</v>
          </cell>
          <cell r="H1005">
            <v>92.996120000000005</v>
          </cell>
        </row>
        <row r="1006">
          <cell r="B1006" t="str">
            <v>Losa tipo LA-6 (H=0.20M)</v>
          </cell>
          <cell r="C1006" t="str">
            <v>und</v>
          </cell>
          <cell r="D1006">
            <v>1</v>
          </cell>
          <cell r="E1006" t="str">
            <v>Area cad=</v>
          </cell>
          <cell r="F1006">
            <v>5.2539999999999996</v>
          </cell>
          <cell r="G1006">
            <v>8.33</v>
          </cell>
          <cell r="H1006">
            <v>43.765819999999998</v>
          </cell>
        </row>
        <row r="1007">
          <cell r="B1007" t="str">
            <v>Losa tipo LA-7 (H=0.20M)</v>
          </cell>
          <cell r="C1007" t="str">
            <v>und</v>
          </cell>
          <cell r="D1007">
            <v>1</v>
          </cell>
          <cell r="E1007" t="str">
            <v>Area cad=</v>
          </cell>
          <cell r="F1007">
            <v>5.2539999999999996</v>
          </cell>
          <cell r="G1007">
            <v>8.33</v>
          </cell>
          <cell r="H1007">
            <v>43.765819999999998</v>
          </cell>
        </row>
        <row r="1008">
          <cell r="B1008" t="str">
            <v>Losa tipo LA-8 (H=0.20M)</v>
          </cell>
          <cell r="C1008" t="str">
            <v>und</v>
          </cell>
          <cell r="D1008">
            <v>1</v>
          </cell>
          <cell r="E1008" t="str">
            <v>Area cad=</v>
          </cell>
          <cell r="F1008">
            <v>11.483000000000001</v>
          </cell>
          <cell r="G1008">
            <v>8.33</v>
          </cell>
          <cell r="H1008">
            <v>95.653390000000002</v>
          </cell>
        </row>
        <row r="1010">
          <cell r="B1010" t="str">
            <v>MEZANINE</v>
          </cell>
        </row>
        <row r="1011">
          <cell r="B1011" t="str">
            <v>Losa tipo LA-1 (H=0.20M)</v>
          </cell>
          <cell r="C1011" t="str">
            <v>und</v>
          </cell>
          <cell r="D1011">
            <v>1</v>
          </cell>
          <cell r="E1011" t="str">
            <v>Area cad=</v>
          </cell>
          <cell r="F1011">
            <v>13.672000000000001</v>
          </cell>
          <cell r="G1011">
            <v>8.33</v>
          </cell>
          <cell r="H1011">
            <v>113.88776</v>
          </cell>
        </row>
        <row r="1012">
          <cell r="B1012" t="str">
            <v>Losa tipo LA-2 (H=0.20M)</v>
          </cell>
          <cell r="C1012" t="str">
            <v>und</v>
          </cell>
          <cell r="D1012">
            <v>1</v>
          </cell>
          <cell r="E1012" t="str">
            <v>Area cad=</v>
          </cell>
          <cell r="F1012">
            <v>15.855</v>
          </cell>
          <cell r="G1012">
            <v>8.33</v>
          </cell>
          <cell r="H1012">
            <v>132.07214999999999</v>
          </cell>
        </row>
        <row r="1013">
          <cell r="B1013" t="str">
            <v>Losa tipo LA-3 (H=0.20M)</v>
          </cell>
          <cell r="C1013" t="str">
            <v>und</v>
          </cell>
          <cell r="D1013">
            <v>1</v>
          </cell>
          <cell r="E1013" t="str">
            <v>Area cad=</v>
          </cell>
          <cell r="F1013">
            <v>17.455000000000002</v>
          </cell>
          <cell r="G1013">
            <v>8.33</v>
          </cell>
          <cell r="H1013">
            <v>145.40015000000002</v>
          </cell>
        </row>
        <row r="1014">
          <cell r="B1014" t="str">
            <v>Losa tipo LA-4 (H=0.20M)</v>
          </cell>
          <cell r="C1014" t="str">
            <v>und</v>
          </cell>
          <cell r="D1014">
            <v>1</v>
          </cell>
          <cell r="E1014" t="str">
            <v>Area cad=</v>
          </cell>
          <cell r="F1014">
            <v>17.327999999999999</v>
          </cell>
          <cell r="G1014">
            <v>8.33</v>
          </cell>
          <cell r="H1014">
            <v>144.34224</v>
          </cell>
        </row>
        <row r="1015">
          <cell r="B1015" t="str">
            <v>Losa tipo LA-5 (H=0.20M)</v>
          </cell>
          <cell r="C1015" t="str">
            <v>und</v>
          </cell>
          <cell r="D1015">
            <v>1</v>
          </cell>
          <cell r="E1015" t="str">
            <v>Area cad=</v>
          </cell>
          <cell r="F1015">
            <v>18.457000000000001</v>
          </cell>
          <cell r="G1015">
            <v>8.33</v>
          </cell>
          <cell r="H1015">
            <v>153.74681000000001</v>
          </cell>
        </row>
        <row r="1016">
          <cell r="B1016" t="str">
            <v>Losa tipo LA-6 (H=0.20M)</v>
          </cell>
          <cell r="C1016" t="str">
            <v>und</v>
          </cell>
          <cell r="D1016">
            <v>1</v>
          </cell>
          <cell r="E1016" t="str">
            <v>Area cad=</v>
          </cell>
          <cell r="F1016">
            <v>41.792999999999992</v>
          </cell>
          <cell r="G1016">
            <v>8.33</v>
          </cell>
          <cell r="H1016">
            <v>348.13568999999995</v>
          </cell>
        </row>
        <row r="1017">
          <cell r="B1017" t="str">
            <v>Losa tipo LA-7 (H=0.20M)</v>
          </cell>
          <cell r="C1017" t="str">
            <v>und</v>
          </cell>
          <cell r="D1017">
            <v>1</v>
          </cell>
          <cell r="E1017" t="str">
            <v>Area cad=</v>
          </cell>
          <cell r="F1017">
            <v>17.326999999999998</v>
          </cell>
          <cell r="G1017">
            <v>8.33</v>
          </cell>
          <cell r="H1017">
            <v>144.33390999999997</v>
          </cell>
        </row>
        <row r="1018">
          <cell r="B1018" t="str">
            <v>Losa tipo LA-8 (H=0.20M)</v>
          </cell>
          <cell r="C1018" t="str">
            <v>und</v>
          </cell>
          <cell r="D1018">
            <v>1</v>
          </cell>
          <cell r="E1018" t="str">
            <v>Area cad=</v>
          </cell>
          <cell r="F1018">
            <v>20.707999999999998</v>
          </cell>
          <cell r="G1018">
            <v>8.33</v>
          </cell>
          <cell r="H1018">
            <v>172.49763999999999</v>
          </cell>
        </row>
        <row r="1019">
          <cell r="B1019" t="str">
            <v>Losa tipo LA-9 (H=0.20M)</v>
          </cell>
          <cell r="C1019" t="str">
            <v>und</v>
          </cell>
          <cell r="D1019">
            <v>1</v>
          </cell>
          <cell r="E1019" t="str">
            <v>Area cad=</v>
          </cell>
          <cell r="F1019">
            <v>11.433</v>
          </cell>
          <cell r="G1019">
            <v>8.33</v>
          </cell>
          <cell r="H1019">
            <v>95.236890000000002</v>
          </cell>
        </row>
        <row r="1020">
          <cell r="B1020" t="str">
            <v>Losa tipo LA-10 (H=0.20M)</v>
          </cell>
          <cell r="C1020" t="str">
            <v>und</v>
          </cell>
          <cell r="D1020">
            <v>1</v>
          </cell>
          <cell r="E1020" t="str">
            <v>Area cad=</v>
          </cell>
          <cell r="F1020">
            <v>12.744</v>
          </cell>
          <cell r="G1020">
            <v>8.33</v>
          </cell>
          <cell r="H1020">
            <v>106.15752000000001</v>
          </cell>
        </row>
        <row r="1021">
          <cell r="B1021" t="str">
            <v>Losa tipo LA-11 (H=0.20M)</v>
          </cell>
          <cell r="C1021" t="str">
            <v>und</v>
          </cell>
          <cell r="D1021">
            <v>1</v>
          </cell>
          <cell r="E1021" t="str">
            <v>Area cad=</v>
          </cell>
          <cell r="F1021">
            <v>16.277000000000001</v>
          </cell>
          <cell r="G1021">
            <v>8.33</v>
          </cell>
          <cell r="H1021">
            <v>135.58741000000001</v>
          </cell>
        </row>
        <row r="1022">
          <cell r="B1022" t="str">
            <v>Losa tipo LA-12 (H=0.20M)</v>
          </cell>
          <cell r="C1022" t="str">
            <v>und</v>
          </cell>
          <cell r="D1022">
            <v>1</v>
          </cell>
          <cell r="E1022" t="str">
            <v>Area cad=</v>
          </cell>
          <cell r="F1022">
            <v>12.14</v>
          </cell>
          <cell r="G1022">
            <v>8.33</v>
          </cell>
          <cell r="H1022">
            <v>101.12620000000001</v>
          </cell>
        </row>
        <row r="1023">
          <cell r="B1023" t="str">
            <v>Losa tipo LA-13 (H=0.20M)</v>
          </cell>
          <cell r="C1023" t="str">
            <v>und</v>
          </cell>
          <cell r="D1023">
            <v>1</v>
          </cell>
          <cell r="E1023" t="str">
            <v>Area cad=</v>
          </cell>
          <cell r="F1023">
            <v>16.273</v>
          </cell>
          <cell r="G1023">
            <v>8.33</v>
          </cell>
          <cell r="H1023">
            <v>135.55409</v>
          </cell>
        </row>
        <row r="1024">
          <cell r="B1024" t="str">
            <v>Losa tipo LA-14 (H=0.20M)</v>
          </cell>
          <cell r="C1024" t="str">
            <v>und</v>
          </cell>
          <cell r="D1024">
            <v>1</v>
          </cell>
          <cell r="E1024" t="str">
            <v>Area cad=</v>
          </cell>
          <cell r="F1024">
            <v>17.417999999999999</v>
          </cell>
          <cell r="G1024">
            <v>8.33</v>
          </cell>
          <cell r="H1024">
            <v>145.09193999999999</v>
          </cell>
        </row>
        <row r="1025">
          <cell r="B1025" t="str">
            <v>Losa tipo LA-15 (H=0.20M)</v>
          </cell>
          <cell r="C1025" t="str">
            <v>und</v>
          </cell>
          <cell r="D1025">
            <v>1</v>
          </cell>
          <cell r="E1025" t="str">
            <v>Area cad=</v>
          </cell>
          <cell r="F1025">
            <v>18.495000000000001</v>
          </cell>
          <cell r="G1025">
            <v>8.33</v>
          </cell>
          <cell r="H1025">
            <v>154.06335000000001</v>
          </cell>
        </row>
        <row r="1026">
          <cell r="B1026" t="str">
            <v>Losa tipo LA-16 (H=0.20M)</v>
          </cell>
          <cell r="C1026" t="str">
            <v>und</v>
          </cell>
          <cell r="D1026">
            <v>1</v>
          </cell>
          <cell r="E1026" t="str">
            <v>Area cad=</v>
          </cell>
          <cell r="F1026">
            <v>41.911999999999999</v>
          </cell>
          <cell r="G1026">
            <v>8.33</v>
          </cell>
          <cell r="H1026">
            <v>349.12696</v>
          </cell>
        </row>
        <row r="1027">
          <cell r="B1027" t="str">
            <v>Losa tipo LA-17 (H=0.20M)</v>
          </cell>
          <cell r="C1027" t="str">
            <v>und</v>
          </cell>
          <cell r="D1027">
            <v>1</v>
          </cell>
          <cell r="E1027" t="str">
            <v>Area cad=</v>
          </cell>
          <cell r="F1027">
            <v>16.273</v>
          </cell>
          <cell r="G1027">
            <v>8.33</v>
          </cell>
          <cell r="H1027">
            <v>135.55409</v>
          </cell>
        </row>
        <row r="1028">
          <cell r="B1028" t="str">
            <v>Losa tipo LA-18 (H=0.20M)</v>
          </cell>
          <cell r="C1028" t="str">
            <v>und</v>
          </cell>
          <cell r="D1028">
            <v>1</v>
          </cell>
          <cell r="E1028" t="str">
            <v>Area cad=</v>
          </cell>
          <cell r="F1028">
            <v>17.417999999999999</v>
          </cell>
          <cell r="G1028">
            <v>8.33</v>
          </cell>
          <cell r="H1028">
            <v>145.09193999999999</v>
          </cell>
        </row>
        <row r="1029">
          <cell r="B1029" t="str">
            <v>Losa tipo LA-19 (H=0.20M)</v>
          </cell>
          <cell r="C1029" t="str">
            <v>und</v>
          </cell>
          <cell r="D1029">
            <v>1</v>
          </cell>
          <cell r="E1029" t="str">
            <v>Area cad=</v>
          </cell>
          <cell r="F1029">
            <v>17.920999999999999</v>
          </cell>
          <cell r="G1029">
            <v>8.33</v>
          </cell>
          <cell r="H1029">
            <v>149.28192999999999</v>
          </cell>
        </row>
        <row r="1030">
          <cell r="B1030" t="str">
            <v>Losa tipo LA-20 (H=0.20M)</v>
          </cell>
          <cell r="C1030" t="str">
            <v>und</v>
          </cell>
          <cell r="D1030">
            <v>1</v>
          </cell>
          <cell r="E1030" t="str">
            <v>Area cad=</v>
          </cell>
          <cell r="F1030">
            <v>16.809999999999999</v>
          </cell>
          <cell r="G1030">
            <v>8.33</v>
          </cell>
          <cell r="H1030">
            <v>140.0273</v>
          </cell>
        </row>
        <row r="1031">
          <cell r="B1031" t="str">
            <v>Losa tipo LA-21 (H=0.20M)</v>
          </cell>
          <cell r="C1031" t="str">
            <v>und</v>
          </cell>
          <cell r="D1031">
            <v>1</v>
          </cell>
          <cell r="E1031" t="str">
            <v>Area cad=</v>
          </cell>
          <cell r="F1031">
            <v>16.273</v>
          </cell>
          <cell r="G1031">
            <v>8.33</v>
          </cell>
          <cell r="H1031">
            <v>135.55409</v>
          </cell>
        </row>
        <row r="1032">
          <cell r="B1032" t="str">
            <v>Losa tipo LA-22 (H=0.20M)</v>
          </cell>
          <cell r="C1032" t="str">
            <v>und</v>
          </cell>
          <cell r="D1032">
            <v>1</v>
          </cell>
          <cell r="E1032" t="str">
            <v>Area cad=</v>
          </cell>
          <cell r="F1032">
            <v>17.417999999999999</v>
          </cell>
          <cell r="G1032">
            <v>8.33</v>
          </cell>
          <cell r="H1032">
            <v>145.09193999999999</v>
          </cell>
        </row>
        <row r="1033">
          <cell r="B1033" t="str">
            <v>Losa tipo LA-23 (H=0.20M)</v>
          </cell>
          <cell r="C1033" t="str">
            <v>und</v>
          </cell>
          <cell r="D1033">
            <v>1</v>
          </cell>
          <cell r="E1033" t="str">
            <v>Area cad=</v>
          </cell>
          <cell r="F1033">
            <v>18.495000000000001</v>
          </cell>
          <cell r="G1033">
            <v>8.33</v>
          </cell>
          <cell r="H1033">
            <v>154.06335000000001</v>
          </cell>
        </row>
        <row r="1034">
          <cell r="B1034" t="str">
            <v>Losa tipo LA-24 (H=0.20M)</v>
          </cell>
          <cell r="C1034" t="str">
            <v>und</v>
          </cell>
          <cell r="D1034">
            <v>1</v>
          </cell>
          <cell r="E1034" t="str">
            <v>Area cad=</v>
          </cell>
          <cell r="F1034">
            <v>41.911999999999999</v>
          </cell>
          <cell r="G1034">
            <v>8.33</v>
          </cell>
          <cell r="H1034">
            <v>349.12696</v>
          </cell>
        </row>
        <row r="1035">
          <cell r="B1035" t="str">
            <v>Losa tipo LA-25 (H=0.20M)</v>
          </cell>
          <cell r="C1035" t="str">
            <v>und</v>
          </cell>
          <cell r="D1035">
            <v>1</v>
          </cell>
          <cell r="E1035" t="str">
            <v>Area cad=</v>
          </cell>
          <cell r="F1035">
            <v>16.273</v>
          </cell>
          <cell r="G1035">
            <v>8.33</v>
          </cell>
          <cell r="H1035">
            <v>135.55409</v>
          </cell>
        </row>
        <row r="1036">
          <cell r="B1036" t="str">
            <v>Losa tipo LA-26 (H=0.20M)</v>
          </cell>
          <cell r="C1036" t="str">
            <v>und</v>
          </cell>
          <cell r="D1036">
            <v>1</v>
          </cell>
          <cell r="E1036" t="str">
            <v>Area cad=</v>
          </cell>
          <cell r="F1036">
            <v>17.417999999999999</v>
          </cell>
          <cell r="G1036">
            <v>8.33</v>
          </cell>
          <cell r="H1036">
            <v>145.09193999999999</v>
          </cell>
        </row>
        <row r="1037">
          <cell r="B1037" t="str">
            <v>Losa tipo LA-27 (H=0.20M)</v>
          </cell>
          <cell r="C1037" t="str">
            <v>und</v>
          </cell>
          <cell r="D1037">
            <v>1</v>
          </cell>
          <cell r="E1037" t="str">
            <v>Area cad=</v>
          </cell>
          <cell r="F1037">
            <v>12.14</v>
          </cell>
          <cell r="G1037">
            <v>8.33</v>
          </cell>
          <cell r="H1037">
            <v>101.12620000000001</v>
          </cell>
        </row>
        <row r="1038">
          <cell r="B1038" t="str">
            <v>Losa tipo LA-28 (H=0.20M)</v>
          </cell>
          <cell r="C1038" t="str">
            <v>und</v>
          </cell>
          <cell r="D1038">
            <v>1</v>
          </cell>
          <cell r="E1038" t="str">
            <v>Area cad=</v>
          </cell>
          <cell r="F1038">
            <v>16.273</v>
          </cell>
          <cell r="G1038">
            <v>8.33</v>
          </cell>
          <cell r="H1038">
            <v>135.55409</v>
          </cell>
        </row>
        <row r="1039">
          <cell r="B1039" t="str">
            <v>Losa tipo LA-29 (H=0.20M)</v>
          </cell>
          <cell r="C1039" t="str">
            <v>und</v>
          </cell>
          <cell r="D1039">
            <v>1</v>
          </cell>
          <cell r="E1039" t="str">
            <v>Area cad=</v>
          </cell>
          <cell r="F1039">
            <v>11.433</v>
          </cell>
          <cell r="G1039">
            <v>8.33</v>
          </cell>
          <cell r="H1039">
            <v>95.236890000000002</v>
          </cell>
        </row>
        <row r="1040">
          <cell r="B1040" t="str">
            <v>Losa tipo LA-30 (H=0.20M)</v>
          </cell>
          <cell r="C1040" t="str">
            <v>und</v>
          </cell>
          <cell r="D1040">
            <v>1</v>
          </cell>
          <cell r="E1040" t="str">
            <v>Area cad=</v>
          </cell>
          <cell r="F1040">
            <v>12.744</v>
          </cell>
          <cell r="G1040">
            <v>8.33</v>
          </cell>
          <cell r="H1040">
            <v>106.15752000000001</v>
          </cell>
        </row>
        <row r="1041">
          <cell r="B1041" t="str">
            <v>Losa tipo LA-31 (H=0.20M)</v>
          </cell>
          <cell r="C1041" t="str">
            <v>und</v>
          </cell>
          <cell r="D1041">
            <v>1</v>
          </cell>
          <cell r="E1041" t="str">
            <v>Area cad=</v>
          </cell>
          <cell r="F1041">
            <v>17.283999999999999</v>
          </cell>
          <cell r="G1041">
            <v>8.33</v>
          </cell>
          <cell r="H1041">
            <v>143.97572</v>
          </cell>
        </row>
        <row r="1042">
          <cell r="B1042" t="str">
            <v>Losa tipo LA-32 (H=0.20M)</v>
          </cell>
          <cell r="C1042" t="str">
            <v>und</v>
          </cell>
          <cell r="D1042">
            <v>1</v>
          </cell>
          <cell r="E1042" t="str">
            <v>Area cad=</v>
          </cell>
          <cell r="F1042">
            <v>20.356000000000002</v>
          </cell>
          <cell r="G1042">
            <v>8.33</v>
          </cell>
          <cell r="H1042">
            <v>169.56548000000001</v>
          </cell>
        </row>
        <row r="1043">
          <cell r="B1043" t="str">
            <v>Losa tipo LA-33 (H=0.20M)</v>
          </cell>
          <cell r="C1043" t="str">
            <v>und</v>
          </cell>
          <cell r="D1043">
            <v>1</v>
          </cell>
          <cell r="E1043" t="str">
            <v>Area cad=</v>
          </cell>
          <cell r="F1043">
            <v>18.468</v>
          </cell>
          <cell r="G1043">
            <v>8.33</v>
          </cell>
          <cell r="H1043">
            <v>153.83843999999999</v>
          </cell>
        </row>
        <row r="1044">
          <cell r="B1044" t="str">
            <v>Losa tipo LA-34 (H=0.20M)</v>
          </cell>
          <cell r="C1044" t="str">
            <v>und</v>
          </cell>
          <cell r="D1044">
            <v>1</v>
          </cell>
          <cell r="E1044" t="str">
            <v>Area cad=</v>
          </cell>
          <cell r="F1044">
            <v>37.216999999999999</v>
          </cell>
          <cell r="G1044">
            <v>8.33</v>
          </cell>
          <cell r="H1044">
            <v>310.01760999999999</v>
          </cell>
        </row>
        <row r="1045">
          <cell r="B1045" t="str">
            <v>Losa tipo LA-35 (H=0.20M)</v>
          </cell>
          <cell r="C1045" t="str">
            <v>und</v>
          </cell>
          <cell r="D1045">
            <v>1</v>
          </cell>
          <cell r="E1045" t="str">
            <v>Area cad=</v>
          </cell>
          <cell r="F1045">
            <v>16.530999999999999</v>
          </cell>
          <cell r="G1045">
            <v>8.33</v>
          </cell>
          <cell r="H1045">
            <v>137.70322999999999</v>
          </cell>
        </row>
        <row r="1046">
          <cell r="B1046" t="str">
            <v>Losa tipo LA-36 (H=0.20M)</v>
          </cell>
          <cell r="C1046" t="str">
            <v>und</v>
          </cell>
          <cell r="D1046">
            <v>1</v>
          </cell>
          <cell r="E1046" t="str">
            <v>Area cad=</v>
          </cell>
          <cell r="F1046">
            <v>19.524000000000001</v>
          </cell>
          <cell r="G1046">
            <v>8.33</v>
          </cell>
          <cell r="H1046">
            <v>162.63492000000002</v>
          </cell>
        </row>
        <row r="1047">
          <cell r="B1047" t="str">
            <v>Losa tipo LA-37 (H=0.20M)</v>
          </cell>
          <cell r="C1047" t="str">
            <v>und</v>
          </cell>
          <cell r="D1047">
            <v>1</v>
          </cell>
          <cell r="E1047" t="str">
            <v>Area cad=</v>
          </cell>
          <cell r="F1047">
            <v>16.262999999999998</v>
          </cell>
          <cell r="G1047">
            <v>8.33</v>
          </cell>
          <cell r="H1047">
            <v>135.47078999999999</v>
          </cell>
        </row>
        <row r="1048">
          <cell r="B1048" t="str">
            <v>Losa tipo LA-38 (H=0.20M)</v>
          </cell>
          <cell r="C1048" t="str">
            <v>und</v>
          </cell>
          <cell r="D1048">
            <v>1</v>
          </cell>
          <cell r="E1048" t="str">
            <v>Area cad=</v>
          </cell>
          <cell r="F1048">
            <v>19.535</v>
          </cell>
          <cell r="G1048">
            <v>8.33</v>
          </cell>
          <cell r="H1048">
            <v>162.72655</v>
          </cell>
        </row>
        <row r="1049">
          <cell r="B1049" t="str">
            <v>Losa tipo LA-39 (H=0.20M)</v>
          </cell>
          <cell r="C1049" t="str">
            <v>und</v>
          </cell>
          <cell r="D1049">
            <v>1</v>
          </cell>
          <cell r="E1049" t="str">
            <v>Area cad=</v>
          </cell>
          <cell r="F1049">
            <v>15.673999999999999</v>
          </cell>
          <cell r="G1049">
            <v>8.33</v>
          </cell>
          <cell r="H1049">
            <v>130.56441999999998</v>
          </cell>
        </row>
        <row r="1050">
          <cell r="B1050" t="str">
            <v>Losa tipo LA-40 (H=0.20M)</v>
          </cell>
          <cell r="C1050" t="str">
            <v>und</v>
          </cell>
          <cell r="D1050">
            <v>1</v>
          </cell>
          <cell r="E1050" t="str">
            <v>Area cad=</v>
          </cell>
          <cell r="F1050">
            <v>18.87</v>
          </cell>
          <cell r="G1050">
            <v>8.33</v>
          </cell>
          <cell r="H1050">
            <v>157.18710000000002</v>
          </cell>
        </row>
        <row r="1051">
          <cell r="B1051" t="str">
            <v>Losa tipo LA-41 (H=0.20M)</v>
          </cell>
          <cell r="C1051" t="str">
            <v>und</v>
          </cell>
          <cell r="D1051">
            <v>1</v>
          </cell>
          <cell r="E1051" t="str">
            <v>Area cad=</v>
          </cell>
          <cell r="F1051">
            <v>15.826000000000001</v>
          </cell>
          <cell r="G1051">
            <v>8.33</v>
          </cell>
          <cell r="H1051">
            <v>131.83058</v>
          </cell>
        </row>
        <row r="1052">
          <cell r="B1052" t="str">
            <v>Losa tipo LA-42 (H=0.20M)</v>
          </cell>
          <cell r="C1052" t="str">
            <v>und</v>
          </cell>
          <cell r="D1052">
            <v>1</v>
          </cell>
          <cell r="E1052" t="str">
            <v>Area cad=</v>
          </cell>
          <cell r="F1052">
            <v>18.972000000000001</v>
          </cell>
          <cell r="G1052">
            <v>8.33</v>
          </cell>
          <cell r="H1052">
            <v>158.03676000000002</v>
          </cell>
        </row>
        <row r="1053">
          <cell r="B1053" t="str">
            <v>Losa tipo LA-43 (H=0.20M)</v>
          </cell>
          <cell r="C1053" t="str">
            <v>und</v>
          </cell>
          <cell r="D1053">
            <v>1</v>
          </cell>
          <cell r="E1053" t="str">
            <v>Area cad=</v>
          </cell>
          <cell r="F1053">
            <v>18.428999999999998</v>
          </cell>
          <cell r="G1053">
            <v>8.33</v>
          </cell>
          <cell r="H1053">
            <v>153.51356999999999</v>
          </cell>
        </row>
        <row r="1054">
          <cell r="B1054" t="str">
            <v>Losa tipo LA-44 (H=0.20M)</v>
          </cell>
          <cell r="C1054" t="str">
            <v>und</v>
          </cell>
          <cell r="D1054">
            <v>1</v>
          </cell>
          <cell r="E1054" t="str">
            <v>Area cad=</v>
          </cell>
          <cell r="F1054">
            <v>16.245000000000001</v>
          </cell>
          <cell r="G1054">
            <v>8.33</v>
          </cell>
          <cell r="H1054">
            <v>135.32085000000001</v>
          </cell>
        </row>
        <row r="1055">
          <cell r="B1055" t="str">
            <v>Losa tipo LA-45 (H=0.20M)</v>
          </cell>
          <cell r="C1055" t="str">
            <v>und</v>
          </cell>
          <cell r="D1055">
            <v>1</v>
          </cell>
          <cell r="E1055" t="str">
            <v>Area cad=</v>
          </cell>
          <cell r="F1055">
            <v>19.558</v>
          </cell>
          <cell r="G1055">
            <v>8.33</v>
          </cell>
          <cell r="H1055">
            <v>162.91813999999999</v>
          </cell>
        </row>
        <row r="1056">
          <cell r="B1056" t="str">
            <v>Losa tipo LA-46 (H=0.20M)</v>
          </cell>
          <cell r="C1056" t="str">
            <v>und</v>
          </cell>
          <cell r="D1056">
            <v>1</v>
          </cell>
          <cell r="E1056" t="str">
            <v>Area cad=</v>
          </cell>
          <cell r="F1056">
            <v>19.503</v>
          </cell>
          <cell r="G1056">
            <v>8.33</v>
          </cell>
          <cell r="H1056">
            <v>162.45999</v>
          </cell>
        </row>
        <row r="1057">
          <cell r="B1057" t="str">
            <v>Losa tipo LA-47 (H=0.20M)</v>
          </cell>
          <cell r="C1057" t="str">
            <v>und</v>
          </cell>
          <cell r="D1057">
            <v>1</v>
          </cell>
          <cell r="E1057" t="str">
            <v>Area cad=</v>
          </cell>
          <cell r="F1057">
            <v>16.261000000000003</v>
          </cell>
          <cell r="G1057">
            <v>8.33</v>
          </cell>
          <cell r="H1057">
            <v>135.45413000000002</v>
          </cell>
        </row>
        <row r="1058">
          <cell r="B1058" t="str">
            <v>Losa tipo LA-48 (H=0.20M)</v>
          </cell>
          <cell r="C1058" t="str">
            <v>und</v>
          </cell>
          <cell r="D1058">
            <v>1</v>
          </cell>
          <cell r="E1058" t="str">
            <v>Area cad=</v>
          </cell>
          <cell r="F1058">
            <v>18.059000000000001</v>
          </cell>
          <cell r="G1058">
            <v>8.33</v>
          </cell>
          <cell r="H1058">
            <v>150.43147000000002</v>
          </cell>
        </row>
        <row r="1059">
          <cell r="B1059" t="str">
            <v>Losa tipo LA-49 (H=0.20M)</v>
          </cell>
          <cell r="C1059" t="str">
            <v>und</v>
          </cell>
          <cell r="D1059">
            <v>1</v>
          </cell>
          <cell r="E1059" t="str">
            <v>Area cad=</v>
          </cell>
          <cell r="F1059">
            <v>16.242000000000001</v>
          </cell>
          <cell r="G1059">
            <v>8.33</v>
          </cell>
          <cell r="H1059">
            <v>135.29586</v>
          </cell>
        </row>
        <row r="1061">
          <cell r="B1061" t="str">
            <v>2º PISO</v>
          </cell>
        </row>
        <row r="1062">
          <cell r="B1062" t="str">
            <v>Losa tipo LA-1 (H=0.20M)</v>
          </cell>
          <cell r="C1062" t="str">
            <v>und</v>
          </cell>
          <cell r="D1062">
            <v>1</v>
          </cell>
          <cell r="E1062" t="str">
            <v>Area cad=</v>
          </cell>
          <cell r="F1062">
            <v>12.375999999999999</v>
          </cell>
          <cell r="G1062">
            <v>8.33</v>
          </cell>
          <cell r="H1062">
            <v>103.09208</v>
          </cell>
        </row>
        <row r="1063">
          <cell r="B1063" t="str">
            <v>Losa tipo LA-2 (H=0.20M)</v>
          </cell>
          <cell r="C1063" t="str">
            <v>und</v>
          </cell>
          <cell r="D1063">
            <v>1</v>
          </cell>
          <cell r="E1063" t="str">
            <v>Area cad=</v>
          </cell>
          <cell r="F1063">
            <v>18.425000000000001</v>
          </cell>
          <cell r="G1063">
            <v>8.33</v>
          </cell>
          <cell r="H1063">
            <v>153.48025000000001</v>
          </cell>
        </row>
        <row r="1064">
          <cell r="B1064" t="str">
            <v>Losa tipo LA-3 (H=0.20M)</v>
          </cell>
          <cell r="C1064" t="str">
            <v>und</v>
          </cell>
          <cell r="D1064">
            <v>1</v>
          </cell>
          <cell r="E1064" t="str">
            <v>Area cad=</v>
          </cell>
          <cell r="F1064">
            <v>18.388999999999999</v>
          </cell>
          <cell r="G1064">
            <v>8.33</v>
          </cell>
          <cell r="H1064">
            <v>153.18036999999998</v>
          </cell>
        </row>
        <row r="1065">
          <cell r="B1065" t="str">
            <v>Losa tipo LA-4 (H=0.20M)</v>
          </cell>
          <cell r="C1065" t="str">
            <v>und</v>
          </cell>
          <cell r="D1065">
            <v>1</v>
          </cell>
          <cell r="E1065" t="str">
            <v>Area cad=</v>
          </cell>
          <cell r="F1065">
            <v>19.164000000000001</v>
          </cell>
          <cell r="G1065">
            <v>8.33</v>
          </cell>
          <cell r="H1065">
            <v>159.63612000000001</v>
          </cell>
        </row>
        <row r="1066">
          <cell r="B1066" t="str">
            <v>Losa tipo LA-5 (H=0.20M)</v>
          </cell>
          <cell r="C1066" t="str">
            <v>und</v>
          </cell>
          <cell r="D1066">
            <v>1</v>
          </cell>
          <cell r="E1066" t="str">
            <v>Area cad=</v>
          </cell>
          <cell r="F1066">
            <v>11.992000000000001</v>
          </cell>
          <cell r="G1066">
            <v>8.33</v>
          </cell>
          <cell r="H1066">
            <v>99.893360000000001</v>
          </cell>
        </row>
        <row r="1067">
          <cell r="B1067" t="str">
            <v>Losa tipo LA-6 (H=0.20M)</v>
          </cell>
          <cell r="C1067" t="str">
            <v>und</v>
          </cell>
          <cell r="D1067">
            <v>1</v>
          </cell>
          <cell r="E1067" t="str">
            <v>Area cad=</v>
          </cell>
          <cell r="F1067">
            <v>11.121</v>
          </cell>
          <cell r="G1067">
            <v>8.33</v>
          </cell>
          <cell r="H1067">
            <v>92.637930000000011</v>
          </cell>
        </row>
        <row r="1068">
          <cell r="B1068" t="str">
            <v>Losa tipo LA-7 (H=0.20M)</v>
          </cell>
          <cell r="C1068" t="str">
            <v>und</v>
          </cell>
          <cell r="D1068">
            <v>1</v>
          </cell>
          <cell r="E1068" t="str">
            <v>Area cad=</v>
          </cell>
          <cell r="F1068">
            <v>16.39</v>
          </cell>
          <cell r="G1068">
            <v>8.33</v>
          </cell>
          <cell r="H1068">
            <v>136.52870000000001</v>
          </cell>
        </row>
        <row r="1069">
          <cell r="B1069" t="str">
            <v>Losa tipo LA-8 (H=0.20M)</v>
          </cell>
          <cell r="C1069" t="str">
            <v>und</v>
          </cell>
          <cell r="D1069">
            <v>1</v>
          </cell>
          <cell r="E1069" t="str">
            <v>Area cad=</v>
          </cell>
          <cell r="F1069">
            <v>16.39</v>
          </cell>
          <cell r="G1069">
            <v>8.33</v>
          </cell>
          <cell r="H1069">
            <v>136.52870000000001</v>
          </cell>
        </row>
        <row r="1070">
          <cell r="B1070" t="str">
            <v>Losa tipo LA-9 (H=0.20M)</v>
          </cell>
          <cell r="C1070" t="str">
            <v>und</v>
          </cell>
          <cell r="D1070">
            <v>1</v>
          </cell>
          <cell r="E1070" t="str">
            <v>Area cad=</v>
          </cell>
          <cell r="F1070">
            <v>15.78</v>
          </cell>
          <cell r="G1070">
            <v>8.33</v>
          </cell>
          <cell r="H1070">
            <v>131.44739999999999</v>
          </cell>
        </row>
        <row r="1071">
          <cell r="B1071" t="str">
            <v>Losa tipo LA-10 (H=0.20M)</v>
          </cell>
          <cell r="C1071" t="str">
            <v>und</v>
          </cell>
          <cell r="D1071">
            <v>1</v>
          </cell>
          <cell r="E1071" t="str">
            <v>Area cad=</v>
          </cell>
          <cell r="F1071">
            <v>15.78</v>
          </cell>
          <cell r="G1071">
            <v>8.33</v>
          </cell>
          <cell r="H1071">
            <v>131.44739999999999</v>
          </cell>
        </row>
        <row r="1072">
          <cell r="B1072" t="str">
            <v>Losa tipo LA-11 (H=0.20M)</v>
          </cell>
          <cell r="C1072" t="str">
            <v>und</v>
          </cell>
          <cell r="D1072">
            <v>1</v>
          </cell>
          <cell r="E1072" t="str">
            <v>Area cad=</v>
          </cell>
          <cell r="F1072">
            <v>16.39</v>
          </cell>
          <cell r="G1072">
            <v>8.33</v>
          </cell>
          <cell r="H1072">
            <v>136.52870000000001</v>
          </cell>
        </row>
        <row r="1073">
          <cell r="B1073" t="str">
            <v>Losa tipo LA-12 (H=0.20M)</v>
          </cell>
          <cell r="C1073" t="str">
            <v>und</v>
          </cell>
          <cell r="D1073">
            <v>1</v>
          </cell>
          <cell r="E1073" t="str">
            <v>Area cad=</v>
          </cell>
          <cell r="F1073">
            <v>16.39</v>
          </cell>
          <cell r="G1073">
            <v>8.33</v>
          </cell>
          <cell r="H1073">
            <v>136.52870000000001</v>
          </cell>
        </row>
        <row r="1074">
          <cell r="B1074" t="str">
            <v>Losa tipo LA-13 (H=0.20M)</v>
          </cell>
          <cell r="C1074" t="str">
            <v>und</v>
          </cell>
          <cell r="D1074">
            <v>1</v>
          </cell>
          <cell r="E1074" t="str">
            <v>Area cad=</v>
          </cell>
          <cell r="F1074">
            <v>16.39</v>
          </cell>
          <cell r="G1074">
            <v>8.33</v>
          </cell>
          <cell r="H1074">
            <v>136.52870000000001</v>
          </cell>
        </row>
        <row r="1075">
          <cell r="B1075" t="str">
            <v>Losa tipo LA-14 (H=0.20M)</v>
          </cell>
          <cell r="C1075" t="str">
            <v>und</v>
          </cell>
          <cell r="D1075">
            <v>1</v>
          </cell>
          <cell r="E1075" t="str">
            <v>Area cad=</v>
          </cell>
          <cell r="F1075">
            <v>11.815</v>
          </cell>
          <cell r="G1075">
            <v>8.33</v>
          </cell>
          <cell r="H1075">
            <v>98.418949999999995</v>
          </cell>
        </row>
        <row r="1076">
          <cell r="B1076" t="str">
            <v>Losa tipo LA-15 (H=0.20M)</v>
          </cell>
          <cell r="C1076" t="str">
            <v>und</v>
          </cell>
          <cell r="D1076">
            <v>1</v>
          </cell>
          <cell r="E1076" t="str">
            <v>Area cad=</v>
          </cell>
          <cell r="F1076">
            <v>12.013</v>
          </cell>
          <cell r="G1076">
            <v>8.33</v>
          </cell>
          <cell r="H1076">
            <v>100.06829</v>
          </cell>
        </row>
        <row r="1077">
          <cell r="B1077" t="str">
            <v>Losa tipo LA-16 (H=0.20M)</v>
          </cell>
          <cell r="C1077" t="str">
            <v>und</v>
          </cell>
          <cell r="D1077">
            <v>1</v>
          </cell>
          <cell r="E1077" t="str">
            <v>Area cad=</v>
          </cell>
          <cell r="F1077">
            <v>19.170000000000002</v>
          </cell>
          <cell r="G1077">
            <v>8.33</v>
          </cell>
          <cell r="H1077">
            <v>159.68610000000001</v>
          </cell>
        </row>
        <row r="1078">
          <cell r="B1078" t="str">
            <v>Losa tipo LA-17 (H=0.20M)</v>
          </cell>
          <cell r="C1078" t="str">
            <v>und</v>
          </cell>
          <cell r="D1078">
            <v>1</v>
          </cell>
          <cell r="E1078" t="str">
            <v>Area cad=</v>
          </cell>
          <cell r="F1078">
            <v>18.207000000000001</v>
          </cell>
          <cell r="G1078">
            <v>8.33</v>
          </cell>
          <cell r="H1078">
            <v>151.66431</v>
          </cell>
        </row>
        <row r="1079">
          <cell r="B1079" t="str">
            <v>Losa tipo LA-18 (H=0.20M)</v>
          </cell>
          <cell r="C1079" t="str">
            <v>und</v>
          </cell>
          <cell r="D1079">
            <v>1</v>
          </cell>
          <cell r="E1079" t="str">
            <v>Area cad=</v>
          </cell>
          <cell r="F1079">
            <v>18.213000000000001</v>
          </cell>
          <cell r="G1079">
            <v>8.33</v>
          </cell>
          <cell r="H1079">
            <v>151.71429000000001</v>
          </cell>
        </row>
        <row r="1080">
          <cell r="B1080" t="str">
            <v>Losa tipo LA-19 (H=0.20M)</v>
          </cell>
          <cell r="C1080" t="str">
            <v>und</v>
          </cell>
          <cell r="D1080">
            <v>1</v>
          </cell>
          <cell r="E1080" t="str">
            <v>Area cad=</v>
          </cell>
          <cell r="F1080">
            <v>17.675999999999998</v>
          </cell>
          <cell r="G1080">
            <v>8.33</v>
          </cell>
          <cell r="H1080">
            <v>147.24107999999998</v>
          </cell>
        </row>
        <row r="1081">
          <cell r="B1081" t="str">
            <v>Losa tipo LA-20 (H=0.20M)</v>
          </cell>
          <cell r="C1081" t="str">
            <v>und</v>
          </cell>
          <cell r="D1081">
            <v>1</v>
          </cell>
          <cell r="E1081" t="str">
            <v>Area cad=</v>
          </cell>
          <cell r="F1081">
            <v>17.867999999999999</v>
          </cell>
          <cell r="G1081">
            <v>8.33</v>
          </cell>
          <cell r="H1081">
            <v>148.84044</v>
          </cell>
        </row>
        <row r="1082">
          <cell r="B1082" t="str">
            <v>Losa tipo LA-21 (H=0.20M)</v>
          </cell>
          <cell r="C1082" t="str">
            <v>und</v>
          </cell>
          <cell r="D1082">
            <v>1</v>
          </cell>
          <cell r="E1082" t="str">
            <v>Area cad=</v>
          </cell>
          <cell r="F1082">
            <v>18.370999999999999</v>
          </cell>
          <cell r="G1082">
            <v>8.33</v>
          </cell>
          <cell r="H1082">
            <v>153.03043</v>
          </cell>
        </row>
        <row r="1083">
          <cell r="B1083" t="str">
            <v>Losa tipo LA-22 (H=0.20M)</v>
          </cell>
          <cell r="C1083" t="str">
            <v>und</v>
          </cell>
          <cell r="D1083">
            <v>1</v>
          </cell>
          <cell r="E1083" t="str">
            <v>Area cad=</v>
          </cell>
          <cell r="F1083">
            <v>18.425000000000001</v>
          </cell>
          <cell r="G1083">
            <v>8.33</v>
          </cell>
          <cell r="H1083">
            <v>153.48025000000001</v>
          </cell>
        </row>
        <row r="1084">
          <cell r="B1084" t="str">
            <v>Losa tipo LA-23 (H=0.20M)</v>
          </cell>
          <cell r="C1084" t="str">
            <v>und</v>
          </cell>
          <cell r="D1084">
            <v>1</v>
          </cell>
          <cell r="E1084" t="str">
            <v>Area cad=</v>
          </cell>
          <cell r="F1084">
            <v>18.373000000000001</v>
          </cell>
          <cell r="G1084">
            <v>8.33</v>
          </cell>
          <cell r="H1084">
            <v>153.04709</v>
          </cell>
        </row>
        <row r="1085">
          <cell r="B1085" t="str">
            <v>Losa tipo LA-24 (H=0.20M)</v>
          </cell>
          <cell r="C1085" t="str">
            <v>und</v>
          </cell>
          <cell r="D1085">
            <v>1</v>
          </cell>
          <cell r="E1085" t="str">
            <v>Area cad=</v>
          </cell>
          <cell r="F1085">
            <v>18.931999999999999</v>
          </cell>
          <cell r="G1085">
            <v>8.33</v>
          </cell>
          <cell r="H1085">
            <v>157.70355999999998</v>
          </cell>
        </row>
        <row r="1086">
          <cell r="B1086" t="str">
            <v>Losa tipo LA-25 (H=0.20M)</v>
          </cell>
          <cell r="C1086" t="str">
            <v>und</v>
          </cell>
          <cell r="D1086">
            <v>1</v>
          </cell>
          <cell r="E1086" t="str">
            <v>Area cad=</v>
          </cell>
          <cell r="F1086">
            <v>18.742999999999999</v>
          </cell>
          <cell r="G1086">
            <v>8.33</v>
          </cell>
          <cell r="H1086">
            <v>156.12918999999999</v>
          </cell>
        </row>
        <row r="1089">
          <cell r="A1089" t="str">
            <v>05.13.04</v>
          </cell>
          <cell r="B1089" t="str">
            <v>ACERO fy=4200 kg/cm2 GRADO 60 EN LOSA ALIGERADA UNIDIRECCIONAL</v>
          </cell>
        </row>
        <row r="1091">
          <cell r="B1091" t="str">
            <v>1º PISO,MEZANINE,2º PISO</v>
          </cell>
          <cell r="C1091" t="str">
            <v>Kg</v>
          </cell>
          <cell r="D1091">
            <v>1</v>
          </cell>
          <cell r="E1091">
            <v>7867</v>
          </cell>
          <cell r="H1091">
            <v>7867</v>
          </cell>
          <cell r="I1091">
            <v>7867</v>
          </cell>
        </row>
        <row r="1095">
          <cell r="A1095" t="str">
            <v>05.14.00</v>
          </cell>
          <cell r="B1095" t="str">
            <v>LOSAS ALIGERADAS BIDIERECCIONAL</v>
          </cell>
        </row>
        <row r="1096">
          <cell r="A1096" t="str">
            <v>05.14.01</v>
          </cell>
          <cell r="B1096" t="str">
            <v>CONCRETO EN LOSAS ALIGERADAS BIDIRECCIONAL f'c=210 kg/cm2</v>
          </cell>
          <cell r="C1096" t="str">
            <v>m3</v>
          </cell>
          <cell r="I1096">
            <v>255.1292</v>
          </cell>
        </row>
        <row r="1097">
          <cell r="B1097" t="str">
            <v>1º PISO</v>
          </cell>
        </row>
        <row r="1098">
          <cell r="B1098" t="str">
            <v>Losa tipo LAB-1</v>
          </cell>
          <cell r="C1098" t="str">
            <v>m3</v>
          </cell>
          <cell r="D1098">
            <v>1</v>
          </cell>
          <cell r="E1098" t="str">
            <v>Area cad=</v>
          </cell>
          <cell r="F1098">
            <v>63.703000000000003</v>
          </cell>
          <cell r="G1098">
            <v>0.13600000000000001</v>
          </cell>
          <cell r="H1098">
            <v>8.6636080000000018</v>
          </cell>
        </row>
        <row r="1099">
          <cell r="B1099" t="str">
            <v>Losa tipo LAB-2</v>
          </cell>
          <cell r="C1099" t="str">
            <v>m3</v>
          </cell>
          <cell r="D1099">
            <v>1</v>
          </cell>
          <cell r="E1099" t="str">
            <v>Area cad=</v>
          </cell>
          <cell r="F1099">
            <v>70.885999999999996</v>
          </cell>
          <cell r="G1099">
            <v>0.13600000000000001</v>
          </cell>
          <cell r="H1099">
            <v>9.6404960000000006</v>
          </cell>
        </row>
        <row r="1100">
          <cell r="B1100" t="str">
            <v>Losa tipo LAB-3</v>
          </cell>
          <cell r="C1100" t="str">
            <v>m3</v>
          </cell>
          <cell r="D1100">
            <v>1</v>
          </cell>
          <cell r="E1100" t="str">
            <v>Area cad=</v>
          </cell>
          <cell r="F1100">
            <v>70.679000000000002</v>
          </cell>
          <cell r="G1100">
            <v>0.13600000000000001</v>
          </cell>
          <cell r="H1100">
            <v>9.6123440000000002</v>
          </cell>
        </row>
        <row r="1101">
          <cell r="B1101" t="str">
            <v>Losa tipo LAB-4</v>
          </cell>
          <cell r="C1101" t="str">
            <v>m3</v>
          </cell>
          <cell r="D1101">
            <v>1</v>
          </cell>
          <cell r="E1101" t="str">
            <v>Area cad=</v>
          </cell>
          <cell r="F1101">
            <v>63.793000000000006</v>
          </cell>
          <cell r="G1101">
            <v>0.13600000000000001</v>
          </cell>
          <cell r="H1101">
            <v>8.675848000000002</v>
          </cell>
        </row>
        <row r="1102">
          <cell r="B1102" t="str">
            <v>Losa tipo LAB-5</v>
          </cell>
          <cell r="C1102" t="str">
            <v>m3</v>
          </cell>
          <cell r="D1102">
            <v>2</v>
          </cell>
          <cell r="E1102" t="str">
            <v>Area cad=</v>
          </cell>
          <cell r="F1102">
            <v>74.921999999999997</v>
          </cell>
          <cell r="G1102">
            <v>0.13600000000000001</v>
          </cell>
          <cell r="H1102">
            <v>20.378784</v>
          </cell>
        </row>
        <row r="1103">
          <cell r="B1103" t="str">
            <v>Losa tipo LAB-6</v>
          </cell>
          <cell r="C1103" t="str">
            <v>m3</v>
          </cell>
          <cell r="D1103">
            <v>2</v>
          </cell>
          <cell r="E1103" t="str">
            <v>Area cad=</v>
          </cell>
          <cell r="F1103">
            <v>48.995000000000005</v>
          </cell>
          <cell r="G1103">
            <v>0.13600000000000001</v>
          </cell>
          <cell r="H1103">
            <v>13.326640000000003</v>
          </cell>
        </row>
        <row r="1104">
          <cell r="B1104" t="str">
            <v>Losa tipo LAB-7</v>
          </cell>
          <cell r="C1104" t="str">
            <v>m3</v>
          </cell>
          <cell r="D1104">
            <v>1</v>
          </cell>
          <cell r="E1104" t="str">
            <v>Area cad=</v>
          </cell>
          <cell r="F1104">
            <v>58.308999999999997</v>
          </cell>
          <cell r="G1104">
            <v>0.13600000000000001</v>
          </cell>
          <cell r="H1104">
            <v>7.9300240000000004</v>
          </cell>
        </row>
        <row r="1105">
          <cell r="B1105" t="str">
            <v>Losa tipo LAB-8</v>
          </cell>
          <cell r="C1105" t="str">
            <v>m3</v>
          </cell>
          <cell r="D1105">
            <v>4</v>
          </cell>
          <cell r="E1105" t="str">
            <v>Area cad=</v>
          </cell>
          <cell r="F1105">
            <v>66.686999999999998</v>
          </cell>
          <cell r="G1105">
            <v>0.13600000000000001</v>
          </cell>
          <cell r="H1105">
            <v>36.277728000000003</v>
          </cell>
        </row>
        <row r="1106">
          <cell r="B1106" t="str">
            <v>Losa tipo LAB-9</v>
          </cell>
          <cell r="C1106" t="str">
            <v>m3</v>
          </cell>
          <cell r="D1106">
            <v>2</v>
          </cell>
          <cell r="E1106" t="str">
            <v>Area cad=</v>
          </cell>
          <cell r="F1106">
            <v>64.632999999999996</v>
          </cell>
          <cell r="G1106">
            <v>0.13600000000000001</v>
          </cell>
          <cell r="H1106">
            <v>17.580176000000002</v>
          </cell>
        </row>
        <row r="1107">
          <cell r="B1107" t="str">
            <v>Losa tipo LAB-10</v>
          </cell>
          <cell r="C1107" t="str">
            <v>m3</v>
          </cell>
          <cell r="D1107">
            <v>1</v>
          </cell>
          <cell r="E1107" t="str">
            <v>Area cad=</v>
          </cell>
          <cell r="F1107">
            <v>64.415999999999997</v>
          </cell>
          <cell r="G1107">
            <v>0.13600000000000001</v>
          </cell>
          <cell r="H1107">
            <v>8.7605760000000004</v>
          </cell>
        </row>
        <row r="1108">
          <cell r="B1108" t="str">
            <v>Losa tipo LAB-11</v>
          </cell>
          <cell r="C1108" t="str">
            <v>m3</v>
          </cell>
          <cell r="D1108">
            <v>1</v>
          </cell>
          <cell r="E1108" t="str">
            <v>Area cad=</v>
          </cell>
          <cell r="F1108">
            <v>64.415999999999997</v>
          </cell>
          <cell r="G1108">
            <v>0.13600000000000001</v>
          </cell>
          <cell r="H1108">
            <v>8.7605760000000004</v>
          </cell>
        </row>
        <row r="1109">
          <cell r="B1109" t="str">
            <v>Losa tipo LAB-12</v>
          </cell>
          <cell r="C1109" t="str">
            <v>m3</v>
          </cell>
          <cell r="D1109">
            <v>1</v>
          </cell>
          <cell r="E1109" t="str">
            <v>Area cad=</v>
          </cell>
          <cell r="F1109">
            <v>58.337000000000003</v>
          </cell>
          <cell r="G1109">
            <v>0.13600000000000001</v>
          </cell>
          <cell r="H1109">
            <v>7.9338320000000007</v>
          </cell>
        </row>
        <row r="1110">
          <cell r="B1110" t="str">
            <v>Losa tipo LAB-13</v>
          </cell>
          <cell r="C1110" t="str">
            <v>m3</v>
          </cell>
          <cell r="D1110">
            <v>1</v>
          </cell>
          <cell r="E1110" t="str">
            <v>Area cad=</v>
          </cell>
          <cell r="F1110">
            <v>70.733000000000004</v>
          </cell>
          <cell r="G1110">
            <v>0.13600000000000001</v>
          </cell>
          <cell r="H1110">
            <v>9.6196880000000018</v>
          </cell>
        </row>
        <row r="1111">
          <cell r="B1111" t="str">
            <v>Losa tipo LAB-14</v>
          </cell>
          <cell r="C1111" t="str">
            <v>m3</v>
          </cell>
          <cell r="D1111">
            <v>1</v>
          </cell>
          <cell r="E1111" t="str">
            <v>Area cad=</v>
          </cell>
          <cell r="F1111">
            <v>70.644000000000005</v>
          </cell>
          <cell r="G1111">
            <v>0.13600000000000001</v>
          </cell>
          <cell r="H1111">
            <v>9.607584000000001</v>
          </cell>
        </row>
        <row r="1112">
          <cell r="B1112" t="str">
            <v>Losa tipo LAB-15</v>
          </cell>
          <cell r="C1112" t="str">
            <v>m3</v>
          </cell>
          <cell r="D1112">
            <v>1</v>
          </cell>
          <cell r="E1112" t="str">
            <v>Area cad=</v>
          </cell>
          <cell r="F1112">
            <v>68.406000000000006</v>
          </cell>
          <cell r="G1112">
            <v>0.13600000000000001</v>
          </cell>
          <cell r="H1112">
            <v>9.3032160000000008</v>
          </cell>
        </row>
        <row r="1113">
          <cell r="B1113" t="str">
            <v>Losa tipo LAB-16</v>
          </cell>
          <cell r="C1113" t="str">
            <v>m3</v>
          </cell>
          <cell r="D1113">
            <v>1</v>
          </cell>
          <cell r="E1113" t="str">
            <v>Area cad=</v>
          </cell>
          <cell r="F1113">
            <v>68.879000000000005</v>
          </cell>
          <cell r="G1113">
            <v>0.13600000000000001</v>
          </cell>
          <cell r="H1113">
            <v>9.3675440000000005</v>
          </cell>
        </row>
        <row r="1114">
          <cell r="B1114" t="str">
            <v>Losa tipo LAB-17</v>
          </cell>
          <cell r="C1114" t="str">
            <v>m3</v>
          </cell>
          <cell r="D1114">
            <v>1</v>
          </cell>
          <cell r="E1114" t="str">
            <v>Area cad=</v>
          </cell>
          <cell r="F1114">
            <v>70.536999999999992</v>
          </cell>
          <cell r="G1114">
            <v>0.13600000000000001</v>
          </cell>
          <cell r="H1114">
            <v>9.5930319999999991</v>
          </cell>
        </row>
        <row r="1115">
          <cell r="B1115" t="str">
            <v>Losa tipo LAB-18</v>
          </cell>
          <cell r="C1115" t="str">
            <v>m3</v>
          </cell>
          <cell r="D1115">
            <v>1</v>
          </cell>
          <cell r="E1115" t="str">
            <v>Area cad=</v>
          </cell>
          <cell r="F1115">
            <v>74.231999999999999</v>
          </cell>
          <cell r="G1115">
            <v>0.13600000000000001</v>
          </cell>
          <cell r="H1115">
            <v>10.095552000000001</v>
          </cell>
        </row>
        <row r="1116">
          <cell r="B1116" t="str">
            <v>Losa tipo LAB-19</v>
          </cell>
          <cell r="C1116" t="str">
            <v>m3</v>
          </cell>
          <cell r="D1116">
            <v>1</v>
          </cell>
          <cell r="E1116" t="str">
            <v>Area cad=</v>
          </cell>
          <cell r="F1116">
            <v>70.644999999999996</v>
          </cell>
          <cell r="G1116">
            <v>0.13600000000000001</v>
          </cell>
          <cell r="H1116">
            <v>9.6077200000000005</v>
          </cell>
        </row>
        <row r="1117">
          <cell r="B1117" t="str">
            <v>Losa tipo LAB-20</v>
          </cell>
          <cell r="C1117" t="str">
            <v>m3</v>
          </cell>
          <cell r="D1117">
            <v>1</v>
          </cell>
          <cell r="E1117" t="str">
            <v>Area cad=</v>
          </cell>
          <cell r="F1117">
            <v>72.959999999999994</v>
          </cell>
          <cell r="G1117">
            <v>0.13600000000000001</v>
          </cell>
          <cell r="H1117">
            <v>9.9225600000000007</v>
          </cell>
        </row>
        <row r="1118">
          <cell r="B1118" t="str">
            <v>Losa tipo LAB-21</v>
          </cell>
          <cell r="C1118" t="str">
            <v>m3</v>
          </cell>
          <cell r="D1118">
            <v>1</v>
          </cell>
          <cell r="E1118" t="str">
            <v>Area cad=</v>
          </cell>
          <cell r="F1118">
            <v>66.369</v>
          </cell>
          <cell r="G1118">
            <v>0.13600000000000001</v>
          </cell>
          <cell r="H1118">
            <v>9.0261840000000007</v>
          </cell>
        </row>
        <row r="1119">
          <cell r="B1119" t="str">
            <v>Losa tipo LAB-22</v>
          </cell>
          <cell r="C1119" t="str">
            <v>m3</v>
          </cell>
          <cell r="D1119">
            <v>1</v>
          </cell>
          <cell r="E1119" t="str">
            <v>Area cad=</v>
          </cell>
          <cell r="F1119">
            <v>55.641999999999996</v>
          </cell>
          <cell r="G1119">
            <v>0.13600000000000001</v>
          </cell>
          <cell r="H1119">
            <v>7.5673120000000003</v>
          </cell>
        </row>
        <row r="1120">
          <cell r="B1120" t="str">
            <v>Losa tipo LAB-23</v>
          </cell>
          <cell r="C1120" t="str">
            <v>m3</v>
          </cell>
          <cell r="D1120">
            <v>1</v>
          </cell>
          <cell r="E1120" t="str">
            <v>Area cad=</v>
          </cell>
          <cell r="F1120">
            <v>28.515999999999998</v>
          </cell>
          <cell r="G1120">
            <v>0.13600000000000001</v>
          </cell>
          <cell r="H1120">
            <v>3.8781759999999998</v>
          </cell>
        </row>
        <row r="1122">
          <cell r="A1122" t="str">
            <v>05.14.02</v>
          </cell>
          <cell r="B1122" t="str">
            <v>ENCOFRADO Y DESENCOFRADO EN LOSAS ALIGERADAS BIDIRECCIONAL</v>
          </cell>
          <cell r="E1122" t="str">
            <v>Area (m2)</v>
          </cell>
          <cell r="I1122">
            <v>1875.9499999999998</v>
          </cell>
        </row>
        <row r="1123">
          <cell r="B1123" t="str">
            <v>1º PISO</v>
          </cell>
        </row>
        <row r="1124">
          <cell r="B1124" t="str">
            <v>Losa tipo LAB-1</v>
          </cell>
          <cell r="C1124" t="str">
            <v>m2</v>
          </cell>
          <cell r="D1124">
            <v>1</v>
          </cell>
          <cell r="E1124" t="str">
            <v>Area cad=</v>
          </cell>
          <cell r="F1124">
            <v>63.703000000000003</v>
          </cell>
          <cell r="H1124">
            <v>63.703000000000003</v>
          </cell>
        </row>
        <row r="1125">
          <cell r="B1125" t="str">
            <v>Losa tipo LAB-2</v>
          </cell>
          <cell r="C1125" t="str">
            <v>m2</v>
          </cell>
          <cell r="D1125">
            <v>1</v>
          </cell>
          <cell r="E1125" t="str">
            <v>Area cad=</v>
          </cell>
          <cell r="F1125">
            <v>70.885999999999996</v>
          </cell>
          <cell r="H1125">
            <v>70.885999999999996</v>
          </cell>
        </row>
        <row r="1126">
          <cell r="B1126" t="str">
            <v>Losa tipo LAB-3</v>
          </cell>
          <cell r="C1126" t="str">
            <v>m2</v>
          </cell>
          <cell r="D1126">
            <v>1</v>
          </cell>
          <cell r="E1126" t="str">
            <v>Area cad=</v>
          </cell>
          <cell r="F1126">
            <v>70.679000000000002</v>
          </cell>
          <cell r="H1126">
            <v>70.679000000000002</v>
          </cell>
        </row>
        <row r="1127">
          <cell r="B1127" t="str">
            <v>Losa tipo LAB-4</v>
          </cell>
          <cell r="C1127" t="str">
            <v>m2</v>
          </cell>
          <cell r="D1127">
            <v>1</v>
          </cell>
          <cell r="E1127" t="str">
            <v>Area cad=</v>
          </cell>
          <cell r="F1127">
            <v>63.793000000000006</v>
          </cell>
          <cell r="H1127">
            <v>63.793000000000006</v>
          </cell>
        </row>
        <row r="1128">
          <cell r="B1128" t="str">
            <v>Losa tipo LAB-5</v>
          </cell>
          <cell r="C1128" t="str">
            <v>m2</v>
          </cell>
          <cell r="D1128">
            <v>2</v>
          </cell>
          <cell r="E1128" t="str">
            <v>Area cad=</v>
          </cell>
          <cell r="F1128">
            <v>74.921999999999997</v>
          </cell>
          <cell r="H1128">
            <v>149.84399999999999</v>
          </cell>
        </row>
        <row r="1129">
          <cell r="B1129" t="str">
            <v>Losa tipo LAB-6</v>
          </cell>
          <cell r="C1129" t="str">
            <v>m2</v>
          </cell>
          <cell r="D1129">
            <v>2</v>
          </cell>
          <cell r="E1129" t="str">
            <v>Area cad=</v>
          </cell>
          <cell r="F1129">
            <v>48.995000000000005</v>
          </cell>
          <cell r="H1129">
            <v>97.990000000000009</v>
          </cell>
        </row>
        <row r="1130">
          <cell r="B1130" t="str">
            <v>Losa tipo LAB-7</v>
          </cell>
          <cell r="C1130" t="str">
            <v>m2</v>
          </cell>
          <cell r="D1130">
            <v>1</v>
          </cell>
          <cell r="E1130" t="str">
            <v>Area cad=</v>
          </cell>
          <cell r="F1130">
            <v>58.308999999999997</v>
          </cell>
          <cell r="H1130">
            <v>58.308999999999997</v>
          </cell>
        </row>
        <row r="1131">
          <cell r="B1131" t="str">
            <v>Losa tipo LAB-8</v>
          </cell>
          <cell r="C1131" t="str">
            <v>m2</v>
          </cell>
          <cell r="D1131">
            <v>4</v>
          </cell>
          <cell r="E1131" t="str">
            <v>Area cad=</v>
          </cell>
          <cell r="F1131">
            <v>66.686999999999998</v>
          </cell>
          <cell r="H1131">
            <v>266.74799999999999</v>
          </cell>
        </row>
        <row r="1132">
          <cell r="B1132" t="str">
            <v>Losa tipo LAB-9</v>
          </cell>
          <cell r="C1132" t="str">
            <v>m2</v>
          </cell>
          <cell r="D1132">
            <v>2</v>
          </cell>
          <cell r="E1132" t="str">
            <v>Area cad=</v>
          </cell>
          <cell r="F1132">
            <v>64.632999999999996</v>
          </cell>
          <cell r="H1132">
            <v>129.26599999999999</v>
          </cell>
        </row>
        <row r="1133">
          <cell r="B1133" t="str">
            <v>Losa tipo LAB-10</v>
          </cell>
          <cell r="C1133" t="str">
            <v>m2</v>
          </cell>
          <cell r="D1133">
            <v>1</v>
          </cell>
          <cell r="E1133" t="str">
            <v>Area cad=</v>
          </cell>
          <cell r="F1133">
            <v>64.415999999999997</v>
          </cell>
          <cell r="H1133">
            <v>64.415999999999997</v>
          </cell>
        </row>
        <row r="1134">
          <cell r="B1134" t="str">
            <v>Losa tipo LAB-11</v>
          </cell>
          <cell r="C1134" t="str">
            <v>m2</v>
          </cell>
          <cell r="D1134">
            <v>1</v>
          </cell>
          <cell r="E1134" t="str">
            <v>Area cad=</v>
          </cell>
          <cell r="F1134">
            <v>64.415999999999997</v>
          </cell>
          <cell r="H1134">
            <v>64.415999999999997</v>
          </cell>
        </row>
        <row r="1135">
          <cell r="B1135" t="str">
            <v>Losa tipo LAB-12</v>
          </cell>
          <cell r="C1135" t="str">
            <v>m2</v>
          </cell>
          <cell r="D1135">
            <v>1</v>
          </cell>
          <cell r="E1135" t="str">
            <v>Area cad=</v>
          </cell>
          <cell r="F1135">
            <v>58.337000000000003</v>
          </cell>
          <cell r="H1135">
            <v>58.337000000000003</v>
          </cell>
        </row>
        <row r="1136">
          <cell r="B1136" t="str">
            <v>Losa tipo LAB-13</v>
          </cell>
          <cell r="C1136" t="str">
            <v>m2</v>
          </cell>
          <cell r="D1136">
            <v>1</v>
          </cell>
          <cell r="E1136" t="str">
            <v>Area cad=</v>
          </cell>
          <cell r="F1136">
            <v>70.733000000000004</v>
          </cell>
          <cell r="H1136">
            <v>70.733000000000004</v>
          </cell>
        </row>
        <row r="1137">
          <cell r="B1137" t="str">
            <v>Losa tipo LAB-14</v>
          </cell>
          <cell r="C1137" t="str">
            <v>m2</v>
          </cell>
          <cell r="D1137">
            <v>1</v>
          </cell>
          <cell r="E1137" t="str">
            <v>Area cad=</v>
          </cell>
          <cell r="F1137">
            <v>70.644000000000005</v>
          </cell>
          <cell r="H1137">
            <v>70.644000000000005</v>
          </cell>
        </row>
        <row r="1138">
          <cell r="B1138" t="str">
            <v>Losa tipo LAB-15</v>
          </cell>
          <cell r="C1138" t="str">
            <v>m2</v>
          </cell>
          <cell r="D1138">
            <v>1</v>
          </cell>
          <cell r="E1138" t="str">
            <v>Area cad=</v>
          </cell>
          <cell r="F1138">
            <v>68.406000000000006</v>
          </cell>
          <cell r="H1138">
            <v>68.406000000000006</v>
          </cell>
        </row>
        <row r="1139">
          <cell r="B1139" t="str">
            <v>Losa tipo LAB-16</v>
          </cell>
          <cell r="C1139" t="str">
            <v>m2</v>
          </cell>
          <cell r="D1139">
            <v>1</v>
          </cell>
          <cell r="E1139" t="str">
            <v>Area cad=</v>
          </cell>
          <cell r="F1139">
            <v>68.879000000000005</v>
          </cell>
          <cell r="H1139">
            <v>68.879000000000005</v>
          </cell>
        </row>
        <row r="1140">
          <cell r="B1140" t="str">
            <v>Losa tipo LAB-17</v>
          </cell>
          <cell r="C1140" t="str">
            <v>m2</v>
          </cell>
          <cell r="D1140">
            <v>1</v>
          </cell>
          <cell r="E1140" t="str">
            <v>Area cad=</v>
          </cell>
          <cell r="F1140">
            <v>70.536999999999992</v>
          </cell>
          <cell r="H1140">
            <v>70.536999999999992</v>
          </cell>
        </row>
        <row r="1141">
          <cell r="B1141" t="str">
            <v>Losa tipo LAB-18</v>
          </cell>
          <cell r="C1141" t="str">
            <v>m2</v>
          </cell>
          <cell r="D1141">
            <v>1</v>
          </cell>
          <cell r="E1141" t="str">
            <v>Area cad=</v>
          </cell>
          <cell r="F1141">
            <v>74.231999999999999</v>
          </cell>
          <cell r="H1141">
            <v>74.231999999999999</v>
          </cell>
        </row>
        <row r="1142">
          <cell r="B1142" t="str">
            <v>Losa tipo LAB-19</v>
          </cell>
          <cell r="C1142" t="str">
            <v>m2</v>
          </cell>
          <cell r="D1142">
            <v>1</v>
          </cell>
          <cell r="E1142" t="str">
            <v>Area cad=</v>
          </cell>
          <cell r="F1142">
            <v>70.644999999999996</v>
          </cell>
          <cell r="H1142">
            <v>70.644999999999996</v>
          </cell>
        </row>
        <row r="1143">
          <cell r="B1143" t="str">
            <v>Losa tipo LAB-20</v>
          </cell>
          <cell r="C1143" t="str">
            <v>m2</v>
          </cell>
          <cell r="D1143">
            <v>1</v>
          </cell>
          <cell r="E1143" t="str">
            <v>Area cad=</v>
          </cell>
          <cell r="F1143">
            <v>72.959999999999994</v>
          </cell>
          <cell r="H1143">
            <v>72.959999999999994</v>
          </cell>
        </row>
        <row r="1144">
          <cell r="B1144" t="str">
            <v>Losa tipo LAB-21</v>
          </cell>
          <cell r="C1144" t="str">
            <v>m2</v>
          </cell>
          <cell r="D1144">
            <v>1</v>
          </cell>
          <cell r="E1144" t="str">
            <v>Area cad=</v>
          </cell>
          <cell r="F1144">
            <v>66.369</v>
          </cell>
          <cell r="H1144">
            <v>66.369</v>
          </cell>
        </row>
        <row r="1145">
          <cell r="B1145" t="str">
            <v>Losa tipo LAB-22</v>
          </cell>
          <cell r="C1145" t="str">
            <v>m2</v>
          </cell>
          <cell r="D1145">
            <v>1</v>
          </cell>
          <cell r="E1145" t="str">
            <v>Area cad=</v>
          </cell>
          <cell r="F1145">
            <v>55.641999999999996</v>
          </cell>
          <cell r="H1145">
            <v>55.641999999999996</v>
          </cell>
        </row>
        <row r="1146">
          <cell r="B1146" t="str">
            <v>Losa tipo LAB-23</v>
          </cell>
          <cell r="C1146" t="str">
            <v>m2</v>
          </cell>
          <cell r="D1146">
            <v>1</v>
          </cell>
          <cell r="E1146" t="str">
            <v>Area cad=</v>
          </cell>
          <cell r="F1146">
            <v>28.515999999999998</v>
          </cell>
          <cell r="H1146">
            <v>28.515999999999998</v>
          </cell>
        </row>
        <row r="1148">
          <cell r="A1148" t="str">
            <v>05.14.03</v>
          </cell>
          <cell r="B1148" t="str">
            <v>LADRILLO HUECO DE ARCILLA 15X30X30 cm PARA TECHO ALIGERADO</v>
          </cell>
          <cell r="E1148" t="str">
            <v>Area (m2)</v>
          </cell>
          <cell r="G1148" t="str">
            <v>Ladrillos/m2</v>
          </cell>
          <cell r="I1148">
            <v>14632.409999999998</v>
          </cell>
        </row>
        <row r="1149">
          <cell r="B1149" t="str">
            <v>1º PISO</v>
          </cell>
        </row>
        <row r="1150">
          <cell r="B1150" t="str">
            <v>Losa tipo LAB-1</v>
          </cell>
          <cell r="C1150" t="str">
            <v>und</v>
          </cell>
          <cell r="D1150">
            <v>1</v>
          </cell>
          <cell r="E1150">
            <v>63.703000000000003</v>
          </cell>
          <cell r="G1150">
            <v>7.8</v>
          </cell>
          <cell r="H1150">
            <v>496.88339999999999</v>
          </cell>
        </row>
        <row r="1151">
          <cell r="B1151" t="str">
            <v>Losa tipo LAB-2</v>
          </cell>
          <cell r="C1151" t="str">
            <v>und</v>
          </cell>
          <cell r="D1151">
            <v>1</v>
          </cell>
          <cell r="E1151">
            <v>70.885999999999996</v>
          </cell>
          <cell r="G1151">
            <v>7.8</v>
          </cell>
          <cell r="H1151">
            <v>552.91079999999999</v>
          </cell>
        </row>
        <row r="1152">
          <cell r="B1152" t="str">
            <v>Losa tipo LAB-3</v>
          </cell>
          <cell r="C1152" t="str">
            <v>und</v>
          </cell>
          <cell r="D1152">
            <v>1</v>
          </cell>
          <cell r="E1152">
            <v>70.679000000000002</v>
          </cell>
          <cell r="G1152">
            <v>7.8</v>
          </cell>
          <cell r="H1152">
            <v>551.2962</v>
          </cell>
        </row>
        <row r="1153">
          <cell r="B1153" t="str">
            <v>Losa tipo LAB-4</v>
          </cell>
          <cell r="C1153" t="str">
            <v>und</v>
          </cell>
          <cell r="D1153">
            <v>1</v>
          </cell>
          <cell r="E1153">
            <v>63.793000000000006</v>
          </cell>
          <cell r="G1153">
            <v>7.8</v>
          </cell>
          <cell r="H1153">
            <v>497.58540000000005</v>
          </cell>
        </row>
        <row r="1154">
          <cell r="B1154" t="str">
            <v>Losa tipo LAB-5</v>
          </cell>
          <cell r="C1154" t="str">
            <v>und</v>
          </cell>
          <cell r="D1154">
            <v>2</v>
          </cell>
          <cell r="E1154">
            <v>74.921999999999997</v>
          </cell>
          <cell r="G1154">
            <v>7.8</v>
          </cell>
          <cell r="H1154">
            <v>1168.7831999999999</v>
          </cell>
        </row>
        <row r="1155">
          <cell r="B1155" t="str">
            <v>Losa tipo LAB-6</v>
          </cell>
          <cell r="C1155" t="str">
            <v>und</v>
          </cell>
          <cell r="D1155">
            <v>2</v>
          </cell>
          <cell r="E1155">
            <v>48.995000000000005</v>
          </cell>
          <cell r="G1155">
            <v>7.8</v>
          </cell>
          <cell r="H1155">
            <v>764.322</v>
          </cell>
        </row>
        <row r="1156">
          <cell r="B1156" t="str">
            <v>Losa tipo LAB-7</v>
          </cell>
          <cell r="C1156" t="str">
            <v>und</v>
          </cell>
          <cell r="D1156">
            <v>1</v>
          </cell>
          <cell r="E1156">
            <v>58.308999999999997</v>
          </cell>
          <cell r="G1156">
            <v>7.8</v>
          </cell>
          <cell r="H1156">
            <v>454.81019999999995</v>
          </cell>
        </row>
        <row r="1157">
          <cell r="B1157" t="str">
            <v>Losa tipo LAB-8</v>
          </cell>
          <cell r="C1157" t="str">
            <v>und</v>
          </cell>
          <cell r="D1157">
            <v>4</v>
          </cell>
          <cell r="E1157">
            <v>66.686999999999998</v>
          </cell>
          <cell r="G1157">
            <v>7.8</v>
          </cell>
          <cell r="H1157">
            <v>2080.6343999999999</v>
          </cell>
        </row>
        <row r="1158">
          <cell r="B1158" t="str">
            <v>Losa tipo LAB-9</v>
          </cell>
          <cell r="C1158" t="str">
            <v>und</v>
          </cell>
          <cell r="D1158">
            <v>2</v>
          </cell>
          <cell r="E1158">
            <v>64.632999999999996</v>
          </cell>
          <cell r="G1158">
            <v>7.8</v>
          </cell>
          <cell r="H1158">
            <v>1008.2747999999999</v>
          </cell>
        </row>
        <row r="1159">
          <cell r="B1159" t="str">
            <v>Losa tipo LAB-10</v>
          </cell>
          <cell r="C1159" t="str">
            <v>und</v>
          </cell>
          <cell r="D1159">
            <v>1</v>
          </cell>
          <cell r="E1159">
            <v>64.415999999999997</v>
          </cell>
          <cell r="G1159">
            <v>7.8</v>
          </cell>
          <cell r="H1159">
            <v>502.44479999999999</v>
          </cell>
        </row>
        <row r="1160">
          <cell r="B1160" t="str">
            <v>Losa tipo LAB-11</v>
          </cell>
          <cell r="C1160" t="str">
            <v>und</v>
          </cell>
          <cell r="D1160">
            <v>1</v>
          </cell>
          <cell r="E1160">
            <v>64.415999999999997</v>
          </cell>
          <cell r="G1160">
            <v>7.8</v>
          </cell>
          <cell r="H1160">
            <v>502.44479999999999</v>
          </cell>
        </row>
        <row r="1161">
          <cell r="B1161" t="str">
            <v>Losa tipo LAB-12</v>
          </cell>
          <cell r="C1161" t="str">
            <v>und</v>
          </cell>
          <cell r="D1161">
            <v>1</v>
          </cell>
          <cell r="E1161">
            <v>58.337000000000003</v>
          </cell>
          <cell r="G1161">
            <v>7.8</v>
          </cell>
          <cell r="H1161">
            <v>455.02860000000004</v>
          </cell>
        </row>
        <row r="1162">
          <cell r="B1162" t="str">
            <v>Losa tipo LAB-13</v>
          </cell>
          <cell r="C1162" t="str">
            <v>und</v>
          </cell>
          <cell r="D1162">
            <v>1</v>
          </cell>
          <cell r="E1162">
            <v>70.733000000000004</v>
          </cell>
          <cell r="G1162">
            <v>7.8</v>
          </cell>
          <cell r="H1162">
            <v>551.7174</v>
          </cell>
        </row>
        <row r="1163">
          <cell r="B1163" t="str">
            <v>Losa tipo LAB-14</v>
          </cell>
          <cell r="C1163" t="str">
            <v>und</v>
          </cell>
          <cell r="D1163">
            <v>1</v>
          </cell>
          <cell r="E1163">
            <v>70.644000000000005</v>
          </cell>
          <cell r="G1163">
            <v>7.8</v>
          </cell>
          <cell r="H1163">
            <v>551.02319999999997</v>
          </cell>
        </row>
        <row r="1164">
          <cell r="B1164" t="str">
            <v>Losa tipo LAB-15</v>
          </cell>
          <cell r="C1164" t="str">
            <v>und</v>
          </cell>
          <cell r="D1164">
            <v>1</v>
          </cell>
          <cell r="E1164">
            <v>68.406000000000006</v>
          </cell>
          <cell r="G1164">
            <v>7.8</v>
          </cell>
          <cell r="H1164">
            <v>533.56680000000006</v>
          </cell>
        </row>
        <row r="1165">
          <cell r="B1165" t="str">
            <v>Losa tipo LAB-16</v>
          </cell>
          <cell r="C1165" t="str">
            <v>und</v>
          </cell>
          <cell r="D1165">
            <v>1</v>
          </cell>
          <cell r="E1165">
            <v>68.879000000000005</v>
          </cell>
          <cell r="G1165">
            <v>7.8</v>
          </cell>
          <cell r="H1165">
            <v>537.25620000000004</v>
          </cell>
        </row>
        <row r="1166">
          <cell r="B1166" t="str">
            <v>Losa tipo LAB-17</v>
          </cell>
          <cell r="C1166" t="str">
            <v>und</v>
          </cell>
          <cell r="D1166">
            <v>1</v>
          </cell>
          <cell r="E1166">
            <v>70.536999999999992</v>
          </cell>
          <cell r="G1166">
            <v>7.8</v>
          </cell>
          <cell r="H1166">
            <v>550.18859999999995</v>
          </cell>
        </row>
        <row r="1167">
          <cell r="B1167" t="str">
            <v>Losa tipo LAB-18</v>
          </cell>
          <cell r="C1167" t="str">
            <v>und</v>
          </cell>
          <cell r="D1167">
            <v>1</v>
          </cell>
          <cell r="E1167">
            <v>74.231999999999999</v>
          </cell>
          <cell r="G1167">
            <v>7.8</v>
          </cell>
          <cell r="H1167">
            <v>579.00959999999998</v>
          </cell>
        </row>
        <row r="1168">
          <cell r="B1168" t="str">
            <v>Losa tipo LAB-19</v>
          </cell>
          <cell r="C1168" t="str">
            <v>und</v>
          </cell>
          <cell r="D1168">
            <v>1</v>
          </cell>
          <cell r="E1168">
            <v>70.644999999999996</v>
          </cell>
          <cell r="G1168">
            <v>7.8</v>
          </cell>
          <cell r="H1168">
            <v>551.03099999999995</v>
          </cell>
        </row>
        <row r="1169">
          <cell r="B1169" t="str">
            <v>Losa tipo LAB-20</v>
          </cell>
          <cell r="C1169" t="str">
            <v>und</v>
          </cell>
          <cell r="D1169">
            <v>1</v>
          </cell>
          <cell r="E1169">
            <v>72.959999999999994</v>
          </cell>
          <cell r="G1169">
            <v>7.8</v>
          </cell>
          <cell r="H1169">
            <v>569.08799999999997</v>
          </cell>
        </row>
        <row r="1170">
          <cell r="B1170" t="str">
            <v>Losa tipo LAB-21</v>
          </cell>
          <cell r="C1170" t="str">
            <v>und</v>
          </cell>
          <cell r="D1170">
            <v>1</v>
          </cell>
          <cell r="E1170">
            <v>66.369</v>
          </cell>
          <cell r="G1170">
            <v>7.8</v>
          </cell>
          <cell r="H1170">
            <v>517.67819999999995</v>
          </cell>
        </row>
        <row r="1171">
          <cell r="B1171" t="str">
            <v>Losa tipo LAB-22</v>
          </cell>
          <cell r="C1171" t="str">
            <v>und</v>
          </cell>
          <cell r="D1171">
            <v>1</v>
          </cell>
          <cell r="E1171">
            <v>55.641999999999996</v>
          </cell>
          <cell r="G1171">
            <v>7.8</v>
          </cell>
          <cell r="H1171">
            <v>434.00759999999997</v>
          </cell>
        </row>
        <row r="1172">
          <cell r="B1172" t="str">
            <v>Losa tipo LAB-23</v>
          </cell>
          <cell r="C1172" t="str">
            <v>und</v>
          </cell>
          <cell r="D1172">
            <v>1</v>
          </cell>
          <cell r="E1172">
            <v>28.515999999999998</v>
          </cell>
          <cell r="G1172">
            <v>7.8</v>
          </cell>
          <cell r="H1172">
            <v>222.42479999999998</v>
          </cell>
        </row>
        <row r="1174">
          <cell r="A1174" t="str">
            <v>05.14.04</v>
          </cell>
          <cell r="B1174" t="str">
            <v>ACERO fy=4200 kg/cm2 GRADO 60 en LOSAS ALIGERADAS BIDIRECCIONAL</v>
          </cell>
        </row>
        <row r="1175">
          <cell r="B1175" t="str">
            <v>1º PISO</v>
          </cell>
          <cell r="C1175" t="str">
            <v>Kg</v>
          </cell>
          <cell r="D1175">
            <v>1</v>
          </cell>
          <cell r="E1175">
            <v>14878</v>
          </cell>
          <cell r="H1175">
            <v>14878</v>
          </cell>
          <cell r="I1175">
            <v>14878</v>
          </cell>
        </row>
        <row r="1177">
          <cell r="A1177" t="str">
            <v>05.17.00</v>
          </cell>
          <cell r="B1177" t="str">
            <v>RIA (FOSO DE AGUA)</v>
          </cell>
          <cell r="C1177" t="str">
            <v>m2</v>
          </cell>
          <cell r="D1177">
            <v>1</v>
          </cell>
          <cell r="E1177" t="str">
            <v>Area CAD</v>
          </cell>
          <cell r="F1177">
            <v>14.5</v>
          </cell>
          <cell r="H1177">
            <v>14.5</v>
          </cell>
          <cell r="I1177">
            <v>14.5</v>
          </cell>
        </row>
        <row r="1178">
          <cell r="A1178" t="str">
            <v>05.17.01</v>
          </cell>
          <cell r="B1178" t="str">
            <v>CONCRETO EN FOSO DE AGUA F'C=210 KG/CM2</v>
          </cell>
        </row>
        <row r="1179">
          <cell r="B1179" t="str">
            <v>Losa de fondo</v>
          </cell>
          <cell r="C1179" t="str">
            <v>m3</v>
          </cell>
          <cell r="D1179">
            <v>1</v>
          </cell>
          <cell r="E1179">
            <v>4.0999999999999996</v>
          </cell>
          <cell r="F1179">
            <v>3.66</v>
          </cell>
          <cell r="G1179">
            <v>0.15</v>
          </cell>
          <cell r="H1179">
            <v>2.2508999999999997</v>
          </cell>
        </row>
        <row r="1180">
          <cell r="B1180" t="str">
            <v>muro en eje longitudinal</v>
          </cell>
          <cell r="C1180" t="str">
            <v>m3</v>
          </cell>
          <cell r="D1180">
            <v>2</v>
          </cell>
          <cell r="E1180" t="str">
            <v>Area CAD =</v>
          </cell>
          <cell r="F1180">
            <v>3.7</v>
          </cell>
          <cell r="G1180">
            <v>0.2</v>
          </cell>
          <cell r="H1180">
            <v>1.4800000000000002</v>
          </cell>
        </row>
        <row r="1181">
          <cell r="B1181" t="str">
            <v>muro en eje transversal</v>
          </cell>
          <cell r="C1181" t="str">
            <v>m3</v>
          </cell>
          <cell r="D1181">
            <v>1</v>
          </cell>
          <cell r="E1181">
            <v>3.66</v>
          </cell>
          <cell r="F1181">
            <v>0.25</v>
          </cell>
          <cell r="G1181">
            <v>0.85</v>
          </cell>
          <cell r="H1181">
            <v>0.77775000000000005</v>
          </cell>
        </row>
        <row r="1182">
          <cell r="B1182" t="str">
            <v>cimentacion de apoyo</v>
          </cell>
          <cell r="C1182" t="str">
            <v>m3</v>
          </cell>
          <cell r="D1182">
            <v>1</v>
          </cell>
          <cell r="E1182">
            <v>4.0599999999999996</v>
          </cell>
          <cell r="F1182">
            <v>0.35</v>
          </cell>
          <cell r="G1182">
            <v>0.35</v>
          </cell>
          <cell r="H1182">
            <v>0.4973499999999999</v>
          </cell>
          <cell r="I1182">
            <v>5.0060000000000002</v>
          </cell>
        </row>
        <row r="1184">
          <cell r="A1184" t="str">
            <v>05.17.02</v>
          </cell>
          <cell r="B1184" t="str">
            <v xml:space="preserve">ENCOFRADO Y DESENCOFRADO NORMAL EN FOSO DE AGUA </v>
          </cell>
        </row>
        <row r="1185">
          <cell r="B1185" t="str">
            <v>muro en eje longitudinal</v>
          </cell>
          <cell r="C1185" t="str">
            <v>m2</v>
          </cell>
          <cell r="D1185">
            <v>4</v>
          </cell>
          <cell r="E1185" t="str">
            <v>Area CAD =</v>
          </cell>
          <cell r="F1185">
            <v>2.8721999999999999</v>
          </cell>
          <cell r="H1185">
            <v>11.488799999999999</v>
          </cell>
        </row>
        <row r="1186">
          <cell r="B1186" t="str">
            <v>muro en eje transversal</v>
          </cell>
          <cell r="C1186" t="str">
            <v>m2</v>
          </cell>
          <cell r="D1186">
            <v>2</v>
          </cell>
          <cell r="E1186">
            <v>3.81</v>
          </cell>
          <cell r="G1186">
            <v>0.85</v>
          </cell>
          <cell r="H1186">
            <v>6.4770000000000003</v>
          </cell>
          <cell r="I1186">
            <v>17.965800000000002</v>
          </cell>
        </row>
        <row r="1187">
          <cell r="H1187">
            <v>0</v>
          </cell>
        </row>
        <row r="1188">
          <cell r="A1188" t="str">
            <v>05.17.03</v>
          </cell>
          <cell r="B1188" t="str">
            <v>ACERO EN FOSO DE AGUA fy=4200 kg/cm2 GRADO 60</v>
          </cell>
        </row>
        <row r="1189">
          <cell r="B1189" t="str">
            <v>Losa de fondo</v>
          </cell>
          <cell r="F1189" t="str">
            <v>Peso (Kg/m)</v>
          </cell>
        </row>
        <row r="1190">
          <cell r="B1190" t="str">
            <v>Acero longitudinal Ø 3/8"</v>
          </cell>
          <cell r="C1190" t="str">
            <v>kg</v>
          </cell>
          <cell r="D1190">
            <v>15</v>
          </cell>
          <cell r="E1190">
            <v>4.32</v>
          </cell>
          <cell r="F1190">
            <v>0.56000000000000005</v>
          </cell>
          <cell r="H1190">
            <v>36.288000000000011</v>
          </cell>
        </row>
        <row r="1191">
          <cell r="B1191" t="str">
            <v>Acero transversal Ø 3/8"</v>
          </cell>
          <cell r="C1191" t="str">
            <v>kg</v>
          </cell>
          <cell r="D1191">
            <v>17</v>
          </cell>
          <cell r="E1191">
            <v>4.12</v>
          </cell>
          <cell r="F1191">
            <v>0.56000000000000005</v>
          </cell>
          <cell r="H1191">
            <v>39.222400000000007</v>
          </cell>
        </row>
        <row r="1192">
          <cell r="B1192" t="str">
            <v>muros en ejes longitudinales</v>
          </cell>
        </row>
        <row r="1193">
          <cell r="B1193" t="str">
            <v>Acero longitudinal Ø 3/8"</v>
          </cell>
          <cell r="C1193" t="str">
            <v>kg</v>
          </cell>
          <cell r="D1193">
            <v>2</v>
          </cell>
          <cell r="E1193">
            <v>18.020000000000003</v>
          </cell>
          <cell r="F1193">
            <v>0.56000000000000005</v>
          </cell>
          <cell r="H1193">
            <v>20.182400000000005</v>
          </cell>
        </row>
        <row r="1194">
          <cell r="B1194" t="str">
            <v>Acero transversal Ø 3/8"</v>
          </cell>
          <cell r="C1194" t="str">
            <v>kg</v>
          </cell>
          <cell r="D1194">
            <v>2</v>
          </cell>
          <cell r="E1194">
            <v>15.390000000000002</v>
          </cell>
          <cell r="F1194">
            <v>0.56000000000000005</v>
          </cell>
          <cell r="H1194">
            <v>17.236800000000006</v>
          </cell>
        </row>
        <row r="1195">
          <cell r="B1195" t="str">
            <v>muro en eje transversal</v>
          </cell>
        </row>
        <row r="1196">
          <cell r="B1196" t="str">
            <v>Acero longitudinal Ø 3/8"</v>
          </cell>
          <cell r="C1196" t="str">
            <v>kg</v>
          </cell>
          <cell r="D1196">
            <v>3</v>
          </cell>
          <cell r="E1196">
            <v>4.21</v>
          </cell>
          <cell r="F1196">
            <v>0.56000000000000005</v>
          </cell>
          <cell r="H1196">
            <v>7.0728</v>
          </cell>
        </row>
        <row r="1197">
          <cell r="B1197" t="str">
            <v>Acero transversal Ø 3/8"</v>
          </cell>
          <cell r="C1197" t="str">
            <v>kg</v>
          </cell>
          <cell r="D1197">
            <v>15</v>
          </cell>
          <cell r="E1197">
            <v>0.93</v>
          </cell>
          <cell r="F1197">
            <v>0.56000000000000005</v>
          </cell>
          <cell r="H1197">
            <v>7.8120000000000012</v>
          </cell>
          <cell r="I1197">
            <v>127.81440000000002</v>
          </cell>
        </row>
        <row r="1199">
          <cell r="A1199" t="str">
            <v>05.20.00</v>
          </cell>
          <cell r="B1199" t="str">
            <v>PAVIMENTOS</v>
          </cell>
        </row>
        <row r="1200">
          <cell r="A1200" t="str">
            <v>05.20.01</v>
          </cell>
          <cell r="B1200" t="str">
            <v>IMPRIMACIÓN ASFÁLTICA CON MC-30</v>
          </cell>
          <cell r="C1200" t="str">
            <v>M2</v>
          </cell>
        </row>
        <row r="1211">
          <cell r="A1211" t="str">
            <v>05.20.02</v>
          </cell>
          <cell r="B1211" t="str">
            <v>RIEG0 DE LIGA CON EMULSIÓN CSE- 1H</v>
          </cell>
          <cell r="C1211" t="str">
            <v>M2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S"/>
      <sheetName val="Hoja1"/>
      <sheetName val="Hoja2"/>
      <sheetName val="Hoja3"/>
      <sheetName val="Casa B estuco"/>
      <sheetName val="Casa  B estuco siding"/>
      <sheetName val="Casa  B enchape ladrillo"/>
      <sheetName val="Alcant."/>
      <sheetName val="Agua Pot."/>
      <sheetName val="Inst. Gas"/>
      <sheetName val="Eléctrico"/>
      <sheetName val="Clima"/>
      <sheetName val="$ prom."/>
      <sheetName val="GASTOS GENERALES"/>
      <sheetName val="Montaje Mecánico y Piping"/>
      <sheetName val="PIPE"/>
      <sheetName val="FLANGE"/>
      <sheetName val="VALVE"/>
      <sheetName val="RESUMEN DE COTIZACION"/>
      <sheetName val="OBRA CIVIL"/>
      <sheetName val="ESTRUCTURA DE HORMIGON"/>
      <sheetName val="INFRAESTRUCTURA"/>
      <sheetName val="INSTALACION ELECTRICA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Cuadrilla"/>
      <sheetName val="Consumibles"/>
      <sheetName val="Equipo"/>
      <sheetName val="Casa_B_estuco"/>
      <sheetName val="Casa__B_estuco_siding"/>
      <sheetName val="Casa__B_enchape_ladrillo"/>
      <sheetName val="Alcant_"/>
      <sheetName val="Agua_Pot_"/>
      <sheetName val="Inst__Gas"/>
      <sheetName val="$_prom_"/>
      <sheetName val="GASTOS_GENERALES"/>
      <sheetName val="Montaje_Mecánico_y_Piping"/>
      <sheetName val="Portfolio"/>
      <sheetName val="STOCKWATCH - US$"/>
      <sheetName val="CONSENSUSWATCH - US$"/>
      <sheetName val="Stock Performance - US$"/>
      <sheetName val="Casa_B_estuco2"/>
      <sheetName val="Casa__B_estuco_siding2"/>
      <sheetName val="Casa__B_enchape_ladrillo2"/>
      <sheetName val="Alcant_2"/>
      <sheetName val="Agua_Pot_2"/>
      <sheetName val="Inst__Gas2"/>
      <sheetName val="$_prom_2"/>
      <sheetName val="GASTOS_GENERALES2"/>
      <sheetName val="Montaje_Mecánico_y_Piping2"/>
      <sheetName val="RESUMEN_DE_COTIZACION1"/>
      <sheetName val="OBRA_CIVIL1"/>
      <sheetName val="ESTRUCTURA_DE_HORMIGON1"/>
      <sheetName val="INSTALACION_ELECTRICA1"/>
      <sheetName val="Avance_financiero1"/>
      <sheetName val="Casa_B_estuco1"/>
      <sheetName val="Casa__B_estuco_siding1"/>
      <sheetName val="Casa__B_enchape_ladrillo1"/>
      <sheetName val="Alcant_1"/>
      <sheetName val="Agua_Pot_1"/>
      <sheetName val="Inst__Gas1"/>
      <sheetName val="$_prom_1"/>
      <sheetName val="GASTOS_GENERALES1"/>
      <sheetName val="Montaje_Mecánico_y_Piping1"/>
      <sheetName val="RESUMEN_DE_COTIZACION"/>
      <sheetName val="OBRA_CIVIL"/>
      <sheetName val="ESTRUCTURA_DE_HORMIGON"/>
      <sheetName val="INSTALACION_ELECTRICA"/>
      <sheetName val="Avance_financiero"/>
      <sheetName val="Limit_ACC_A"/>
      <sheetName val="Resumen"/>
      <sheetName val="Avance Finaciero Parque Mirador"/>
      <sheetName val="Programa Final 15-04-13"/>
      <sheetName val="Curva &quot;S&quot; Proyecto"/>
      <sheetName val="Curva &quot;S&quot; Hormigón"/>
      <sheetName val="Personal"/>
      <sheetName val="organigrama"/>
      <sheetName val="Fotos"/>
      <sheetName val="Muestras Hº"/>
      <sheetName val="C. Compras"/>
      <sheetName val="Arriendos"/>
      <sheetName val="RDI"/>
      <sheetName val="L.OBRA"/>
      <sheetName val="Acta Reunión Mandante"/>
      <sheetName val="Av_finan"/>
      <sheetName val="TERMINACIONES_EA"/>
      <sheetName val="Costos"/>
      <sheetName val="RESUMEN_ATI"/>
      <sheetName val="Detalle"/>
      <sheetName val="Detalle_ATI_en_$"/>
      <sheetName val="OBRACIVILJUMBO_FACHADAS"/>
      <sheetName val="EP_N°1"/>
      <sheetName val="Cubicaciones"/>
      <sheetName val="Costos_REAL_en_UF-m2"/>
      <sheetName val="Casa_B_estuco3"/>
      <sheetName val="Casa__B_estuco_siding3"/>
      <sheetName val="Casa__B_enchape_ladrillo3"/>
      <sheetName val="Alcant_3"/>
      <sheetName val="Agua_Pot_3"/>
      <sheetName val="Inst__Gas3"/>
      <sheetName val="$_prom_3"/>
      <sheetName val="GASTOS_GENERALES3"/>
      <sheetName val="Montaje_Mecánico_y_Piping3"/>
      <sheetName val="RESUMEN_DE_COTIZACION2"/>
      <sheetName val="OBRA_CIVIL2"/>
      <sheetName val="ESTRUCTURA_DE_HORMIGON2"/>
      <sheetName val="INSTALACION_ELECTRICA2"/>
      <sheetName val="Avance_financiero2"/>
      <sheetName val="Cuadro Comparativo Resumen (EQ)"/>
      <sheetName val="Obras Prov. y Prelim. (EQ)"/>
      <sheetName val="Movimiento Tierra y demolic (E)"/>
      <sheetName val="Obras Civiles (EQ)"/>
      <sheetName val="Est. Metálicas (EQ)"/>
      <sheetName val="Carta Oferta"/>
      <sheetName val="Analisis de Restricciones"/>
      <sheetName val="EBCO"/>
      <sheetName val="MEGACENTRO"/>
      <sheetName val="STOCKWATCH_-_US$"/>
      <sheetName val="CONSENSUSWATCH_-_US$"/>
      <sheetName val="Stock_Performance_-_US$"/>
      <sheetName val="Casa_B_estuco4"/>
      <sheetName val="Casa__B_estuco_siding4"/>
      <sheetName val="Casa__B_enchape_ladrillo4"/>
      <sheetName val="Alcant_4"/>
      <sheetName val="Agua_Pot_4"/>
      <sheetName val="Inst__Gas4"/>
      <sheetName val="$_prom_4"/>
      <sheetName val="GASTOS_GENERALES4"/>
      <sheetName val="Montaje_Mecánico_y_Piping4"/>
      <sheetName val="RESUMEN_DE_COTIZACION3"/>
      <sheetName val="OBRA_CIVIL3"/>
      <sheetName val="ESTRUCTURA_DE_HORMIGON3"/>
      <sheetName val="INSTALACION_ELECTRICA3"/>
      <sheetName val="Avance_financiero3"/>
      <sheetName val="Avance_Finaciero_Parque_Mirador"/>
      <sheetName val="Programa_Final_15-04-13"/>
      <sheetName val="Curva_&quot;S&quot;_Proyecto"/>
      <sheetName val="Curva_&quot;S&quot;_Hormigón"/>
      <sheetName val="Muestras_Hº"/>
      <sheetName val="C__Compras"/>
      <sheetName val="L_OBRA"/>
      <sheetName val="Acta_Reunión_Mandante"/>
      <sheetName val="TEXTO"/>
      <sheetName val="SHEET1"/>
      <sheetName val="pu Estructuras"/>
      <sheetName val="InRetail - HPSA"/>
      <sheetName val="COMPARATIVO HPSA"/>
      <sheetName val="HPSA LTA"/>
      <sheetName val="HPSA INTELEC"/>
      <sheetName val="AGBAR-TRIM"/>
      <sheetName val="Análisis 2001"/>
      <sheetName val="Budget"/>
      <sheetName val="Datos"/>
      <sheetName val="AFEInt"/>
      <sheetName val="CI e Bil"/>
      <sheetName val="Análisis_2001"/>
      <sheetName val="Monto a Cubrir"/>
      <sheetName val="puni"/>
      <sheetName val="ggrales "/>
      <sheetName val="6400_31122005_HIS"/>
      <sheetName val="T2E_1296"/>
      <sheetName val="no borrrar"/>
      <sheetName val="tiraje mix"/>
      <sheetName val="AVANCE FISICO"/>
      <sheetName val="Casa_B_estuco5"/>
      <sheetName val="Casa__B_estuco_siding5"/>
      <sheetName val="Casa__B_enchape_ladrillo5"/>
      <sheetName val="Alcant_5"/>
      <sheetName val="Agua_Pot_5"/>
      <sheetName val="Inst__Gas5"/>
      <sheetName val="$_prom_5"/>
      <sheetName val="GASTOS_GENERALES5"/>
      <sheetName val="Montaje_Mecánico_y_Piping5"/>
      <sheetName val="Avance_financiero4"/>
      <sheetName val="RESUMEN_DE_COTIZACION4"/>
      <sheetName val="OBRA_CIVIL4"/>
      <sheetName val="ESTRUCTURA_DE_HORMIGON4"/>
      <sheetName val="INSTALACION_ELECTRICA4"/>
      <sheetName val="STOCKWATCH_-_US$1"/>
      <sheetName val="CONSENSUSWATCH_-_US$1"/>
      <sheetName val="Stock_Performance_-_US$1"/>
      <sheetName val="Avance_Finaciero_Parque_Mirado1"/>
      <sheetName val="Programa_Final_15-04-131"/>
      <sheetName val="Curva_&quot;S&quot;_Proyecto1"/>
      <sheetName val="Curva_&quot;S&quot;_Hormigón1"/>
      <sheetName val="Muestras_Hº1"/>
      <sheetName val="C__Compras1"/>
      <sheetName val="L_OBRA1"/>
      <sheetName val="Acta_Reunión_Mandante1"/>
      <sheetName val="Cuadro_Comparativo_Resumen_(EQ)"/>
      <sheetName val="Obras_Prov__y_Prelim__(EQ)"/>
      <sheetName val="Movimiento_Tierra_y_demolic_(E)"/>
      <sheetName val="Obras_Civiles_(EQ)"/>
      <sheetName val="Est__Metálicas_(EQ)"/>
      <sheetName val="Carta_Oferta"/>
      <sheetName val="Analisis_de_Restricciones"/>
      <sheetName val="Casa_B_estuco7"/>
      <sheetName val="Casa__B_estuco_siding7"/>
      <sheetName val="Casa__B_enchape_ladrillo7"/>
      <sheetName val="Alcant_7"/>
      <sheetName val="Agua_Pot_7"/>
      <sheetName val="Inst__Gas7"/>
      <sheetName val="$_prom_7"/>
      <sheetName val="GASTOS_GENERALES7"/>
      <sheetName val="Montaje_Mecánico_y_Piping7"/>
      <sheetName val="RESUMEN_DE_COTIZACION6"/>
      <sheetName val="OBRA_CIVIL6"/>
      <sheetName val="ESTRUCTURA_DE_HORMIGON6"/>
      <sheetName val="INSTALACION_ELECTRICA6"/>
      <sheetName val="Avance_financiero6"/>
      <sheetName val="STOCKWATCH_-_US$3"/>
      <sheetName val="CONSENSUSWATCH_-_US$3"/>
      <sheetName val="Stock_Performance_-_US$3"/>
      <sheetName val="Avance_Finaciero_Parque_Mirado3"/>
      <sheetName val="Programa_Final_15-04-133"/>
      <sheetName val="Curva_&quot;S&quot;_Proyecto3"/>
      <sheetName val="Curva_&quot;S&quot;_Hormigón3"/>
      <sheetName val="Muestras_Hº3"/>
      <sheetName val="C__Compras3"/>
      <sheetName val="L_OBRA3"/>
      <sheetName val="Acta_Reunión_Mandante3"/>
      <sheetName val="Cuadro_Comparativo_Resumen_(EQ3"/>
      <sheetName val="Obras_Prov__y_Prelim__(EQ)3"/>
      <sheetName val="Movimiento_Tierra_y_demolic_(E3"/>
      <sheetName val="Obras_Civiles_(EQ)3"/>
      <sheetName val="Est__Metálicas_(EQ)3"/>
      <sheetName val="Cuadro_Comparativo_Resumen_(EQ1"/>
      <sheetName val="Obras_Prov__y_Prelim__(EQ)1"/>
      <sheetName val="Movimiento_Tierra_y_demolic_(E1"/>
      <sheetName val="Obras_Civiles_(EQ)1"/>
      <sheetName val="Est__Metálicas_(EQ)1"/>
      <sheetName val="Casa_B_estuco6"/>
      <sheetName val="Casa__B_estuco_siding6"/>
      <sheetName val="Casa__B_enchape_ladrillo6"/>
      <sheetName val="Alcant_6"/>
      <sheetName val="Agua_Pot_6"/>
      <sheetName val="Inst__Gas6"/>
      <sheetName val="$_prom_6"/>
      <sheetName val="GASTOS_GENERALES6"/>
      <sheetName val="Montaje_Mecánico_y_Piping6"/>
      <sheetName val="RESUMEN_DE_COTIZACION5"/>
      <sheetName val="OBRA_CIVIL5"/>
      <sheetName val="ESTRUCTURA_DE_HORMIGON5"/>
      <sheetName val="INSTALACION_ELECTRICA5"/>
      <sheetName val="Avance_financiero5"/>
      <sheetName val="STOCKWATCH_-_US$2"/>
      <sheetName val="CONSENSUSWATCH_-_US$2"/>
      <sheetName val="Stock_Performance_-_US$2"/>
      <sheetName val="Avance_Finaciero_Parque_Mirado2"/>
      <sheetName val="Programa_Final_15-04-132"/>
      <sheetName val="Curva_&quot;S&quot;_Proyecto2"/>
      <sheetName val="Curva_&quot;S&quot;_Hormigón2"/>
      <sheetName val="Muestras_Hº2"/>
      <sheetName val="C__Compras2"/>
      <sheetName val="L_OBRA2"/>
      <sheetName val="Acta_Reunión_Mandante2"/>
      <sheetName val="Cuadro_Comparativo_Resumen_(EQ2"/>
      <sheetName val="Obras_Prov__y_Prelim__(EQ)2"/>
      <sheetName val="Movimiento_Tierra_y_demolic_(E2"/>
      <sheetName val="Obras_Civiles_(EQ)2"/>
      <sheetName val="Est__Metálicas_(EQ)2"/>
      <sheetName val="Casa_B_estuco8"/>
      <sheetName val="Casa__B_estuco_siding8"/>
      <sheetName val="Casa__B_enchape_ladrillo8"/>
      <sheetName val="Alcant_8"/>
      <sheetName val="Agua_Pot_8"/>
      <sheetName val="Inst__Gas8"/>
      <sheetName val="$_prom_8"/>
      <sheetName val="GASTOS_GENERALES8"/>
      <sheetName val="Montaje_Mecánico_y_Piping8"/>
      <sheetName val="RESUMEN_DE_COTIZACION7"/>
      <sheetName val="OBRA_CIVIL7"/>
      <sheetName val="ESTRUCTURA_DE_HORMIGON7"/>
      <sheetName val="INSTALACION_ELECTRICA7"/>
      <sheetName val="Avance_financiero7"/>
      <sheetName val="STOCKWATCH_-_US$4"/>
      <sheetName val="CONSENSUSWATCH_-_US$4"/>
      <sheetName val="Stock_Performance_-_US$4"/>
      <sheetName val="Avance_Finaciero_Parque_Mirado4"/>
      <sheetName val="Programa_Final_15-04-134"/>
      <sheetName val="Curva_&quot;S&quot;_Proyecto4"/>
      <sheetName val="Curva_&quot;S&quot;_Hormigón4"/>
      <sheetName val="Muestras_Hº4"/>
      <sheetName val="C__Compras4"/>
      <sheetName val="L_OBRA4"/>
      <sheetName val="Acta_Reunión_Mandante4"/>
      <sheetName val="Cuadro_Comparativo_Resumen_(EQ4"/>
      <sheetName val="Obras_Prov__y_Prelim__(EQ)4"/>
      <sheetName val="Movimiento_Tierra_y_demolic_(E4"/>
      <sheetName val="Obras_Civiles_(EQ)4"/>
      <sheetName val="Est__Metálicas_(EQ)4"/>
      <sheetName val="Casa_B_estuco9"/>
      <sheetName val="Casa__B_estuco_siding9"/>
      <sheetName val="Casa__B_enchape_ladrillo9"/>
      <sheetName val="Alcant_9"/>
      <sheetName val="Agua_Pot_9"/>
      <sheetName val="Inst__Gas9"/>
      <sheetName val="$_prom_9"/>
      <sheetName val="GASTOS_GENERALES9"/>
      <sheetName val="Montaje_Mecánico_y_Piping9"/>
      <sheetName val="RESUMEN_DE_COTIZACION8"/>
      <sheetName val="OBRA_CIVIL8"/>
      <sheetName val="ESTRUCTURA_DE_HORMIGON8"/>
      <sheetName val="INSTALACION_ELECTRICA8"/>
      <sheetName val="Avance_financiero8"/>
      <sheetName val="STOCKWATCH_-_US$5"/>
      <sheetName val="CONSENSUSWATCH_-_US$5"/>
      <sheetName val="Stock_Performance_-_US$5"/>
      <sheetName val="Casa_B_estuco12"/>
      <sheetName val="Casa__B_estuco_siding12"/>
      <sheetName val="Casa__B_enchape_ladrillo12"/>
      <sheetName val="Alcant_12"/>
      <sheetName val="Agua_Pot_12"/>
      <sheetName val="Inst__Gas12"/>
      <sheetName val="$_prom_12"/>
      <sheetName val="GASTOS_GENERALES12"/>
      <sheetName val="Montaje_Mecánico_y_Piping12"/>
      <sheetName val="RESUMEN_DE_COTIZACION11"/>
      <sheetName val="OBRA_CIVIL11"/>
      <sheetName val="ESTRUCTURA_DE_HORMIGON11"/>
      <sheetName val="INSTALACION_ELECTRICA11"/>
      <sheetName val="Avance_financiero11"/>
      <sheetName val="STOCKWATCH_-_US$8"/>
      <sheetName val="CONSENSUSWATCH_-_US$8"/>
      <sheetName val="Stock_Performance_-_US$8"/>
      <sheetName val="Avance_Finaciero_Parque_Mirado7"/>
      <sheetName val="Programa_Final_15-04-137"/>
      <sheetName val="Curva_&quot;S&quot;_Proyecto7"/>
      <sheetName val="Curva_&quot;S&quot;_Hormigón7"/>
      <sheetName val="Muestras_Hº7"/>
      <sheetName val="C__Compras7"/>
      <sheetName val="L_OBRA7"/>
      <sheetName val="Acta_Reunión_Mandante7"/>
      <sheetName val="Cuadro_Comparativo_Resumen_(EQ7"/>
      <sheetName val="Obras_Prov__y_Prelim__(EQ)7"/>
      <sheetName val="Movimiento_Tierra_y_demolic_(E7"/>
      <sheetName val="Obras_Civiles_(EQ)7"/>
      <sheetName val="Est__Metálicas_(EQ)7"/>
      <sheetName val="Casa_B_estuco10"/>
      <sheetName val="Casa__B_estuco_siding10"/>
      <sheetName val="Casa__B_enchape_ladrillo10"/>
      <sheetName val="Alcant_10"/>
      <sheetName val="Agua_Pot_10"/>
      <sheetName val="Inst__Gas10"/>
      <sheetName val="$_prom_10"/>
      <sheetName val="GASTOS_GENERALES10"/>
      <sheetName val="Montaje_Mecánico_y_Piping10"/>
      <sheetName val="RESUMEN_DE_COTIZACION9"/>
      <sheetName val="OBRA_CIVIL9"/>
      <sheetName val="ESTRUCTURA_DE_HORMIGON9"/>
      <sheetName val="INSTALACION_ELECTRICA9"/>
      <sheetName val="Avance_financiero9"/>
      <sheetName val="STOCKWATCH_-_US$6"/>
      <sheetName val="CONSENSUSWATCH_-_US$6"/>
      <sheetName val="Stock_Performance_-_US$6"/>
      <sheetName val="Avance_Finaciero_Parque_Mirado5"/>
      <sheetName val="Programa_Final_15-04-135"/>
      <sheetName val="Curva_&quot;S&quot;_Proyecto5"/>
      <sheetName val="Curva_&quot;S&quot;_Hormigón5"/>
      <sheetName val="Muestras_Hº5"/>
      <sheetName val="C__Compras5"/>
      <sheetName val="L_OBRA5"/>
      <sheetName val="Acta_Reunión_Mandante5"/>
      <sheetName val="Cuadro_Comparativo_Resumen_(EQ5"/>
      <sheetName val="Obras_Prov__y_Prelim__(EQ)5"/>
      <sheetName val="Movimiento_Tierra_y_demolic_(E5"/>
      <sheetName val="Obras_Civiles_(EQ)5"/>
      <sheetName val="Est__Metálicas_(EQ)5"/>
      <sheetName val="Casa_B_estuco11"/>
      <sheetName val="Casa__B_estuco_siding11"/>
      <sheetName val="Casa__B_enchape_ladrillo11"/>
      <sheetName val="Alcant_11"/>
      <sheetName val="Agua_Pot_11"/>
      <sheetName val="Inst__Gas11"/>
      <sheetName val="$_prom_11"/>
      <sheetName val="GASTOS_GENERALES11"/>
      <sheetName val="Montaje_Mecánico_y_Piping11"/>
      <sheetName val="RESUMEN_DE_COTIZACION10"/>
      <sheetName val="OBRA_CIVIL10"/>
      <sheetName val="ESTRUCTURA_DE_HORMIGON10"/>
      <sheetName val="INSTALACION_ELECTRICA10"/>
      <sheetName val="Avance_financiero10"/>
      <sheetName val="STOCKWATCH_-_US$7"/>
      <sheetName val="CONSENSUSWATCH_-_US$7"/>
      <sheetName val="Stock_Performance_-_US$7"/>
      <sheetName val="Avance_Finaciero_Parque_Mirado6"/>
      <sheetName val="Programa_Final_15-04-136"/>
      <sheetName val="Curva_&quot;S&quot;_Proyecto6"/>
      <sheetName val="Curva_&quot;S&quot;_Hormigón6"/>
      <sheetName val="Muestras_Hº6"/>
      <sheetName val="C__Compras6"/>
      <sheetName val="L_OBRA6"/>
      <sheetName val="Acta_Reunión_Mandante6"/>
      <sheetName val="Cuadro_Comparativo_Resumen_(EQ6"/>
      <sheetName val="Obras_Prov__y_Prelim__(EQ)6"/>
      <sheetName val="Movimiento_Tierra_y_demolic_(E6"/>
      <sheetName val="Obras_Civiles_(EQ)6"/>
      <sheetName val="Est__Metálicas_(EQ)6"/>
      <sheetName val="Casa_B_estuco13"/>
      <sheetName val="Casa__B_estuco_siding13"/>
      <sheetName val="Casa__B_enchape_ladrillo13"/>
      <sheetName val="Alcant_13"/>
      <sheetName val="Agua_Pot_13"/>
      <sheetName val="Inst__Gas13"/>
      <sheetName val="$_prom_13"/>
      <sheetName val="GASTOS_GENERALES13"/>
      <sheetName val="Montaje_Mecánico_y_Piping13"/>
      <sheetName val="RESUMEN_DE_COTIZACION12"/>
      <sheetName val="OBRA_CIVIL12"/>
      <sheetName val="ESTRUCTURA_DE_HORMIGON12"/>
      <sheetName val="INSTALACION_ELECTRICA12"/>
      <sheetName val="Avance_financiero12"/>
      <sheetName val="STOCKWATCH_-_US$9"/>
      <sheetName val="CONSENSUSWATCH_-_US$9"/>
      <sheetName val="Stock_Performance_-_US$9"/>
      <sheetName val="Avance_Finaciero_Parque_Mirado8"/>
      <sheetName val="Programa_Final_15-04-138"/>
      <sheetName val="Curva_&quot;S&quot;_Proyecto8"/>
      <sheetName val="Curva_&quot;S&quot;_Hormigón8"/>
      <sheetName val="Muestras_Hº8"/>
      <sheetName val="C__Compras8"/>
      <sheetName val="L_OBRA8"/>
      <sheetName val="Acta_Reunión_Mandante8"/>
      <sheetName val="Cuadro_Comparativo_Resumen_(EQ8"/>
      <sheetName val="Obras_Prov__y_Prelim__(EQ)8"/>
      <sheetName val="Movimiento_Tierra_y_demolic_(E8"/>
      <sheetName val="Obras_Civiles_(EQ)8"/>
      <sheetName val="Est__Metálicas_(EQ)8"/>
      <sheetName val="INVOICE"/>
      <sheetName val="Others"/>
      <sheetName val="Metrado 01"/>
      <sheetName val="Metrado 02"/>
      <sheetName val="Base"/>
      <sheetName val="1. Inst. Faena"/>
      <sheetName val="2. Mov. de Tierra"/>
      <sheetName val="3. Demoliciones y OOCC"/>
      <sheetName val="Itemizado Oficial"/>
      <sheetName val="ITEMIZADO"/>
      <sheetName val="1.CUB. B "/>
      <sheetName val="1.CUB. C"/>
      <sheetName val="1.CUB. D "/>
      <sheetName val="1.CUB. E-F-G"/>
      <sheetName val="1.CUB. H"/>
      <sheetName val="1.CUB. I"/>
      <sheetName val="2.CUBIERTA"/>
      <sheetName val="3.FACH"/>
      <sheetName val="4.TAB.VID."/>
      <sheetName val="4.VNT"/>
      <sheetName val="5.PTA"/>
      <sheetName val="5.2.PTA"/>
      <sheetName val="5.3.PTA"/>
      <sheetName val="5.PTA (ap)"/>
      <sheetName val="5.PTA. I"/>
      <sheetName val="6.SANIT."/>
      <sheetName val="6.1.VARIOS sanit."/>
      <sheetName val="7. CLOSET"/>
      <sheetName val="7. MUEBLES"/>
      <sheetName val="H-OBRAS EXTERIORES"/>
      <sheetName val="SUPERFICIES1"/>
      <sheetName val="SUPERFICIES2"/>
      <sheetName val="8. PAV EXT "/>
      <sheetName val="8. PAV EXT"/>
      <sheetName val="9. ENLUCIDOS"/>
      <sheetName val="10. ITEM DEMO"/>
      <sheetName val="10. DEM.B"/>
      <sheetName val="10.DEM.B-MET"/>
      <sheetName val="10. DEM.C"/>
      <sheetName val="10. DEM.D"/>
      <sheetName val="10. DEM.H"/>
      <sheetName val="10. DEM.I"/>
      <sheetName val="11.PINTURAS"/>
      <sheetName val="12.VARIOS"/>
      <sheetName val="COT MAT"/>
      <sheetName val="COT OG"/>
      <sheetName val="RES. OG"/>
      <sheetName val="ESPECIF"/>
      <sheetName val="CERCHA"/>
      <sheetName val="PRESUPUESTO GRAL REV 2 "/>
      <sheetName val="PRESUPUESTO GRAL REV 4"/>
      <sheetName val="PRESUPUESTO GRAL DELTA"/>
      <sheetName val="DEGLOSE GG"/>
      <sheetName val="MODIFICACIÓN"/>
      <sheetName val="PPTO DETALLADO"/>
      <sheetName val="ALCANCES TECNICOS"/>
      <sheetName val="ANEXO A (Listado de planos)"/>
      <sheetName val="ANEXO B"/>
      <sheetName val="ANEXO C "/>
      <sheetName val="ANEXO D alcances especialidades"/>
      <sheetName val="ANEXO F"/>
      <sheetName val="ALCANCES ADMINISTRATIVOS "/>
      <sheetName val="DESGLOSE CD"/>
      <sheetName val="ALCANCES TECNICOS."/>
      <sheetName val="LISTADO DE PLANOS"/>
      <sheetName val="ANEXO D Alcances SC"/>
      <sheetName val="D34jul00A"/>
      <sheetName val="Resumen API"/>
      <sheetName val="Criterio"/>
      <sheetName val="SOC"/>
      <sheetName val="CFG"/>
      <sheetName val="fechas"/>
      <sheetName val="Index"/>
      <sheetName val="Cubicación Cliente"/>
      <sheetName val="Cierre Final  "/>
      <sheetName val="Cubicación"/>
      <sheetName val="[COMPBAS.XLS]___E27_c_PILAR_C_2"/>
      <sheetName val="T.I. COSTOS FIJOS Y VARIABLES"/>
      <sheetName val="PRECIOS US_UF_EURO"/>
      <sheetName val="CEEC"/>
      <sheetName val="Manual"/>
      <sheetName val="Sup"/>
      <sheetName val="Proyecto Tipo"/>
      <sheetName val="Nombres REC"/>
      <sheetName val="MO Obras"/>
      <sheetName val="PPTO MO"/>
      <sheetName val="AUX"/>
      <sheetName val="GG El Tranque (3)"/>
      <sheetName val="GG El Tranque (2)"/>
      <sheetName val="GG El Tranque"/>
      <sheetName val="RESUMEN ET1"/>
      <sheetName val="GG ET1"/>
      <sheetName val="Exc.Masiva ET1"/>
      <sheetName val="Mo Pilas ET1"/>
      <sheetName val="Hormigón ET1"/>
      <sheetName val="AUX PRESTO COSTO ET1"/>
      <sheetName val="AUX PRESTO INM ET1"/>
      <sheetName val="Fierro"/>
      <sheetName val="Grúas"/>
      <sheetName val="Moldajes"/>
      <sheetName val="Pinturas"/>
      <sheetName val="RESUMEN ET2"/>
      <sheetName val="AUX PRESTO"/>
      <sheetName val="GG ET2"/>
      <sheetName val="Sanitario"/>
      <sheetName val="Hormigón ET2"/>
      <sheetName val="VTNAS-PV"/>
      <sheetName val="Puertas"/>
      <sheetName val="Muebles Cocina"/>
      <sheetName val="Impermeabilizacion"/>
      <sheetName val="Ascensores"/>
      <sheetName val="Paisajismo"/>
      <sheetName val="Muebles CL"/>
      <sheetName val="Hojalateria"/>
      <sheetName val="montacarga"/>
      <sheetName val="Andamio Colgante"/>
      <sheetName val="Kit cocina"/>
      <sheetName val="Artefactos sanitarios"/>
      <sheetName val="Grifería"/>
      <sheetName val="Accesorios de baño"/>
      <sheetName val="Pavim-Revest"/>
      <sheetName val="Quincallería"/>
      <sheetName val="Papel mural"/>
      <sheetName val="Carpinteria metalica"/>
      <sheetName val="Dren"/>
      <sheetName val="Señaletica"/>
      <sheetName val="Deptos."/>
      <sheetName val="Cubiertas"/>
      <sheetName val="CCDD"/>
      <sheetName val="Barandas"/>
      <sheetName val="Espejos"/>
      <sheetName val="Shower"/>
      <sheetName val="Luminaria"/>
      <sheetName val="Piscina"/>
      <sheetName val="Serviu"/>
      <sheetName val="Grupo Electrogeno"/>
      <sheetName val="Muebles Recep"/>
      <sheetName val="Basuras"/>
      <sheetName val="Granitos"/>
      <sheetName val="Rev. cocina"/>
      <sheetName val="SUELDOS ENE2018"/>
      <sheetName val="CRONO"/>
      <sheetName val="agua contra incendio"/>
      <sheetName val="Carta_Oferta1"/>
      <sheetName val="Analisis_de_Restricciones1"/>
      <sheetName val="pu_Estructuras"/>
      <sheetName val="Análisis_20011"/>
      <sheetName val="CI_e_Bil"/>
      <sheetName val="Monto_a_Cubrir"/>
      <sheetName val="ggrales_"/>
      <sheetName val="no_borrrar"/>
      <sheetName val="tiraje_mix"/>
      <sheetName val="AVANCE_FISICO"/>
      <sheetName val="InRetail_-_HPSA"/>
      <sheetName val="COMPARATIVO_HPSA"/>
      <sheetName val="HPSA_LTA"/>
      <sheetName val="HPSA_INTELEC"/>
      <sheetName val="Metrado_01"/>
      <sheetName val="Metrado_02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NUEVOS PU "/>
      <sheetName val="Colonos"/>
      <sheetName val="PRESUPUESTO_GRAL_REV_2_"/>
      <sheetName val="PRESUPUESTO_GRAL_REV_4"/>
      <sheetName val="PRESUPUESTO_GRAL_DELTA"/>
      <sheetName val="DEGLOSE_GG"/>
      <sheetName val="PPTO_DETALLADO"/>
      <sheetName val="ALCANCES_TECNICOS"/>
      <sheetName val="ANEXO_A_(Listado_de_planos)"/>
      <sheetName val="ANEXO_B"/>
      <sheetName val="ANEXO_C_"/>
      <sheetName val="ANEXO_D_alcances_especialidades"/>
      <sheetName val="ANEXO_F"/>
      <sheetName val="ALCANCES_ADMINISTRATIVOS_"/>
      <sheetName val="DESGLOSE_CD"/>
      <sheetName val="ALCANCES_TECNICOS_"/>
      <sheetName val="LISTADO_DE_PLANOS"/>
      <sheetName val="ANEXO_D_Alcances_SC"/>
      <sheetName val="T_I__COSTOS_FIJOS_Y_VARIABLES"/>
      <sheetName val="1__Inst__Faena"/>
      <sheetName val="2__Mov__de_Tierra"/>
      <sheetName val="3__Demoliciones_y_OOCC"/>
      <sheetName val="PRECIOS_US_UF_EURO"/>
      <sheetName val="Itemizado_Oficial"/>
      <sheetName val="1_CUB__B_"/>
      <sheetName val="1_CUB__C"/>
      <sheetName val="1_CUB__D_"/>
      <sheetName val="1_CUB__E-F-G"/>
      <sheetName val="1_CUB__H"/>
      <sheetName val="1_CUB__I"/>
      <sheetName val="2_CUBIERTA"/>
      <sheetName val="3_FACH"/>
      <sheetName val="4_TAB_VID_"/>
      <sheetName val="4_VNT"/>
      <sheetName val="5_PTA"/>
      <sheetName val="5_2_PTA"/>
      <sheetName val="5_3_PTA"/>
      <sheetName val="5_PTA_(ap)"/>
      <sheetName val="5_PTA__I"/>
      <sheetName val="6_SANIT_"/>
      <sheetName val="6_1_VARIOS_sanit_"/>
      <sheetName val="7__CLOSET"/>
      <sheetName val="7__MUEBLES"/>
      <sheetName val="H-OBRAS_EXTERIORES"/>
      <sheetName val="8__PAV_EXT_"/>
      <sheetName val="8__PAV_EXT"/>
      <sheetName val="9__ENLUCIDOS"/>
      <sheetName val="10__ITEM_DEMO"/>
      <sheetName val="10__DEM_B"/>
      <sheetName val="10_DEM_B-MET"/>
      <sheetName val="10__DEM_C"/>
      <sheetName val="10__DEM_D"/>
      <sheetName val="10__DEM_H"/>
      <sheetName val="10__DEM_I"/>
      <sheetName val="11_PINTURAS"/>
      <sheetName val="12_VARIOS"/>
      <sheetName val="COT_MAT"/>
      <sheetName val="COT_OG"/>
      <sheetName val="RES__OG"/>
      <sheetName val="Cubicación_Cliente"/>
      <sheetName val="Cierre_Final__"/>
      <sheetName val="Proyecto_Tipo"/>
      <sheetName val="Carta_Oferta2"/>
      <sheetName val="Análisis_20012"/>
      <sheetName val="CI_e_Bil1"/>
      <sheetName val="Monto_a_Cubrir1"/>
      <sheetName val="no_borrrar1"/>
      <sheetName val="tiraje_mix1"/>
      <sheetName val="AVANCE_FISICO1"/>
      <sheetName val="ggrales_1"/>
      <sheetName val="PRESUPUESTO_GRAL_REV_2_1"/>
      <sheetName val="PRESUPUESTO_GRAL_REV_41"/>
      <sheetName val="PRESUPUESTO_GRAL_DELTA1"/>
      <sheetName val="DEGLOSE_GG1"/>
      <sheetName val="PPTO_DETALLADO1"/>
      <sheetName val="ALCANCES_TECNICOS1"/>
      <sheetName val="ANEXO_A_(Listado_de_planos)1"/>
      <sheetName val="ANEXO_B1"/>
      <sheetName val="ANEXO_C_1"/>
      <sheetName val="ANEXO_D_alcances_especialidade1"/>
      <sheetName val="ANEXO_F1"/>
      <sheetName val="ALCANCES_ADMINISTRATIVOS_1"/>
      <sheetName val="DESGLOSE_CD1"/>
      <sheetName val="ALCANCES_TECNICOS_1"/>
      <sheetName val="LISTADO_DE_PLANOS1"/>
      <sheetName val="ANEXO_D_Alcances_SC1"/>
      <sheetName val="1__Inst__Faena1"/>
      <sheetName val="2__Mov__de_Tierra1"/>
      <sheetName val="3__Demoliciones_y_OOCC1"/>
      <sheetName val="T_I__COSTOS_FIJOS_Y_VARIABLES1"/>
      <sheetName val="PRECIOS_US_UF_EURO1"/>
      <sheetName val="Itemizado_Oficial1"/>
      <sheetName val="1_CUB__B_1"/>
      <sheetName val="1_CUB__C1"/>
      <sheetName val="1_CUB__D_1"/>
      <sheetName val="1_CUB__E-F-G1"/>
      <sheetName val="1_CUB__H1"/>
      <sheetName val="1_CUB__I1"/>
      <sheetName val="2_CUBIERTA1"/>
      <sheetName val="3_FACH1"/>
      <sheetName val="4_TAB_VID_1"/>
      <sheetName val="4_VNT1"/>
      <sheetName val="5_PTA1"/>
      <sheetName val="5_2_PTA1"/>
      <sheetName val="5_3_PTA1"/>
      <sheetName val="5_PTA_(ap)1"/>
      <sheetName val="5_PTA__I1"/>
      <sheetName val="6_SANIT_1"/>
      <sheetName val="6_1_VARIOS_sanit_1"/>
      <sheetName val="7__CLOSET1"/>
      <sheetName val="7__MUEBLES1"/>
      <sheetName val="H-OBRAS_EXTERIORES1"/>
      <sheetName val="8__PAV_EXT_1"/>
      <sheetName val="8__PAV_EXT1"/>
      <sheetName val="9__ENLUCIDOS1"/>
      <sheetName val="10__ITEM_DEMO1"/>
      <sheetName val="10__DEM_B1"/>
      <sheetName val="10_DEM_B-MET1"/>
      <sheetName val="10__DEM_C1"/>
      <sheetName val="10__DEM_D1"/>
      <sheetName val="10__DEM_H1"/>
      <sheetName val="10__DEM_I1"/>
      <sheetName val="11_PINTURAS1"/>
      <sheetName val="12_VARIOS1"/>
      <sheetName val="COT_MAT1"/>
      <sheetName val="COT_OG1"/>
      <sheetName val="RES__OG1"/>
      <sheetName val="Cubicación_Cliente1"/>
      <sheetName val="Cierre_Final__1"/>
      <sheetName val="Proyecto_Tipo1"/>
      <sheetName val="Casa_B_estuco17"/>
      <sheetName val="Casa__B_estuco_siding17"/>
      <sheetName val="Casa__B_enchape_ladrillo17"/>
      <sheetName val="Alcant_17"/>
      <sheetName val="Agua_Pot_17"/>
      <sheetName val="Inst__Gas17"/>
      <sheetName val="$_prom_17"/>
      <sheetName val="GASTOS_GENERALES17"/>
      <sheetName val="Montaje_Mecánico_y_Piping17"/>
      <sheetName val="RESUMEN_DE_COTIZACION16"/>
      <sheetName val="OBRA_CIVIL16"/>
      <sheetName val="ESTRUCTURA_DE_HORMIGON16"/>
      <sheetName val="INSTALACION_ELECTRICA16"/>
      <sheetName val="Avance_financiero16"/>
      <sheetName val="STOCKWATCH_-_US$13"/>
      <sheetName val="CONSENSUSWATCH_-_US$13"/>
      <sheetName val="Stock_Performance_-_US$13"/>
      <sheetName val="Avance_Finaciero_Parque_Mirad12"/>
      <sheetName val="Programa_Final_15-04-1312"/>
      <sheetName val="Curva_&quot;S&quot;_Proyecto12"/>
      <sheetName val="Curva_&quot;S&quot;_Hormigón12"/>
      <sheetName val="Muestras_Hº12"/>
      <sheetName val="C__Compras12"/>
      <sheetName val="L_OBRA12"/>
      <sheetName val="Acta_Reunión_Mandante12"/>
      <sheetName val="Cuadro_Comparativo_Resumen_(E12"/>
      <sheetName val="Obras_Prov__y_Prelim__(EQ)12"/>
      <sheetName val="Movimiento_Tierra_y_demolic_(12"/>
      <sheetName val="Obras_Civiles_(EQ)12"/>
      <sheetName val="Est__Metálicas_(EQ)12"/>
      <sheetName val="Carta_Oferta6"/>
      <sheetName val="Analisis_de_Restricciones5"/>
      <sheetName val="pu_Estructuras3"/>
      <sheetName val="InRetail_-_HPSA3"/>
      <sheetName val="COMPARATIVO_HPSA3"/>
      <sheetName val="HPSA_LTA3"/>
      <sheetName val="HPSA_INTELEC3"/>
      <sheetName val="Análisis_20016"/>
      <sheetName val="CI_e_Bil5"/>
      <sheetName val="Monto_a_Cubrir5"/>
      <sheetName val="ggrales_5"/>
      <sheetName val="no_borrrar5"/>
      <sheetName val="tiraje_mix5"/>
      <sheetName val="AVANCE_FISICO5"/>
      <sheetName val="Metrado_013"/>
      <sheetName val="Metrado_023"/>
      <sheetName val="1__Inst__Faena5"/>
      <sheetName val="2__Mov__de_Tierra5"/>
      <sheetName val="3__Demoliciones_y_OOCC5"/>
      <sheetName val="Itemizado_Oficial5"/>
      <sheetName val="1_CUB__B_5"/>
      <sheetName val="1_CUB__C5"/>
      <sheetName val="1_CUB__D_5"/>
      <sheetName val="1_CUB__E-F-G5"/>
      <sheetName val="1_CUB__H5"/>
      <sheetName val="1_CUB__I5"/>
      <sheetName val="2_CUBIERTA5"/>
      <sheetName val="3_FACH5"/>
      <sheetName val="4_TAB_VID_5"/>
      <sheetName val="4_VNT5"/>
      <sheetName val="5_PTA5"/>
      <sheetName val="5_2_PTA5"/>
      <sheetName val="5_3_PTA5"/>
      <sheetName val="5_PTA_(ap)5"/>
      <sheetName val="5_PTA__I5"/>
      <sheetName val="6_SANIT_5"/>
      <sheetName val="6_1_VARIOS_sanit_5"/>
      <sheetName val="7__CLOSET5"/>
      <sheetName val="7__MUEBLES5"/>
      <sheetName val="H-OBRAS_EXTERIORES5"/>
      <sheetName val="8__PAV_EXT_5"/>
      <sheetName val="8__PAV_EXT5"/>
      <sheetName val="9__ENLUCIDOS5"/>
      <sheetName val="10__ITEM_DEMO5"/>
      <sheetName val="10__DEM_B5"/>
      <sheetName val="10_DEM_B-MET5"/>
      <sheetName val="10__DEM_C5"/>
      <sheetName val="10__DEM_D5"/>
      <sheetName val="10__DEM_H5"/>
      <sheetName val="10__DEM_I5"/>
      <sheetName val="11_PINTURAS5"/>
      <sheetName val="12_VARIOS5"/>
      <sheetName val="COT_MAT5"/>
      <sheetName val="COT_OG5"/>
      <sheetName val="RES__OG5"/>
      <sheetName val="PRESUPUESTO_GRAL_REV_2_5"/>
      <sheetName val="PRESUPUESTO_GRAL_REV_45"/>
      <sheetName val="PRESUPUESTO_GRAL_DELTA5"/>
      <sheetName val="DEGLOSE_GG5"/>
      <sheetName val="PPTO_DETALLADO5"/>
      <sheetName val="ALCANCES_TECNICOS5"/>
      <sheetName val="ANEXO_A_(Listado_de_planos)5"/>
      <sheetName val="ANEXO_B5"/>
      <sheetName val="ANEXO_C_5"/>
      <sheetName val="ANEXO_D_alcances_especialidade5"/>
      <sheetName val="ANEXO_F5"/>
      <sheetName val="ALCANCES_ADMINISTRATIVOS_5"/>
      <sheetName val="DESGLOSE_CD5"/>
      <sheetName val="ALCANCES_TECNICOS_5"/>
      <sheetName val="LISTADO_DE_PLANOS5"/>
      <sheetName val="ANEXO_D_Alcances_SC5"/>
      <sheetName val="Resumen_API3"/>
      <sheetName val="Cubicación_Cliente5"/>
      <sheetName val="Cierre_Final__5"/>
      <sheetName val="[COMPBAS_XLS]___E27_c_PILAR_C_4"/>
      <sheetName val="T_I__COSTOS_FIJOS_Y_VARIABLES5"/>
      <sheetName val="PRECIOS_US_UF_EURO5"/>
      <sheetName val="Proyecto_Tipo5"/>
      <sheetName val="Nombres_REC3"/>
      <sheetName val="MO_Obras3"/>
      <sheetName val="PPTO_MO3"/>
      <sheetName val="GG_El_Tranque_(3)3"/>
      <sheetName val="GG_El_Tranque_(2)3"/>
      <sheetName val="GG_El_Tranque3"/>
      <sheetName val="RESUMEN_ET13"/>
      <sheetName val="GG_ET13"/>
      <sheetName val="Exc_Masiva_ET13"/>
      <sheetName val="Mo_Pilas_ET13"/>
      <sheetName val="Hormigón_ET13"/>
      <sheetName val="AUX_PRESTO_COSTO_ET13"/>
      <sheetName val="AUX_PRESTO_INM_ET13"/>
      <sheetName val="RESUMEN_ET23"/>
      <sheetName val="AUX_PRESTO3"/>
      <sheetName val="GG_ET23"/>
      <sheetName val="Hormigón_ET23"/>
      <sheetName val="Muebles_Cocina3"/>
      <sheetName val="Muebles_CL3"/>
      <sheetName val="Andamio_Colgante3"/>
      <sheetName val="Kit_cocina3"/>
      <sheetName val="Artefactos_sanitarios3"/>
      <sheetName val="Accesorios_de_baño3"/>
      <sheetName val="Papel_mural3"/>
      <sheetName val="Carpinteria_metalica3"/>
      <sheetName val="Deptos_3"/>
      <sheetName val="Grupo_Electrogeno3"/>
      <sheetName val="Muebles_Recep3"/>
      <sheetName val="Rev__cocina3"/>
      <sheetName val="SUELDOS_ENE20183"/>
      <sheetName val="Casa_B_estuco16"/>
      <sheetName val="Casa__B_estuco_siding16"/>
      <sheetName val="Casa__B_enchape_ladrillo16"/>
      <sheetName val="Alcant_16"/>
      <sheetName val="Agua_Pot_16"/>
      <sheetName val="Inst__Gas16"/>
      <sheetName val="$_prom_16"/>
      <sheetName val="GASTOS_GENERALES16"/>
      <sheetName val="Montaje_Mecánico_y_Piping16"/>
      <sheetName val="RESUMEN_DE_COTIZACION15"/>
      <sheetName val="OBRA_CIVIL15"/>
      <sheetName val="ESTRUCTURA_DE_HORMIGON15"/>
      <sheetName val="INSTALACION_ELECTRICA15"/>
      <sheetName val="Avance_financiero15"/>
      <sheetName val="STOCKWATCH_-_US$12"/>
      <sheetName val="CONSENSUSWATCH_-_US$12"/>
      <sheetName val="Stock_Performance_-_US$12"/>
      <sheetName val="Avance_Finaciero_Parque_Mirad11"/>
      <sheetName val="Programa_Final_15-04-1311"/>
      <sheetName val="Curva_&quot;S&quot;_Proyecto11"/>
      <sheetName val="Curva_&quot;S&quot;_Hormigón11"/>
      <sheetName val="Muestras_Hº11"/>
      <sheetName val="C__Compras11"/>
      <sheetName val="L_OBRA11"/>
      <sheetName val="Acta_Reunión_Mandante11"/>
      <sheetName val="Cuadro_Comparativo_Resumen_(E11"/>
      <sheetName val="Obras_Prov__y_Prelim__(EQ)11"/>
      <sheetName val="Movimiento_Tierra_y_demolic_(11"/>
      <sheetName val="Obras_Civiles_(EQ)11"/>
      <sheetName val="Est__Metálicas_(EQ)11"/>
      <sheetName val="Carta_Oferta5"/>
      <sheetName val="Analisis_de_Restricciones4"/>
      <sheetName val="pu_Estructuras2"/>
      <sheetName val="InRetail_-_HPSA2"/>
      <sheetName val="COMPARATIVO_HPSA2"/>
      <sheetName val="HPSA_LTA2"/>
      <sheetName val="HPSA_INTELEC2"/>
      <sheetName val="Análisis_20015"/>
      <sheetName val="CI_e_Bil4"/>
      <sheetName val="Monto_a_Cubrir4"/>
      <sheetName val="ggrales_4"/>
      <sheetName val="no_borrrar4"/>
      <sheetName val="tiraje_mix4"/>
      <sheetName val="AVANCE_FISICO4"/>
      <sheetName val="Metrado_012"/>
      <sheetName val="Metrado_022"/>
      <sheetName val="1__Inst__Faena4"/>
      <sheetName val="2__Mov__de_Tierra4"/>
      <sheetName val="3__Demoliciones_y_OOCC4"/>
      <sheetName val="Itemizado_Oficial4"/>
      <sheetName val="1_CUB__B_4"/>
      <sheetName val="1_CUB__C4"/>
      <sheetName val="1_CUB__D_4"/>
      <sheetName val="1_CUB__E-F-G4"/>
      <sheetName val="1_CUB__H4"/>
      <sheetName val="1_CUB__I4"/>
      <sheetName val="2_CUBIERTA4"/>
      <sheetName val="3_FACH4"/>
      <sheetName val="4_TAB_VID_4"/>
      <sheetName val="4_VNT4"/>
      <sheetName val="5_PTA4"/>
      <sheetName val="5_2_PTA4"/>
      <sheetName val="5_3_PTA4"/>
      <sheetName val="5_PTA_(ap)4"/>
      <sheetName val="5_PTA__I4"/>
      <sheetName val="6_SANIT_4"/>
      <sheetName val="6_1_VARIOS_sanit_4"/>
      <sheetName val="7__CLOSET4"/>
      <sheetName val="7__MUEBLES4"/>
      <sheetName val="H-OBRAS_EXTERIORES4"/>
      <sheetName val="8__PAV_EXT_4"/>
      <sheetName val="8__PAV_EXT4"/>
      <sheetName val="9__ENLUCIDOS4"/>
      <sheetName val="10__ITEM_DEMO4"/>
      <sheetName val="10__DEM_B4"/>
      <sheetName val="10_DEM_B-MET4"/>
      <sheetName val="10__DEM_C4"/>
      <sheetName val="10__DEM_D4"/>
      <sheetName val="10__DEM_H4"/>
      <sheetName val="10__DEM_I4"/>
      <sheetName val="11_PINTURAS4"/>
      <sheetName val="12_VARIOS4"/>
      <sheetName val="COT_MAT4"/>
      <sheetName val="COT_OG4"/>
      <sheetName val="RES__OG4"/>
      <sheetName val="PRESUPUESTO_GRAL_REV_2_4"/>
      <sheetName val="PRESUPUESTO_GRAL_REV_44"/>
      <sheetName val="PRESUPUESTO_GRAL_DELTA4"/>
      <sheetName val="DEGLOSE_GG4"/>
      <sheetName val="PPTO_DETALLADO4"/>
      <sheetName val="ALCANCES_TECNICOS4"/>
      <sheetName val="ANEXO_A_(Listado_de_planos)4"/>
      <sheetName val="ANEXO_B4"/>
      <sheetName val="ANEXO_C_4"/>
      <sheetName val="ANEXO_D_alcances_especialidade4"/>
      <sheetName val="ANEXO_F4"/>
      <sheetName val="ALCANCES_ADMINISTRATIVOS_4"/>
      <sheetName val="DESGLOSE_CD4"/>
      <sheetName val="ALCANCES_TECNICOS_4"/>
      <sheetName val="LISTADO_DE_PLANOS4"/>
      <sheetName val="ANEXO_D_Alcances_SC4"/>
      <sheetName val="Resumen_API2"/>
      <sheetName val="Cubicación_Cliente4"/>
      <sheetName val="Cierre_Final__4"/>
      <sheetName val="[COMPBAS_XLS]___E27_c_PILAR_C_3"/>
      <sheetName val="T_I__COSTOS_FIJOS_Y_VARIABLES4"/>
      <sheetName val="PRECIOS_US_UF_EURO4"/>
      <sheetName val="Proyecto_Tipo4"/>
      <sheetName val="Nombres_REC2"/>
      <sheetName val="MO_Obras2"/>
      <sheetName val="PPTO_MO2"/>
      <sheetName val="GG_El_Tranque_(3)2"/>
      <sheetName val="GG_El_Tranque_(2)2"/>
      <sheetName val="GG_El_Tranque2"/>
      <sheetName val="RESUMEN_ET12"/>
      <sheetName val="GG_ET12"/>
      <sheetName val="Exc_Masiva_ET12"/>
      <sheetName val="Mo_Pilas_ET12"/>
      <sheetName val="Hormigón_ET12"/>
      <sheetName val="AUX_PRESTO_COSTO_ET12"/>
      <sheetName val="AUX_PRESTO_INM_ET12"/>
      <sheetName val="RESUMEN_ET22"/>
      <sheetName val="AUX_PRESTO2"/>
      <sheetName val="GG_ET22"/>
      <sheetName val="Hormigón_ET22"/>
      <sheetName val="Muebles_Cocina2"/>
      <sheetName val="Muebles_CL2"/>
      <sheetName val="Andamio_Colgante2"/>
      <sheetName val="Kit_cocina2"/>
      <sheetName val="Artefactos_sanitarios2"/>
      <sheetName val="Accesorios_de_baño2"/>
      <sheetName val="Papel_mural2"/>
      <sheetName val="Carpinteria_metalica2"/>
      <sheetName val="Deptos_2"/>
      <sheetName val="Grupo_Electrogeno2"/>
      <sheetName val="Muebles_Recep2"/>
      <sheetName val="Rev__cocina2"/>
      <sheetName val="SUELDOS_ENE20182"/>
      <sheetName val="Casa_B_estuco14"/>
      <sheetName val="Casa__B_estuco_siding14"/>
      <sheetName val="Casa__B_enchape_ladrillo14"/>
      <sheetName val="Alcant_14"/>
      <sheetName val="Agua_Pot_14"/>
      <sheetName val="Inst__Gas14"/>
      <sheetName val="$_prom_14"/>
      <sheetName val="GASTOS_GENERALES14"/>
      <sheetName val="Montaje_Mecánico_y_Piping14"/>
      <sheetName val="RESUMEN_DE_COTIZACION13"/>
      <sheetName val="OBRA_CIVIL13"/>
      <sheetName val="ESTRUCTURA_DE_HORMIGON13"/>
      <sheetName val="INSTALACION_ELECTRICA13"/>
      <sheetName val="Avance_financiero13"/>
      <sheetName val="STOCKWATCH_-_US$10"/>
      <sheetName val="CONSENSUSWATCH_-_US$10"/>
      <sheetName val="Stock_Performance_-_US$10"/>
      <sheetName val="Avance_Finaciero_Parque_Mirado9"/>
      <sheetName val="Programa_Final_15-04-139"/>
      <sheetName val="Curva_&quot;S&quot;_Proyecto9"/>
      <sheetName val="Curva_&quot;S&quot;_Hormigón9"/>
      <sheetName val="Muestras_Hº9"/>
      <sheetName val="C__Compras9"/>
      <sheetName val="L_OBRA9"/>
      <sheetName val="Acta_Reunión_Mandante9"/>
      <sheetName val="Cuadro_Comparativo_Resumen_(EQ9"/>
      <sheetName val="Obras_Prov__y_Prelim__(EQ)9"/>
      <sheetName val="Movimiento_Tierra_y_demolic_(E9"/>
      <sheetName val="Obras_Civiles_(EQ)9"/>
      <sheetName val="Est__Metálicas_(EQ)9"/>
      <sheetName val="Carta_Oferta3"/>
      <sheetName val="Analisis_de_Restricciones2"/>
      <sheetName val="Análisis_20013"/>
      <sheetName val="CI_e_Bil2"/>
      <sheetName val="Monto_a_Cubrir2"/>
      <sheetName val="ggrales_2"/>
      <sheetName val="no_borrrar2"/>
      <sheetName val="tiraje_mix2"/>
      <sheetName val="AVANCE_FISICO2"/>
      <sheetName val="1__Inst__Faena2"/>
      <sheetName val="2__Mov__de_Tierra2"/>
      <sheetName val="3__Demoliciones_y_OOCC2"/>
      <sheetName val="Itemizado_Oficial2"/>
      <sheetName val="1_CUB__B_2"/>
      <sheetName val="1_CUB__C2"/>
      <sheetName val="1_CUB__D_2"/>
      <sheetName val="1_CUB__E-F-G2"/>
      <sheetName val="1_CUB__H2"/>
      <sheetName val="1_CUB__I2"/>
      <sheetName val="2_CUBIERTA2"/>
      <sheetName val="3_FACH2"/>
      <sheetName val="4_TAB_VID_2"/>
      <sheetName val="4_VNT2"/>
      <sheetName val="5_PTA2"/>
      <sheetName val="5_2_PTA2"/>
      <sheetName val="5_3_PTA2"/>
      <sheetName val="5_PTA_(ap)2"/>
      <sheetName val="5_PTA__I2"/>
      <sheetName val="6_SANIT_2"/>
      <sheetName val="6_1_VARIOS_sanit_2"/>
      <sheetName val="7__CLOSET2"/>
      <sheetName val="7__MUEBLES2"/>
      <sheetName val="H-OBRAS_EXTERIORES2"/>
      <sheetName val="8__PAV_EXT_2"/>
      <sheetName val="8__PAV_EXT2"/>
      <sheetName val="9__ENLUCIDOS2"/>
      <sheetName val="10__ITEM_DEMO2"/>
      <sheetName val="10__DEM_B2"/>
      <sheetName val="10_DEM_B-MET2"/>
      <sheetName val="10__DEM_C2"/>
      <sheetName val="10__DEM_D2"/>
      <sheetName val="10__DEM_H2"/>
      <sheetName val="10__DEM_I2"/>
      <sheetName val="11_PINTURAS2"/>
      <sheetName val="12_VARIOS2"/>
      <sheetName val="COT_MAT2"/>
      <sheetName val="COT_OG2"/>
      <sheetName val="RES__OG2"/>
      <sheetName val="PRESUPUESTO_GRAL_REV_2_2"/>
      <sheetName val="PRESUPUESTO_GRAL_REV_42"/>
      <sheetName val="PRESUPUESTO_GRAL_DELTA2"/>
      <sheetName val="DEGLOSE_GG2"/>
      <sheetName val="PPTO_DETALLADO2"/>
      <sheetName val="ALCANCES_TECNICOS2"/>
      <sheetName val="ANEXO_A_(Listado_de_planos)2"/>
      <sheetName val="ANEXO_B2"/>
      <sheetName val="ANEXO_C_2"/>
      <sheetName val="ANEXO_D_alcances_especialidade2"/>
      <sheetName val="ANEXO_F2"/>
      <sheetName val="ALCANCES_ADMINISTRATIVOS_2"/>
      <sheetName val="DESGLOSE_CD2"/>
      <sheetName val="ALCANCES_TECNICOS_2"/>
      <sheetName val="LISTADO_DE_PLANOS2"/>
      <sheetName val="ANEXO_D_Alcances_SC2"/>
      <sheetName val="Resumen_API"/>
      <sheetName val="Cubicación_Cliente2"/>
      <sheetName val="Cierre_Final__2"/>
      <sheetName val="[COMPBAS_XLS]___E27_c_PILAR_C_2"/>
      <sheetName val="T_I__COSTOS_FIJOS_Y_VARIABLES2"/>
      <sheetName val="PRECIOS_US_UF_EURO2"/>
      <sheetName val="Proyecto_Tipo2"/>
      <sheetName val="Nombres_REC"/>
      <sheetName val="MO_Obras"/>
      <sheetName val="PPTO_MO"/>
      <sheetName val="GG_El_Tranque_(3)"/>
      <sheetName val="GG_El_Tranque_(2)"/>
      <sheetName val="GG_El_Tranque"/>
      <sheetName val="RESUMEN_ET1"/>
      <sheetName val="GG_ET1"/>
      <sheetName val="Exc_Masiva_ET1"/>
      <sheetName val="Mo_Pilas_ET1"/>
      <sheetName val="Hormigón_ET1"/>
      <sheetName val="AUX_PRESTO_COSTO_ET1"/>
      <sheetName val="AUX_PRESTO_INM_ET1"/>
      <sheetName val="RESUMEN_ET2"/>
      <sheetName val="AUX_PRESTO"/>
      <sheetName val="GG_ET2"/>
      <sheetName val="Hormigón_ET2"/>
      <sheetName val="Muebles_Cocina"/>
      <sheetName val="Muebles_CL"/>
      <sheetName val="Andamio_Colgante"/>
      <sheetName val="Kit_cocina"/>
      <sheetName val="Artefactos_sanitarios"/>
      <sheetName val="Accesorios_de_baño"/>
      <sheetName val="Papel_mural"/>
      <sheetName val="Carpinteria_metalica"/>
      <sheetName val="Deptos_"/>
      <sheetName val="Grupo_Electrogeno"/>
      <sheetName val="Muebles_Recep"/>
      <sheetName val="Rev__cocina"/>
      <sheetName val="SUELDOS_ENE2018"/>
      <sheetName val="Casa_B_estuco15"/>
      <sheetName val="Casa__B_estuco_siding15"/>
      <sheetName val="Casa__B_enchape_ladrillo15"/>
      <sheetName val="Alcant_15"/>
      <sheetName val="Agua_Pot_15"/>
      <sheetName val="Inst__Gas15"/>
      <sheetName val="$_prom_15"/>
      <sheetName val="GASTOS_GENERALES15"/>
      <sheetName val="Montaje_Mecánico_y_Piping15"/>
      <sheetName val="RESUMEN_DE_COTIZACION14"/>
      <sheetName val="OBRA_CIVIL14"/>
      <sheetName val="ESTRUCTURA_DE_HORMIGON14"/>
      <sheetName val="INSTALACION_ELECTRICA14"/>
      <sheetName val="Avance_financiero14"/>
      <sheetName val="STOCKWATCH_-_US$11"/>
      <sheetName val="CONSENSUSWATCH_-_US$11"/>
      <sheetName val="Stock_Performance_-_US$11"/>
      <sheetName val="Avance_Finaciero_Parque_Mirad10"/>
      <sheetName val="Programa_Final_15-04-1310"/>
      <sheetName val="Curva_&quot;S&quot;_Proyecto10"/>
      <sheetName val="Curva_&quot;S&quot;_Hormigón10"/>
      <sheetName val="Muestras_Hº10"/>
      <sheetName val="C__Compras10"/>
      <sheetName val="L_OBRA10"/>
      <sheetName val="Acta_Reunión_Mandante10"/>
      <sheetName val="Cuadro_Comparativo_Resumen_(E10"/>
      <sheetName val="Obras_Prov__y_Prelim__(EQ)10"/>
      <sheetName val="Movimiento_Tierra_y_demolic_(10"/>
      <sheetName val="Obras_Civiles_(EQ)10"/>
      <sheetName val="Est__Metálicas_(EQ)10"/>
      <sheetName val="Carta_Oferta4"/>
      <sheetName val="Analisis_de_Restricciones3"/>
      <sheetName val="pu_Estructuras1"/>
      <sheetName val="InRetail_-_HPSA1"/>
      <sheetName val="COMPARATIVO_HPSA1"/>
      <sheetName val="HPSA_LTA1"/>
      <sheetName val="HPSA_INTELEC1"/>
      <sheetName val="Análisis_20014"/>
      <sheetName val="CI_e_Bil3"/>
      <sheetName val="Monto_a_Cubrir3"/>
      <sheetName val="ggrales_3"/>
      <sheetName val="no_borrrar3"/>
      <sheetName val="tiraje_mix3"/>
      <sheetName val="AVANCE_FISICO3"/>
      <sheetName val="Metrado_011"/>
      <sheetName val="Metrado_021"/>
      <sheetName val="1__Inst__Faena3"/>
      <sheetName val="2__Mov__de_Tierra3"/>
      <sheetName val="3__Demoliciones_y_OOCC3"/>
      <sheetName val="Itemizado_Oficial3"/>
      <sheetName val="1_CUB__B_3"/>
      <sheetName val="1_CUB__C3"/>
      <sheetName val="1_CUB__D_3"/>
      <sheetName val="1_CUB__E-F-G3"/>
      <sheetName val="1_CUB__H3"/>
      <sheetName val="1_CUB__I3"/>
      <sheetName val="2_CUBIERTA3"/>
      <sheetName val="3_FACH3"/>
      <sheetName val="4_TAB_VID_3"/>
      <sheetName val="4_VNT3"/>
      <sheetName val="5_PTA3"/>
      <sheetName val="5_2_PTA3"/>
      <sheetName val="5_3_PTA3"/>
      <sheetName val="5_PTA_(ap)3"/>
      <sheetName val="5_PTA__I3"/>
      <sheetName val="6_SANIT_3"/>
      <sheetName val="6_1_VARIOS_sanit_3"/>
      <sheetName val="7__CLOSET3"/>
      <sheetName val="7__MUEBLES3"/>
      <sheetName val="H-OBRAS_EXTERIORES3"/>
      <sheetName val="8__PAV_EXT_3"/>
      <sheetName val="8__PAV_EXT3"/>
      <sheetName val="9__ENLUCIDOS3"/>
      <sheetName val="10__ITEM_DEMO3"/>
      <sheetName val="10__DEM_B3"/>
      <sheetName val="10_DEM_B-MET3"/>
      <sheetName val="10__DEM_C3"/>
      <sheetName val="10__DEM_D3"/>
      <sheetName val="10__DEM_H3"/>
      <sheetName val="10__DEM_I3"/>
      <sheetName val="11_PINTURAS3"/>
      <sheetName val="12_VARIOS3"/>
      <sheetName val="COT_MAT3"/>
      <sheetName val="COT_OG3"/>
      <sheetName val="RES__OG3"/>
      <sheetName val="PRESUPUESTO_GRAL_REV_2_3"/>
      <sheetName val="PRESUPUESTO_GRAL_REV_43"/>
      <sheetName val="PRESUPUESTO_GRAL_DELTA3"/>
      <sheetName val="DEGLOSE_GG3"/>
      <sheetName val="PPTO_DETALLADO3"/>
      <sheetName val="ALCANCES_TECNICOS3"/>
      <sheetName val="ANEXO_A_(Listado_de_planos)3"/>
      <sheetName val="ANEXO_B3"/>
      <sheetName val="ANEXO_C_3"/>
      <sheetName val="ANEXO_D_alcances_especialidade3"/>
      <sheetName val="ANEXO_F3"/>
      <sheetName val="ALCANCES_ADMINISTRATIVOS_3"/>
      <sheetName val="DESGLOSE_CD3"/>
      <sheetName val="ALCANCES_TECNICOS_3"/>
      <sheetName val="LISTADO_DE_PLANOS3"/>
      <sheetName val="ANEXO_D_Alcances_SC3"/>
      <sheetName val="Resumen_API1"/>
      <sheetName val="Cubicación_Cliente3"/>
      <sheetName val="Cierre_Final__3"/>
      <sheetName val="[COMPBAS_XLS]___E27_c_PILAR_C_1"/>
      <sheetName val="T_I__COSTOS_FIJOS_Y_VARIABLES3"/>
      <sheetName val="PRECIOS_US_UF_EURO3"/>
      <sheetName val="Proyecto_Tipo3"/>
      <sheetName val="Nombres_REC1"/>
      <sheetName val="MO_Obras1"/>
      <sheetName val="PPTO_MO1"/>
      <sheetName val="GG_El_Tranque_(3)1"/>
      <sheetName val="GG_El_Tranque_(2)1"/>
      <sheetName val="GG_El_Tranque1"/>
      <sheetName val="RESUMEN_ET11"/>
      <sheetName val="GG_ET11"/>
      <sheetName val="Exc_Masiva_ET11"/>
      <sheetName val="Mo_Pilas_ET11"/>
      <sheetName val="Hormigón_ET11"/>
      <sheetName val="AUX_PRESTO_COSTO_ET11"/>
      <sheetName val="AUX_PRESTO_INM_ET11"/>
      <sheetName val="RESUMEN_ET21"/>
      <sheetName val="AUX_PRESTO1"/>
      <sheetName val="GG_ET21"/>
      <sheetName val="Hormigón_ET21"/>
      <sheetName val="Muebles_Cocina1"/>
      <sheetName val="Muebles_CL1"/>
      <sheetName val="Andamio_Colgante1"/>
      <sheetName val="Kit_cocina1"/>
      <sheetName val="Artefactos_sanitarios1"/>
      <sheetName val="Accesorios_de_baño1"/>
      <sheetName val="Papel_mural1"/>
      <sheetName val="Carpinteria_metalica1"/>
      <sheetName val="Deptos_1"/>
      <sheetName val="Grupo_Electrogeno1"/>
      <sheetName val="Muebles_Recep1"/>
      <sheetName val="Rev__cocina1"/>
      <sheetName val="SUELDOS_ENE20181"/>
      <sheetName val="Casa_B_estuco18"/>
      <sheetName val="Casa__B_estuco_siding18"/>
      <sheetName val="Casa__B_enchape_ladrillo18"/>
      <sheetName val="Alcant_18"/>
      <sheetName val="Agua_Pot_18"/>
      <sheetName val="Inst__Gas18"/>
      <sheetName val="$_prom_18"/>
      <sheetName val="GASTOS_GENERALES18"/>
      <sheetName val="Montaje_Mecánico_y_Piping18"/>
      <sheetName val="RESUMEN_DE_COTIZACION17"/>
      <sheetName val="OBRA_CIVIL17"/>
      <sheetName val="ESTRUCTURA_DE_HORMIGON17"/>
      <sheetName val="INSTALACION_ELECTRICA17"/>
      <sheetName val="Avance_financiero17"/>
      <sheetName val="STOCKWATCH_-_US$14"/>
      <sheetName val="CONSENSUSWATCH_-_US$14"/>
      <sheetName val="Stock_Performance_-_US$14"/>
      <sheetName val="Avance_Finaciero_Parque_Mirad13"/>
      <sheetName val="Programa_Final_15-04-1313"/>
      <sheetName val="Curva_&quot;S&quot;_Proyecto13"/>
      <sheetName val="Curva_&quot;S&quot;_Hormigón13"/>
      <sheetName val="Muestras_Hº13"/>
      <sheetName val="C__Compras13"/>
      <sheetName val="L_OBRA13"/>
      <sheetName val="Acta_Reunión_Mandante13"/>
      <sheetName val="Cuadro_Comparativo_Resumen_(E13"/>
      <sheetName val="Obras_Prov__y_Prelim__(EQ)13"/>
      <sheetName val="Movimiento_Tierra_y_demolic_(13"/>
      <sheetName val="Obras_Civiles_(EQ)13"/>
      <sheetName val="Est__Metálicas_(EQ)13"/>
      <sheetName val="Carta_Oferta7"/>
      <sheetName val="Analisis_de_Restricciones6"/>
      <sheetName val="pu_Estructuras4"/>
      <sheetName val="InRetail_-_HPSA4"/>
      <sheetName val="COMPARATIVO_HPSA4"/>
      <sheetName val="HPSA_LTA4"/>
      <sheetName val="HPSA_INTELEC4"/>
      <sheetName val="Análisis_20017"/>
      <sheetName val="CI_e_Bil6"/>
      <sheetName val="Monto_a_Cubrir6"/>
      <sheetName val="ggrales_6"/>
      <sheetName val="no_borrrar6"/>
      <sheetName val="tiraje_mix6"/>
      <sheetName val="AVANCE_FISICO6"/>
      <sheetName val="Metrado_014"/>
      <sheetName val="Metrado_024"/>
      <sheetName val="1__Inst__Faena6"/>
      <sheetName val="2__Mov__de_Tierra6"/>
      <sheetName val="3__Demoliciones_y_OOCC6"/>
      <sheetName val="Itemizado_Oficial6"/>
      <sheetName val="1_CUB__B_6"/>
      <sheetName val="1_CUB__C6"/>
      <sheetName val="1_CUB__D_6"/>
      <sheetName val="1_CUB__E-F-G6"/>
      <sheetName val="1_CUB__H6"/>
      <sheetName val="1_CUB__I6"/>
      <sheetName val="2_CUBIERTA6"/>
      <sheetName val="3_FACH6"/>
      <sheetName val="4_TAB_VID_6"/>
      <sheetName val="4_VNT6"/>
      <sheetName val="5_PTA6"/>
      <sheetName val="5_2_PTA6"/>
      <sheetName val="5_3_PTA6"/>
      <sheetName val="5_PTA_(ap)6"/>
      <sheetName val="5_PTA__I6"/>
      <sheetName val="6_SANIT_6"/>
      <sheetName val="6_1_VARIOS_sanit_6"/>
      <sheetName val="7__CLOSET6"/>
      <sheetName val="7__MUEBLES6"/>
      <sheetName val="H-OBRAS_EXTERIORES6"/>
      <sheetName val="8__PAV_EXT_6"/>
      <sheetName val="8__PAV_EXT6"/>
      <sheetName val="9__ENLUCIDOS6"/>
      <sheetName val="10__ITEM_DEMO6"/>
      <sheetName val="10__DEM_B6"/>
      <sheetName val="10_DEM_B-MET6"/>
      <sheetName val="10__DEM_C6"/>
      <sheetName val="10__DEM_D6"/>
      <sheetName val="10__DEM_H6"/>
      <sheetName val="10__DEM_I6"/>
      <sheetName val="11_PINTURAS6"/>
      <sheetName val="12_VARIOS6"/>
      <sheetName val="COT_MAT6"/>
      <sheetName val="COT_OG6"/>
      <sheetName val="RES__OG6"/>
      <sheetName val="PRESUPUESTO_GRAL_REV_2_6"/>
      <sheetName val="PRESUPUESTO_GRAL_REV_46"/>
      <sheetName val="PRESUPUESTO_GRAL_DELTA6"/>
      <sheetName val="DEGLOSE_GG6"/>
      <sheetName val="PPTO_DETALLADO6"/>
      <sheetName val="ALCANCES_TECNICOS6"/>
      <sheetName val="ANEXO_A_(Listado_de_planos)6"/>
      <sheetName val="ANEXO_B6"/>
      <sheetName val="ANEXO_C_6"/>
      <sheetName val="ANEXO_D_alcances_especialidade6"/>
      <sheetName val="ANEXO_F6"/>
      <sheetName val="ALCANCES_ADMINISTRATIVOS_6"/>
      <sheetName val="DESGLOSE_CD6"/>
      <sheetName val="ALCANCES_TECNICOS_6"/>
      <sheetName val="LISTADO_DE_PLANOS6"/>
      <sheetName val="ANEXO_D_Alcances_SC6"/>
      <sheetName val="Resumen_API4"/>
      <sheetName val="Cubicación_Cliente6"/>
      <sheetName val="Cierre_Final__6"/>
      <sheetName val="[COMPBAS_XLS]___E27_c_PILAR_C_5"/>
      <sheetName val="T_I__COSTOS_FIJOS_Y_VARIABLES6"/>
      <sheetName val="PRECIOS_US_UF_EURO6"/>
      <sheetName val="Proyecto_Tipo6"/>
      <sheetName val="Nombres_REC4"/>
      <sheetName val="MO_Obras4"/>
      <sheetName val="PPTO_MO4"/>
      <sheetName val="GG_El_Tranque_(3)4"/>
      <sheetName val="GG_El_Tranque_(2)4"/>
      <sheetName val="GG_El_Tranque4"/>
      <sheetName val="RESUMEN_ET14"/>
      <sheetName val="GG_ET14"/>
      <sheetName val="Exc_Masiva_ET14"/>
      <sheetName val="Mo_Pilas_ET14"/>
      <sheetName val="Hormigón_ET14"/>
      <sheetName val="AUX_PRESTO_COSTO_ET14"/>
      <sheetName val="AUX_PRESTO_INM_ET14"/>
      <sheetName val="RESUMEN_ET24"/>
      <sheetName val="AUX_PRESTO4"/>
      <sheetName val="GG_ET24"/>
      <sheetName val="Hormigón_ET24"/>
      <sheetName val="Muebles_Cocina4"/>
      <sheetName val="Muebles_CL4"/>
      <sheetName val="Andamio_Colgante4"/>
      <sheetName val="Kit_cocina4"/>
      <sheetName val="Artefactos_sanitarios4"/>
      <sheetName val="Accesorios_de_baño4"/>
      <sheetName val="Papel_mural4"/>
      <sheetName val="Carpinteria_metalica4"/>
      <sheetName val="Deptos_4"/>
      <sheetName val="Grupo_Electrogeno4"/>
      <sheetName val="Muebles_Recep4"/>
      <sheetName val="Rev__cocina4"/>
      <sheetName val="SUELDOS_ENE20184"/>
      <sheetName val="Anexo BAE1"/>
      <sheetName val="COMPBAS"/>
      <sheetName val="PARAMETROS"/>
      <sheetName val="Pesos"/>
      <sheetName val="agua_contra_incendio"/>
      <sheetName val="Pump_Calcs"/>
      <sheetName val="pu_Estructuras5"/>
      <sheetName val="Metrado_015"/>
      <sheetName val="Metrado_025"/>
      <sheetName val="InRetail_-_HPSA5"/>
      <sheetName val="COMPARATIVO_HPSA5"/>
      <sheetName val="HPSA_LTA5"/>
      <sheetName val="HPSA_INTELEC5"/>
      <sheetName val="Casa_B_estuco19"/>
      <sheetName val="Casa__B_estuco_siding19"/>
      <sheetName val="Casa__B_enchape_ladrillo19"/>
      <sheetName val="Alcant_19"/>
      <sheetName val="Agua_Pot_19"/>
      <sheetName val="Inst__Gas19"/>
      <sheetName val="$_prom_19"/>
      <sheetName val="GASTOS_GENERALES19"/>
      <sheetName val="Montaje_Mecánico_y_Piping19"/>
      <sheetName val="RESUMEN_DE_COTIZACION18"/>
      <sheetName val="OBRA_CIVIL18"/>
      <sheetName val="ESTRUCTURA_DE_HORMIGON18"/>
      <sheetName val="INSTALACION_ELECTRICA18"/>
      <sheetName val="Avance_financiero18"/>
      <sheetName val="STOCKWATCH_-_US$15"/>
      <sheetName val="CONSENSUSWATCH_-_US$15"/>
      <sheetName val="Stock_Performance_-_US$15"/>
      <sheetName val="Avance_Finaciero_Parque_Mirad14"/>
      <sheetName val="Programa_Final_15-04-1314"/>
      <sheetName val="Curva_&quot;S&quot;_Proyecto14"/>
      <sheetName val="Curva_&quot;S&quot;_Hormigón14"/>
      <sheetName val="Muestras_Hº14"/>
      <sheetName val="C__Compras14"/>
      <sheetName val="L_OBRA14"/>
      <sheetName val="Acta_Reunión_Mandante14"/>
      <sheetName val="Cuadro_Comparativo_Resumen_(E14"/>
      <sheetName val="Obras_Prov__y_Prelim__(EQ)14"/>
      <sheetName val="Movimiento_Tierra_y_demolic_(14"/>
      <sheetName val="Obras_Civiles_(EQ)14"/>
      <sheetName val="Est__Metálicas_(EQ)14"/>
      <sheetName val="Analisis_de_Restricciones7"/>
      <sheetName val="pu_Estructuras6"/>
      <sheetName val="InRetail_-_HPSA6"/>
      <sheetName val="COMPARATIVO_HPSA6"/>
      <sheetName val="HPSA_LTA6"/>
      <sheetName val="HPSA_INTELEC6"/>
      <sheetName val="Metrado_016"/>
      <sheetName val="Metrado_026"/>
      <sheetName val="Areas"/>
      <sheetName val="MANTENIMIENTO PREVENTIVO"/>
      <sheetName val="Carta_Oferta8"/>
      <sheetName val="Análisis_20018"/>
      <sheetName val="CI_e_Bil7"/>
      <sheetName val="Monto_a_Cubrir7"/>
      <sheetName val="no_borrrar7"/>
      <sheetName val="tiraje_mix7"/>
      <sheetName val="AVANCE_FISICO7"/>
      <sheetName val="ggrales_7"/>
      <sheetName val="PRESUPUESTO_GRAL_REV_2_7"/>
      <sheetName val="PRESUPUESTO_GRAL_REV_47"/>
      <sheetName val="PRESUPUESTO_GRAL_DELTA7"/>
      <sheetName val="DEGLOSE_GG7"/>
      <sheetName val="PPTO_DETALLADO7"/>
      <sheetName val="ALCANCES_TECNICOS7"/>
      <sheetName val="ANEXO_A_(Listado_de_planos)7"/>
      <sheetName val="ANEXO_B7"/>
      <sheetName val="ANEXO_C_7"/>
      <sheetName val="ANEXO_D_alcances_especialidade7"/>
      <sheetName val="ANEXO_F7"/>
      <sheetName val="ALCANCES_ADMINISTRATIVOS_7"/>
      <sheetName val="DESGLOSE_CD7"/>
      <sheetName val="ALCANCES_TECNICOS_7"/>
      <sheetName val="LISTADO_DE_PLANOS7"/>
      <sheetName val="ANEXO_D_Alcances_SC7"/>
      <sheetName val="1__Inst__Faena7"/>
      <sheetName val="2__Mov__de_Tierra7"/>
      <sheetName val="3__Demoliciones_y_OOCC7"/>
      <sheetName val="T_I__COSTOS_FIJOS_Y_VARIABLES7"/>
      <sheetName val="PRECIOS_US_UF_EURO7"/>
      <sheetName val="Itemizado_Oficial7"/>
      <sheetName val="1_CUB__B_7"/>
      <sheetName val="1_CUB__C7"/>
      <sheetName val="1_CUB__D_7"/>
      <sheetName val="1_CUB__E-F-G7"/>
      <sheetName val="1_CUB__H7"/>
      <sheetName val="1_CUB__I7"/>
      <sheetName val="2_CUBIERTA7"/>
      <sheetName val="3_FACH7"/>
      <sheetName val="4_TAB_VID_7"/>
      <sheetName val="4_VNT7"/>
      <sheetName val="5_PTA7"/>
      <sheetName val="5_2_PTA7"/>
      <sheetName val="5_3_PTA7"/>
      <sheetName val="5_PTA_(ap)7"/>
      <sheetName val="5_PTA__I7"/>
      <sheetName val="6_SANIT_7"/>
      <sheetName val="6_1_VARIOS_sanit_7"/>
      <sheetName val="7__CLOSET7"/>
      <sheetName val="7__MUEBLES7"/>
      <sheetName val="H-OBRAS_EXTERIORES7"/>
      <sheetName val="8__PAV_EXT_7"/>
      <sheetName val="8__PAV_EXT7"/>
      <sheetName val="9__ENLUCIDOS7"/>
      <sheetName val="10__ITEM_DEMO7"/>
      <sheetName val="10__DEM_B7"/>
      <sheetName val="10_DEM_B-MET7"/>
      <sheetName val="10__DEM_C7"/>
      <sheetName val="10__DEM_D7"/>
      <sheetName val="10__DEM_H7"/>
      <sheetName val="10__DEM_I7"/>
      <sheetName val="11_PINTURAS7"/>
      <sheetName val="12_VARIOS7"/>
      <sheetName val="COT_MAT7"/>
      <sheetName val="COT_OG7"/>
      <sheetName val="RES__OG7"/>
      <sheetName val="Cubicación_Cliente7"/>
      <sheetName val="Cierre_Final__7"/>
      <sheetName val="Proyecto_Tipo7"/>
      <sheetName val="MANTENIMIENTO_PREVENTIVO"/>
      <sheetName val="Carta_Oferta9"/>
      <sheetName val="Analisis_de_Restricciones8"/>
      <sheetName val="Análisis_20019"/>
      <sheetName val="CI_e_Bil8"/>
      <sheetName val="Monto_a_Cubrir8"/>
      <sheetName val="ggrales_8"/>
      <sheetName val="no_borrrar8"/>
      <sheetName val="tiraje_mix8"/>
      <sheetName val="AVANCE_FISICO8"/>
      <sheetName val="1__Inst__Faena8"/>
      <sheetName val="2__Mov__de_Tierra8"/>
      <sheetName val="3__Demoliciones_y_OOCC8"/>
      <sheetName val="PRESUPUESTO_GRAL_REV_2_8"/>
      <sheetName val="PRESUPUESTO_GRAL_REV_48"/>
      <sheetName val="PRESUPUESTO_GRAL_DELTA8"/>
      <sheetName val="DEGLOSE_GG8"/>
      <sheetName val="PPTO_DETALLADO8"/>
      <sheetName val="ALCANCES_TECNICOS8"/>
      <sheetName val="ANEXO_A_(Listado_de_planos)8"/>
      <sheetName val="ANEXO_B8"/>
      <sheetName val="ANEXO_C_8"/>
      <sheetName val="ANEXO_D_alcances_especialidade8"/>
      <sheetName val="ANEXO_F8"/>
      <sheetName val="ALCANCES_ADMINISTRATIVOS_8"/>
      <sheetName val="DESGLOSE_CD8"/>
      <sheetName val="ALCANCES_TECNICOS_8"/>
      <sheetName val="LISTADO_DE_PLANOS8"/>
      <sheetName val="ANEXO_D_Alcances_SC8"/>
      <sheetName val="T_I__COSTOS_FIJOS_Y_VARIABLES8"/>
      <sheetName val="PRECIOS_US_UF_EURO8"/>
      <sheetName val="Itemizado_Oficial8"/>
      <sheetName val="1_CUB__B_8"/>
      <sheetName val="1_CUB__C8"/>
      <sheetName val="1_CUB__D_8"/>
      <sheetName val="1_CUB__E-F-G8"/>
      <sheetName val="1_CUB__H8"/>
      <sheetName val="1_CUB__I8"/>
      <sheetName val="2_CUBIERTA8"/>
      <sheetName val="3_FACH8"/>
      <sheetName val="4_TAB_VID_8"/>
      <sheetName val="4_VNT8"/>
      <sheetName val="5_PTA8"/>
      <sheetName val="5_2_PTA8"/>
      <sheetName val="5_3_PTA8"/>
      <sheetName val="5_PTA_(ap)8"/>
      <sheetName val="5_PTA__I8"/>
      <sheetName val="6_SANIT_8"/>
      <sheetName val="6_1_VARIOS_sanit_8"/>
      <sheetName val="7__CLOSET8"/>
      <sheetName val="7__MUEBLES8"/>
      <sheetName val="H-OBRAS_EXTERIORES8"/>
      <sheetName val="8__PAV_EXT_8"/>
      <sheetName val="8__PAV_EXT8"/>
      <sheetName val="9__ENLUCIDOS8"/>
      <sheetName val="10__ITEM_DEMO8"/>
      <sheetName val="10__DEM_B8"/>
      <sheetName val="10_DEM_B-MET8"/>
      <sheetName val="10__DEM_C8"/>
      <sheetName val="10__DEM_D8"/>
      <sheetName val="10__DEM_H8"/>
      <sheetName val="10__DEM_I8"/>
      <sheetName val="11_PINTURAS8"/>
      <sheetName val="12_VARIOS8"/>
      <sheetName val="COT_MAT8"/>
      <sheetName val="COT_OG8"/>
      <sheetName val="RES__OG8"/>
      <sheetName val="Cubicación_Cliente8"/>
      <sheetName val="Cierre_Final__8"/>
      <sheetName val="Proyecto_Tipo8"/>
      <sheetName val="MANTENIMIENTO_PREVENTIVO1"/>
      <sheetName val="Carta_Oferta10"/>
      <sheetName val="Analisis_de_Restricciones9"/>
      <sheetName val="Análisis_200110"/>
      <sheetName val="CI_e_Bil9"/>
      <sheetName val="Monto_a_Cubrir9"/>
      <sheetName val="no_borrrar9"/>
      <sheetName val="tiraje_mix9"/>
      <sheetName val="AVANCE_FISICO9"/>
      <sheetName val="ggrales_9"/>
      <sheetName val="PRESUPUESTO_GRAL_REV_2_9"/>
      <sheetName val="PRESUPUESTO_GRAL_REV_49"/>
      <sheetName val="PRESUPUESTO_GRAL_DELTA9"/>
      <sheetName val="DEGLOSE_GG9"/>
      <sheetName val="PPTO_DETALLADO9"/>
      <sheetName val="ALCANCES_TECNICOS9"/>
      <sheetName val="ANEXO_A_(Listado_de_planos)9"/>
      <sheetName val="ANEXO_B9"/>
      <sheetName val="ANEXO_C_9"/>
      <sheetName val="ANEXO_D_alcances_especialidade9"/>
      <sheetName val="ANEXO_F9"/>
      <sheetName val="ALCANCES_ADMINISTRATIVOS_9"/>
      <sheetName val="DESGLOSE_CD9"/>
      <sheetName val="ALCANCES_TECNICOS_9"/>
      <sheetName val="LISTADO_DE_PLANOS9"/>
      <sheetName val="ANEXO_D_Alcances_SC9"/>
      <sheetName val="1__Inst__Faena9"/>
      <sheetName val="2__Mov__de_Tierra9"/>
      <sheetName val="3__Demoliciones_y_OOCC9"/>
      <sheetName val="T_I__COSTOS_FIJOS_Y_VARIABLES9"/>
      <sheetName val="PRECIOS_US_UF_EURO9"/>
      <sheetName val="Itemizado_Oficial9"/>
      <sheetName val="1_CUB__B_9"/>
      <sheetName val="1_CUB__C9"/>
      <sheetName val="1_CUB__D_9"/>
      <sheetName val="1_CUB__E-F-G9"/>
      <sheetName val="1_CUB__H9"/>
      <sheetName val="1_CUB__I9"/>
      <sheetName val="2_CUBIERTA9"/>
      <sheetName val="3_FACH9"/>
      <sheetName val="4_TAB_VID_9"/>
      <sheetName val="4_VNT9"/>
      <sheetName val="5_PTA9"/>
      <sheetName val="5_2_PTA9"/>
      <sheetName val="5_3_PTA9"/>
      <sheetName val="5_PTA_(ap)9"/>
      <sheetName val="5_PTA__I9"/>
      <sheetName val="6_SANIT_9"/>
      <sheetName val="6_1_VARIOS_sanit_9"/>
      <sheetName val="7__CLOSET9"/>
      <sheetName val="7__MUEBLES9"/>
      <sheetName val="H-OBRAS_EXTERIORES9"/>
      <sheetName val="8__PAV_EXT_9"/>
      <sheetName val="8__PAV_EXT9"/>
      <sheetName val="9__ENLUCIDOS9"/>
      <sheetName val="10__ITEM_DEMO9"/>
      <sheetName val="10__DEM_B9"/>
      <sheetName val="10_DEM_B-MET9"/>
      <sheetName val="10__DEM_C9"/>
      <sheetName val="10__DEM_D9"/>
      <sheetName val="10__DEM_H9"/>
      <sheetName val="10__DEM_I9"/>
      <sheetName val="11_PINTURAS9"/>
      <sheetName val="12_VARIOS9"/>
      <sheetName val="COT_MAT9"/>
      <sheetName val="COT_OG9"/>
      <sheetName val="RES__OG9"/>
      <sheetName val="Cubicación_Cliente9"/>
      <sheetName val="Cierre_Final__9"/>
      <sheetName val="Proyecto_Tipo9"/>
      <sheetName val="MANTENIMIENTO_PREVENTIVO2"/>
      <sheetName val="Carta_Oferta11"/>
      <sheetName val="Analisis_de_Restricciones10"/>
      <sheetName val="Análisis_200111"/>
      <sheetName val="CI_e_Bil10"/>
      <sheetName val="Monto_a_Cubrir10"/>
      <sheetName val="ggrales_10"/>
      <sheetName val="no_borrrar10"/>
      <sheetName val="tiraje_mix10"/>
      <sheetName val="AVANCE_FISICO10"/>
      <sheetName val="1__Inst__Faena10"/>
      <sheetName val="2__Mov__de_Tierra10"/>
      <sheetName val="3__Demoliciones_y_OOCC10"/>
      <sheetName val="PRESUPUESTO_GRAL_REV_2_10"/>
      <sheetName val="PRESUPUESTO_GRAL_REV_410"/>
      <sheetName val="PRESUPUESTO_GRAL_DELTA10"/>
      <sheetName val="DEGLOSE_GG10"/>
      <sheetName val="PPTO_DETALLADO10"/>
      <sheetName val="ALCANCES_TECNICOS10"/>
      <sheetName val="ANEXO_A_(Listado_de_planos)10"/>
      <sheetName val="ANEXO_B10"/>
      <sheetName val="ANEXO_C_10"/>
      <sheetName val="ANEXO_D_alcances_especialidad10"/>
      <sheetName val="ANEXO_F10"/>
      <sheetName val="ALCANCES_ADMINISTRATIVOS_10"/>
      <sheetName val="DESGLOSE_CD10"/>
      <sheetName val="ALCANCES_TECNICOS_10"/>
      <sheetName val="LISTADO_DE_PLANOS10"/>
      <sheetName val="ANEXO_D_Alcances_SC10"/>
      <sheetName val="T_I__COSTOS_FIJOS_Y_VARIABLES10"/>
      <sheetName val="PRECIOS_US_UF_EURO10"/>
      <sheetName val="Itemizado_Oficial10"/>
      <sheetName val="1_CUB__B_10"/>
      <sheetName val="1_CUB__C10"/>
      <sheetName val="1_CUB__D_10"/>
      <sheetName val="1_CUB__E-F-G10"/>
      <sheetName val="1_CUB__H10"/>
      <sheetName val="1_CUB__I10"/>
      <sheetName val="2_CUBIERTA10"/>
      <sheetName val="3_FACH10"/>
      <sheetName val="4_TAB_VID_10"/>
      <sheetName val="4_VNT10"/>
      <sheetName val="5_PTA10"/>
      <sheetName val="5_2_PTA10"/>
      <sheetName val="5_3_PTA10"/>
      <sheetName val="5_PTA_(ap)10"/>
      <sheetName val="5_PTA__I10"/>
      <sheetName val="6_SANIT_10"/>
      <sheetName val="6_1_VARIOS_sanit_10"/>
      <sheetName val="7__CLOSET10"/>
      <sheetName val="7__MUEBLES10"/>
      <sheetName val="H-OBRAS_EXTERIORES10"/>
      <sheetName val="8__PAV_EXT_10"/>
      <sheetName val="8__PAV_EXT10"/>
      <sheetName val="9__ENLUCIDOS10"/>
      <sheetName val="10__ITEM_DEMO10"/>
      <sheetName val="10__DEM_B10"/>
      <sheetName val="10_DEM_B-MET10"/>
      <sheetName val="10__DEM_C10"/>
      <sheetName val="10__DEM_D10"/>
      <sheetName val="10__DEM_H10"/>
      <sheetName val="10__DEM_I10"/>
      <sheetName val="11_PINTURAS10"/>
      <sheetName val="12_VARIOS10"/>
      <sheetName val="COT_MAT10"/>
      <sheetName val="COT_OG10"/>
      <sheetName val="RES__OG10"/>
      <sheetName val="Cubicación_Cliente10"/>
      <sheetName val="Cierre_Final__10"/>
      <sheetName val="Proyecto_Tipo10"/>
      <sheetName val="MANTENIMIENTO_PREVENTIVO3"/>
    </sheetNames>
    <sheetDataSet>
      <sheetData sheetId="0" refreshError="1">
        <row r="4">
          <cell r="B4">
            <v>52</v>
          </cell>
          <cell r="C4">
            <v>2</v>
          </cell>
          <cell r="L4">
            <v>2.1698750000000007</v>
          </cell>
          <cell r="M4">
            <v>112.83350000000003</v>
          </cell>
        </row>
        <row r="5">
          <cell r="B5">
            <v>1</v>
          </cell>
          <cell r="C5">
            <v>3.9</v>
          </cell>
          <cell r="L5">
            <v>2.5546250000000006</v>
          </cell>
          <cell r="M5">
            <v>2.5546250000000006</v>
          </cell>
        </row>
        <row r="6">
          <cell r="B6">
            <v>1</v>
          </cell>
          <cell r="C6"/>
          <cell r="L6">
            <v>0</v>
          </cell>
          <cell r="M6">
            <v>0</v>
          </cell>
        </row>
        <row r="7">
          <cell r="B7">
            <v>1</v>
          </cell>
          <cell r="C7"/>
          <cell r="L7">
            <v>0</v>
          </cell>
          <cell r="M7">
            <v>0</v>
          </cell>
        </row>
        <row r="8">
          <cell r="B8">
            <v>1</v>
          </cell>
          <cell r="C8"/>
          <cell r="L8">
            <v>0</v>
          </cell>
          <cell r="M8">
            <v>0</v>
          </cell>
        </row>
        <row r="9">
          <cell r="B9">
            <v>1</v>
          </cell>
          <cell r="C9"/>
          <cell r="L9">
            <v>0</v>
          </cell>
          <cell r="M9">
            <v>0</v>
          </cell>
        </row>
        <row r="10">
          <cell r="B10">
            <v>1</v>
          </cell>
          <cell r="C10"/>
          <cell r="L10">
            <v>0</v>
          </cell>
          <cell r="M10">
            <v>0</v>
          </cell>
        </row>
        <row r="11">
          <cell r="B11">
            <v>1</v>
          </cell>
          <cell r="C11"/>
          <cell r="L11">
            <v>0</v>
          </cell>
          <cell r="M11">
            <v>0</v>
          </cell>
        </row>
        <row r="12">
          <cell r="B12">
            <v>1</v>
          </cell>
          <cell r="C12"/>
          <cell r="L12">
            <v>0</v>
          </cell>
          <cell r="M1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4">
          <cell r="B4" t="str">
            <v>Inmobiliaria Aitue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4">
          <cell r="B4" t="str">
            <v>Inmobiliaria Aitue</v>
          </cell>
        </row>
      </sheetData>
      <sheetData sheetId="181"/>
      <sheetData sheetId="182"/>
      <sheetData sheetId="183">
        <row r="4">
          <cell r="B4" t="str">
            <v>Inmobiliaria Aitue</v>
          </cell>
        </row>
      </sheetData>
      <sheetData sheetId="184"/>
      <sheetData sheetId="185"/>
      <sheetData sheetId="186">
        <row r="4">
          <cell r="B4" t="str">
            <v>Inmobiliaria Aitue</v>
          </cell>
        </row>
      </sheetData>
      <sheetData sheetId="187"/>
      <sheetData sheetId="188"/>
      <sheetData sheetId="189"/>
      <sheetData sheetId="190"/>
      <sheetData sheetId="191"/>
      <sheetData sheetId="192">
        <row r="4">
          <cell r="B4" t="str">
            <v>Inmobiliaria Aitue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4">
          <cell r="B4" t="str">
            <v>Inmobiliaria Aitue</v>
          </cell>
        </row>
      </sheetData>
      <sheetData sheetId="202">
        <row r="4">
          <cell r="B4" t="str">
            <v>Inmobiliaria Aitue</v>
          </cell>
        </row>
      </sheetData>
      <sheetData sheetId="203">
        <row r="4">
          <cell r="B4" t="str">
            <v>Inmobiliaria Aitue</v>
          </cell>
        </row>
      </sheetData>
      <sheetData sheetId="204"/>
      <sheetData sheetId="205"/>
      <sheetData sheetId="206"/>
      <sheetData sheetId="207">
        <row r="4">
          <cell r="B4" t="str">
            <v>Inmobiliaria Aitue</v>
          </cell>
        </row>
      </sheetData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>
        <row r="4">
          <cell r="B4" t="str">
            <v>Inmobiliaria Aitue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>
        <row r="4">
          <cell r="B4" t="str">
            <v>Inmobiliaria Aitue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>
        <row r="4">
          <cell r="B4" t="str">
            <v>Inmobiliaria Aitue</v>
          </cell>
        </row>
      </sheetData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>
        <row r="4">
          <cell r="B4" t="str">
            <v>Inmobiliaria Aitue</v>
          </cell>
        </row>
      </sheetData>
      <sheetData sheetId="446">
        <row r="4">
          <cell r="B4" t="str">
            <v>Inmobiliaria Aitue</v>
          </cell>
        </row>
      </sheetData>
      <sheetData sheetId="447">
        <row r="4">
          <cell r="B4" t="str">
            <v>Inmobiliaria Aitue</v>
          </cell>
        </row>
      </sheetData>
      <sheetData sheetId="448">
        <row r="4">
          <cell r="B4" t="str">
            <v>Inmobiliaria Aitue</v>
          </cell>
        </row>
      </sheetData>
      <sheetData sheetId="449"/>
      <sheetData sheetId="450"/>
      <sheetData sheetId="451"/>
      <sheetData sheetId="452">
        <row r="4">
          <cell r="B4" t="str">
            <v>Inmobiliaria Aitue</v>
          </cell>
        </row>
      </sheetData>
      <sheetData sheetId="453"/>
      <sheetData sheetId="454"/>
      <sheetData sheetId="455"/>
      <sheetData sheetId="456"/>
      <sheetData sheetId="457">
        <row r="4">
          <cell r="B4" t="str">
            <v>Inmobiliaria Aitue</v>
          </cell>
        </row>
      </sheetData>
      <sheetData sheetId="458">
        <row r="4">
          <cell r="B4" t="str">
            <v>Inmobiliaria Aitue</v>
          </cell>
        </row>
      </sheetData>
      <sheetData sheetId="459"/>
      <sheetData sheetId="460">
        <row r="4">
          <cell r="C4">
            <v>0</v>
          </cell>
        </row>
      </sheetData>
      <sheetData sheetId="461"/>
      <sheetData sheetId="462"/>
      <sheetData sheetId="463"/>
      <sheetData sheetId="464">
        <row r="4">
          <cell r="B4" t="str">
            <v>Inmobiliaria Aitue</v>
          </cell>
        </row>
      </sheetData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>
        <row r="4">
          <cell r="C4">
            <v>0</v>
          </cell>
        </row>
      </sheetData>
      <sheetData sheetId="517">
        <row r="4">
          <cell r="C4">
            <v>0</v>
          </cell>
        </row>
      </sheetData>
      <sheetData sheetId="518">
        <row r="4">
          <cell r="C4">
            <v>0</v>
          </cell>
        </row>
      </sheetData>
      <sheetData sheetId="519">
        <row r="4">
          <cell r="C4">
            <v>0</v>
          </cell>
        </row>
      </sheetData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>
        <row r="4">
          <cell r="B4">
            <v>0</v>
          </cell>
        </row>
      </sheetData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>
        <row r="4">
          <cell r="B4" t="str">
            <v>Inmobiliaria Aitue</v>
          </cell>
        </row>
      </sheetData>
      <sheetData sheetId="640"/>
      <sheetData sheetId="641"/>
      <sheetData sheetId="642"/>
      <sheetData sheetId="643"/>
      <sheetData sheetId="644"/>
      <sheetData sheetId="645">
        <row r="4">
          <cell r="B4" t="str">
            <v>Inmobiliaria Aitue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>
        <row r="4">
          <cell r="B4" t="str">
            <v>Inmobiliaria Aitue</v>
          </cell>
        </row>
      </sheetData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>
        <row r="4">
          <cell r="B4">
            <v>0</v>
          </cell>
        </row>
      </sheetData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4">
          <cell r="B4" t="str">
            <v>Inmobiliaria Aitue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>
        <row r="4">
          <cell r="B4">
            <v>0</v>
          </cell>
        </row>
      </sheetData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>
        <row r="4">
          <cell r="B4" t="str">
            <v>Inmobiliaria Aitue</v>
          </cell>
        </row>
      </sheetData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4">
          <cell r="B4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4">
          <cell r="B4" t="str">
            <v>Inmobiliaria Aitue</v>
          </cell>
        </row>
      </sheetData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>
        <row r="4">
          <cell r="B4">
            <v>0</v>
          </cell>
        </row>
      </sheetData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>
        <row r="4">
          <cell r="B4" t="str">
            <v>Inmobiliaria Aitue</v>
          </cell>
        </row>
      </sheetData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>
        <row r="4">
          <cell r="B4">
            <v>0</v>
          </cell>
        </row>
      </sheetData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 refreshError="1"/>
      <sheetData sheetId="1430"/>
      <sheetData sheetId="1431" refreshError="1"/>
      <sheetData sheetId="1432" refreshError="1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 refreshError="1"/>
      <sheetData sheetId="1481" refreshError="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>
        <row r="4">
          <cell r="B4" t="str">
            <v>Inmobiliaria Aitue</v>
          </cell>
        </row>
      </sheetData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>
        <row r="4">
          <cell r="B4" t="str">
            <v>Inmobiliaria Aitue</v>
          </cell>
        </row>
      </sheetData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>
        <row r="4">
          <cell r="B4" t="str">
            <v>Inmobiliaria Aitue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>
        <row r="4">
          <cell r="B4" t="str">
            <v>Inmobiliaria Aitue</v>
          </cell>
        </row>
      </sheetData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 1"/>
      <sheetName val="RESUMEN 2"/>
      <sheetName val="RESUMEN 3 "/>
      <sheetName val="RESUMEN 4  "/>
      <sheetName val="RESUMEN 5   "/>
      <sheetName val="RESUMEN 6    "/>
      <sheetName val="RESUMEN ACUMULADO"/>
      <sheetName val="VALORIZACIÓN 10"/>
      <sheetName val="Valorizacion revisada 10"/>
      <sheetName val="Valoriza revisada con avances"/>
      <sheetName val="VAL 10 Incluido ascensores"/>
      <sheetName val="LIQ 01"/>
      <sheetName val="LIQ 02"/>
      <sheetName val="LIQ 03"/>
      <sheetName val="LIQ 04 "/>
      <sheetName val="LIQ 05  "/>
      <sheetName val="LIQ 06   "/>
      <sheetName val="LIQ 07    "/>
      <sheetName val="LIQ 08"/>
      <sheetName val="LIQ 09    "/>
      <sheetName val="LIQ 10     "/>
      <sheetName val="fluj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31">
          <cell r="G831">
            <v>10157208.495051721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°1"/>
      <sheetName val="N°2"/>
      <sheetName val="N°3"/>
      <sheetName val="N°4"/>
      <sheetName val="N°5"/>
      <sheetName val="N°6"/>
      <sheetName val="N°7"/>
      <sheetName val="N°8"/>
      <sheetName val="N°9"/>
      <sheetName val="N°10"/>
      <sheetName val="Avance financiero"/>
      <sheetName val="ADO SAP"/>
      <sheetName val="ATI SAP SHOPPING"/>
      <sheetName val="Devolucion retencion"/>
      <sheetName val="BASES"/>
      <sheetName val="CCcosto"/>
      <sheetName val="PlanCta07"/>
      <sheetName val="Param"/>
      <sheetName val="Conting"/>
      <sheetName val="LaborFlow"/>
      <sheetName val="Hoja1"/>
      <sheetName val="N_1"/>
      <sheetName val="CLIMA"/>
      <sheetName val="Cuadro Comparativo Resumen (EQ)"/>
      <sheetName val="Obras Prov. y Prelim. (EQ)"/>
      <sheetName val="Movimiento Tierra y demolic (E)"/>
      <sheetName val="Obras Civiles (EQ)"/>
      <sheetName val="Est. Metálicas (EQ)"/>
      <sheetName val="Avance_financiero"/>
      <sheetName val="ADO_SAP"/>
      <sheetName val="ATI_SAP_SHOPPING"/>
      <sheetName val="Devolucion_retencion"/>
      <sheetName val="Detail"/>
      <sheetName val="F-05"/>
      <sheetName val="VALORIZACIÓN 10"/>
      <sheetName val="TEXTO"/>
      <sheetName val="Sheet11(2)"/>
      <sheetName val=""/>
      <sheetName val="Avance_financiero1"/>
      <sheetName val="ADO_SAP1"/>
      <sheetName val="ATI_SAP_SHOPPING1"/>
      <sheetName val="Devolucion_retencion1"/>
      <sheetName val="Cuadro_Comparativo_Resumen_(EQ)"/>
      <sheetName val="Obras_Prov__y_Prelim__(EQ)"/>
      <sheetName val="Movimiento_Tierra_y_demolic_(E)"/>
      <sheetName val="Obras_Civiles_(EQ)"/>
      <sheetName val="Est__Metálicas_(EQ)"/>
      <sheetName val="Avance_financiero2"/>
      <sheetName val="ADO_SAP2"/>
      <sheetName val="ATI_SAP_SHOPPING2"/>
      <sheetName val="Devolucion_retencion2"/>
      <sheetName val="Cuadro_Comparativo_Resumen_(EQ1"/>
      <sheetName val="Obras_Prov__y_Prelim__(EQ)1"/>
      <sheetName val="Movimiento_Tierra_y_demolic_(E1"/>
      <sheetName val="Obras_Civiles_(EQ)1"/>
      <sheetName val="Est__Metálicas_(EQ)1"/>
      <sheetName val="Otros"/>
      <sheetName val="Camaras"/>
      <sheetName val="Materiales"/>
      <sheetName val="Mano de obra "/>
      <sheetName val="Gastos Generales "/>
      <sheetName val="Total General"/>
      <sheetName val="Itemizado"/>
      <sheetName val="Mix"/>
      <sheetName val="Hoja3"/>
      <sheetName val="VALORIZACIÓN_10"/>
      <sheetName val="Avance_financiero4"/>
      <sheetName val="ADO_SAP4"/>
      <sheetName val="ATI_SAP_SHOPPING4"/>
      <sheetName val="Devolucion_retencion4"/>
      <sheetName val="Cuadro_Comparativo_Resumen_(EQ3"/>
      <sheetName val="Obras_Prov__y_Prelim__(EQ)3"/>
      <sheetName val="Movimiento_Tierra_y_demolic_(E3"/>
      <sheetName val="Obras_Civiles_(EQ)3"/>
      <sheetName val="Est__Metálicas_(EQ)3"/>
      <sheetName val="VALORIZACIÓN_103"/>
      <sheetName val="VALORIZACIÓN_101"/>
      <sheetName val="Avance_financiero3"/>
      <sheetName val="ADO_SAP3"/>
      <sheetName val="ATI_SAP_SHOPPING3"/>
      <sheetName val="Devolucion_retencion3"/>
      <sheetName val="Cuadro_Comparativo_Resumen_(EQ2"/>
      <sheetName val="Obras_Prov__y_Prelim__(EQ)2"/>
      <sheetName val="Movimiento_Tierra_y_demolic_(E2"/>
      <sheetName val="Obras_Civiles_(EQ)2"/>
      <sheetName val="Est__Metálicas_(EQ)2"/>
      <sheetName val="VALORIZACIÓN_102"/>
      <sheetName val="Avance_financiero6"/>
      <sheetName val="ADO_SAP6"/>
      <sheetName val="ATI_SAP_SHOPPING6"/>
      <sheetName val="Devolucion_retencion6"/>
      <sheetName val="Cuadro_Comparativo_Resumen_(EQ5"/>
      <sheetName val="Obras_Prov__y_Prelim__(EQ)5"/>
      <sheetName val="Movimiento_Tierra_y_demolic_(E5"/>
      <sheetName val="Obras_Civiles_(EQ)5"/>
      <sheetName val="Est__Metálicas_(EQ)5"/>
      <sheetName val="VALORIZACIÓN_105"/>
      <sheetName val="Avance_financiero5"/>
      <sheetName val="ADO_SAP5"/>
      <sheetName val="ATI_SAP_SHOPPING5"/>
      <sheetName val="Devolucion_retencion5"/>
      <sheetName val="Cuadro_Comparativo_Resumen_(EQ4"/>
      <sheetName val="Obras_Prov__y_Prelim__(EQ)4"/>
      <sheetName val="Movimiento_Tierra_y_demolic_(E4"/>
      <sheetName val="Obras_Civiles_(EQ)4"/>
      <sheetName val="Est__Metálicas_(EQ)4"/>
      <sheetName val="VALORIZACIÓN_104"/>
      <sheetName val="Avance_financiero7"/>
      <sheetName val="ADO_SAP7"/>
      <sheetName val="ATI_SAP_SHOPPING7"/>
      <sheetName val="Devolucion_retencion7"/>
      <sheetName val="Cuadro_Comparativo_Resumen_(EQ6"/>
      <sheetName val="Obras_Prov__y_Prelim__(EQ)6"/>
      <sheetName val="Movimiento_Tierra_y_demolic_(E6"/>
      <sheetName val="Obras_Civiles_(EQ)6"/>
      <sheetName val="Est__Metálicas_(EQ)6"/>
      <sheetName val="VALORIZACIÓN_106"/>
      <sheetName val="Mano_de_obra_"/>
      <sheetName val="Gastos_Generales_"/>
      <sheetName val="Total_General"/>
      <sheetName val="Avance_financiero8"/>
      <sheetName val="ADO_SAP8"/>
      <sheetName val="ATI_SAP_SHOPPING8"/>
      <sheetName val="Devolucion_retencion8"/>
      <sheetName val="Cuadro_Comparativo_Resumen_(EQ7"/>
      <sheetName val="Obras_Prov__y_Prelim__(EQ)7"/>
      <sheetName val="Movimiento_Tierra_y_demolic_(E7"/>
      <sheetName val="Obras_Civiles_(EQ)7"/>
      <sheetName val="Est__Metálicas_(EQ)7"/>
      <sheetName val="VALORIZACIÓN_107"/>
      <sheetName val="Avance_financiero9"/>
      <sheetName val="ADO_SAP9"/>
      <sheetName val="ATI_SAP_SHOPPING9"/>
      <sheetName val="Devolucion_retencion9"/>
      <sheetName val="Cuadro_Comparativo_Resumen_(EQ8"/>
      <sheetName val="Obras_Prov__y_Prelim__(EQ)8"/>
      <sheetName val="Movimiento_Tierra_y_demolic_(E8"/>
      <sheetName val="Obras_Civiles_(EQ)8"/>
      <sheetName val="Est__Metálicas_(EQ)8"/>
      <sheetName val="VALORIZACIÓN_108"/>
      <sheetName val="Avance_financiero10"/>
      <sheetName val="ADO_SAP10"/>
      <sheetName val="ATI_SAP_SHOPPING10"/>
      <sheetName val="Devolucion_retencion10"/>
      <sheetName val="Cuadro_Comparativo_Resumen_(EQ9"/>
      <sheetName val="Obras_Prov__y_Prelim__(EQ)9"/>
      <sheetName val="Movimiento_Tierra_y_demolic_(E9"/>
      <sheetName val="Obras_Civiles_(EQ)9"/>
      <sheetName val="Est__Metálicas_(EQ)9"/>
      <sheetName val="VALORIZACIÓN_109"/>
      <sheetName val="Mano_de_obra_1"/>
      <sheetName val="Gastos_Generales_1"/>
      <sheetName val="Total_General1"/>
      <sheetName val="Avance_financiero11"/>
      <sheetName val="ADO_SAP11"/>
      <sheetName val="ATI_SAP_SHOPPING11"/>
      <sheetName val="Devolucion_retencion11"/>
      <sheetName val="Cuadro_Comparativo_Resumen_(E10"/>
      <sheetName val="Obras_Prov__y_Prelim__(EQ)10"/>
      <sheetName val="Movimiento_Tierra_y_demolic_(10"/>
      <sheetName val="Obras_Civiles_(EQ)10"/>
      <sheetName val="Est__Metálicas_(EQ)10"/>
      <sheetName val="VALORIZACIÓN_1010"/>
      <sheetName val="Avance_financiero12"/>
      <sheetName val="ADO_SAP12"/>
      <sheetName val="ATI_SAP_SHOPPING12"/>
      <sheetName val="Devolucion_retencion12"/>
      <sheetName val="Cuadro_Comparativo_Resumen_(E11"/>
      <sheetName val="Obras_Prov__y_Prelim__(EQ)11"/>
      <sheetName val="Movimiento_Tierra_y_demolic_(11"/>
      <sheetName val="Obras_Civiles_(EQ)11"/>
      <sheetName val="Est__Metálicas_(EQ)11"/>
      <sheetName val="VALORIZACIÓN_1011"/>
      <sheetName val="Avance_financiero13"/>
      <sheetName val="ADO_SAP13"/>
      <sheetName val="ATI_SAP_SHOPPING13"/>
      <sheetName val="Devolucion_retencion13"/>
      <sheetName val="Cuadro_Comparativo_Resumen_(E12"/>
      <sheetName val="Obras_Prov__y_Prelim__(EQ)12"/>
      <sheetName val="Movimiento_Tierra_y_demolic_(12"/>
      <sheetName val="Obras_Civiles_(EQ)12"/>
      <sheetName val="Est__Metálicas_(EQ)12"/>
      <sheetName val="VALORIZACIÓN_1012"/>
      <sheetName val="Mano_de_obra_2"/>
      <sheetName val="Gastos_Generales_2"/>
      <sheetName val="Total_General2"/>
      <sheetName val="Mano_de_obra_3"/>
      <sheetName val="Gastos_Generales_3"/>
      <sheetName val="Total_General3"/>
      <sheetName val="Mano_de_obra_4"/>
      <sheetName val="Gastos_Generales_4"/>
      <sheetName val="Total_General4"/>
      <sheetName val="Notes"/>
      <sheetName val="Mano_de_obra_5"/>
      <sheetName val="Gastos_Generales_5"/>
      <sheetName val="Total_General5"/>
    </sheetNames>
    <sheetDataSet>
      <sheetData sheetId="0" refreshError="1">
        <row r="1302">
          <cell r="F1302">
            <v>3205048337.9643979</v>
          </cell>
        </row>
        <row r="1304">
          <cell r="F1304">
            <v>371499614</v>
          </cell>
        </row>
        <row r="1306">
          <cell r="F1306">
            <v>283482038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uros Convencionales Sot"/>
      <sheetName val="Cisterna"/>
      <sheetName val="Cimentacion"/>
      <sheetName val="Edificio A"/>
      <sheetName val="Edificio B"/>
      <sheetName val="Sotano"/>
      <sheetName val="Resumen"/>
      <sheetName val="Res-S0"/>
      <sheetName val="edificio"/>
      <sheetName val="sotanos"/>
      <sheetName val="obras ext"/>
    </sheetNames>
    <sheetDataSet>
      <sheetData sheetId="0" refreshError="1"/>
      <sheetData sheetId="1" refreshError="1"/>
      <sheetData sheetId="2" refreshError="1"/>
      <sheetData sheetId="3">
        <row r="2">
          <cell r="R2" t="str">
            <v>H</v>
          </cell>
          <cell r="S2" t="str">
            <v>Traslape Horizontal</v>
          </cell>
          <cell r="X2">
            <v>0.4</v>
          </cell>
          <cell r="Y2">
            <v>0.55000000000000004</v>
          </cell>
          <cell r="Z2">
            <v>0.55000000000000004</v>
          </cell>
          <cell r="AA2">
            <v>0.7</v>
          </cell>
          <cell r="AB2">
            <v>0.8</v>
          </cell>
          <cell r="AC2">
            <v>1.3</v>
          </cell>
        </row>
        <row r="3">
          <cell r="R3" t="str">
            <v>V</v>
          </cell>
          <cell r="S3" t="str">
            <v>Traslape Vertical</v>
          </cell>
          <cell r="X3">
            <v>0.5</v>
          </cell>
          <cell r="Y3">
            <v>0.2</v>
          </cell>
          <cell r="Z3">
            <v>0.25</v>
          </cell>
          <cell r="AA3">
            <v>0.3</v>
          </cell>
          <cell r="AB3">
            <v>0.35</v>
          </cell>
          <cell r="AC3">
            <v>0.55000000000000004</v>
          </cell>
          <cell r="AD3">
            <v>1</v>
          </cell>
        </row>
        <row r="5">
          <cell r="B5" t="str">
            <v>DESCRIPCION</v>
          </cell>
          <cell r="D5" t="str">
            <v>CANT.</v>
          </cell>
          <cell r="E5" t="str">
            <v>CONCRETO</v>
          </cell>
          <cell r="I5" t="str">
            <v>TOTAL</v>
          </cell>
          <cell r="L5" t="str">
            <v>TOTAL</v>
          </cell>
          <cell r="M5" t="str">
            <v>ENCOFRADO</v>
          </cell>
          <cell r="O5" t="str">
            <v>TOTAL</v>
          </cell>
          <cell r="R5" t="str">
            <v>ACERO</v>
          </cell>
          <cell r="T5" t="str">
            <v>Empalme</v>
          </cell>
          <cell r="U5" t="str">
            <v>1/4"</v>
          </cell>
          <cell r="V5" t="str">
            <v>6mm</v>
          </cell>
          <cell r="W5" t="str">
            <v>8mm</v>
          </cell>
          <cell r="X5" t="str">
            <v>3/8"</v>
          </cell>
          <cell r="Y5" t="str">
            <v>12mm</v>
          </cell>
          <cell r="Z5" t="str">
            <v>1/2"</v>
          </cell>
          <cell r="AA5" t="str">
            <v>5/8"</v>
          </cell>
          <cell r="AB5" t="str">
            <v>3/4"</v>
          </cell>
          <cell r="AC5" t="str">
            <v>1"</v>
          </cell>
          <cell r="AD5" t="str">
            <v>1.3/8"</v>
          </cell>
        </row>
        <row r="6">
          <cell r="D6" t="str">
            <v>ELEM.</v>
          </cell>
          <cell r="E6" t="str">
            <v>LARGO</v>
          </cell>
          <cell r="F6" t="str">
            <v>ANCHO</v>
          </cell>
          <cell r="G6" t="str">
            <v>ALTO</v>
          </cell>
          <cell r="H6" t="str">
            <v>TIPO</v>
          </cell>
          <cell r="I6">
            <v>210</v>
          </cell>
          <cell r="J6">
            <v>280</v>
          </cell>
          <cell r="K6">
            <v>350</v>
          </cell>
          <cell r="L6" t="str">
            <v>M3</v>
          </cell>
          <cell r="M6" t="str">
            <v>PERIME</v>
          </cell>
          <cell r="N6" t="str">
            <v>ALTO</v>
          </cell>
          <cell r="O6" t="str">
            <v>M2</v>
          </cell>
          <cell r="Q6" t="str">
            <v>DIAM.</v>
          </cell>
          <cell r="R6" t="str">
            <v>PZAS</v>
          </cell>
          <cell r="S6" t="str">
            <v>LONG.</v>
          </cell>
          <cell r="U6">
            <v>0.25</v>
          </cell>
          <cell r="V6">
            <v>0.22</v>
          </cell>
          <cell r="W6">
            <v>0.4</v>
          </cell>
          <cell r="X6">
            <v>0.56000000000000005</v>
          </cell>
          <cell r="Y6">
            <v>0.9</v>
          </cell>
          <cell r="Z6">
            <v>0.99</v>
          </cell>
          <cell r="AA6">
            <v>1.55</v>
          </cell>
          <cell r="AB6">
            <v>2.2400000000000002</v>
          </cell>
          <cell r="AC6">
            <v>3.97</v>
          </cell>
          <cell r="AD6">
            <v>7.907</v>
          </cell>
        </row>
        <row r="11">
          <cell r="B11" t="str">
            <v>COLUMNAS</v>
          </cell>
        </row>
        <row r="14">
          <cell r="B14" t="str">
            <v>1° Piso</v>
          </cell>
          <cell r="H14">
            <v>280</v>
          </cell>
        </row>
        <row r="15">
          <cell r="B15" t="str">
            <v>B2-C-01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B16" t="str">
            <v>Nucleo B</v>
          </cell>
          <cell r="C16">
            <v>1</v>
          </cell>
          <cell r="D16">
            <v>1</v>
          </cell>
          <cell r="E16">
            <v>1.05</v>
          </cell>
          <cell r="F16">
            <v>0.4</v>
          </cell>
          <cell r="G16">
            <v>4.1500000000000004</v>
          </cell>
          <cell r="H16">
            <v>280</v>
          </cell>
          <cell r="I16">
            <v>0</v>
          </cell>
          <cell r="J16">
            <v>1.7430000000000003</v>
          </cell>
          <cell r="K16">
            <v>0</v>
          </cell>
          <cell r="L16">
            <v>1.7430000000000003</v>
          </cell>
          <cell r="M16">
            <v>2.9000000000000004</v>
          </cell>
          <cell r="N16">
            <v>3.95</v>
          </cell>
          <cell r="O16">
            <v>11.455000000000002</v>
          </cell>
          <cell r="P16" t="str">
            <v>V</v>
          </cell>
          <cell r="Q16" t="str">
            <v>1"</v>
          </cell>
          <cell r="R16">
            <v>18</v>
          </cell>
          <cell r="S16">
            <v>4.7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375.16500000000008</v>
          </cell>
          <cell r="AD16">
            <v>0</v>
          </cell>
        </row>
        <row r="17">
          <cell r="B17" t="str">
            <v>Est</v>
          </cell>
          <cell r="C17">
            <v>1</v>
          </cell>
          <cell r="D17">
            <v>1</v>
          </cell>
          <cell r="E17">
            <v>0.7</v>
          </cell>
          <cell r="F17">
            <v>0.4</v>
          </cell>
          <cell r="G17">
            <v>4.1500000000000004</v>
          </cell>
          <cell r="Q17" t="str">
            <v>3/8"</v>
          </cell>
          <cell r="R17">
            <v>30</v>
          </cell>
          <cell r="S17">
            <v>2.2000000000000002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36.96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</row>
        <row r="18">
          <cell r="B18" t="str">
            <v>Est</v>
          </cell>
          <cell r="C18">
            <v>1</v>
          </cell>
          <cell r="D18">
            <v>1</v>
          </cell>
          <cell r="E18">
            <v>0.7</v>
          </cell>
          <cell r="F18">
            <v>0.4</v>
          </cell>
          <cell r="G18">
            <v>4.1500000000000004</v>
          </cell>
          <cell r="Q18" t="str">
            <v>3/8"</v>
          </cell>
          <cell r="R18">
            <v>30</v>
          </cell>
          <cell r="S18">
            <v>2.2000000000000002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36.96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</row>
        <row r="19">
          <cell r="B19" t="str">
            <v>Est</v>
          </cell>
          <cell r="C19">
            <v>1</v>
          </cell>
          <cell r="D19">
            <v>1</v>
          </cell>
          <cell r="E19">
            <v>0.3</v>
          </cell>
          <cell r="F19">
            <v>0.4</v>
          </cell>
          <cell r="G19">
            <v>4.1500000000000004</v>
          </cell>
          <cell r="Q19" t="str">
            <v>3/8"</v>
          </cell>
          <cell r="R19">
            <v>30</v>
          </cell>
          <cell r="S19">
            <v>1.4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23.520000000000003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</row>
        <row r="20">
          <cell r="B20" t="str">
            <v>Est</v>
          </cell>
          <cell r="C20">
            <v>1</v>
          </cell>
          <cell r="D20">
            <v>1</v>
          </cell>
          <cell r="E20">
            <v>0.3</v>
          </cell>
          <cell r="F20">
            <v>0.4</v>
          </cell>
          <cell r="G20">
            <v>4.1500000000000004</v>
          </cell>
          <cell r="Q20" t="str">
            <v>3/8"</v>
          </cell>
          <cell r="R20">
            <v>30</v>
          </cell>
          <cell r="S20">
            <v>1.4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23.520000000000003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1">
          <cell r="B21" t="str">
            <v>B2-C-02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B22" t="str">
            <v>Nucleo B</v>
          </cell>
          <cell r="C22">
            <v>1</v>
          </cell>
          <cell r="D22">
            <v>1</v>
          </cell>
          <cell r="E22">
            <v>2.15</v>
          </cell>
          <cell r="F22">
            <v>0.45</v>
          </cell>
          <cell r="G22">
            <v>4.1500000000000004</v>
          </cell>
          <cell r="H22">
            <v>280</v>
          </cell>
          <cell r="I22">
            <v>0</v>
          </cell>
          <cell r="J22">
            <v>4.0151250000000003</v>
          </cell>
          <cell r="K22">
            <v>0</v>
          </cell>
          <cell r="L22">
            <v>4.0151250000000003</v>
          </cell>
          <cell r="M22">
            <v>5.2</v>
          </cell>
          <cell r="N22">
            <v>3.95</v>
          </cell>
          <cell r="O22">
            <v>20.540000000000003</v>
          </cell>
          <cell r="P22" t="str">
            <v>V</v>
          </cell>
          <cell r="Q22" t="str">
            <v>1"</v>
          </cell>
          <cell r="R22">
            <v>42</v>
          </cell>
          <cell r="S22">
            <v>4.7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875.38499999999999</v>
          </cell>
          <cell r="AD22">
            <v>0</v>
          </cell>
        </row>
        <row r="23">
          <cell r="B23" t="str">
            <v>Est</v>
          </cell>
          <cell r="C23">
            <v>1</v>
          </cell>
          <cell r="D23">
            <v>1</v>
          </cell>
          <cell r="E23">
            <v>1.2</v>
          </cell>
          <cell r="F23">
            <v>0.45</v>
          </cell>
          <cell r="G23">
            <v>4.1500000000000004</v>
          </cell>
          <cell r="Q23" t="str">
            <v>3/8"</v>
          </cell>
          <cell r="R23">
            <v>30</v>
          </cell>
          <cell r="S23">
            <v>3.3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55.440000000000005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B24" t="str">
            <v>Est</v>
          </cell>
          <cell r="C24">
            <v>1</v>
          </cell>
          <cell r="D24">
            <v>1</v>
          </cell>
          <cell r="E24">
            <v>1.2</v>
          </cell>
          <cell r="F24">
            <v>0.45</v>
          </cell>
          <cell r="G24">
            <v>4.1500000000000004</v>
          </cell>
          <cell r="Q24" t="str">
            <v>3/8"</v>
          </cell>
          <cell r="R24">
            <v>30</v>
          </cell>
          <cell r="S24">
            <v>3.3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55.440000000000005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5">
          <cell r="B25" t="str">
            <v>Est</v>
          </cell>
          <cell r="C25">
            <v>1</v>
          </cell>
          <cell r="D25">
            <v>1</v>
          </cell>
          <cell r="E25">
            <v>1.2</v>
          </cell>
          <cell r="F25">
            <v>0.45</v>
          </cell>
          <cell r="G25">
            <v>4.1500000000000004</v>
          </cell>
          <cell r="Q25" t="str">
            <v>3/8"</v>
          </cell>
          <cell r="R25">
            <v>30</v>
          </cell>
          <cell r="S25">
            <v>3.3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55.440000000000005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B26" t="str">
            <v>Est</v>
          </cell>
          <cell r="C26">
            <v>1</v>
          </cell>
          <cell r="D26">
            <v>1</v>
          </cell>
          <cell r="E26">
            <v>0.2</v>
          </cell>
          <cell r="F26">
            <v>0.45</v>
          </cell>
          <cell r="G26">
            <v>4.1500000000000004</v>
          </cell>
          <cell r="Q26" t="str">
            <v>3/8"</v>
          </cell>
          <cell r="R26">
            <v>30</v>
          </cell>
          <cell r="S26">
            <v>1.3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21.840000000000003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B27" t="str">
            <v>Est</v>
          </cell>
          <cell r="C27">
            <v>1</v>
          </cell>
          <cell r="D27">
            <v>1</v>
          </cell>
          <cell r="E27">
            <v>0.2</v>
          </cell>
          <cell r="F27">
            <v>0.45</v>
          </cell>
          <cell r="G27">
            <v>4.1500000000000004</v>
          </cell>
          <cell r="Q27" t="str">
            <v>3/8"</v>
          </cell>
          <cell r="R27">
            <v>30</v>
          </cell>
          <cell r="S27">
            <v>1.3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21.840000000000003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B28" t="str">
            <v>B2-C-03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B29" t="str">
            <v>Nucleo B</v>
          </cell>
          <cell r="C29">
            <v>1</v>
          </cell>
          <cell r="D29">
            <v>1</v>
          </cell>
          <cell r="E29">
            <v>3.05</v>
          </cell>
          <cell r="F29">
            <v>0.35</v>
          </cell>
          <cell r="G29">
            <v>4.1500000000000004</v>
          </cell>
          <cell r="H29">
            <v>280</v>
          </cell>
          <cell r="I29">
            <v>0</v>
          </cell>
          <cell r="J29">
            <v>4.4301250000000003</v>
          </cell>
          <cell r="K29">
            <v>0</v>
          </cell>
          <cell r="L29">
            <v>4.4301250000000003</v>
          </cell>
          <cell r="M29">
            <v>6.8</v>
          </cell>
          <cell r="N29">
            <v>3.95</v>
          </cell>
          <cell r="O29">
            <v>26.86</v>
          </cell>
          <cell r="P29" t="str">
            <v>V</v>
          </cell>
          <cell r="Q29" t="str">
            <v>1"</v>
          </cell>
          <cell r="R29">
            <v>40</v>
          </cell>
          <cell r="S29">
            <v>4.7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833.7</v>
          </cell>
          <cell r="AD29">
            <v>0</v>
          </cell>
        </row>
        <row r="30">
          <cell r="B30" t="str">
            <v>Est</v>
          </cell>
          <cell r="C30">
            <v>1</v>
          </cell>
          <cell r="D30">
            <v>1</v>
          </cell>
          <cell r="E30">
            <v>1.6</v>
          </cell>
          <cell r="F30">
            <v>0.35</v>
          </cell>
          <cell r="G30">
            <v>4.1500000000000004</v>
          </cell>
          <cell r="Q30" t="str">
            <v>3/8"</v>
          </cell>
          <cell r="R30">
            <v>30</v>
          </cell>
          <cell r="S30">
            <v>3.9000000000000004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65.52000000000001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>Est</v>
          </cell>
          <cell r="C31">
            <v>1</v>
          </cell>
          <cell r="D31">
            <v>1</v>
          </cell>
          <cell r="E31">
            <v>2.4</v>
          </cell>
          <cell r="F31">
            <v>0.35</v>
          </cell>
          <cell r="G31">
            <v>4.1500000000000004</v>
          </cell>
          <cell r="Q31" t="str">
            <v>3/8"</v>
          </cell>
          <cell r="R31">
            <v>30</v>
          </cell>
          <cell r="S31">
            <v>5.5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92.4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B32" t="str">
            <v>Est</v>
          </cell>
          <cell r="C32">
            <v>1</v>
          </cell>
          <cell r="D32">
            <v>1</v>
          </cell>
          <cell r="E32">
            <v>1.65</v>
          </cell>
          <cell r="F32">
            <v>0.35</v>
          </cell>
          <cell r="G32">
            <v>4.1500000000000004</v>
          </cell>
          <cell r="Q32" t="str">
            <v>3/8"</v>
          </cell>
          <cell r="R32">
            <v>30</v>
          </cell>
          <cell r="S32">
            <v>4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67.2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B33" t="str">
            <v>Est</v>
          </cell>
          <cell r="C33">
            <v>1</v>
          </cell>
          <cell r="D33">
            <v>1</v>
          </cell>
          <cell r="E33">
            <v>1</v>
          </cell>
          <cell r="F33">
            <v>0.35</v>
          </cell>
          <cell r="G33">
            <v>4.1500000000000004</v>
          </cell>
          <cell r="Q33" t="str">
            <v>3/8"</v>
          </cell>
          <cell r="R33">
            <v>30</v>
          </cell>
          <cell r="S33">
            <v>2.7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45.360000000000007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B34" t="str">
            <v>Est</v>
          </cell>
          <cell r="C34">
            <v>1</v>
          </cell>
          <cell r="D34">
            <v>1</v>
          </cell>
          <cell r="E34">
            <v>1.75</v>
          </cell>
          <cell r="F34">
            <v>0.35</v>
          </cell>
          <cell r="G34">
            <v>4.1500000000000004</v>
          </cell>
          <cell r="Q34" t="str">
            <v>3/8"</v>
          </cell>
          <cell r="R34">
            <v>30</v>
          </cell>
          <cell r="S34">
            <v>4.2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70.56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B35" t="str">
            <v>B2-C-04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B36" t="str">
            <v>Nucleo B</v>
          </cell>
          <cell r="C36">
            <v>1</v>
          </cell>
          <cell r="D36">
            <v>2</v>
          </cell>
          <cell r="E36">
            <v>1.25</v>
          </cell>
          <cell r="F36">
            <v>0.25</v>
          </cell>
          <cell r="G36">
            <v>4.1500000000000004</v>
          </cell>
          <cell r="H36">
            <v>280</v>
          </cell>
          <cell r="I36">
            <v>0</v>
          </cell>
          <cell r="J36">
            <v>2.59375</v>
          </cell>
          <cell r="K36">
            <v>0</v>
          </cell>
          <cell r="L36">
            <v>2.59375</v>
          </cell>
          <cell r="M36">
            <v>3</v>
          </cell>
          <cell r="N36">
            <v>3.95</v>
          </cell>
          <cell r="O36">
            <v>23.700000000000003</v>
          </cell>
          <cell r="P36" t="str">
            <v>V</v>
          </cell>
          <cell r="Q36" t="str">
            <v>1"</v>
          </cell>
          <cell r="R36">
            <v>22</v>
          </cell>
          <cell r="S36">
            <v>4.7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869.03300000000002</v>
          </cell>
          <cell r="AD36">
            <v>0</v>
          </cell>
        </row>
        <row r="37">
          <cell r="C37">
            <v>1</v>
          </cell>
          <cell r="D37">
            <v>2</v>
          </cell>
          <cell r="E37">
            <v>0.3</v>
          </cell>
          <cell r="F37">
            <v>0.4</v>
          </cell>
          <cell r="G37">
            <v>4.1500000000000004</v>
          </cell>
          <cell r="H37">
            <v>280</v>
          </cell>
          <cell r="I37">
            <v>0</v>
          </cell>
          <cell r="J37">
            <v>0.996</v>
          </cell>
          <cell r="K37">
            <v>0</v>
          </cell>
          <cell r="L37">
            <v>0.996</v>
          </cell>
          <cell r="M37">
            <v>1.4</v>
          </cell>
          <cell r="N37">
            <v>3.95</v>
          </cell>
          <cell r="O37">
            <v>11.06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8">
          <cell r="B38" t="str">
            <v>Est</v>
          </cell>
          <cell r="C38">
            <v>1</v>
          </cell>
          <cell r="D38">
            <v>2</v>
          </cell>
          <cell r="E38">
            <v>1.25</v>
          </cell>
          <cell r="F38">
            <v>0.25</v>
          </cell>
          <cell r="G38">
            <v>4.1500000000000004</v>
          </cell>
          <cell r="Q38" t="str">
            <v>3/8"</v>
          </cell>
          <cell r="R38">
            <v>30</v>
          </cell>
          <cell r="S38">
            <v>3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100.80000000000001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B39" t="str">
            <v>Est</v>
          </cell>
          <cell r="C39">
            <v>1</v>
          </cell>
          <cell r="D39">
            <v>2</v>
          </cell>
          <cell r="E39">
            <v>0.4</v>
          </cell>
          <cell r="F39">
            <v>0.25</v>
          </cell>
          <cell r="G39">
            <v>4.1500000000000004</v>
          </cell>
          <cell r="Q39" t="str">
            <v>3/8"</v>
          </cell>
          <cell r="R39">
            <v>30</v>
          </cell>
          <cell r="S39">
            <v>1.3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43.680000000000007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</row>
        <row r="40">
          <cell r="B40" t="str">
            <v>Est</v>
          </cell>
          <cell r="C40">
            <v>1</v>
          </cell>
          <cell r="D40">
            <v>2</v>
          </cell>
          <cell r="E40">
            <v>0.4</v>
          </cell>
          <cell r="F40">
            <v>0.25</v>
          </cell>
          <cell r="G40">
            <v>4.1500000000000004</v>
          </cell>
          <cell r="Q40" t="str">
            <v>3/8"</v>
          </cell>
          <cell r="R40">
            <v>30</v>
          </cell>
          <cell r="S40">
            <v>1.3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43.680000000000007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</row>
        <row r="41">
          <cell r="B41" t="str">
            <v>Est</v>
          </cell>
          <cell r="C41">
            <v>1</v>
          </cell>
          <cell r="D41">
            <v>2</v>
          </cell>
          <cell r="E41">
            <v>0.55000000000000004</v>
          </cell>
          <cell r="F41">
            <v>0.4</v>
          </cell>
          <cell r="G41">
            <v>4.1500000000000004</v>
          </cell>
          <cell r="Q41" t="str">
            <v>3/8"</v>
          </cell>
          <cell r="R41">
            <v>30</v>
          </cell>
          <cell r="S41">
            <v>1.9000000000000001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63.840000000000011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</row>
        <row r="42">
          <cell r="B42" t="str">
            <v>Est</v>
          </cell>
          <cell r="C42">
            <v>1</v>
          </cell>
          <cell r="D42">
            <v>2</v>
          </cell>
          <cell r="E42">
            <v>0.55000000000000004</v>
          </cell>
          <cell r="F42">
            <v>0.25</v>
          </cell>
          <cell r="G42">
            <v>4.1500000000000004</v>
          </cell>
          <cell r="Q42" t="str">
            <v>3/8"</v>
          </cell>
          <cell r="R42">
            <v>30</v>
          </cell>
          <cell r="S42">
            <v>1.6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53.760000000000005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</row>
        <row r="43">
          <cell r="B43" t="str">
            <v>Est</v>
          </cell>
          <cell r="C43">
            <v>1</v>
          </cell>
          <cell r="D43">
            <v>2</v>
          </cell>
          <cell r="E43">
            <v>0.15</v>
          </cell>
          <cell r="F43">
            <v>0.4</v>
          </cell>
          <cell r="G43">
            <v>4.1500000000000004</v>
          </cell>
          <cell r="Q43" t="str">
            <v>3/8"</v>
          </cell>
          <cell r="R43">
            <v>30</v>
          </cell>
          <cell r="S43">
            <v>0.55000000000000004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18.48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B44" t="str">
            <v>2° Piso</v>
          </cell>
          <cell r="H44">
            <v>280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  <row r="45">
          <cell r="B45" t="str">
            <v>B2-C-01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B46" t="str">
            <v>Nucleo B</v>
          </cell>
          <cell r="C46">
            <v>1</v>
          </cell>
          <cell r="D46">
            <v>1</v>
          </cell>
          <cell r="E46">
            <v>1.05</v>
          </cell>
          <cell r="F46">
            <v>0.4</v>
          </cell>
          <cell r="G46">
            <v>2.65</v>
          </cell>
          <cell r="H46">
            <v>280</v>
          </cell>
          <cell r="I46">
            <v>0</v>
          </cell>
          <cell r="J46">
            <v>1.113</v>
          </cell>
          <cell r="K46">
            <v>0</v>
          </cell>
          <cell r="L46">
            <v>1.113</v>
          </cell>
          <cell r="M46">
            <v>2.9000000000000004</v>
          </cell>
          <cell r="N46">
            <v>2.4499999999999997</v>
          </cell>
          <cell r="O46">
            <v>7.1050000000000004</v>
          </cell>
          <cell r="P46" t="str">
            <v>V</v>
          </cell>
          <cell r="Q46" t="str">
            <v>1"</v>
          </cell>
          <cell r="R46">
            <v>18</v>
          </cell>
          <cell r="S46">
            <v>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267.97500000000002</v>
          </cell>
          <cell r="AD46">
            <v>0</v>
          </cell>
        </row>
        <row r="47">
          <cell r="B47" t="str">
            <v>Est</v>
          </cell>
          <cell r="C47">
            <v>1</v>
          </cell>
          <cell r="D47">
            <v>1</v>
          </cell>
          <cell r="E47">
            <v>0.7</v>
          </cell>
          <cell r="F47">
            <v>0.4</v>
          </cell>
          <cell r="G47">
            <v>2.65</v>
          </cell>
          <cell r="Q47" t="str">
            <v>3/8"</v>
          </cell>
          <cell r="R47">
            <v>24</v>
          </cell>
          <cell r="S47">
            <v>2.2000000000000002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29.568000000000005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</row>
        <row r="48">
          <cell r="B48" t="str">
            <v>Est</v>
          </cell>
          <cell r="C48">
            <v>1</v>
          </cell>
          <cell r="D48">
            <v>1</v>
          </cell>
          <cell r="E48">
            <v>0.7</v>
          </cell>
          <cell r="F48">
            <v>0.4</v>
          </cell>
          <cell r="G48">
            <v>2.65</v>
          </cell>
          <cell r="Q48" t="str">
            <v>3/8"</v>
          </cell>
          <cell r="R48">
            <v>24</v>
          </cell>
          <cell r="S48">
            <v>2.2000000000000002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29.568000000000005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</row>
        <row r="49">
          <cell r="B49" t="str">
            <v>Est</v>
          </cell>
          <cell r="C49">
            <v>1</v>
          </cell>
          <cell r="D49">
            <v>1</v>
          </cell>
          <cell r="E49">
            <v>0.3</v>
          </cell>
          <cell r="F49">
            <v>0.4</v>
          </cell>
          <cell r="G49">
            <v>2.65</v>
          </cell>
          <cell r="Q49" t="str">
            <v>3/8"</v>
          </cell>
          <cell r="R49">
            <v>24</v>
          </cell>
          <cell r="S49">
            <v>1.4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18.815999999999999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</row>
        <row r="50">
          <cell r="B50" t="str">
            <v>Est</v>
          </cell>
          <cell r="C50">
            <v>1</v>
          </cell>
          <cell r="D50">
            <v>1</v>
          </cell>
          <cell r="E50">
            <v>0.3</v>
          </cell>
          <cell r="F50">
            <v>0.4</v>
          </cell>
          <cell r="G50">
            <v>2.65</v>
          </cell>
          <cell r="Q50" t="str">
            <v>3/8"</v>
          </cell>
          <cell r="R50">
            <v>24</v>
          </cell>
          <cell r="S50">
            <v>1.4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18.815999999999999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</row>
        <row r="51">
          <cell r="B51" t="str">
            <v>B2-C-02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</row>
        <row r="52">
          <cell r="B52" t="str">
            <v>Nucleo B</v>
          </cell>
          <cell r="C52">
            <v>1</v>
          </cell>
          <cell r="D52">
            <v>1</v>
          </cell>
          <cell r="E52">
            <v>1.25</v>
          </cell>
          <cell r="F52">
            <v>0.45</v>
          </cell>
          <cell r="G52">
            <v>2.65</v>
          </cell>
          <cell r="H52">
            <v>280</v>
          </cell>
          <cell r="I52">
            <v>0</v>
          </cell>
          <cell r="J52">
            <v>1.4906249999999999</v>
          </cell>
          <cell r="K52">
            <v>0</v>
          </cell>
          <cell r="L52">
            <v>1.4906249999999999</v>
          </cell>
          <cell r="M52">
            <v>3.4</v>
          </cell>
          <cell r="N52">
            <v>2.4499999999999997</v>
          </cell>
          <cell r="O52">
            <v>8.3299999999999983</v>
          </cell>
          <cell r="P52" t="str">
            <v>V</v>
          </cell>
          <cell r="Q52" t="str">
            <v>1"</v>
          </cell>
          <cell r="R52">
            <v>24</v>
          </cell>
          <cell r="S52">
            <v>3.2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357.30000000000007</v>
          </cell>
          <cell r="AD52">
            <v>0</v>
          </cell>
        </row>
        <row r="53">
          <cell r="B53" t="str">
            <v>Est</v>
          </cell>
          <cell r="C53">
            <v>1</v>
          </cell>
          <cell r="D53">
            <v>1</v>
          </cell>
          <cell r="E53">
            <v>0.65</v>
          </cell>
          <cell r="F53">
            <v>0.45</v>
          </cell>
          <cell r="G53">
            <v>2.65</v>
          </cell>
          <cell r="Q53" t="str">
            <v>3/8"</v>
          </cell>
          <cell r="R53">
            <v>24</v>
          </cell>
          <cell r="S53">
            <v>2.2000000000000002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29.568000000000005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</row>
        <row r="54">
          <cell r="B54" t="str">
            <v>Est</v>
          </cell>
          <cell r="C54">
            <v>1</v>
          </cell>
          <cell r="D54">
            <v>1</v>
          </cell>
          <cell r="E54">
            <v>0.55000000000000004</v>
          </cell>
          <cell r="F54">
            <v>0.45</v>
          </cell>
          <cell r="G54">
            <v>2.65</v>
          </cell>
          <cell r="Q54" t="str">
            <v>3/8"</v>
          </cell>
          <cell r="R54">
            <v>24</v>
          </cell>
          <cell r="S54">
            <v>2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26.880000000000003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</row>
        <row r="55">
          <cell r="B55" t="str">
            <v>Est</v>
          </cell>
          <cell r="C55">
            <v>1</v>
          </cell>
          <cell r="D55">
            <v>1</v>
          </cell>
          <cell r="E55">
            <v>0.75</v>
          </cell>
          <cell r="F55">
            <v>0.45</v>
          </cell>
          <cell r="G55">
            <v>2.65</v>
          </cell>
          <cell r="Q55" t="str">
            <v>3/8"</v>
          </cell>
          <cell r="R55">
            <v>24</v>
          </cell>
          <cell r="S55">
            <v>2.4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32.256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B56" t="str">
            <v>Est</v>
          </cell>
          <cell r="C56">
            <v>1</v>
          </cell>
          <cell r="D56">
            <v>1</v>
          </cell>
          <cell r="E56">
            <v>0.2</v>
          </cell>
          <cell r="F56">
            <v>0.45</v>
          </cell>
          <cell r="G56">
            <v>2.65</v>
          </cell>
          <cell r="Q56" t="str">
            <v>3/8"</v>
          </cell>
          <cell r="R56">
            <v>24</v>
          </cell>
          <cell r="S56">
            <v>1.3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17.472000000000005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</row>
        <row r="57">
          <cell r="B57" t="str">
            <v>Est</v>
          </cell>
          <cell r="C57">
            <v>1</v>
          </cell>
          <cell r="D57">
            <v>1</v>
          </cell>
          <cell r="E57">
            <v>0.2</v>
          </cell>
          <cell r="F57">
            <v>0.45</v>
          </cell>
          <cell r="G57">
            <v>2.65</v>
          </cell>
          <cell r="Q57" t="str">
            <v>3/8"</v>
          </cell>
          <cell r="R57">
            <v>24</v>
          </cell>
          <cell r="S57">
            <v>1.3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17.472000000000005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</row>
        <row r="58">
          <cell r="B58" t="str">
            <v>B2-C-03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</row>
        <row r="59">
          <cell r="B59" t="str">
            <v>Nucleo B</v>
          </cell>
          <cell r="C59">
            <v>1</v>
          </cell>
          <cell r="D59">
            <v>1</v>
          </cell>
          <cell r="E59">
            <v>2.15</v>
          </cell>
          <cell r="F59">
            <v>0.35</v>
          </cell>
          <cell r="G59">
            <v>2.65</v>
          </cell>
          <cell r="H59">
            <v>280</v>
          </cell>
          <cell r="I59">
            <v>0</v>
          </cell>
          <cell r="J59">
            <v>1.9941249999999997</v>
          </cell>
          <cell r="K59">
            <v>0</v>
          </cell>
          <cell r="L59">
            <v>1.9941249999999997</v>
          </cell>
          <cell r="M59">
            <v>5</v>
          </cell>
          <cell r="N59">
            <v>2.4499999999999997</v>
          </cell>
          <cell r="O59">
            <v>12.249999999999998</v>
          </cell>
          <cell r="P59" t="str">
            <v>V</v>
          </cell>
          <cell r="Q59" t="str">
            <v>1"</v>
          </cell>
          <cell r="R59">
            <v>30</v>
          </cell>
          <cell r="S59">
            <v>3.2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446.625</v>
          </cell>
          <cell r="AD59">
            <v>0</v>
          </cell>
        </row>
        <row r="60">
          <cell r="B60" t="str">
            <v>Est</v>
          </cell>
          <cell r="C60">
            <v>1</v>
          </cell>
          <cell r="D60">
            <v>1</v>
          </cell>
          <cell r="E60">
            <v>1.65</v>
          </cell>
          <cell r="F60">
            <v>0.35</v>
          </cell>
          <cell r="G60">
            <v>2.65</v>
          </cell>
          <cell r="Q60" t="str">
            <v>3/8"</v>
          </cell>
          <cell r="R60">
            <v>24</v>
          </cell>
          <cell r="S60">
            <v>4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53.760000000000005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</row>
        <row r="61">
          <cell r="B61" t="str">
            <v>Est</v>
          </cell>
          <cell r="C61">
            <v>1</v>
          </cell>
          <cell r="D61">
            <v>1</v>
          </cell>
          <cell r="E61">
            <v>1.45</v>
          </cell>
          <cell r="F61">
            <v>0.35</v>
          </cell>
          <cell r="G61">
            <v>2.65</v>
          </cell>
          <cell r="Q61" t="str">
            <v>3/8"</v>
          </cell>
          <cell r="R61">
            <v>24</v>
          </cell>
          <cell r="S61">
            <v>3.5999999999999996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48.384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</row>
        <row r="62">
          <cell r="B62" t="str">
            <v>Est</v>
          </cell>
          <cell r="C62">
            <v>1</v>
          </cell>
          <cell r="D62">
            <v>1</v>
          </cell>
          <cell r="E62">
            <v>0.85</v>
          </cell>
          <cell r="F62">
            <v>0.35</v>
          </cell>
          <cell r="G62">
            <v>2.65</v>
          </cell>
          <cell r="Q62" t="str">
            <v>3/8"</v>
          </cell>
          <cell r="R62">
            <v>24</v>
          </cell>
          <cell r="S62">
            <v>2.4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32.256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</row>
        <row r="63">
          <cell r="B63" t="str">
            <v>Est</v>
          </cell>
          <cell r="C63">
            <v>1</v>
          </cell>
          <cell r="D63">
            <v>1</v>
          </cell>
          <cell r="E63">
            <v>1.35</v>
          </cell>
          <cell r="F63">
            <v>0.35</v>
          </cell>
          <cell r="G63">
            <v>2.65</v>
          </cell>
          <cell r="Q63" t="str">
            <v>3/8"</v>
          </cell>
          <cell r="R63">
            <v>24</v>
          </cell>
          <cell r="S63">
            <v>3.4000000000000004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45.696000000000012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</row>
        <row r="64">
          <cell r="B64" t="str">
            <v>B2-C-04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</row>
        <row r="65">
          <cell r="B65" t="str">
            <v>Nucleo B</v>
          </cell>
          <cell r="C65">
            <v>1</v>
          </cell>
          <cell r="D65">
            <v>2</v>
          </cell>
          <cell r="E65">
            <v>1.25</v>
          </cell>
          <cell r="F65">
            <v>0.25</v>
          </cell>
          <cell r="G65">
            <v>2.65</v>
          </cell>
          <cell r="H65">
            <v>280</v>
          </cell>
          <cell r="I65">
            <v>0</v>
          </cell>
          <cell r="J65">
            <v>1.65625</v>
          </cell>
          <cell r="K65">
            <v>0</v>
          </cell>
          <cell r="L65">
            <v>1.65625</v>
          </cell>
          <cell r="M65">
            <v>3</v>
          </cell>
          <cell r="N65">
            <v>2.4499999999999997</v>
          </cell>
          <cell r="O65">
            <v>14.7</v>
          </cell>
          <cell r="P65" t="str">
            <v>V</v>
          </cell>
          <cell r="Q65" t="str">
            <v>1"</v>
          </cell>
          <cell r="R65">
            <v>22</v>
          </cell>
          <cell r="S65">
            <v>3.2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607.01300000000003</v>
          </cell>
          <cell r="AD65">
            <v>0</v>
          </cell>
        </row>
        <row r="66">
          <cell r="C66">
            <v>1</v>
          </cell>
          <cell r="D66">
            <v>2</v>
          </cell>
          <cell r="E66">
            <v>0.3</v>
          </cell>
          <cell r="F66">
            <v>0.4</v>
          </cell>
          <cell r="G66">
            <v>2.65</v>
          </cell>
          <cell r="H66">
            <v>280</v>
          </cell>
          <cell r="I66">
            <v>0</v>
          </cell>
          <cell r="J66">
            <v>0.63600000000000001</v>
          </cell>
          <cell r="K66">
            <v>0</v>
          </cell>
          <cell r="L66">
            <v>0.63600000000000001</v>
          </cell>
          <cell r="M66">
            <v>1.4</v>
          </cell>
          <cell r="N66">
            <v>2.4499999999999997</v>
          </cell>
          <cell r="O66">
            <v>6.8599999999999985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</row>
        <row r="67">
          <cell r="B67" t="str">
            <v>Est</v>
          </cell>
          <cell r="C67">
            <v>1</v>
          </cell>
          <cell r="D67">
            <v>2</v>
          </cell>
          <cell r="E67">
            <v>1.25</v>
          </cell>
          <cell r="F67">
            <v>0.25</v>
          </cell>
          <cell r="G67">
            <v>2.65</v>
          </cell>
          <cell r="Q67" t="str">
            <v>3/8"</v>
          </cell>
          <cell r="R67">
            <v>24</v>
          </cell>
          <cell r="S67">
            <v>3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80.640000000000015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</row>
        <row r="68">
          <cell r="B68" t="str">
            <v>Est</v>
          </cell>
          <cell r="C68">
            <v>1</v>
          </cell>
          <cell r="D68">
            <v>2</v>
          </cell>
          <cell r="E68">
            <v>0.4</v>
          </cell>
          <cell r="F68">
            <v>0.25</v>
          </cell>
          <cell r="G68">
            <v>2.65</v>
          </cell>
          <cell r="Q68" t="str">
            <v>3/8"</v>
          </cell>
          <cell r="R68">
            <v>24</v>
          </cell>
          <cell r="S68">
            <v>1.3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34.94400000000001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69">
          <cell r="B69" t="str">
            <v>Est</v>
          </cell>
          <cell r="C69">
            <v>1</v>
          </cell>
          <cell r="D69">
            <v>2</v>
          </cell>
          <cell r="E69">
            <v>0.4</v>
          </cell>
          <cell r="F69">
            <v>0.25</v>
          </cell>
          <cell r="G69">
            <v>2.65</v>
          </cell>
          <cell r="Q69" t="str">
            <v>3/8"</v>
          </cell>
          <cell r="R69">
            <v>24</v>
          </cell>
          <cell r="S69">
            <v>1.3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34.94400000000001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</row>
        <row r="70">
          <cell r="B70" t="str">
            <v>Est</v>
          </cell>
          <cell r="C70">
            <v>1</v>
          </cell>
          <cell r="D70">
            <v>2</v>
          </cell>
          <cell r="E70">
            <v>0.55000000000000004</v>
          </cell>
          <cell r="F70">
            <v>0.4</v>
          </cell>
          <cell r="G70">
            <v>2.65</v>
          </cell>
          <cell r="Q70" t="str">
            <v>3/8"</v>
          </cell>
          <cell r="R70">
            <v>24</v>
          </cell>
          <cell r="S70">
            <v>1.9000000000000001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51.07200000000001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</row>
        <row r="71">
          <cell r="B71" t="str">
            <v>Est</v>
          </cell>
          <cell r="C71">
            <v>1</v>
          </cell>
          <cell r="D71">
            <v>2</v>
          </cell>
          <cell r="E71">
            <v>0.55000000000000004</v>
          </cell>
          <cell r="F71">
            <v>0.25</v>
          </cell>
          <cell r="G71">
            <v>2.65</v>
          </cell>
          <cell r="Q71" t="str">
            <v>3/8"</v>
          </cell>
          <cell r="R71">
            <v>24</v>
          </cell>
          <cell r="S71">
            <v>1.6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43.00800000000001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</row>
        <row r="72">
          <cell r="B72" t="str">
            <v>Est</v>
          </cell>
          <cell r="C72">
            <v>1</v>
          </cell>
          <cell r="D72">
            <v>2</v>
          </cell>
          <cell r="E72">
            <v>0.15</v>
          </cell>
          <cell r="F72">
            <v>0.4</v>
          </cell>
          <cell r="G72">
            <v>2.65</v>
          </cell>
          <cell r="Q72" t="str">
            <v>3/8"</v>
          </cell>
          <cell r="R72">
            <v>24</v>
          </cell>
          <cell r="S72">
            <v>0.55000000000000004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14.784000000000002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</row>
        <row r="73">
          <cell r="B73" t="str">
            <v>3° Piso</v>
          </cell>
          <cell r="H73">
            <v>280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</row>
        <row r="74">
          <cell r="B74" t="str">
            <v>B2-C-01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</row>
        <row r="75">
          <cell r="B75" t="str">
            <v>Nucleo B</v>
          </cell>
          <cell r="C75">
            <v>1</v>
          </cell>
          <cell r="D75">
            <v>1</v>
          </cell>
          <cell r="E75">
            <v>1.05</v>
          </cell>
          <cell r="F75">
            <v>0.4</v>
          </cell>
          <cell r="G75">
            <v>2.65</v>
          </cell>
          <cell r="H75">
            <v>280</v>
          </cell>
          <cell r="I75">
            <v>0</v>
          </cell>
          <cell r="J75">
            <v>1.113</v>
          </cell>
          <cell r="K75">
            <v>0</v>
          </cell>
          <cell r="L75">
            <v>1.113</v>
          </cell>
          <cell r="M75">
            <v>2.9000000000000004</v>
          </cell>
          <cell r="N75">
            <v>2.4499999999999997</v>
          </cell>
          <cell r="O75">
            <v>7.1050000000000004</v>
          </cell>
          <cell r="P75" t="str">
            <v>V</v>
          </cell>
          <cell r="Q75" t="str">
            <v>1"</v>
          </cell>
          <cell r="R75">
            <v>18</v>
          </cell>
          <cell r="S75">
            <v>3.2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267.97500000000002</v>
          </cell>
          <cell r="AD75">
            <v>0</v>
          </cell>
          <cell r="AF75">
            <v>3.2</v>
          </cell>
        </row>
        <row r="76">
          <cell r="B76" t="str">
            <v>Est</v>
          </cell>
          <cell r="C76">
            <v>1</v>
          </cell>
          <cell r="D76">
            <v>1</v>
          </cell>
          <cell r="E76">
            <v>0.7</v>
          </cell>
          <cell r="F76">
            <v>0.4</v>
          </cell>
          <cell r="G76">
            <v>2.65</v>
          </cell>
          <cell r="Q76" t="str">
            <v>3/8"</v>
          </cell>
          <cell r="R76">
            <v>24</v>
          </cell>
          <cell r="S76">
            <v>2.2000000000000002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29.568000000000005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</row>
        <row r="77">
          <cell r="B77" t="str">
            <v>Est</v>
          </cell>
          <cell r="C77">
            <v>1</v>
          </cell>
          <cell r="D77">
            <v>1</v>
          </cell>
          <cell r="E77">
            <v>0.7</v>
          </cell>
          <cell r="F77">
            <v>0.4</v>
          </cell>
          <cell r="G77">
            <v>2.65</v>
          </cell>
          <cell r="Q77" t="str">
            <v>3/8"</v>
          </cell>
          <cell r="R77">
            <v>24</v>
          </cell>
          <cell r="S77">
            <v>2.2000000000000002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29.568000000000005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</row>
        <row r="78">
          <cell r="B78" t="str">
            <v>Est</v>
          </cell>
          <cell r="C78">
            <v>1</v>
          </cell>
          <cell r="D78">
            <v>1</v>
          </cell>
          <cell r="E78">
            <v>0.3</v>
          </cell>
          <cell r="F78">
            <v>0.4</v>
          </cell>
          <cell r="G78">
            <v>2.65</v>
          </cell>
          <cell r="Q78" t="str">
            <v>3/8"</v>
          </cell>
          <cell r="R78">
            <v>24</v>
          </cell>
          <cell r="S78">
            <v>1.4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18.815999999999999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</row>
        <row r="79">
          <cell r="B79" t="str">
            <v>Est</v>
          </cell>
          <cell r="C79">
            <v>1</v>
          </cell>
          <cell r="D79">
            <v>1</v>
          </cell>
          <cell r="E79">
            <v>0.3</v>
          </cell>
          <cell r="F79">
            <v>0.4</v>
          </cell>
          <cell r="G79">
            <v>2.65</v>
          </cell>
          <cell r="Q79" t="str">
            <v>3/8"</v>
          </cell>
          <cell r="R79">
            <v>24</v>
          </cell>
          <cell r="S79">
            <v>1.4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18.815999999999999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B80" t="str">
            <v>B2-C-02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</row>
        <row r="81">
          <cell r="B81" t="str">
            <v>Nucleo B</v>
          </cell>
          <cell r="C81">
            <v>1</v>
          </cell>
          <cell r="D81">
            <v>1</v>
          </cell>
          <cell r="E81">
            <v>1.25</v>
          </cell>
          <cell r="F81">
            <v>0.45</v>
          </cell>
          <cell r="G81">
            <v>2.65</v>
          </cell>
          <cell r="H81">
            <v>280</v>
          </cell>
          <cell r="I81">
            <v>0</v>
          </cell>
          <cell r="J81">
            <v>1.4906249999999999</v>
          </cell>
          <cell r="K81">
            <v>0</v>
          </cell>
          <cell r="L81">
            <v>1.4906249999999999</v>
          </cell>
          <cell r="M81">
            <v>3.4</v>
          </cell>
          <cell r="N81">
            <v>2.4499999999999997</v>
          </cell>
          <cell r="O81">
            <v>8.3299999999999983</v>
          </cell>
          <cell r="P81" t="str">
            <v>V</v>
          </cell>
          <cell r="Q81" t="str">
            <v>1"</v>
          </cell>
          <cell r="R81">
            <v>24</v>
          </cell>
          <cell r="S81">
            <v>3.2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357.30000000000007</v>
          </cell>
          <cell r="AD81">
            <v>0</v>
          </cell>
        </row>
        <row r="82">
          <cell r="B82" t="str">
            <v>Est</v>
          </cell>
          <cell r="C82">
            <v>1</v>
          </cell>
          <cell r="D82">
            <v>1</v>
          </cell>
          <cell r="E82">
            <v>0.65</v>
          </cell>
          <cell r="F82">
            <v>0.45</v>
          </cell>
          <cell r="G82">
            <v>2.65</v>
          </cell>
          <cell r="Q82" t="str">
            <v>3/8"</v>
          </cell>
          <cell r="R82">
            <v>24</v>
          </cell>
          <cell r="S82">
            <v>2.2000000000000002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29.568000000000005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</row>
        <row r="83">
          <cell r="B83" t="str">
            <v>Est</v>
          </cell>
          <cell r="C83">
            <v>1</v>
          </cell>
          <cell r="D83">
            <v>1</v>
          </cell>
          <cell r="E83">
            <v>0.55000000000000004</v>
          </cell>
          <cell r="F83">
            <v>0.45</v>
          </cell>
          <cell r="G83">
            <v>2.65</v>
          </cell>
          <cell r="Q83" t="str">
            <v>3/8"</v>
          </cell>
          <cell r="R83">
            <v>24</v>
          </cell>
          <cell r="S83">
            <v>2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26.880000000000003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</row>
        <row r="84">
          <cell r="B84" t="str">
            <v>Est</v>
          </cell>
          <cell r="C84">
            <v>1</v>
          </cell>
          <cell r="D84">
            <v>1</v>
          </cell>
          <cell r="E84">
            <v>0.75</v>
          </cell>
          <cell r="F84">
            <v>0.45</v>
          </cell>
          <cell r="G84">
            <v>2.65</v>
          </cell>
          <cell r="Q84" t="str">
            <v>3/8"</v>
          </cell>
          <cell r="R84">
            <v>24</v>
          </cell>
          <cell r="S84">
            <v>2.4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32.256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</row>
        <row r="85">
          <cell r="B85" t="str">
            <v>Est</v>
          </cell>
          <cell r="C85">
            <v>1</v>
          </cell>
          <cell r="D85">
            <v>1</v>
          </cell>
          <cell r="E85">
            <v>0.2</v>
          </cell>
          <cell r="F85">
            <v>0.45</v>
          </cell>
          <cell r="G85">
            <v>2.65</v>
          </cell>
          <cell r="Q85" t="str">
            <v>3/8"</v>
          </cell>
          <cell r="R85">
            <v>24</v>
          </cell>
          <cell r="S85">
            <v>1.3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17.472000000000005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</row>
        <row r="86">
          <cell r="B86" t="str">
            <v>Est</v>
          </cell>
          <cell r="C86">
            <v>1</v>
          </cell>
          <cell r="D86">
            <v>1</v>
          </cell>
          <cell r="E86">
            <v>0.2</v>
          </cell>
          <cell r="F86">
            <v>0.45</v>
          </cell>
          <cell r="G86">
            <v>2.65</v>
          </cell>
          <cell r="Q86" t="str">
            <v>3/8"</v>
          </cell>
          <cell r="R86">
            <v>24</v>
          </cell>
          <cell r="S86">
            <v>1.3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17.472000000000005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</row>
        <row r="87">
          <cell r="B87" t="str">
            <v>B2-C-03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B88" t="str">
            <v>Nucleo B</v>
          </cell>
          <cell r="C88">
            <v>1</v>
          </cell>
          <cell r="D88">
            <v>1</v>
          </cell>
          <cell r="E88">
            <v>2.15</v>
          </cell>
          <cell r="F88">
            <v>0.35</v>
          </cell>
          <cell r="G88">
            <v>2.65</v>
          </cell>
          <cell r="H88">
            <v>280</v>
          </cell>
          <cell r="I88">
            <v>0</v>
          </cell>
          <cell r="J88">
            <v>1.9941249999999997</v>
          </cell>
          <cell r="K88">
            <v>0</v>
          </cell>
          <cell r="L88">
            <v>1.9941249999999997</v>
          </cell>
          <cell r="M88">
            <v>5</v>
          </cell>
          <cell r="N88">
            <v>2.4499999999999997</v>
          </cell>
          <cell r="O88">
            <v>12.249999999999998</v>
          </cell>
          <cell r="P88" t="str">
            <v>V</v>
          </cell>
          <cell r="Q88" t="str">
            <v>1"</v>
          </cell>
          <cell r="R88">
            <v>30</v>
          </cell>
          <cell r="S88">
            <v>3.2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446.625</v>
          </cell>
          <cell r="AD88">
            <v>0</v>
          </cell>
        </row>
        <row r="89">
          <cell r="B89" t="str">
            <v>Est</v>
          </cell>
          <cell r="C89">
            <v>1</v>
          </cell>
          <cell r="D89">
            <v>1</v>
          </cell>
          <cell r="E89">
            <v>1.65</v>
          </cell>
          <cell r="F89">
            <v>0.35</v>
          </cell>
          <cell r="G89">
            <v>2.65</v>
          </cell>
          <cell r="Q89" t="str">
            <v>3/8"</v>
          </cell>
          <cell r="R89">
            <v>24</v>
          </cell>
          <cell r="S89">
            <v>4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53.760000000000005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90">
          <cell r="B90" t="str">
            <v>Est</v>
          </cell>
          <cell r="C90">
            <v>1</v>
          </cell>
          <cell r="D90">
            <v>1</v>
          </cell>
          <cell r="E90">
            <v>1.45</v>
          </cell>
          <cell r="F90">
            <v>0.35</v>
          </cell>
          <cell r="G90">
            <v>2.65</v>
          </cell>
          <cell r="Q90" t="str">
            <v>3/8"</v>
          </cell>
          <cell r="R90">
            <v>24</v>
          </cell>
          <cell r="S90">
            <v>3.5999999999999996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48.384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</row>
        <row r="91">
          <cell r="B91" t="str">
            <v>Est</v>
          </cell>
          <cell r="C91">
            <v>1</v>
          </cell>
          <cell r="D91">
            <v>1</v>
          </cell>
          <cell r="E91">
            <v>0.85</v>
          </cell>
          <cell r="F91">
            <v>0.35</v>
          </cell>
          <cell r="G91">
            <v>2.65</v>
          </cell>
          <cell r="Q91" t="str">
            <v>3/8"</v>
          </cell>
          <cell r="R91">
            <v>24</v>
          </cell>
          <cell r="S91">
            <v>2.4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32.256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</row>
        <row r="92">
          <cell r="B92" t="str">
            <v>Est</v>
          </cell>
          <cell r="C92">
            <v>1</v>
          </cell>
          <cell r="D92">
            <v>1</v>
          </cell>
          <cell r="E92">
            <v>1.35</v>
          </cell>
          <cell r="F92">
            <v>0.35</v>
          </cell>
          <cell r="G92">
            <v>2.65</v>
          </cell>
          <cell r="Q92" t="str">
            <v>3/8"</v>
          </cell>
          <cell r="R92">
            <v>24</v>
          </cell>
          <cell r="S92">
            <v>3.4000000000000004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45.696000000000012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</row>
        <row r="93">
          <cell r="B93" t="str">
            <v>B2-C-04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</row>
        <row r="94">
          <cell r="B94" t="str">
            <v>Nucleo B</v>
          </cell>
          <cell r="C94">
            <v>1</v>
          </cell>
          <cell r="D94">
            <v>2</v>
          </cell>
          <cell r="E94">
            <v>1.25</v>
          </cell>
          <cell r="F94">
            <v>0.25</v>
          </cell>
          <cell r="G94">
            <v>2.65</v>
          </cell>
          <cell r="H94">
            <v>280</v>
          </cell>
          <cell r="I94">
            <v>0</v>
          </cell>
          <cell r="J94">
            <v>1.65625</v>
          </cell>
          <cell r="K94">
            <v>0</v>
          </cell>
          <cell r="L94">
            <v>1.65625</v>
          </cell>
          <cell r="M94">
            <v>3</v>
          </cell>
          <cell r="N94">
            <v>2.4499999999999997</v>
          </cell>
          <cell r="O94">
            <v>14.7</v>
          </cell>
          <cell r="P94" t="str">
            <v>V</v>
          </cell>
          <cell r="Q94" t="str">
            <v>1"</v>
          </cell>
          <cell r="R94">
            <v>22</v>
          </cell>
          <cell r="S94">
            <v>3.2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607.01300000000003</v>
          </cell>
          <cell r="AD94">
            <v>0</v>
          </cell>
        </row>
        <row r="95">
          <cell r="C95">
            <v>1</v>
          </cell>
          <cell r="D95">
            <v>2</v>
          </cell>
          <cell r="E95">
            <v>0.3</v>
          </cell>
          <cell r="F95">
            <v>0.4</v>
          </cell>
          <cell r="G95">
            <v>2.65</v>
          </cell>
          <cell r="H95">
            <v>280</v>
          </cell>
          <cell r="I95">
            <v>0</v>
          </cell>
          <cell r="J95">
            <v>0.63600000000000001</v>
          </cell>
          <cell r="K95">
            <v>0</v>
          </cell>
          <cell r="L95">
            <v>0.63600000000000001</v>
          </cell>
          <cell r="M95">
            <v>1.4</v>
          </cell>
          <cell r="N95">
            <v>2.4499999999999997</v>
          </cell>
          <cell r="O95">
            <v>6.8599999999999985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</row>
        <row r="96">
          <cell r="B96" t="str">
            <v>Est</v>
          </cell>
          <cell r="C96">
            <v>1</v>
          </cell>
          <cell r="D96">
            <v>2</v>
          </cell>
          <cell r="E96">
            <v>1.25</v>
          </cell>
          <cell r="F96">
            <v>0.25</v>
          </cell>
          <cell r="G96">
            <v>2.65</v>
          </cell>
          <cell r="Q96" t="str">
            <v>3/8"</v>
          </cell>
          <cell r="R96">
            <v>24</v>
          </cell>
          <cell r="S96">
            <v>3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80.640000000000015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</row>
        <row r="97">
          <cell r="B97" t="str">
            <v>Est</v>
          </cell>
          <cell r="C97">
            <v>1</v>
          </cell>
          <cell r="D97">
            <v>2</v>
          </cell>
          <cell r="E97">
            <v>0.4</v>
          </cell>
          <cell r="F97">
            <v>0.25</v>
          </cell>
          <cell r="G97">
            <v>2.65</v>
          </cell>
          <cell r="Q97" t="str">
            <v>3/8"</v>
          </cell>
          <cell r="R97">
            <v>24</v>
          </cell>
          <cell r="S97">
            <v>1.3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34.94400000000001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</row>
        <row r="98">
          <cell r="B98" t="str">
            <v>Est</v>
          </cell>
          <cell r="C98">
            <v>1</v>
          </cell>
          <cell r="D98">
            <v>2</v>
          </cell>
          <cell r="E98">
            <v>0.4</v>
          </cell>
          <cell r="F98">
            <v>0.25</v>
          </cell>
          <cell r="G98">
            <v>2.65</v>
          </cell>
          <cell r="Q98" t="str">
            <v>3/8"</v>
          </cell>
          <cell r="R98">
            <v>24</v>
          </cell>
          <cell r="S98">
            <v>1.3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34.94400000000001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</row>
        <row r="99">
          <cell r="B99" t="str">
            <v>Est</v>
          </cell>
          <cell r="C99">
            <v>1</v>
          </cell>
          <cell r="D99">
            <v>2</v>
          </cell>
          <cell r="E99">
            <v>0.55000000000000004</v>
          </cell>
          <cell r="F99">
            <v>0.4</v>
          </cell>
          <cell r="G99">
            <v>2.65</v>
          </cell>
          <cell r="Q99" t="str">
            <v>3/8"</v>
          </cell>
          <cell r="R99">
            <v>24</v>
          </cell>
          <cell r="S99">
            <v>1.9000000000000001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51.07200000000001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</row>
        <row r="100">
          <cell r="B100" t="str">
            <v>Est</v>
          </cell>
          <cell r="C100">
            <v>1</v>
          </cell>
          <cell r="D100">
            <v>2</v>
          </cell>
          <cell r="E100">
            <v>0.55000000000000004</v>
          </cell>
          <cell r="F100">
            <v>0.25</v>
          </cell>
          <cell r="G100">
            <v>2.65</v>
          </cell>
          <cell r="Q100" t="str">
            <v>3/8"</v>
          </cell>
          <cell r="R100">
            <v>24</v>
          </cell>
          <cell r="S100">
            <v>1.6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43.00800000000001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</row>
        <row r="101">
          <cell r="B101" t="str">
            <v>Est</v>
          </cell>
          <cell r="C101">
            <v>1</v>
          </cell>
          <cell r="D101">
            <v>2</v>
          </cell>
          <cell r="E101">
            <v>0.15</v>
          </cell>
          <cell r="F101">
            <v>0.4</v>
          </cell>
          <cell r="G101">
            <v>2.65</v>
          </cell>
          <cell r="Q101" t="str">
            <v>3/8"</v>
          </cell>
          <cell r="R101">
            <v>24</v>
          </cell>
          <cell r="S101">
            <v>0.55000000000000004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14.784000000000002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</row>
        <row r="102">
          <cell r="B102" t="str">
            <v>4° Piso</v>
          </cell>
          <cell r="H102">
            <v>280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B103" t="str">
            <v>B2-C-01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B104" t="str">
            <v>Nucleo B</v>
          </cell>
          <cell r="C104">
            <v>1</v>
          </cell>
          <cell r="D104">
            <v>1</v>
          </cell>
          <cell r="E104">
            <v>1.05</v>
          </cell>
          <cell r="F104">
            <v>0.4</v>
          </cell>
          <cell r="G104">
            <v>2.65</v>
          </cell>
          <cell r="H104">
            <v>280</v>
          </cell>
          <cell r="I104">
            <v>0</v>
          </cell>
          <cell r="J104">
            <v>1.113</v>
          </cell>
          <cell r="K104">
            <v>0</v>
          </cell>
          <cell r="L104">
            <v>1.113</v>
          </cell>
          <cell r="M104">
            <v>2.9000000000000004</v>
          </cell>
          <cell r="N104">
            <v>2.4499999999999997</v>
          </cell>
          <cell r="O104">
            <v>7.1050000000000004</v>
          </cell>
          <cell r="P104" t="str">
            <v>V</v>
          </cell>
          <cell r="Q104" t="str">
            <v>1"</v>
          </cell>
          <cell r="R104">
            <v>8</v>
          </cell>
          <cell r="S104">
            <v>3.2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119.10000000000001</v>
          </cell>
          <cell r="AD104">
            <v>0</v>
          </cell>
        </row>
        <row r="105">
          <cell r="C105">
            <v>1</v>
          </cell>
          <cell r="D105">
            <v>1</v>
          </cell>
          <cell r="G105">
            <v>2.65</v>
          </cell>
          <cell r="P105" t="str">
            <v>V</v>
          </cell>
          <cell r="Q105" t="str">
            <v>3/4"</v>
          </cell>
          <cell r="R105">
            <v>10</v>
          </cell>
          <cell r="S105">
            <v>3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75.040000000000006</v>
          </cell>
          <cell r="AC105">
            <v>0</v>
          </cell>
          <cell r="AD105">
            <v>0</v>
          </cell>
        </row>
        <row r="106">
          <cell r="B106" t="str">
            <v>Est</v>
          </cell>
          <cell r="C106">
            <v>1</v>
          </cell>
          <cell r="D106">
            <v>1</v>
          </cell>
          <cell r="E106">
            <v>0.7</v>
          </cell>
          <cell r="F106">
            <v>0.4</v>
          </cell>
          <cell r="G106">
            <v>2.65</v>
          </cell>
          <cell r="Q106" t="str">
            <v>3/8"</v>
          </cell>
          <cell r="R106">
            <v>24</v>
          </cell>
          <cell r="S106">
            <v>2.2000000000000002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29.568000000000005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7">
          <cell r="B107" t="str">
            <v>Est</v>
          </cell>
          <cell r="C107">
            <v>1</v>
          </cell>
          <cell r="D107">
            <v>1</v>
          </cell>
          <cell r="E107">
            <v>0.7</v>
          </cell>
          <cell r="F107">
            <v>0.4</v>
          </cell>
          <cell r="G107">
            <v>2.65</v>
          </cell>
          <cell r="Q107" t="str">
            <v>3/8"</v>
          </cell>
          <cell r="R107">
            <v>24</v>
          </cell>
          <cell r="S107">
            <v>2.2000000000000002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29.568000000000005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</row>
        <row r="108">
          <cell r="B108" t="str">
            <v>Est</v>
          </cell>
          <cell r="C108">
            <v>1</v>
          </cell>
          <cell r="D108">
            <v>1</v>
          </cell>
          <cell r="E108">
            <v>0.3</v>
          </cell>
          <cell r="F108">
            <v>0.4</v>
          </cell>
          <cell r="G108">
            <v>2.65</v>
          </cell>
          <cell r="Q108" t="str">
            <v>3/8"</v>
          </cell>
          <cell r="R108">
            <v>24</v>
          </cell>
          <cell r="S108">
            <v>1.4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18.815999999999999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B109" t="str">
            <v>Est</v>
          </cell>
          <cell r="C109">
            <v>1</v>
          </cell>
          <cell r="D109">
            <v>1</v>
          </cell>
          <cell r="E109">
            <v>0.3</v>
          </cell>
          <cell r="F109">
            <v>0.4</v>
          </cell>
          <cell r="G109">
            <v>2.65</v>
          </cell>
          <cell r="Q109" t="str">
            <v>3/8"</v>
          </cell>
          <cell r="R109">
            <v>24</v>
          </cell>
          <cell r="S109">
            <v>1.4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18.815999999999999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10">
          <cell r="B110" t="str">
            <v>Est</v>
          </cell>
          <cell r="C110">
            <v>1</v>
          </cell>
          <cell r="D110">
            <v>1</v>
          </cell>
          <cell r="E110">
            <v>0.15</v>
          </cell>
          <cell r="F110">
            <v>0.4</v>
          </cell>
          <cell r="G110">
            <v>2.65</v>
          </cell>
          <cell r="Q110" t="str">
            <v>3/8"</v>
          </cell>
          <cell r="R110">
            <v>24</v>
          </cell>
          <cell r="S110">
            <v>0.55000000000000004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7.3920000000000012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1">
          <cell r="B111" t="str">
            <v>B2-C-02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</row>
        <row r="112">
          <cell r="B112" t="str">
            <v>Nucleo B</v>
          </cell>
          <cell r="C112">
            <v>1</v>
          </cell>
          <cell r="D112">
            <v>1</v>
          </cell>
          <cell r="E112">
            <v>1.25</v>
          </cell>
          <cell r="F112">
            <v>0.45</v>
          </cell>
          <cell r="G112">
            <v>2.65</v>
          </cell>
          <cell r="H112">
            <v>280</v>
          </cell>
          <cell r="I112">
            <v>0</v>
          </cell>
          <cell r="J112">
            <v>1.4906249999999999</v>
          </cell>
          <cell r="K112">
            <v>0</v>
          </cell>
          <cell r="L112">
            <v>1.4906249999999999</v>
          </cell>
          <cell r="M112">
            <v>3.4</v>
          </cell>
          <cell r="N112">
            <v>2.4499999999999997</v>
          </cell>
          <cell r="O112">
            <v>8.3299999999999983</v>
          </cell>
          <cell r="P112" t="str">
            <v>V</v>
          </cell>
          <cell r="Q112" t="str">
            <v>1"</v>
          </cell>
          <cell r="R112">
            <v>12</v>
          </cell>
          <cell r="S112">
            <v>3.2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178.65000000000003</v>
          </cell>
          <cell r="AD112">
            <v>0</v>
          </cell>
        </row>
        <row r="113">
          <cell r="C113">
            <v>1</v>
          </cell>
          <cell r="D113">
            <v>1</v>
          </cell>
          <cell r="G113">
            <v>2.65</v>
          </cell>
          <cell r="P113" t="str">
            <v>V</v>
          </cell>
          <cell r="Q113" t="str">
            <v>3/4"</v>
          </cell>
          <cell r="R113">
            <v>8</v>
          </cell>
          <cell r="S113">
            <v>3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60.032000000000011</v>
          </cell>
          <cell r="AC113">
            <v>0</v>
          </cell>
          <cell r="AD113">
            <v>0</v>
          </cell>
        </row>
        <row r="114">
          <cell r="B114" t="str">
            <v>Est</v>
          </cell>
          <cell r="C114">
            <v>1</v>
          </cell>
          <cell r="D114">
            <v>1</v>
          </cell>
          <cell r="E114">
            <v>0.65</v>
          </cell>
          <cell r="F114">
            <v>0.45</v>
          </cell>
          <cell r="G114">
            <v>2.65</v>
          </cell>
          <cell r="Q114" t="str">
            <v>3/8"</v>
          </cell>
          <cell r="R114">
            <v>24</v>
          </cell>
          <cell r="S114">
            <v>2.2000000000000002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29.568000000000005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</row>
        <row r="115">
          <cell r="B115" t="str">
            <v>Est</v>
          </cell>
          <cell r="C115">
            <v>1</v>
          </cell>
          <cell r="D115">
            <v>1</v>
          </cell>
          <cell r="E115">
            <v>0.55000000000000004</v>
          </cell>
          <cell r="F115">
            <v>0.45</v>
          </cell>
          <cell r="G115">
            <v>2.65</v>
          </cell>
          <cell r="Q115" t="str">
            <v>3/8"</v>
          </cell>
          <cell r="R115">
            <v>24</v>
          </cell>
          <cell r="S115">
            <v>2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26.880000000000003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</row>
        <row r="116">
          <cell r="B116" t="str">
            <v>Est</v>
          </cell>
          <cell r="C116">
            <v>1</v>
          </cell>
          <cell r="D116">
            <v>1</v>
          </cell>
          <cell r="E116">
            <v>0.75</v>
          </cell>
          <cell r="F116">
            <v>0.45</v>
          </cell>
          <cell r="G116">
            <v>2.65</v>
          </cell>
          <cell r="Q116" t="str">
            <v>3/8"</v>
          </cell>
          <cell r="R116">
            <v>24</v>
          </cell>
          <cell r="S116">
            <v>2.4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32.256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</row>
        <row r="117">
          <cell r="B117" t="str">
            <v>Est</v>
          </cell>
          <cell r="C117">
            <v>1</v>
          </cell>
          <cell r="D117">
            <v>1</v>
          </cell>
          <cell r="E117">
            <v>0.2</v>
          </cell>
          <cell r="F117">
            <v>0.45</v>
          </cell>
          <cell r="G117">
            <v>2.65</v>
          </cell>
          <cell r="Q117" t="str">
            <v>3/8"</v>
          </cell>
          <cell r="R117">
            <v>24</v>
          </cell>
          <cell r="S117">
            <v>1.3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17.472000000000005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18">
          <cell r="B118" t="str">
            <v>Est</v>
          </cell>
          <cell r="C118">
            <v>1</v>
          </cell>
          <cell r="D118">
            <v>1</v>
          </cell>
          <cell r="E118">
            <v>0.2</v>
          </cell>
          <cell r="F118">
            <v>0.45</v>
          </cell>
          <cell r="G118">
            <v>2.65</v>
          </cell>
          <cell r="Q118" t="str">
            <v>3/8"</v>
          </cell>
          <cell r="R118">
            <v>24</v>
          </cell>
          <cell r="S118">
            <v>1.3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17.472000000000005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</row>
        <row r="119">
          <cell r="B119" t="str">
            <v>B2-C-03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</row>
        <row r="120">
          <cell r="B120" t="str">
            <v>Nucleo B</v>
          </cell>
          <cell r="C120">
            <v>1</v>
          </cell>
          <cell r="D120">
            <v>1</v>
          </cell>
          <cell r="E120">
            <v>2.15</v>
          </cell>
          <cell r="F120">
            <v>0.35</v>
          </cell>
          <cell r="G120">
            <v>2.65</v>
          </cell>
          <cell r="H120">
            <v>280</v>
          </cell>
          <cell r="I120">
            <v>0</v>
          </cell>
          <cell r="J120">
            <v>1.9941249999999997</v>
          </cell>
          <cell r="K120">
            <v>0</v>
          </cell>
          <cell r="L120">
            <v>1.9941249999999997</v>
          </cell>
          <cell r="M120">
            <v>5</v>
          </cell>
          <cell r="N120">
            <v>2.4499999999999997</v>
          </cell>
          <cell r="O120">
            <v>12.249999999999998</v>
          </cell>
          <cell r="P120" t="str">
            <v>V</v>
          </cell>
          <cell r="Q120" t="str">
            <v>1"</v>
          </cell>
          <cell r="R120">
            <v>14</v>
          </cell>
          <cell r="S120">
            <v>3.2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208.42500000000004</v>
          </cell>
          <cell r="AD120">
            <v>0</v>
          </cell>
        </row>
        <row r="121">
          <cell r="C121">
            <v>1</v>
          </cell>
          <cell r="D121">
            <v>1</v>
          </cell>
          <cell r="G121">
            <v>2.65</v>
          </cell>
          <cell r="P121" t="str">
            <v>V</v>
          </cell>
          <cell r="Q121" t="str">
            <v>3/4"</v>
          </cell>
          <cell r="R121">
            <v>16</v>
          </cell>
          <cell r="S121">
            <v>3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120.06400000000002</v>
          </cell>
          <cell r="AC121">
            <v>0</v>
          </cell>
          <cell r="AD121">
            <v>0</v>
          </cell>
        </row>
        <row r="122">
          <cell r="B122" t="str">
            <v>Est</v>
          </cell>
          <cell r="C122">
            <v>1</v>
          </cell>
          <cell r="D122">
            <v>1</v>
          </cell>
          <cell r="E122">
            <v>1.65</v>
          </cell>
          <cell r="F122">
            <v>0.35</v>
          </cell>
          <cell r="G122">
            <v>2.65</v>
          </cell>
          <cell r="Q122" t="str">
            <v>3/8"</v>
          </cell>
          <cell r="R122">
            <v>24</v>
          </cell>
          <cell r="S122">
            <v>4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53.760000000000005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</row>
        <row r="123">
          <cell r="B123" t="str">
            <v>Est</v>
          </cell>
          <cell r="C123">
            <v>1</v>
          </cell>
          <cell r="D123">
            <v>1</v>
          </cell>
          <cell r="E123">
            <v>1.5</v>
          </cell>
          <cell r="F123">
            <v>0.35</v>
          </cell>
          <cell r="G123">
            <v>2.65</v>
          </cell>
          <cell r="Q123" t="str">
            <v>3/8"</v>
          </cell>
          <cell r="R123">
            <v>24</v>
          </cell>
          <cell r="S123">
            <v>3.7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49.728000000000009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</row>
        <row r="124">
          <cell r="B124" t="str">
            <v>Est</v>
          </cell>
          <cell r="C124">
            <v>1</v>
          </cell>
          <cell r="D124">
            <v>1</v>
          </cell>
          <cell r="E124">
            <v>0.85</v>
          </cell>
          <cell r="F124">
            <v>0.35</v>
          </cell>
          <cell r="G124">
            <v>2.65</v>
          </cell>
          <cell r="Q124" t="str">
            <v>3/8"</v>
          </cell>
          <cell r="R124">
            <v>24</v>
          </cell>
          <cell r="S124">
            <v>2.4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32.256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</row>
        <row r="125">
          <cell r="B125" t="str">
            <v>Est</v>
          </cell>
          <cell r="C125">
            <v>1</v>
          </cell>
          <cell r="D125">
            <v>1</v>
          </cell>
          <cell r="E125">
            <v>1.1499999999999999</v>
          </cell>
          <cell r="F125">
            <v>0.35</v>
          </cell>
          <cell r="G125">
            <v>2.65</v>
          </cell>
          <cell r="Q125" t="str">
            <v>3/8"</v>
          </cell>
          <cell r="R125">
            <v>24</v>
          </cell>
          <cell r="S125">
            <v>3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40.320000000000007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</row>
        <row r="126">
          <cell r="B126" t="str">
            <v>B2-C-04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B127" t="str">
            <v>Nucleo B</v>
          </cell>
          <cell r="C127">
            <v>1</v>
          </cell>
          <cell r="D127">
            <v>2</v>
          </cell>
          <cell r="E127">
            <v>1.25</v>
          </cell>
          <cell r="F127">
            <v>0.25</v>
          </cell>
          <cell r="G127">
            <v>2.65</v>
          </cell>
          <cell r="H127">
            <v>280</v>
          </cell>
          <cell r="I127">
            <v>0</v>
          </cell>
          <cell r="J127">
            <v>1.65625</v>
          </cell>
          <cell r="K127">
            <v>0</v>
          </cell>
          <cell r="L127">
            <v>1.65625</v>
          </cell>
          <cell r="M127">
            <v>3</v>
          </cell>
          <cell r="N127">
            <v>2.4499999999999997</v>
          </cell>
          <cell r="O127">
            <v>14.7</v>
          </cell>
          <cell r="P127" t="str">
            <v>V</v>
          </cell>
          <cell r="Q127" t="str">
            <v>1"</v>
          </cell>
          <cell r="R127">
            <v>12</v>
          </cell>
          <cell r="S127">
            <v>3.2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331.09800000000001</v>
          </cell>
          <cell r="AD127">
            <v>0</v>
          </cell>
        </row>
        <row r="128">
          <cell r="C128">
            <v>1</v>
          </cell>
          <cell r="D128">
            <v>2</v>
          </cell>
          <cell r="E128">
            <v>0.3</v>
          </cell>
          <cell r="F128">
            <v>0.4</v>
          </cell>
          <cell r="G128">
            <v>2.65</v>
          </cell>
          <cell r="H128">
            <v>280</v>
          </cell>
          <cell r="I128">
            <v>0</v>
          </cell>
          <cell r="J128">
            <v>0.63600000000000001</v>
          </cell>
          <cell r="K128">
            <v>0</v>
          </cell>
          <cell r="L128">
            <v>0.63600000000000001</v>
          </cell>
          <cell r="M128">
            <v>1.4</v>
          </cell>
          <cell r="N128">
            <v>2.4499999999999997</v>
          </cell>
          <cell r="O128">
            <v>6.8599999999999985</v>
          </cell>
          <cell r="P128" t="str">
            <v>V</v>
          </cell>
          <cell r="Q128" t="str">
            <v>3/4"</v>
          </cell>
          <cell r="R128">
            <v>10</v>
          </cell>
          <cell r="S128">
            <v>3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142.24</v>
          </cell>
          <cell r="AC128">
            <v>0</v>
          </cell>
          <cell r="AD128">
            <v>0</v>
          </cell>
        </row>
        <row r="129">
          <cell r="B129" t="str">
            <v>Est</v>
          </cell>
          <cell r="C129">
            <v>1</v>
          </cell>
          <cell r="D129">
            <v>2</v>
          </cell>
          <cell r="E129">
            <v>1.25</v>
          </cell>
          <cell r="F129">
            <v>0.25</v>
          </cell>
          <cell r="G129">
            <v>2.65</v>
          </cell>
          <cell r="Q129" t="str">
            <v>3/8"</v>
          </cell>
          <cell r="R129">
            <v>24</v>
          </cell>
          <cell r="S129">
            <v>3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80.640000000000015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</row>
        <row r="130">
          <cell r="B130" t="str">
            <v>Est</v>
          </cell>
          <cell r="C130">
            <v>1</v>
          </cell>
          <cell r="D130">
            <v>2</v>
          </cell>
          <cell r="E130">
            <v>0.4</v>
          </cell>
          <cell r="F130">
            <v>0.25</v>
          </cell>
          <cell r="G130">
            <v>2.65</v>
          </cell>
          <cell r="Q130" t="str">
            <v>3/8"</v>
          </cell>
          <cell r="R130">
            <v>24</v>
          </cell>
          <cell r="S130">
            <v>1.3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34.94400000000001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1">
          <cell r="B131" t="str">
            <v>Est</v>
          </cell>
          <cell r="C131">
            <v>1</v>
          </cell>
          <cell r="D131">
            <v>2</v>
          </cell>
          <cell r="E131">
            <v>0.4</v>
          </cell>
          <cell r="F131">
            <v>0.25</v>
          </cell>
          <cell r="G131">
            <v>2.65</v>
          </cell>
          <cell r="Q131" t="str">
            <v>3/8"</v>
          </cell>
          <cell r="R131">
            <v>24</v>
          </cell>
          <cell r="S131">
            <v>1.3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34.94400000000001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</row>
        <row r="132">
          <cell r="B132" t="str">
            <v>Est</v>
          </cell>
          <cell r="C132">
            <v>1</v>
          </cell>
          <cell r="D132">
            <v>2</v>
          </cell>
          <cell r="E132">
            <v>0.55000000000000004</v>
          </cell>
          <cell r="F132">
            <v>0.4</v>
          </cell>
          <cell r="G132">
            <v>2.65</v>
          </cell>
          <cell r="Q132" t="str">
            <v>3/8"</v>
          </cell>
          <cell r="R132">
            <v>24</v>
          </cell>
          <cell r="S132">
            <v>1.9000000000000001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51.07200000000001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</row>
        <row r="133">
          <cell r="B133" t="str">
            <v>Est</v>
          </cell>
          <cell r="C133">
            <v>1</v>
          </cell>
          <cell r="D133">
            <v>2</v>
          </cell>
          <cell r="E133">
            <v>0.55000000000000004</v>
          </cell>
          <cell r="F133">
            <v>0.25</v>
          </cell>
          <cell r="G133">
            <v>2.65</v>
          </cell>
          <cell r="Q133" t="str">
            <v>3/8"</v>
          </cell>
          <cell r="R133">
            <v>24</v>
          </cell>
          <cell r="S133">
            <v>1.6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43.00800000000001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</row>
        <row r="134">
          <cell r="B134" t="str">
            <v>Est</v>
          </cell>
          <cell r="C134">
            <v>1</v>
          </cell>
          <cell r="D134">
            <v>2</v>
          </cell>
          <cell r="E134">
            <v>0.15</v>
          </cell>
          <cell r="F134">
            <v>0.4</v>
          </cell>
          <cell r="G134">
            <v>2.65</v>
          </cell>
          <cell r="Q134" t="str">
            <v>3/8"</v>
          </cell>
          <cell r="R134">
            <v>24</v>
          </cell>
          <cell r="S134">
            <v>0.55000000000000004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14.784000000000002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</row>
        <row r="135">
          <cell r="B135" t="str">
            <v>5° Piso</v>
          </cell>
          <cell r="H135">
            <v>280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</row>
        <row r="136">
          <cell r="B136" t="str">
            <v>B2-C-01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37">
          <cell r="B137" t="str">
            <v>Nucleo B</v>
          </cell>
          <cell r="C137">
            <v>1</v>
          </cell>
          <cell r="D137">
            <v>1</v>
          </cell>
          <cell r="E137">
            <v>1.05</v>
          </cell>
          <cell r="F137">
            <v>0.4</v>
          </cell>
          <cell r="G137">
            <v>2.65</v>
          </cell>
          <cell r="H137">
            <v>280</v>
          </cell>
          <cell r="I137">
            <v>0</v>
          </cell>
          <cell r="J137">
            <v>1.113</v>
          </cell>
          <cell r="K137">
            <v>0</v>
          </cell>
          <cell r="L137">
            <v>1.113</v>
          </cell>
          <cell r="M137">
            <v>2.9000000000000004</v>
          </cell>
          <cell r="N137">
            <v>2.4499999999999997</v>
          </cell>
          <cell r="O137">
            <v>7.1050000000000004</v>
          </cell>
          <cell r="P137" t="str">
            <v>V</v>
          </cell>
          <cell r="Q137" t="str">
            <v>1"</v>
          </cell>
          <cell r="R137">
            <v>8</v>
          </cell>
          <cell r="S137">
            <v>3.2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119.10000000000001</v>
          </cell>
          <cell r="AD137">
            <v>0</v>
          </cell>
        </row>
        <row r="138">
          <cell r="C138">
            <v>1</v>
          </cell>
          <cell r="D138">
            <v>1</v>
          </cell>
          <cell r="G138">
            <v>2.65</v>
          </cell>
          <cell r="P138" t="str">
            <v>V</v>
          </cell>
          <cell r="Q138" t="str">
            <v>3/4"</v>
          </cell>
          <cell r="R138">
            <v>10</v>
          </cell>
          <cell r="S138">
            <v>3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75.040000000000006</v>
          </cell>
          <cell r="AC138">
            <v>0</v>
          </cell>
          <cell r="AD138">
            <v>0</v>
          </cell>
        </row>
        <row r="139">
          <cell r="B139" t="str">
            <v>Est</v>
          </cell>
          <cell r="C139">
            <v>1</v>
          </cell>
          <cell r="D139">
            <v>1</v>
          </cell>
          <cell r="E139">
            <v>0.7</v>
          </cell>
          <cell r="F139">
            <v>0.4</v>
          </cell>
          <cell r="G139">
            <v>2.65</v>
          </cell>
          <cell r="Q139" t="str">
            <v>3/8"</v>
          </cell>
          <cell r="R139">
            <v>24</v>
          </cell>
          <cell r="S139">
            <v>2.2000000000000002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29.568000000000005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</row>
        <row r="140">
          <cell r="B140" t="str">
            <v>Est</v>
          </cell>
          <cell r="C140">
            <v>1</v>
          </cell>
          <cell r="D140">
            <v>1</v>
          </cell>
          <cell r="E140">
            <v>0.7</v>
          </cell>
          <cell r="F140">
            <v>0.4</v>
          </cell>
          <cell r="G140">
            <v>2.65</v>
          </cell>
          <cell r="Q140" t="str">
            <v>3/8"</v>
          </cell>
          <cell r="R140">
            <v>24</v>
          </cell>
          <cell r="S140">
            <v>2.2000000000000002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29.568000000000005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</row>
        <row r="141">
          <cell r="B141" t="str">
            <v>Est</v>
          </cell>
          <cell r="C141">
            <v>1</v>
          </cell>
          <cell r="D141">
            <v>1</v>
          </cell>
          <cell r="E141">
            <v>0.3</v>
          </cell>
          <cell r="F141">
            <v>0.4</v>
          </cell>
          <cell r="G141">
            <v>2.65</v>
          </cell>
          <cell r="Q141" t="str">
            <v>3/8"</v>
          </cell>
          <cell r="R141">
            <v>24</v>
          </cell>
          <cell r="S141">
            <v>1.4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18.815999999999999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</row>
        <row r="142">
          <cell r="B142" t="str">
            <v>Est</v>
          </cell>
          <cell r="C142">
            <v>1</v>
          </cell>
          <cell r="D142">
            <v>1</v>
          </cell>
          <cell r="E142">
            <v>0.3</v>
          </cell>
          <cell r="F142">
            <v>0.4</v>
          </cell>
          <cell r="G142">
            <v>2.65</v>
          </cell>
          <cell r="Q142" t="str">
            <v>3/8"</v>
          </cell>
          <cell r="R142">
            <v>24</v>
          </cell>
          <cell r="S142">
            <v>1.4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18.815999999999999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</row>
        <row r="143">
          <cell r="B143" t="str">
            <v>Est</v>
          </cell>
          <cell r="C143">
            <v>1</v>
          </cell>
          <cell r="D143">
            <v>1</v>
          </cell>
          <cell r="E143">
            <v>0.15</v>
          </cell>
          <cell r="F143">
            <v>0.4</v>
          </cell>
          <cell r="G143">
            <v>2.65</v>
          </cell>
          <cell r="Q143" t="str">
            <v>3/8"</v>
          </cell>
          <cell r="R143">
            <v>24</v>
          </cell>
          <cell r="S143">
            <v>0.55000000000000004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7.3920000000000012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</row>
        <row r="144">
          <cell r="B144" t="str">
            <v>B2-C-02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</row>
        <row r="145">
          <cell r="B145" t="str">
            <v>Nucleo B</v>
          </cell>
          <cell r="C145">
            <v>1</v>
          </cell>
          <cell r="D145">
            <v>1</v>
          </cell>
          <cell r="E145">
            <v>1.25</v>
          </cell>
          <cell r="F145">
            <v>0.45</v>
          </cell>
          <cell r="G145">
            <v>2.65</v>
          </cell>
          <cell r="H145">
            <v>280</v>
          </cell>
          <cell r="I145">
            <v>0</v>
          </cell>
          <cell r="J145">
            <v>1.4906249999999999</v>
          </cell>
          <cell r="K145">
            <v>0</v>
          </cell>
          <cell r="L145">
            <v>1.4906249999999999</v>
          </cell>
          <cell r="M145">
            <v>3.4</v>
          </cell>
          <cell r="N145">
            <v>2.4499999999999997</v>
          </cell>
          <cell r="O145">
            <v>8.3299999999999983</v>
          </cell>
          <cell r="P145" t="str">
            <v>V</v>
          </cell>
          <cell r="Q145" t="str">
            <v>1"</v>
          </cell>
          <cell r="R145">
            <v>12</v>
          </cell>
          <cell r="S145">
            <v>3.2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178.65000000000003</v>
          </cell>
          <cell r="AD145">
            <v>0</v>
          </cell>
        </row>
        <row r="146">
          <cell r="C146">
            <v>1</v>
          </cell>
          <cell r="D146">
            <v>1</v>
          </cell>
          <cell r="G146">
            <v>2.65</v>
          </cell>
          <cell r="P146" t="str">
            <v>V</v>
          </cell>
          <cell r="Q146" t="str">
            <v>3/4"</v>
          </cell>
          <cell r="R146">
            <v>8</v>
          </cell>
          <cell r="S146">
            <v>3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60.032000000000011</v>
          </cell>
          <cell r="AC146">
            <v>0</v>
          </cell>
          <cell r="AD146">
            <v>0</v>
          </cell>
        </row>
        <row r="147">
          <cell r="B147" t="str">
            <v>Est</v>
          </cell>
          <cell r="C147">
            <v>1</v>
          </cell>
          <cell r="D147">
            <v>1</v>
          </cell>
          <cell r="E147">
            <v>0.65</v>
          </cell>
          <cell r="F147">
            <v>0.45</v>
          </cell>
          <cell r="G147">
            <v>2.65</v>
          </cell>
          <cell r="Q147" t="str">
            <v>3/8"</v>
          </cell>
          <cell r="R147">
            <v>24</v>
          </cell>
          <cell r="S147">
            <v>2.2000000000000002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29.568000000000005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B148" t="str">
            <v>Est</v>
          </cell>
          <cell r="C148">
            <v>1</v>
          </cell>
          <cell r="D148">
            <v>1</v>
          </cell>
          <cell r="E148">
            <v>0.55000000000000004</v>
          </cell>
          <cell r="F148">
            <v>0.45</v>
          </cell>
          <cell r="G148">
            <v>2.65</v>
          </cell>
          <cell r="Q148" t="str">
            <v>3/8"</v>
          </cell>
          <cell r="R148">
            <v>24</v>
          </cell>
          <cell r="S148">
            <v>2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26.880000000000003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</row>
        <row r="149">
          <cell r="B149" t="str">
            <v>Est</v>
          </cell>
          <cell r="C149">
            <v>1</v>
          </cell>
          <cell r="D149">
            <v>1</v>
          </cell>
          <cell r="E149">
            <v>0.75</v>
          </cell>
          <cell r="F149">
            <v>0.45</v>
          </cell>
          <cell r="G149">
            <v>2.65</v>
          </cell>
          <cell r="Q149" t="str">
            <v>3/8"</v>
          </cell>
          <cell r="R149">
            <v>24</v>
          </cell>
          <cell r="S149">
            <v>2.4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32.256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</row>
        <row r="150">
          <cell r="B150" t="str">
            <v>Est</v>
          </cell>
          <cell r="C150">
            <v>1</v>
          </cell>
          <cell r="D150">
            <v>1</v>
          </cell>
          <cell r="E150">
            <v>0.2</v>
          </cell>
          <cell r="F150">
            <v>0.45</v>
          </cell>
          <cell r="G150">
            <v>2.65</v>
          </cell>
          <cell r="Q150" t="str">
            <v>3/8"</v>
          </cell>
          <cell r="R150">
            <v>24</v>
          </cell>
          <cell r="S150">
            <v>1.3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17.472000000000005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</row>
        <row r="151">
          <cell r="B151" t="str">
            <v>Est</v>
          </cell>
          <cell r="C151">
            <v>1</v>
          </cell>
          <cell r="D151">
            <v>1</v>
          </cell>
          <cell r="E151">
            <v>0.2</v>
          </cell>
          <cell r="F151">
            <v>0.45</v>
          </cell>
          <cell r="G151">
            <v>2.65</v>
          </cell>
          <cell r="Q151" t="str">
            <v>3/8"</v>
          </cell>
          <cell r="R151">
            <v>24</v>
          </cell>
          <cell r="S151">
            <v>1.3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17.472000000000005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2">
          <cell r="B152" t="str">
            <v>B2-C-03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</row>
        <row r="153">
          <cell r="B153" t="str">
            <v>Nucleo B</v>
          </cell>
          <cell r="C153">
            <v>1</v>
          </cell>
          <cell r="D153">
            <v>1</v>
          </cell>
          <cell r="E153">
            <v>2.15</v>
          </cell>
          <cell r="F153">
            <v>0.35</v>
          </cell>
          <cell r="G153">
            <v>2.65</v>
          </cell>
          <cell r="H153">
            <v>280</v>
          </cell>
          <cell r="I153">
            <v>0</v>
          </cell>
          <cell r="J153">
            <v>1.9941249999999997</v>
          </cell>
          <cell r="K153">
            <v>0</v>
          </cell>
          <cell r="L153">
            <v>1.9941249999999997</v>
          </cell>
          <cell r="M153">
            <v>5</v>
          </cell>
          <cell r="N153">
            <v>2.4499999999999997</v>
          </cell>
          <cell r="O153">
            <v>12.249999999999998</v>
          </cell>
          <cell r="P153" t="str">
            <v>V</v>
          </cell>
          <cell r="Q153" t="str">
            <v>1"</v>
          </cell>
          <cell r="R153">
            <v>14</v>
          </cell>
          <cell r="S153">
            <v>3.2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208.42500000000004</v>
          </cell>
          <cell r="AD153">
            <v>0</v>
          </cell>
        </row>
        <row r="154">
          <cell r="C154">
            <v>1</v>
          </cell>
          <cell r="D154">
            <v>1</v>
          </cell>
          <cell r="G154">
            <v>2.65</v>
          </cell>
          <cell r="P154" t="str">
            <v>V</v>
          </cell>
          <cell r="Q154" t="str">
            <v>3/4"</v>
          </cell>
          <cell r="R154">
            <v>16</v>
          </cell>
          <cell r="S154">
            <v>3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120.06400000000002</v>
          </cell>
          <cell r="AC154">
            <v>0</v>
          </cell>
          <cell r="AD154">
            <v>0</v>
          </cell>
        </row>
        <row r="155">
          <cell r="B155" t="str">
            <v>Est</v>
          </cell>
          <cell r="C155">
            <v>1</v>
          </cell>
          <cell r="D155">
            <v>1</v>
          </cell>
          <cell r="E155">
            <v>1.65</v>
          </cell>
          <cell r="F155">
            <v>0.35</v>
          </cell>
          <cell r="G155">
            <v>2.65</v>
          </cell>
          <cell r="Q155" t="str">
            <v>3/8"</v>
          </cell>
          <cell r="R155">
            <v>24</v>
          </cell>
          <cell r="S155">
            <v>4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53.760000000000005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</row>
        <row r="156">
          <cell r="B156" t="str">
            <v>Est</v>
          </cell>
          <cell r="C156">
            <v>1</v>
          </cell>
          <cell r="D156">
            <v>1</v>
          </cell>
          <cell r="E156">
            <v>1.5</v>
          </cell>
          <cell r="F156">
            <v>0.35</v>
          </cell>
          <cell r="G156">
            <v>2.65</v>
          </cell>
          <cell r="Q156" t="str">
            <v>3/8"</v>
          </cell>
          <cell r="R156">
            <v>24</v>
          </cell>
          <cell r="S156">
            <v>3.7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49.728000000000009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57">
          <cell r="B157" t="str">
            <v>Est</v>
          </cell>
          <cell r="C157">
            <v>1</v>
          </cell>
          <cell r="D157">
            <v>1</v>
          </cell>
          <cell r="E157">
            <v>0.85</v>
          </cell>
          <cell r="F157">
            <v>0.35</v>
          </cell>
          <cell r="G157">
            <v>2.65</v>
          </cell>
          <cell r="Q157" t="str">
            <v>3/8"</v>
          </cell>
          <cell r="R157">
            <v>24</v>
          </cell>
          <cell r="S157">
            <v>2.4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32.256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</row>
        <row r="158">
          <cell r="B158" t="str">
            <v>Est</v>
          </cell>
          <cell r="C158">
            <v>1</v>
          </cell>
          <cell r="D158">
            <v>1</v>
          </cell>
          <cell r="E158">
            <v>1.1499999999999999</v>
          </cell>
          <cell r="F158">
            <v>0.35</v>
          </cell>
          <cell r="G158">
            <v>2.65</v>
          </cell>
          <cell r="Q158" t="str">
            <v>3/8"</v>
          </cell>
          <cell r="R158">
            <v>24</v>
          </cell>
          <cell r="S158">
            <v>3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40.320000000000007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B159" t="str">
            <v>B2-C-04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</row>
        <row r="160">
          <cell r="B160" t="str">
            <v>Nucleo B</v>
          </cell>
          <cell r="C160">
            <v>1</v>
          </cell>
          <cell r="D160">
            <v>2</v>
          </cell>
          <cell r="E160">
            <v>1.25</v>
          </cell>
          <cell r="F160">
            <v>0.25</v>
          </cell>
          <cell r="G160">
            <v>2.65</v>
          </cell>
          <cell r="H160">
            <v>280</v>
          </cell>
          <cell r="I160">
            <v>0</v>
          </cell>
          <cell r="J160">
            <v>1.65625</v>
          </cell>
          <cell r="K160">
            <v>0</v>
          </cell>
          <cell r="L160">
            <v>1.65625</v>
          </cell>
          <cell r="M160">
            <v>3</v>
          </cell>
          <cell r="N160">
            <v>2.4499999999999997</v>
          </cell>
          <cell r="O160">
            <v>14.7</v>
          </cell>
          <cell r="P160" t="str">
            <v>V</v>
          </cell>
          <cell r="Q160" t="str">
            <v>1"</v>
          </cell>
          <cell r="R160">
            <v>12</v>
          </cell>
          <cell r="S160">
            <v>3.2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331.09800000000001</v>
          </cell>
          <cell r="AD160">
            <v>0</v>
          </cell>
        </row>
        <row r="161">
          <cell r="C161">
            <v>1</v>
          </cell>
          <cell r="D161">
            <v>2</v>
          </cell>
          <cell r="E161">
            <v>0.3</v>
          </cell>
          <cell r="F161">
            <v>0.4</v>
          </cell>
          <cell r="G161">
            <v>2.65</v>
          </cell>
          <cell r="H161">
            <v>280</v>
          </cell>
          <cell r="I161">
            <v>0</v>
          </cell>
          <cell r="J161">
            <v>0.63600000000000001</v>
          </cell>
          <cell r="K161">
            <v>0</v>
          </cell>
          <cell r="L161">
            <v>0.63600000000000001</v>
          </cell>
          <cell r="M161">
            <v>1.4</v>
          </cell>
          <cell r="N161">
            <v>2.4499999999999997</v>
          </cell>
          <cell r="O161">
            <v>6.8599999999999985</v>
          </cell>
          <cell r="P161" t="str">
            <v>V</v>
          </cell>
          <cell r="Q161" t="str">
            <v>3/4"</v>
          </cell>
          <cell r="R161">
            <v>10</v>
          </cell>
          <cell r="S161">
            <v>3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142.24</v>
          </cell>
          <cell r="AC161">
            <v>0</v>
          </cell>
          <cell r="AD161">
            <v>0</v>
          </cell>
        </row>
        <row r="162">
          <cell r="B162" t="str">
            <v>Est</v>
          </cell>
          <cell r="C162">
            <v>1</v>
          </cell>
          <cell r="D162">
            <v>2</v>
          </cell>
          <cell r="E162">
            <v>1.25</v>
          </cell>
          <cell r="F162">
            <v>0.25</v>
          </cell>
          <cell r="G162">
            <v>2.65</v>
          </cell>
          <cell r="Q162" t="str">
            <v>3/8"</v>
          </cell>
          <cell r="R162">
            <v>24</v>
          </cell>
          <cell r="S162">
            <v>3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80.640000000000015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</row>
        <row r="163">
          <cell r="B163" t="str">
            <v>Est</v>
          </cell>
          <cell r="C163">
            <v>1</v>
          </cell>
          <cell r="D163">
            <v>2</v>
          </cell>
          <cell r="E163">
            <v>0.4</v>
          </cell>
          <cell r="F163">
            <v>0.25</v>
          </cell>
          <cell r="G163">
            <v>2.65</v>
          </cell>
          <cell r="Q163" t="str">
            <v>3/8"</v>
          </cell>
          <cell r="R163">
            <v>24</v>
          </cell>
          <cell r="S163">
            <v>1.3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34.94400000000001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</row>
        <row r="164">
          <cell r="B164" t="str">
            <v>Est</v>
          </cell>
          <cell r="C164">
            <v>1</v>
          </cell>
          <cell r="D164">
            <v>2</v>
          </cell>
          <cell r="E164">
            <v>0.4</v>
          </cell>
          <cell r="F164">
            <v>0.25</v>
          </cell>
          <cell r="G164">
            <v>2.65</v>
          </cell>
          <cell r="Q164" t="str">
            <v>3/8"</v>
          </cell>
          <cell r="R164">
            <v>24</v>
          </cell>
          <cell r="S164">
            <v>1.3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34.94400000000001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</row>
        <row r="165">
          <cell r="B165" t="str">
            <v>Est</v>
          </cell>
          <cell r="C165">
            <v>1</v>
          </cell>
          <cell r="D165">
            <v>2</v>
          </cell>
          <cell r="E165">
            <v>0.55000000000000004</v>
          </cell>
          <cell r="F165">
            <v>0.4</v>
          </cell>
          <cell r="G165">
            <v>2.65</v>
          </cell>
          <cell r="Q165" t="str">
            <v>3/8"</v>
          </cell>
          <cell r="R165">
            <v>24</v>
          </cell>
          <cell r="S165">
            <v>1.9000000000000001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51.07200000000001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66">
          <cell r="B166" t="str">
            <v>Est</v>
          </cell>
          <cell r="C166">
            <v>1</v>
          </cell>
          <cell r="D166">
            <v>2</v>
          </cell>
          <cell r="E166">
            <v>0.55000000000000004</v>
          </cell>
          <cell r="F166">
            <v>0.25</v>
          </cell>
          <cell r="G166">
            <v>2.65</v>
          </cell>
          <cell r="Q166" t="str">
            <v>3/8"</v>
          </cell>
          <cell r="R166">
            <v>24</v>
          </cell>
          <cell r="S166">
            <v>1.6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43.00800000000001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7">
          <cell r="B167" t="str">
            <v>Est</v>
          </cell>
          <cell r="C167">
            <v>1</v>
          </cell>
          <cell r="D167">
            <v>2</v>
          </cell>
          <cell r="E167">
            <v>0.15</v>
          </cell>
          <cell r="F167">
            <v>0.4</v>
          </cell>
          <cell r="G167">
            <v>2.65</v>
          </cell>
          <cell r="Q167" t="str">
            <v>3/8"</v>
          </cell>
          <cell r="R167">
            <v>24</v>
          </cell>
          <cell r="S167">
            <v>0.55000000000000004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14.784000000000002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</row>
        <row r="168">
          <cell r="B168" t="str">
            <v>6° Piso</v>
          </cell>
          <cell r="H168">
            <v>280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</row>
        <row r="169">
          <cell r="B169" t="str">
            <v>B2-C-01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</row>
        <row r="170">
          <cell r="B170" t="str">
            <v>Nucleo B</v>
          </cell>
          <cell r="C170">
            <v>1</v>
          </cell>
          <cell r="D170">
            <v>1</v>
          </cell>
          <cell r="E170">
            <v>1.05</v>
          </cell>
          <cell r="F170">
            <v>0.4</v>
          </cell>
          <cell r="G170">
            <v>2.65</v>
          </cell>
          <cell r="H170">
            <v>280</v>
          </cell>
          <cell r="I170">
            <v>0</v>
          </cell>
          <cell r="J170">
            <v>1.113</v>
          </cell>
          <cell r="K170">
            <v>0</v>
          </cell>
          <cell r="L170">
            <v>1.113</v>
          </cell>
          <cell r="M170">
            <v>2.9000000000000004</v>
          </cell>
          <cell r="N170">
            <v>2.4499999999999997</v>
          </cell>
          <cell r="O170">
            <v>7.1050000000000004</v>
          </cell>
          <cell r="P170" t="str">
            <v>V</v>
          </cell>
          <cell r="Q170" t="str">
            <v>1"</v>
          </cell>
          <cell r="R170">
            <v>8</v>
          </cell>
          <cell r="S170">
            <v>3.2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119.10000000000001</v>
          </cell>
          <cell r="AD170">
            <v>0</v>
          </cell>
        </row>
        <row r="171">
          <cell r="C171">
            <v>1</v>
          </cell>
          <cell r="D171">
            <v>1</v>
          </cell>
          <cell r="G171">
            <v>2.65</v>
          </cell>
          <cell r="P171" t="str">
            <v>V</v>
          </cell>
          <cell r="Q171" t="str">
            <v>3/4"</v>
          </cell>
          <cell r="R171">
            <v>10</v>
          </cell>
          <cell r="S171">
            <v>3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75.040000000000006</v>
          </cell>
          <cell r="AC171">
            <v>0</v>
          </cell>
          <cell r="AD171">
            <v>0</v>
          </cell>
        </row>
        <row r="172">
          <cell r="B172" t="str">
            <v>Est</v>
          </cell>
          <cell r="C172">
            <v>1</v>
          </cell>
          <cell r="D172">
            <v>1</v>
          </cell>
          <cell r="E172">
            <v>0.7</v>
          </cell>
          <cell r="F172">
            <v>0.4</v>
          </cell>
          <cell r="G172">
            <v>2.65</v>
          </cell>
          <cell r="Q172" t="str">
            <v>3/8"</v>
          </cell>
          <cell r="R172">
            <v>24</v>
          </cell>
          <cell r="S172">
            <v>2.2000000000000002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29.568000000000005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</row>
        <row r="173">
          <cell r="B173" t="str">
            <v>Est</v>
          </cell>
          <cell r="C173">
            <v>1</v>
          </cell>
          <cell r="D173">
            <v>1</v>
          </cell>
          <cell r="E173">
            <v>0.7</v>
          </cell>
          <cell r="F173">
            <v>0.4</v>
          </cell>
          <cell r="G173">
            <v>2.65</v>
          </cell>
          <cell r="Q173" t="str">
            <v>3/8"</v>
          </cell>
          <cell r="R173">
            <v>24</v>
          </cell>
          <cell r="S173">
            <v>2.2000000000000002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29.568000000000005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</row>
        <row r="174">
          <cell r="B174" t="str">
            <v>Est</v>
          </cell>
          <cell r="C174">
            <v>1</v>
          </cell>
          <cell r="D174">
            <v>1</v>
          </cell>
          <cell r="E174">
            <v>0.3</v>
          </cell>
          <cell r="F174">
            <v>0.4</v>
          </cell>
          <cell r="G174">
            <v>2.65</v>
          </cell>
          <cell r="Q174" t="str">
            <v>3/8"</v>
          </cell>
          <cell r="R174">
            <v>24</v>
          </cell>
          <cell r="S174">
            <v>1.4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18.815999999999999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</row>
        <row r="175">
          <cell r="B175" t="str">
            <v>Est</v>
          </cell>
          <cell r="C175">
            <v>1</v>
          </cell>
          <cell r="D175">
            <v>1</v>
          </cell>
          <cell r="E175">
            <v>0.3</v>
          </cell>
          <cell r="F175">
            <v>0.4</v>
          </cell>
          <cell r="G175">
            <v>2.65</v>
          </cell>
          <cell r="Q175" t="str">
            <v>3/8"</v>
          </cell>
          <cell r="R175">
            <v>24</v>
          </cell>
          <cell r="S175">
            <v>1.4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18.815999999999999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</row>
        <row r="176">
          <cell r="B176" t="str">
            <v>Est</v>
          </cell>
          <cell r="C176">
            <v>1</v>
          </cell>
          <cell r="D176">
            <v>1</v>
          </cell>
          <cell r="E176">
            <v>0.15</v>
          </cell>
          <cell r="F176">
            <v>0.4</v>
          </cell>
          <cell r="G176">
            <v>2.65</v>
          </cell>
          <cell r="Q176" t="str">
            <v>3/8"</v>
          </cell>
          <cell r="R176">
            <v>24</v>
          </cell>
          <cell r="S176">
            <v>0.55000000000000004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7.3920000000000012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</row>
        <row r="177">
          <cell r="B177" t="str">
            <v>B2-C-02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</row>
        <row r="178">
          <cell r="B178" t="str">
            <v>Nucleo B</v>
          </cell>
          <cell r="C178">
            <v>1</v>
          </cell>
          <cell r="D178">
            <v>1</v>
          </cell>
          <cell r="E178">
            <v>1.25</v>
          </cell>
          <cell r="F178">
            <v>0.45</v>
          </cell>
          <cell r="G178">
            <v>2.65</v>
          </cell>
          <cell r="H178">
            <v>280</v>
          </cell>
          <cell r="I178">
            <v>0</v>
          </cell>
          <cell r="J178">
            <v>1.4906249999999999</v>
          </cell>
          <cell r="K178">
            <v>0</v>
          </cell>
          <cell r="L178">
            <v>1.4906249999999999</v>
          </cell>
          <cell r="M178">
            <v>3.4</v>
          </cell>
          <cell r="N178">
            <v>2.4499999999999997</v>
          </cell>
          <cell r="O178">
            <v>8.3299999999999983</v>
          </cell>
          <cell r="P178" t="str">
            <v>V</v>
          </cell>
          <cell r="Q178" t="str">
            <v>1"</v>
          </cell>
          <cell r="R178">
            <v>12</v>
          </cell>
          <cell r="S178">
            <v>3.2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178.65000000000003</v>
          </cell>
          <cell r="AD178">
            <v>0</v>
          </cell>
        </row>
        <row r="179">
          <cell r="C179">
            <v>1</v>
          </cell>
          <cell r="D179">
            <v>1</v>
          </cell>
          <cell r="G179">
            <v>2.65</v>
          </cell>
          <cell r="P179" t="str">
            <v>V</v>
          </cell>
          <cell r="Q179" t="str">
            <v>3/4"</v>
          </cell>
          <cell r="R179">
            <v>8</v>
          </cell>
          <cell r="S179">
            <v>3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60.032000000000011</v>
          </cell>
          <cell r="AC179">
            <v>0</v>
          </cell>
          <cell r="AD179">
            <v>0</v>
          </cell>
        </row>
        <row r="180">
          <cell r="B180" t="str">
            <v>Est</v>
          </cell>
          <cell r="C180">
            <v>1</v>
          </cell>
          <cell r="D180">
            <v>1</v>
          </cell>
          <cell r="E180">
            <v>0.65</v>
          </cell>
          <cell r="F180">
            <v>0.45</v>
          </cell>
          <cell r="G180">
            <v>2.65</v>
          </cell>
          <cell r="Q180" t="str">
            <v>3/8"</v>
          </cell>
          <cell r="R180">
            <v>24</v>
          </cell>
          <cell r="S180">
            <v>2.2000000000000002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29.568000000000005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</row>
        <row r="181">
          <cell r="B181" t="str">
            <v>Est</v>
          </cell>
          <cell r="C181">
            <v>1</v>
          </cell>
          <cell r="D181">
            <v>1</v>
          </cell>
          <cell r="E181">
            <v>0.55000000000000004</v>
          </cell>
          <cell r="F181">
            <v>0.45</v>
          </cell>
          <cell r="G181">
            <v>2.65</v>
          </cell>
          <cell r="Q181" t="str">
            <v>3/8"</v>
          </cell>
          <cell r="R181">
            <v>24</v>
          </cell>
          <cell r="S181">
            <v>2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26.880000000000003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</row>
        <row r="182">
          <cell r="B182" t="str">
            <v>Est</v>
          </cell>
          <cell r="C182">
            <v>1</v>
          </cell>
          <cell r="D182">
            <v>1</v>
          </cell>
          <cell r="E182">
            <v>0.75</v>
          </cell>
          <cell r="F182">
            <v>0.45</v>
          </cell>
          <cell r="G182">
            <v>2.65</v>
          </cell>
          <cell r="Q182" t="str">
            <v>3/8"</v>
          </cell>
          <cell r="R182">
            <v>24</v>
          </cell>
          <cell r="S182">
            <v>2.4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32.256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 t="str">
            <v>Est</v>
          </cell>
          <cell r="C183">
            <v>1</v>
          </cell>
          <cell r="D183">
            <v>1</v>
          </cell>
          <cell r="E183">
            <v>0.2</v>
          </cell>
          <cell r="F183">
            <v>0.45</v>
          </cell>
          <cell r="G183">
            <v>2.65</v>
          </cell>
          <cell r="Q183" t="str">
            <v>3/8"</v>
          </cell>
          <cell r="R183">
            <v>24</v>
          </cell>
          <cell r="S183">
            <v>1.3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17.472000000000005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</row>
        <row r="184">
          <cell r="B184" t="str">
            <v>Est</v>
          </cell>
          <cell r="C184">
            <v>1</v>
          </cell>
          <cell r="D184">
            <v>1</v>
          </cell>
          <cell r="E184">
            <v>0.2</v>
          </cell>
          <cell r="F184">
            <v>0.45</v>
          </cell>
          <cell r="G184">
            <v>2.65</v>
          </cell>
          <cell r="Q184" t="str">
            <v>3/8"</v>
          </cell>
          <cell r="R184">
            <v>24</v>
          </cell>
          <cell r="S184">
            <v>1.3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17.472000000000005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</row>
        <row r="185">
          <cell r="B185" t="str">
            <v>B2-C-03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</row>
        <row r="186">
          <cell r="B186" t="str">
            <v>Nucleo B</v>
          </cell>
          <cell r="C186">
            <v>1</v>
          </cell>
          <cell r="D186">
            <v>1</v>
          </cell>
          <cell r="E186">
            <v>2.15</v>
          </cell>
          <cell r="F186">
            <v>0.35</v>
          </cell>
          <cell r="G186">
            <v>2.65</v>
          </cell>
          <cell r="H186">
            <v>280</v>
          </cell>
          <cell r="I186">
            <v>0</v>
          </cell>
          <cell r="J186">
            <v>1.9941249999999997</v>
          </cell>
          <cell r="K186">
            <v>0</v>
          </cell>
          <cell r="L186">
            <v>1.9941249999999997</v>
          </cell>
          <cell r="M186">
            <v>5</v>
          </cell>
          <cell r="N186">
            <v>2.4499999999999997</v>
          </cell>
          <cell r="O186">
            <v>12.249999999999998</v>
          </cell>
          <cell r="P186" t="str">
            <v>V</v>
          </cell>
          <cell r="Q186" t="str">
            <v>1"</v>
          </cell>
          <cell r="R186">
            <v>14</v>
          </cell>
          <cell r="S186">
            <v>3.2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208.42500000000004</v>
          </cell>
          <cell r="AD186">
            <v>0</v>
          </cell>
        </row>
        <row r="187">
          <cell r="C187">
            <v>1</v>
          </cell>
          <cell r="D187">
            <v>1</v>
          </cell>
          <cell r="G187">
            <v>2.65</v>
          </cell>
          <cell r="P187" t="str">
            <v>V</v>
          </cell>
          <cell r="Q187" t="str">
            <v>3/4"</v>
          </cell>
          <cell r="R187">
            <v>16</v>
          </cell>
          <cell r="S187">
            <v>3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120.06400000000002</v>
          </cell>
          <cell r="AC187">
            <v>0</v>
          </cell>
          <cell r="AD187">
            <v>0</v>
          </cell>
        </row>
        <row r="188">
          <cell r="B188" t="str">
            <v>Est</v>
          </cell>
          <cell r="C188">
            <v>1</v>
          </cell>
          <cell r="D188">
            <v>1</v>
          </cell>
          <cell r="E188">
            <v>1.65</v>
          </cell>
          <cell r="F188">
            <v>0.35</v>
          </cell>
          <cell r="G188">
            <v>2.65</v>
          </cell>
          <cell r="Q188" t="str">
            <v>3/8"</v>
          </cell>
          <cell r="R188">
            <v>24</v>
          </cell>
          <cell r="S188">
            <v>4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53.760000000000005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</row>
        <row r="189">
          <cell r="B189" t="str">
            <v>Est</v>
          </cell>
          <cell r="C189">
            <v>1</v>
          </cell>
          <cell r="D189">
            <v>1</v>
          </cell>
          <cell r="E189">
            <v>1.5</v>
          </cell>
          <cell r="F189">
            <v>0.35</v>
          </cell>
          <cell r="G189">
            <v>2.65</v>
          </cell>
          <cell r="Q189" t="str">
            <v>3/8"</v>
          </cell>
          <cell r="R189">
            <v>24</v>
          </cell>
          <cell r="S189">
            <v>3.7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49.728000000000009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</row>
        <row r="190">
          <cell r="B190" t="str">
            <v>Est</v>
          </cell>
          <cell r="C190">
            <v>1</v>
          </cell>
          <cell r="D190">
            <v>1</v>
          </cell>
          <cell r="E190">
            <v>0.85</v>
          </cell>
          <cell r="F190">
            <v>0.35</v>
          </cell>
          <cell r="G190">
            <v>2.65</v>
          </cell>
          <cell r="Q190" t="str">
            <v>3/8"</v>
          </cell>
          <cell r="R190">
            <v>24</v>
          </cell>
          <cell r="S190">
            <v>2.4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32.256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</row>
        <row r="191">
          <cell r="B191" t="str">
            <v>Est</v>
          </cell>
          <cell r="C191">
            <v>1</v>
          </cell>
          <cell r="D191">
            <v>1</v>
          </cell>
          <cell r="E191">
            <v>1.1499999999999999</v>
          </cell>
          <cell r="F191">
            <v>0.35</v>
          </cell>
          <cell r="G191">
            <v>2.65</v>
          </cell>
          <cell r="Q191" t="str">
            <v>3/8"</v>
          </cell>
          <cell r="R191">
            <v>24</v>
          </cell>
          <cell r="S191">
            <v>3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40.320000000000007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</row>
        <row r="192">
          <cell r="B192" t="str">
            <v>B2-C-04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</row>
        <row r="193">
          <cell r="B193" t="str">
            <v>Nucleo B</v>
          </cell>
          <cell r="C193">
            <v>1</v>
          </cell>
          <cell r="D193">
            <v>2</v>
          </cell>
          <cell r="E193">
            <v>1.25</v>
          </cell>
          <cell r="F193">
            <v>0.25</v>
          </cell>
          <cell r="G193">
            <v>2.65</v>
          </cell>
          <cell r="H193">
            <v>280</v>
          </cell>
          <cell r="I193">
            <v>0</v>
          </cell>
          <cell r="J193">
            <v>1.65625</v>
          </cell>
          <cell r="K193">
            <v>0</v>
          </cell>
          <cell r="L193">
            <v>1.65625</v>
          </cell>
          <cell r="M193">
            <v>3</v>
          </cell>
          <cell r="N193">
            <v>2.4499999999999997</v>
          </cell>
          <cell r="O193">
            <v>14.7</v>
          </cell>
          <cell r="P193" t="str">
            <v>V</v>
          </cell>
          <cell r="Q193" t="str">
            <v>1"</v>
          </cell>
          <cell r="R193">
            <v>12</v>
          </cell>
          <cell r="S193">
            <v>3.2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331.09800000000001</v>
          </cell>
          <cell r="AD193">
            <v>0</v>
          </cell>
        </row>
        <row r="194">
          <cell r="C194">
            <v>1</v>
          </cell>
          <cell r="D194">
            <v>2</v>
          </cell>
          <cell r="E194">
            <v>0.3</v>
          </cell>
          <cell r="F194">
            <v>0.4</v>
          </cell>
          <cell r="G194">
            <v>2.65</v>
          </cell>
          <cell r="H194">
            <v>280</v>
          </cell>
          <cell r="I194">
            <v>0</v>
          </cell>
          <cell r="J194">
            <v>0.63600000000000001</v>
          </cell>
          <cell r="K194">
            <v>0</v>
          </cell>
          <cell r="L194">
            <v>0.63600000000000001</v>
          </cell>
          <cell r="M194">
            <v>1.4</v>
          </cell>
          <cell r="N194">
            <v>2.4499999999999997</v>
          </cell>
          <cell r="O194">
            <v>6.8599999999999985</v>
          </cell>
          <cell r="P194" t="str">
            <v>V</v>
          </cell>
          <cell r="Q194" t="str">
            <v>3/4"</v>
          </cell>
          <cell r="R194">
            <v>10</v>
          </cell>
          <cell r="S194">
            <v>3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142.24</v>
          </cell>
          <cell r="AC194">
            <v>0</v>
          </cell>
          <cell r="AD194">
            <v>0</v>
          </cell>
        </row>
        <row r="195">
          <cell r="B195" t="str">
            <v>Est</v>
          </cell>
          <cell r="C195">
            <v>1</v>
          </cell>
          <cell r="D195">
            <v>2</v>
          </cell>
          <cell r="E195">
            <v>1.25</v>
          </cell>
          <cell r="F195">
            <v>0.25</v>
          </cell>
          <cell r="G195">
            <v>2.65</v>
          </cell>
          <cell r="Q195" t="str">
            <v>3/8"</v>
          </cell>
          <cell r="R195">
            <v>24</v>
          </cell>
          <cell r="S195">
            <v>3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80.640000000000015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</row>
        <row r="196">
          <cell r="B196" t="str">
            <v>Est</v>
          </cell>
          <cell r="C196">
            <v>1</v>
          </cell>
          <cell r="D196">
            <v>2</v>
          </cell>
          <cell r="E196">
            <v>0.4</v>
          </cell>
          <cell r="F196">
            <v>0.25</v>
          </cell>
          <cell r="G196">
            <v>2.65</v>
          </cell>
          <cell r="Q196" t="str">
            <v>3/8"</v>
          </cell>
          <cell r="R196">
            <v>24</v>
          </cell>
          <cell r="S196">
            <v>1.3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34.94400000000001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</row>
        <row r="197">
          <cell r="B197" t="str">
            <v>Est</v>
          </cell>
          <cell r="C197">
            <v>1</v>
          </cell>
          <cell r="D197">
            <v>2</v>
          </cell>
          <cell r="E197">
            <v>0.4</v>
          </cell>
          <cell r="F197">
            <v>0.25</v>
          </cell>
          <cell r="G197">
            <v>2.65</v>
          </cell>
          <cell r="Q197" t="str">
            <v>3/8"</v>
          </cell>
          <cell r="R197">
            <v>24</v>
          </cell>
          <cell r="S197">
            <v>1.3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34.94400000000001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</row>
        <row r="198">
          <cell r="B198" t="str">
            <v>Est</v>
          </cell>
          <cell r="C198">
            <v>1</v>
          </cell>
          <cell r="D198">
            <v>2</v>
          </cell>
          <cell r="E198">
            <v>0.55000000000000004</v>
          </cell>
          <cell r="F198">
            <v>0.4</v>
          </cell>
          <cell r="G198">
            <v>2.65</v>
          </cell>
          <cell r="Q198" t="str">
            <v>3/8"</v>
          </cell>
          <cell r="R198">
            <v>24</v>
          </cell>
          <cell r="S198">
            <v>1.9000000000000001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51.07200000000001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</row>
        <row r="199">
          <cell r="B199" t="str">
            <v>Est</v>
          </cell>
          <cell r="C199">
            <v>1</v>
          </cell>
          <cell r="D199">
            <v>2</v>
          </cell>
          <cell r="E199">
            <v>0.55000000000000004</v>
          </cell>
          <cell r="F199">
            <v>0.25</v>
          </cell>
          <cell r="G199">
            <v>2.65</v>
          </cell>
          <cell r="Q199" t="str">
            <v>3/8"</v>
          </cell>
          <cell r="R199">
            <v>24</v>
          </cell>
          <cell r="S199">
            <v>1.6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43.00800000000001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</row>
        <row r="200">
          <cell r="B200" t="str">
            <v>Est</v>
          </cell>
          <cell r="C200">
            <v>1</v>
          </cell>
          <cell r="D200">
            <v>2</v>
          </cell>
          <cell r="E200">
            <v>0.15</v>
          </cell>
          <cell r="F200">
            <v>0.4</v>
          </cell>
          <cell r="G200">
            <v>2.65</v>
          </cell>
          <cell r="Q200" t="str">
            <v>3/8"</v>
          </cell>
          <cell r="R200">
            <v>24</v>
          </cell>
          <cell r="S200">
            <v>0.55000000000000004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14.784000000000002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</row>
        <row r="201">
          <cell r="B201" t="str">
            <v>7° Piso</v>
          </cell>
          <cell r="H201">
            <v>210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</row>
        <row r="202">
          <cell r="B202" t="str">
            <v>B2-C-01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3">
          <cell r="B203" t="str">
            <v>Nucleo B</v>
          </cell>
          <cell r="C203">
            <v>1</v>
          </cell>
          <cell r="D203">
            <v>1</v>
          </cell>
          <cell r="E203">
            <v>1.05</v>
          </cell>
          <cell r="F203">
            <v>0.4</v>
          </cell>
          <cell r="G203">
            <v>2.65</v>
          </cell>
          <cell r="H203">
            <v>210</v>
          </cell>
          <cell r="I203">
            <v>1.113</v>
          </cell>
          <cell r="J203">
            <v>0</v>
          </cell>
          <cell r="K203">
            <v>0</v>
          </cell>
          <cell r="L203">
            <v>1.113</v>
          </cell>
          <cell r="M203">
            <v>2.9000000000000004</v>
          </cell>
          <cell r="N203">
            <v>2.4499999999999997</v>
          </cell>
          <cell r="O203">
            <v>7.1050000000000004</v>
          </cell>
          <cell r="P203" t="str">
            <v>V</v>
          </cell>
          <cell r="Q203" t="str">
            <v>1"</v>
          </cell>
          <cell r="R203">
            <v>8</v>
          </cell>
          <cell r="S203">
            <v>3.2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119.10000000000001</v>
          </cell>
          <cell r="AD203">
            <v>0</v>
          </cell>
        </row>
        <row r="204">
          <cell r="C204">
            <v>1</v>
          </cell>
          <cell r="D204">
            <v>1</v>
          </cell>
          <cell r="G204">
            <v>2.65</v>
          </cell>
          <cell r="P204" t="str">
            <v>V</v>
          </cell>
          <cell r="Q204" t="str">
            <v>3/4"</v>
          </cell>
          <cell r="R204">
            <v>10</v>
          </cell>
          <cell r="S204">
            <v>3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75.040000000000006</v>
          </cell>
          <cell r="AC204">
            <v>0</v>
          </cell>
          <cell r="AD204">
            <v>0</v>
          </cell>
        </row>
        <row r="205">
          <cell r="B205" t="str">
            <v>Est</v>
          </cell>
          <cell r="C205">
            <v>1</v>
          </cell>
          <cell r="D205">
            <v>1</v>
          </cell>
          <cell r="E205">
            <v>0.7</v>
          </cell>
          <cell r="F205">
            <v>0.4</v>
          </cell>
          <cell r="G205">
            <v>2.65</v>
          </cell>
          <cell r="Q205" t="str">
            <v>3/8"</v>
          </cell>
          <cell r="R205">
            <v>24</v>
          </cell>
          <cell r="S205">
            <v>2.2000000000000002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29.568000000000005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</row>
        <row r="206">
          <cell r="B206" t="str">
            <v>Est</v>
          </cell>
          <cell r="C206">
            <v>1</v>
          </cell>
          <cell r="D206">
            <v>1</v>
          </cell>
          <cell r="E206">
            <v>0.7</v>
          </cell>
          <cell r="F206">
            <v>0.4</v>
          </cell>
          <cell r="G206">
            <v>2.65</v>
          </cell>
          <cell r="Q206" t="str">
            <v>3/8"</v>
          </cell>
          <cell r="R206">
            <v>24</v>
          </cell>
          <cell r="S206">
            <v>2.2000000000000002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29.568000000000005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</row>
        <row r="207">
          <cell r="B207" t="str">
            <v>Est</v>
          </cell>
          <cell r="C207">
            <v>1</v>
          </cell>
          <cell r="D207">
            <v>1</v>
          </cell>
          <cell r="E207">
            <v>0.3</v>
          </cell>
          <cell r="F207">
            <v>0.4</v>
          </cell>
          <cell r="G207">
            <v>2.65</v>
          </cell>
          <cell r="Q207" t="str">
            <v>3/8"</v>
          </cell>
          <cell r="R207">
            <v>24</v>
          </cell>
          <cell r="S207">
            <v>1.4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18.815999999999999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</row>
        <row r="208">
          <cell r="B208" t="str">
            <v>Est</v>
          </cell>
          <cell r="C208">
            <v>1</v>
          </cell>
          <cell r="D208">
            <v>1</v>
          </cell>
          <cell r="E208">
            <v>0.3</v>
          </cell>
          <cell r="F208">
            <v>0.4</v>
          </cell>
          <cell r="G208">
            <v>2.65</v>
          </cell>
          <cell r="Q208" t="str">
            <v>3/8"</v>
          </cell>
          <cell r="R208">
            <v>24</v>
          </cell>
          <cell r="S208">
            <v>1.4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18.815999999999999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</row>
        <row r="209">
          <cell r="B209" t="str">
            <v>Est</v>
          </cell>
          <cell r="C209">
            <v>1</v>
          </cell>
          <cell r="D209">
            <v>1</v>
          </cell>
          <cell r="E209">
            <v>0.15</v>
          </cell>
          <cell r="F209">
            <v>0.4</v>
          </cell>
          <cell r="G209">
            <v>2.65</v>
          </cell>
          <cell r="Q209" t="str">
            <v>3/8"</v>
          </cell>
          <cell r="R209">
            <v>24</v>
          </cell>
          <cell r="S209">
            <v>0.55000000000000004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7.3920000000000012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</row>
        <row r="210">
          <cell r="B210" t="str">
            <v>B2-C-02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</row>
        <row r="211">
          <cell r="B211" t="str">
            <v>Nucleo B</v>
          </cell>
          <cell r="C211">
            <v>1</v>
          </cell>
          <cell r="D211">
            <v>1</v>
          </cell>
          <cell r="E211">
            <v>1.25</v>
          </cell>
          <cell r="F211">
            <v>0.45</v>
          </cell>
          <cell r="G211">
            <v>2.65</v>
          </cell>
          <cell r="H211">
            <v>210</v>
          </cell>
          <cell r="I211">
            <v>1.4906249999999999</v>
          </cell>
          <cell r="J211">
            <v>0</v>
          </cell>
          <cell r="K211">
            <v>0</v>
          </cell>
          <cell r="L211">
            <v>1.4906249999999999</v>
          </cell>
          <cell r="M211">
            <v>3.4</v>
          </cell>
          <cell r="N211">
            <v>2.4499999999999997</v>
          </cell>
          <cell r="O211">
            <v>8.3299999999999983</v>
          </cell>
          <cell r="P211" t="str">
            <v>V</v>
          </cell>
          <cell r="Q211" t="str">
            <v>1"</v>
          </cell>
          <cell r="R211">
            <v>12</v>
          </cell>
          <cell r="S211">
            <v>3.2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178.65000000000003</v>
          </cell>
          <cell r="AD211">
            <v>0</v>
          </cell>
        </row>
        <row r="212">
          <cell r="C212">
            <v>1</v>
          </cell>
          <cell r="D212">
            <v>1</v>
          </cell>
          <cell r="G212">
            <v>2.65</v>
          </cell>
          <cell r="P212" t="str">
            <v>V</v>
          </cell>
          <cell r="Q212" t="str">
            <v>3/4"</v>
          </cell>
          <cell r="R212">
            <v>8</v>
          </cell>
          <cell r="S212">
            <v>3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60.032000000000011</v>
          </cell>
          <cell r="AC212">
            <v>0</v>
          </cell>
          <cell r="AD212">
            <v>0</v>
          </cell>
        </row>
        <row r="213">
          <cell r="B213" t="str">
            <v>Est</v>
          </cell>
          <cell r="C213">
            <v>1</v>
          </cell>
          <cell r="D213">
            <v>1</v>
          </cell>
          <cell r="E213">
            <v>0.65</v>
          </cell>
          <cell r="F213">
            <v>0.45</v>
          </cell>
          <cell r="G213">
            <v>2.65</v>
          </cell>
          <cell r="Q213" t="str">
            <v>3/8"</v>
          </cell>
          <cell r="R213">
            <v>24</v>
          </cell>
          <cell r="S213">
            <v>2.2000000000000002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29.568000000000005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</row>
        <row r="214">
          <cell r="B214" t="str">
            <v>Est</v>
          </cell>
          <cell r="C214">
            <v>1</v>
          </cell>
          <cell r="D214">
            <v>1</v>
          </cell>
          <cell r="E214">
            <v>0.55000000000000004</v>
          </cell>
          <cell r="F214">
            <v>0.45</v>
          </cell>
          <cell r="G214">
            <v>2.65</v>
          </cell>
          <cell r="Q214" t="str">
            <v>3/8"</v>
          </cell>
          <cell r="R214">
            <v>24</v>
          </cell>
          <cell r="S214">
            <v>2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26.880000000000003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</row>
        <row r="215">
          <cell r="B215" t="str">
            <v>Est</v>
          </cell>
          <cell r="C215">
            <v>1</v>
          </cell>
          <cell r="D215">
            <v>1</v>
          </cell>
          <cell r="E215">
            <v>0.75</v>
          </cell>
          <cell r="F215">
            <v>0.45</v>
          </cell>
          <cell r="G215">
            <v>2.65</v>
          </cell>
          <cell r="Q215" t="str">
            <v>3/8"</v>
          </cell>
          <cell r="R215">
            <v>24</v>
          </cell>
          <cell r="S215">
            <v>2.4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32.256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</row>
        <row r="216">
          <cell r="B216" t="str">
            <v>Est</v>
          </cell>
          <cell r="C216">
            <v>1</v>
          </cell>
          <cell r="D216">
            <v>1</v>
          </cell>
          <cell r="E216">
            <v>0.2</v>
          </cell>
          <cell r="F216">
            <v>0.45</v>
          </cell>
          <cell r="G216">
            <v>2.65</v>
          </cell>
          <cell r="Q216" t="str">
            <v>3/8"</v>
          </cell>
          <cell r="R216">
            <v>24</v>
          </cell>
          <cell r="S216">
            <v>1.3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17.472000000000005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</row>
        <row r="217">
          <cell r="B217" t="str">
            <v>Est</v>
          </cell>
          <cell r="C217">
            <v>1</v>
          </cell>
          <cell r="D217">
            <v>1</v>
          </cell>
          <cell r="E217">
            <v>0.2</v>
          </cell>
          <cell r="F217">
            <v>0.45</v>
          </cell>
          <cell r="G217">
            <v>2.65</v>
          </cell>
          <cell r="Q217" t="str">
            <v>3/8"</v>
          </cell>
          <cell r="R217">
            <v>24</v>
          </cell>
          <cell r="S217">
            <v>1.3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17.472000000000005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</row>
        <row r="218">
          <cell r="B218" t="str">
            <v>B2-C-03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</row>
        <row r="219">
          <cell r="B219" t="str">
            <v>Nucleo B</v>
          </cell>
          <cell r="C219">
            <v>1</v>
          </cell>
          <cell r="D219">
            <v>1</v>
          </cell>
          <cell r="E219">
            <v>2.15</v>
          </cell>
          <cell r="F219">
            <v>0.35</v>
          </cell>
          <cell r="G219">
            <v>2.65</v>
          </cell>
          <cell r="H219">
            <v>210</v>
          </cell>
          <cell r="I219">
            <v>1.9941249999999997</v>
          </cell>
          <cell r="J219">
            <v>0</v>
          </cell>
          <cell r="K219">
            <v>0</v>
          </cell>
          <cell r="L219">
            <v>1.9941249999999997</v>
          </cell>
          <cell r="M219">
            <v>5</v>
          </cell>
          <cell r="N219">
            <v>2.4499999999999997</v>
          </cell>
          <cell r="O219">
            <v>12.249999999999998</v>
          </cell>
          <cell r="P219" t="str">
            <v>V</v>
          </cell>
          <cell r="Q219" t="str">
            <v>1"</v>
          </cell>
          <cell r="R219">
            <v>14</v>
          </cell>
          <cell r="S219">
            <v>3.2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208.42500000000004</v>
          </cell>
          <cell r="AD219">
            <v>0</v>
          </cell>
        </row>
        <row r="220">
          <cell r="C220">
            <v>1</v>
          </cell>
          <cell r="D220">
            <v>1</v>
          </cell>
          <cell r="G220">
            <v>2.65</v>
          </cell>
          <cell r="P220" t="str">
            <v>V</v>
          </cell>
          <cell r="Q220" t="str">
            <v>3/4"</v>
          </cell>
          <cell r="R220">
            <v>16</v>
          </cell>
          <cell r="S220">
            <v>3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120.06400000000002</v>
          </cell>
          <cell r="AC220">
            <v>0</v>
          </cell>
          <cell r="AD220">
            <v>0</v>
          </cell>
        </row>
        <row r="221">
          <cell r="B221" t="str">
            <v>Est</v>
          </cell>
          <cell r="C221">
            <v>1</v>
          </cell>
          <cell r="D221">
            <v>1</v>
          </cell>
          <cell r="E221">
            <v>1.65</v>
          </cell>
          <cell r="F221">
            <v>0.35</v>
          </cell>
          <cell r="G221">
            <v>2.65</v>
          </cell>
          <cell r="Q221" t="str">
            <v>3/8"</v>
          </cell>
          <cell r="R221">
            <v>24</v>
          </cell>
          <cell r="S221">
            <v>4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53.760000000000005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</row>
        <row r="222">
          <cell r="B222" t="str">
            <v>Est</v>
          </cell>
          <cell r="C222">
            <v>1</v>
          </cell>
          <cell r="D222">
            <v>1</v>
          </cell>
          <cell r="E222">
            <v>1.5</v>
          </cell>
          <cell r="F222">
            <v>0.35</v>
          </cell>
          <cell r="G222">
            <v>2.65</v>
          </cell>
          <cell r="Q222" t="str">
            <v>3/8"</v>
          </cell>
          <cell r="R222">
            <v>24</v>
          </cell>
          <cell r="S222">
            <v>3.7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49.728000000000009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</row>
        <row r="223">
          <cell r="B223" t="str">
            <v>Est</v>
          </cell>
          <cell r="C223">
            <v>1</v>
          </cell>
          <cell r="D223">
            <v>1</v>
          </cell>
          <cell r="E223">
            <v>0.85</v>
          </cell>
          <cell r="F223">
            <v>0.35</v>
          </cell>
          <cell r="G223">
            <v>2.65</v>
          </cell>
          <cell r="Q223" t="str">
            <v>3/8"</v>
          </cell>
          <cell r="R223">
            <v>24</v>
          </cell>
          <cell r="S223">
            <v>2.4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32.256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</row>
        <row r="224">
          <cell r="B224" t="str">
            <v>Est</v>
          </cell>
          <cell r="C224">
            <v>1</v>
          </cell>
          <cell r="D224">
            <v>1</v>
          </cell>
          <cell r="E224">
            <v>1.1499999999999999</v>
          </cell>
          <cell r="F224">
            <v>0.35</v>
          </cell>
          <cell r="G224">
            <v>2.65</v>
          </cell>
          <cell r="Q224" t="str">
            <v>3/8"</v>
          </cell>
          <cell r="R224">
            <v>24</v>
          </cell>
          <cell r="S224">
            <v>3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40.320000000000007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</row>
        <row r="225">
          <cell r="B225" t="str">
            <v>B2-C-04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</row>
        <row r="226">
          <cell r="B226" t="str">
            <v>Nucleo B</v>
          </cell>
          <cell r="C226">
            <v>1</v>
          </cell>
          <cell r="D226">
            <v>2</v>
          </cell>
          <cell r="E226">
            <v>1.25</v>
          </cell>
          <cell r="F226">
            <v>0.25</v>
          </cell>
          <cell r="G226">
            <v>2.65</v>
          </cell>
          <cell r="H226">
            <v>210</v>
          </cell>
          <cell r="I226">
            <v>1.65625</v>
          </cell>
          <cell r="J226">
            <v>0</v>
          </cell>
          <cell r="K226">
            <v>0</v>
          </cell>
          <cell r="L226">
            <v>1.65625</v>
          </cell>
          <cell r="M226">
            <v>3</v>
          </cell>
          <cell r="N226">
            <v>2.4499999999999997</v>
          </cell>
          <cell r="O226">
            <v>14.7</v>
          </cell>
          <cell r="P226" t="str">
            <v>V</v>
          </cell>
          <cell r="Q226" t="str">
            <v>1"</v>
          </cell>
          <cell r="R226">
            <v>12</v>
          </cell>
          <cell r="S226">
            <v>3.2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331.09800000000001</v>
          </cell>
          <cell r="AD226">
            <v>0</v>
          </cell>
        </row>
        <row r="227">
          <cell r="C227">
            <v>1</v>
          </cell>
          <cell r="D227">
            <v>2</v>
          </cell>
          <cell r="E227">
            <v>0.3</v>
          </cell>
          <cell r="F227">
            <v>0.4</v>
          </cell>
          <cell r="G227">
            <v>2.65</v>
          </cell>
          <cell r="H227">
            <v>210</v>
          </cell>
          <cell r="I227">
            <v>0.63600000000000001</v>
          </cell>
          <cell r="J227">
            <v>0</v>
          </cell>
          <cell r="K227">
            <v>0</v>
          </cell>
          <cell r="L227">
            <v>0.63600000000000001</v>
          </cell>
          <cell r="M227">
            <v>1.4</v>
          </cell>
          <cell r="N227">
            <v>2.4499999999999997</v>
          </cell>
          <cell r="O227">
            <v>6.8599999999999985</v>
          </cell>
          <cell r="P227" t="str">
            <v>V</v>
          </cell>
          <cell r="Q227" t="str">
            <v>3/4"</v>
          </cell>
          <cell r="R227">
            <v>10</v>
          </cell>
          <cell r="S227">
            <v>3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142.24</v>
          </cell>
          <cell r="AC227">
            <v>0</v>
          </cell>
          <cell r="AD227">
            <v>0</v>
          </cell>
        </row>
        <row r="228">
          <cell r="B228" t="str">
            <v>Est</v>
          </cell>
          <cell r="C228">
            <v>1</v>
          </cell>
          <cell r="D228">
            <v>2</v>
          </cell>
          <cell r="E228">
            <v>1.25</v>
          </cell>
          <cell r="F228">
            <v>0.25</v>
          </cell>
          <cell r="G228">
            <v>2.65</v>
          </cell>
          <cell r="Q228" t="str">
            <v>3/8"</v>
          </cell>
          <cell r="R228">
            <v>24</v>
          </cell>
          <cell r="S228">
            <v>3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80.640000000000015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</row>
        <row r="229">
          <cell r="B229" t="str">
            <v>Est</v>
          </cell>
          <cell r="C229">
            <v>1</v>
          </cell>
          <cell r="D229">
            <v>2</v>
          </cell>
          <cell r="E229">
            <v>0.4</v>
          </cell>
          <cell r="F229">
            <v>0.25</v>
          </cell>
          <cell r="G229">
            <v>2.65</v>
          </cell>
          <cell r="Q229" t="str">
            <v>3/8"</v>
          </cell>
          <cell r="R229">
            <v>24</v>
          </cell>
          <cell r="S229">
            <v>1.3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34.94400000000001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</row>
        <row r="230">
          <cell r="B230" t="str">
            <v>Est</v>
          </cell>
          <cell r="C230">
            <v>1</v>
          </cell>
          <cell r="D230">
            <v>2</v>
          </cell>
          <cell r="E230">
            <v>0.4</v>
          </cell>
          <cell r="F230">
            <v>0.25</v>
          </cell>
          <cell r="G230">
            <v>2.65</v>
          </cell>
          <cell r="Q230" t="str">
            <v>3/8"</v>
          </cell>
          <cell r="R230">
            <v>24</v>
          </cell>
          <cell r="S230">
            <v>1.3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34.94400000000001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</row>
        <row r="231">
          <cell r="B231" t="str">
            <v>Est</v>
          </cell>
          <cell r="C231">
            <v>1</v>
          </cell>
          <cell r="D231">
            <v>2</v>
          </cell>
          <cell r="E231">
            <v>0.55000000000000004</v>
          </cell>
          <cell r="F231">
            <v>0.4</v>
          </cell>
          <cell r="G231">
            <v>2.65</v>
          </cell>
          <cell r="Q231" t="str">
            <v>3/8"</v>
          </cell>
          <cell r="R231">
            <v>24</v>
          </cell>
          <cell r="S231">
            <v>1.9000000000000001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51.07200000000001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</row>
        <row r="232">
          <cell r="B232" t="str">
            <v>Est</v>
          </cell>
          <cell r="C232">
            <v>1</v>
          </cell>
          <cell r="D232">
            <v>2</v>
          </cell>
          <cell r="E232">
            <v>0.55000000000000004</v>
          </cell>
          <cell r="F232">
            <v>0.25</v>
          </cell>
          <cell r="G232">
            <v>2.65</v>
          </cell>
          <cell r="Q232" t="str">
            <v>3/8"</v>
          </cell>
          <cell r="R232">
            <v>24</v>
          </cell>
          <cell r="S232">
            <v>1.6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43.00800000000001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</row>
        <row r="233">
          <cell r="B233" t="str">
            <v>Est</v>
          </cell>
          <cell r="C233">
            <v>1</v>
          </cell>
          <cell r="D233">
            <v>2</v>
          </cell>
          <cell r="E233">
            <v>0.15</v>
          </cell>
          <cell r="F233">
            <v>0.4</v>
          </cell>
          <cell r="G233">
            <v>2.65</v>
          </cell>
          <cell r="Q233" t="str">
            <v>3/8"</v>
          </cell>
          <cell r="R233">
            <v>24</v>
          </cell>
          <cell r="S233">
            <v>0.55000000000000004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14.784000000000002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</row>
        <row r="234"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35">
          <cell r="B235" t="str">
            <v>8° Piso</v>
          </cell>
          <cell r="H235">
            <v>210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</row>
        <row r="236">
          <cell r="B236" t="str">
            <v>B2-C-01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</row>
        <row r="237">
          <cell r="B237" t="str">
            <v>Nucleo B</v>
          </cell>
          <cell r="C237">
            <v>1</v>
          </cell>
          <cell r="D237">
            <v>1</v>
          </cell>
          <cell r="E237">
            <v>1.05</v>
          </cell>
          <cell r="F237">
            <v>0.4</v>
          </cell>
          <cell r="G237">
            <v>2.65</v>
          </cell>
          <cell r="H237">
            <v>210</v>
          </cell>
          <cell r="I237">
            <v>1.113</v>
          </cell>
          <cell r="J237">
            <v>0</v>
          </cell>
          <cell r="K237">
            <v>0</v>
          </cell>
          <cell r="L237">
            <v>1.113</v>
          </cell>
          <cell r="M237">
            <v>2.9000000000000004</v>
          </cell>
          <cell r="N237">
            <v>2.4499999999999997</v>
          </cell>
          <cell r="O237">
            <v>7.1050000000000004</v>
          </cell>
          <cell r="P237" t="str">
            <v>V</v>
          </cell>
          <cell r="Q237" t="str">
            <v>3/4"</v>
          </cell>
          <cell r="R237">
            <v>8</v>
          </cell>
          <cell r="S237">
            <v>3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60.032000000000011</v>
          </cell>
          <cell r="AC237">
            <v>0</v>
          </cell>
          <cell r="AD237">
            <v>0</v>
          </cell>
        </row>
        <row r="238">
          <cell r="C238">
            <v>1</v>
          </cell>
          <cell r="D238">
            <v>1</v>
          </cell>
          <cell r="G238">
            <v>2.65</v>
          </cell>
          <cell r="P238" t="str">
            <v>V</v>
          </cell>
          <cell r="Q238" t="str">
            <v>3/4"</v>
          </cell>
          <cell r="R238">
            <v>10</v>
          </cell>
          <cell r="S238">
            <v>3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75.040000000000006</v>
          </cell>
          <cell r="AC238">
            <v>0</v>
          </cell>
          <cell r="AD238">
            <v>0</v>
          </cell>
        </row>
        <row r="239">
          <cell r="B239" t="str">
            <v>Est</v>
          </cell>
          <cell r="C239">
            <v>1</v>
          </cell>
          <cell r="D239">
            <v>1</v>
          </cell>
          <cell r="E239">
            <v>0.7</v>
          </cell>
          <cell r="F239">
            <v>0.4</v>
          </cell>
          <cell r="G239">
            <v>2.65</v>
          </cell>
          <cell r="Q239" t="str">
            <v>3/8"</v>
          </cell>
          <cell r="R239">
            <v>24</v>
          </cell>
          <cell r="S239">
            <v>2.2000000000000002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29.568000000000005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</row>
        <row r="240">
          <cell r="B240" t="str">
            <v>Est</v>
          </cell>
          <cell r="C240">
            <v>1</v>
          </cell>
          <cell r="D240">
            <v>1</v>
          </cell>
          <cell r="E240">
            <v>0.7</v>
          </cell>
          <cell r="F240">
            <v>0.4</v>
          </cell>
          <cell r="G240">
            <v>2.65</v>
          </cell>
          <cell r="Q240" t="str">
            <v>3/8"</v>
          </cell>
          <cell r="R240">
            <v>24</v>
          </cell>
          <cell r="S240">
            <v>2.2000000000000002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29.568000000000005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</row>
        <row r="241">
          <cell r="B241" t="str">
            <v>Est</v>
          </cell>
          <cell r="C241">
            <v>1</v>
          </cell>
          <cell r="D241">
            <v>1</v>
          </cell>
          <cell r="E241">
            <v>0.3</v>
          </cell>
          <cell r="F241">
            <v>0.4</v>
          </cell>
          <cell r="G241">
            <v>2.65</v>
          </cell>
          <cell r="Q241" t="str">
            <v>3/8"</v>
          </cell>
          <cell r="R241">
            <v>24</v>
          </cell>
          <cell r="S241">
            <v>1.4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18.815999999999999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2">
          <cell r="B242" t="str">
            <v>Est</v>
          </cell>
          <cell r="C242">
            <v>1</v>
          </cell>
          <cell r="D242">
            <v>1</v>
          </cell>
          <cell r="E242">
            <v>0.3</v>
          </cell>
          <cell r="F242">
            <v>0.4</v>
          </cell>
          <cell r="G242">
            <v>2.65</v>
          </cell>
          <cell r="Q242" t="str">
            <v>3/8"</v>
          </cell>
          <cell r="R242">
            <v>24</v>
          </cell>
          <cell r="S242">
            <v>1.4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18.815999999999999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</row>
        <row r="243">
          <cell r="B243" t="str">
            <v>Est</v>
          </cell>
          <cell r="C243">
            <v>1</v>
          </cell>
          <cell r="D243">
            <v>1</v>
          </cell>
          <cell r="E243">
            <v>0.15</v>
          </cell>
          <cell r="F243">
            <v>0.4</v>
          </cell>
          <cell r="G243">
            <v>2.65</v>
          </cell>
          <cell r="Q243" t="str">
            <v>3/8"</v>
          </cell>
          <cell r="R243">
            <v>24</v>
          </cell>
          <cell r="S243">
            <v>0.55000000000000004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7.3920000000000012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4">
          <cell r="B244" t="str">
            <v>B2-C-02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</row>
        <row r="245">
          <cell r="B245" t="str">
            <v>Nucleo B</v>
          </cell>
          <cell r="C245">
            <v>1</v>
          </cell>
          <cell r="D245">
            <v>1</v>
          </cell>
          <cell r="E245">
            <v>1.25</v>
          </cell>
          <cell r="F245">
            <v>0.45</v>
          </cell>
          <cell r="G245">
            <v>2.65</v>
          </cell>
          <cell r="H245">
            <v>210</v>
          </cell>
          <cell r="I245">
            <v>1.4906249999999999</v>
          </cell>
          <cell r="J245">
            <v>0</v>
          </cell>
          <cell r="K245">
            <v>0</v>
          </cell>
          <cell r="L245">
            <v>1.4906249999999999</v>
          </cell>
          <cell r="M245">
            <v>3.4</v>
          </cell>
          <cell r="N245">
            <v>2.4499999999999997</v>
          </cell>
          <cell r="O245">
            <v>8.3299999999999983</v>
          </cell>
          <cell r="P245" t="str">
            <v>V</v>
          </cell>
          <cell r="Q245" t="str">
            <v>3/4"</v>
          </cell>
          <cell r="R245">
            <v>12</v>
          </cell>
          <cell r="S245">
            <v>3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90.048000000000016</v>
          </cell>
          <cell r="AC245">
            <v>0</v>
          </cell>
          <cell r="AD245">
            <v>0</v>
          </cell>
        </row>
        <row r="246">
          <cell r="C246">
            <v>1</v>
          </cell>
          <cell r="D246">
            <v>1</v>
          </cell>
          <cell r="G246">
            <v>2.65</v>
          </cell>
          <cell r="P246" t="str">
            <v>V</v>
          </cell>
          <cell r="Q246" t="str">
            <v>3/4"</v>
          </cell>
          <cell r="R246">
            <v>8</v>
          </cell>
          <cell r="S246">
            <v>3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60.032000000000011</v>
          </cell>
          <cell r="AC246">
            <v>0</v>
          </cell>
          <cell r="AD246">
            <v>0</v>
          </cell>
        </row>
        <row r="247">
          <cell r="B247" t="str">
            <v>Est</v>
          </cell>
          <cell r="C247">
            <v>1</v>
          </cell>
          <cell r="D247">
            <v>1</v>
          </cell>
          <cell r="E247">
            <v>0.65</v>
          </cell>
          <cell r="F247">
            <v>0.45</v>
          </cell>
          <cell r="G247">
            <v>2.65</v>
          </cell>
          <cell r="Q247" t="str">
            <v>3/8"</v>
          </cell>
          <cell r="R247">
            <v>24</v>
          </cell>
          <cell r="S247">
            <v>2.2000000000000002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29.568000000000005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</row>
        <row r="248">
          <cell r="B248" t="str">
            <v>Est</v>
          </cell>
          <cell r="C248">
            <v>1</v>
          </cell>
          <cell r="D248">
            <v>1</v>
          </cell>
          <cell r="E248">
            <v>0.55000000000000004</v>
          </cell>
          <cell r="F248">
            <v>0.45</v>
          </cell>
          <cell r="G248">
            <v>2.65</v>
          </cell>
          <cell r="Q248" t="str">
            <v>3/8"</v>
          </cell>
          <cell r="R248">
            <v>24</v>
          </cell>
          <cell r="S248">
            <v>2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26.880000000000003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49">
          <cell r="B249" t="str">
            <v>Est</v>
          </cell>
          <cell r="C249">
            <v>1</v>
          </cell>
          <cell r="D249">
            <v>1</v>
          </cell>
          <cell r="E249">
            <v>0.75</v>
          </cell>
          <cell r="F249">
            <v>0.45</v>
          </cell>
          <cell r="G249">
            <v>2.65</v>
          </cell>
          <cell r="Q249" t="str">
            <v>3/8"</v>
          </cell>
          <cell r="R249">
            <v>24</v>
          </cell>
          <cell r="S249">
            <v>2.4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32.256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</row>
        <row r="250">
          <cell r="B250" t="str">
            <v>Est</v>
          </cell>
          <cell r="C250">
            <v>1</v>
          </cell>
          <cell r="D250">
            <v>1</v>
          </cell>
          <cell r="E250">
            <v>0.2</v>
          </cell>
          <cell r="F250">
            <v>0.45</v>
          </cell>
          <cell r="G250">
            <v>2.65</v>
          </cell>
          <cell r="Q250" t="str">
            <v>3/8"</v>
          </cell>
          <cell r="R250">
            <v>24</v>
          </cell>
          <cell r="S250">
            <v>1.3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17.472000000000005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51">
          <cell r="B251" t="str">
            <v>Est</v>
          </cell>
          <cell r="C251">
            <v>1</v>
          </cell>
          <cell r="D251">
            <v>1</v>
          </cell>
          <cell r="E251">
            <v>0.2</v>
          </cell>
          <cell r="F251">
            <v>0.45</v>
          </cell>
          <cell r="G251">
            <v>2.65</v>
          </cell>
          <cell r="Q251" t="str">
            <v>3/8"</v>
          </cell>
          <cell r="R251">
            <v>24</v>
          </cell>
          <cell r="S251">
            <v>1.3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17.472000000000005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</row>
        <row r="252">
          <cell r="B252" t="str">
            <v>B2-C-03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</row>
        <row r="253">
          <cell r="B253" t="str">
            <v>Nucleo B</v>
          </cell>
          <cell r="C253">
            <v>1</v>
          </cell>
          <cell r="D253">
            <v>1</v>
          </cell>
          <cell r="E253">
            <v>2.15</v>
          </cell>
          <cell r="F253">
            <v>0.35</v>
          </cell>
          <cell r="G253">
            <v>2.65</v>
          </cell>
          <cell r="H253">
            <v>210</v>
          </cell>
          <cell r="I253">
            <v>1.9941249999999997</v>
          </cell>
          <cell r="J253">
            <v>0</v>
          </cell>
          <cell r="K253">
            <v>0</v>
          </cell>
          <cell r="L253">
            <v>1.9941249999999997</v>
          </cell>
          <cell r="M253">
            <v>5</v>
          </cell>
          <cell r="N253">
            <v>2.4499999999999997</v>
          </cell>
          <cell r="O253">
            <v>12.249999999999998</v>
          </cell>
          <cell r="P253" t="str">
            <v>V</v>
          </cell>
          <cell r="Q253" t="str">
            <v>3/4"</v>
          </cell>
          <cell r="R253">
            <v>14</v>
          </cell>
          <cell r="S253">
            <v>3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105.05600000000001</v>
          </cell>
          <cell r="AC253">
            <v>0</v>
          </cell>
          <cell r="AD253">
            <v>0</v>
          </cell>
        </row>
        <row r="254">
          <cell r="C254">
            <v>1</v>
          </cell>
          <cell r="D254">
            <v>1</v>
          </cell>
          <cell r="G254">
            <v>2.65</v>
          </cell>
          <cell r="P254" t="str">
            <v>V</v>
          </cell>
          <cell r="Q254" t="str">
            <v>3/4"</v>
          </cell>
          <cell r="R254">
            <v>16</v>
          </cell>
          <cell r="S254">
            <v>3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120.06400000000002</v>
          </cell>
          <cell r="AC254">
            <v>0</v>
          </cell>
          <cell r="AD254">
            <v>0</v>
          </cell>
        </row>
        <row r="255">
          <cell r="B255" t="str">
            <v>Est</v>
          </cell>
          <cell r="C255">
            <v>1</v>
          </cell>
          <cell r="D255">
            <v>1</v>
          </cell>
          <cell r="E255">
            <v>1.65</v>
          </cell>
          <cell r="F255">
            <v>0.35</v>
          </cell>
          <cell r="G255">
            <v>2.65</v>
          </cell>
          <cell r="Q255" t="str">
            <v>3/8"</v>
          </cell>
          <cell r="R255">
            <v>24</v>
          </cell>
          <cell r="S255">
            <v>4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53.760000000000005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</row>
        <row r="256">
          <cell r="B256" t="str">
            <v>Est</v>
          </cell>
          <cell r="C256">
            <v>1</v>
          </cell>
          <cell r="D256">
            <v>1</v>
          </cell>
          <cell r="E256">
            <v>1.5</v>
          </cell>
          <cell r="F256">
            <v>0.35</v>
          </cell>
          <cell r="G256">
            <v>2.65</v>
          </cell>
          <cell r="Q256" t="str">
            <v>3/8"</v>
          </cell>
          <cell r="R256">
            <v>24</v>
          </cell>
          <cell r="S256">
            <v>3.7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49.728000000000009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</row>
        <row r="257">
          <cell r="B257" t="str">
            <v>Est</v>
          </cell>
          <cell r="C257">
            <v>1</v>
          </cell>
          <cell r="D257">
            <v>1</v>
          </cell>
          <cell r="E257">
            <v>0.85</v>
          </cell>
          <cell r="F257">
            <v>0.35</v>
          </cell>
          <cell r="G257">
            <v>2.65</v>
          </cell>
          <cell r="Q257" t="str">
            <v>3/8"</v>
          </cell>
          <cell r="R257">
            <v>24</v>
          </cell>
          <cell r="S257">
            <v>2.4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32.256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</row>
        <row r="258">
          <cell r="B258" t="str">
            <v>Est</v>
          </cell>
          <cell r="C258">
            <v>1</v>
          </cell>
          <cell r="D258">
            <v>1</v>
          </cell>
          <cell r="E258">
            <v>1.1499999999999999</v>
          </cell>
          <cell r="F258">
            <v>0.35</v>
          </cell>
          <cell r="G258">
            <v>2.65</v>
          </cell>
          <cell r="Q258" t="str">
            <v>3/8"</v>
          </cell>
          <cell r="R258">
            <v>24</v>
          </cell>
          <cell r="S258">
            <v>3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40.320000000000007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</row>
        <row r="259">
          <cell r="B259" t="str">
            <v>B2-C-04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</row>
        <row r="260">
          <cell r="B260" t="str">
            <v>Nucleo B</v>
          </cell>
          <cell r="C260">
            <v>1</v>
          </cell>
          <cell r="D260">
            <v>2</v>
          </cell>
          <cell r="E260">
            <v>1.25</v>
          </cell>
          <cell r="F260">
            <v>0.25</v>
          </cell>
          <cell r="G260">
            <v>2.65</v>
          </cell>
          <cell r="H260">
            <v>210</v>
          </cell>
          <cell r="I260">
            <v>1.65625</v>
          </cell>
          <cell r="J260">
            <v>0</v>
          </cell>
          <cell r="K260">
            <v>0</v>
          </cell>
          <cell r="L260">
            <v>1.65625</v>
          </cell>
          <cell r="M260">
            <v>3</v>
          </cell>
          <cell r="N260">
            <v>2.4499999999999997</v>
          </cell>
          <cell r="O260">
            <v>14.7</v>
          </cell>
          <cell r="P260" t="str">
            <v>V</v>
          </cell>
          <cell r="Q260" t="str">
            <v>3/4"</v>
          </cell>
          <cell r="R260">
            <v>12</v>
          </cell>
          <cell r="S260">
            <v>3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170.68800000000002</v>
          </cell>
          <cell r="AC260">
            <v>0</v>
          </cell>
          <cell r="AD260">
            <v>0</v>
          </cell>
        </row>
        <row r="261">
          <cell r="C261">
            <v>1</v>
          </cell>
          <cell r="D261">
            <v>2</v>
          </cell>
          <cell r="E261">
            <v>0.3</v>
          </cell>
          <cell r="F261">
            <v>0.4</v>
          </cell>
          <cell r="G261">
            <v>2.65</v>
          </cell>
          <cell r="H261">
            <v>210</v>
          </cell>
          <cell r="I261">
            <v>0.63600000000000001</v>
          </cell>
          <cell r="J261">
            <v>0</v>
          </cell>
          <cell r="K261">
            <v>0</v>
          </cell>
          <cell r="L261">
            <v>0.63600000000000001</v>
          </cell>
          <cell r="M261">
            <v>1.4</v>
          </cell>
          <cell r="N261">
            <v>2.4499999999999997</v>
          </cell>
          <cell r="O261">
            <v>6.8599999999999985</v>
          </cell>
          <cell r="P261" t="str">
            <v>V</v>
          </cell>
          <cell r="Q261" t="str">
            <v>3/4"</v>
          </cell>
          <cell r="R261">
            <v>10</v>
          </cell>
          <cell r="S261">
            <v>3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142.24</v>
          </cell>
          <cell r="AC261">
            <v>0</v>
          </cell>
          <cell r="AD261">
            <v>0</v>
          </cell>
        </row>
        <row r="262">
          <cell r="B262" t="str">
            <v>Est</v>
          </cell>
          <cell r="C262">
            <v>1</v>
          </cell>
          <cell r="D262">
            <v>2</v>
          </cell>
          <cell r="E262">
            <v>1.25</v>
          </cell>
          <cell r="F262">
            <v>0.25</v>
          </cell>
          <cell r="G262">
            <v>2.65</v>
          </cell>
          <cell r="Q262" t="str">
            <v>3/8"</v>
          </cell>
          <cell r="R262">
            <v>24</v>
          </cell>
          <cell r="S262">
            <v>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80.640000000000015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</row>
        <row r="263">
          <cell r="B263" t="str">
            <v>Est</v>
          </cell>
          <cell r="C263">
            <v>1</v>
          </cell>
          <cell r="D263">
            <v>2</v>
          </cell>
          <cell r="E263">
            <v>0.4</v>
          </cell>
          <cell r="F263">
            <v>0.25</v>
          </cell>
          <cell r="G263">
            <v>2.65</v>
          </cell>
          <cell r="Q263" t="str">
            <v>3/8"</v>
          </cell>
          <cell r="R263">
            <v>24</v>
          </cell>
          <cell r="S263">
            <v>1.3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34.94400000000001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</row>
        <row r="264">
          <cell r="B264" t="str">
            <v>Est</v>
          </cell>
          <cell r="C264">
            <v>1</v>
          </cell>
          <cell r="D264">
            <v>2</v>
          </cell>
          <cell r="E264">
            <v>0.4</v>
          </cell>
          <cell r="F264">
            <v>0.25</v>
          </cell>
          <cell r="G264">
            <v>2.65</v>
          </cell>
          <cell r="Q264" t="str">
            <v>3/8"</v>
          </cell>
          <cell r="R264">
            <v>24</v>
          </cell>
          <cell r="S264">
            <v>1.3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34.94400000000001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</row>
        <row r="265">
          <cell r="B265" t="str">
            <v>Est</v>
          </cell>
          <cell r="C265">
            <v>1</v>
          </cell>
          <cell r="D265">
            <v>2</v>
          </cell>
          <cell r="E265">
            <v>0.55000000000000004</v>
          </cell>
          <cell r="F265">
            <v>0.4</v>
          </cell>
          <cell r="G265">
            <v>2.65</v>
          </cell>
          <cell r="Q265" t="str">
            <v>3/8"</v>
          </cell>
          <cell r="R265">
            <v>24</v>
          </cell>
          <cell r="S265">
            <v>1.9000000000000001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51.07200000000001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</row>
        <row r="266">
          <cell r="B266" t="str">
            <v>Est</v>
          </cell>
          <cell r="C266">
            <v>1</v>
          </cell>
          <cell r="D266">
            <v>2</v>
          </cell>
          <cell r="E266">
            <v>0.55000000000000004</v>
          </cell>
          <cell r="F266">
            <v>0.25</v>
          </cell>
          <cell r="G266">
            <v>2.65</v>
          </cell>
          <cell r="Q266" t="str">
            <v>3/8"</v>
          </cell>
          <cell r="R266">
            <v>24</v>
          </cell>
          <cell r="S266">
            <v>1.6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43.00800000000001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67">
          <cell r="B267" t="str">
            <v>Est</v>
          </cell>
          <cell r="C267">
            <v>1</v>
          </cell>
          <cell r="D267">
            <v>2</v>
          </cell>
          <cell r="E267">
            <v>0.15</v>
          </cell>
          <cell r="F267">
            <v>0.4</v>
          </cell>
          <cell r="G267">
            <v>2.65</v>
          </cell>
          <cell r="Q267" t="str">
            <v>3/8"</v>
          </cell>
          <cell r="R267">
            <v>24</v>
          </cell>
          <cell r="S267">
            <v>0.55000000000000004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14.784000000000002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</row>
        <row r="268">
          <cell r="B268" t="str">
            <v>9° Piso</v>
          </cell>
          <cell r="H268">
            <v>210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</row>
        <row r="269">
          <cell r="B269" t="str">
            <v>B2-C-01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</row>
        <row r="270">
          <cell r="B270" t="str">
            <v>Nucleo B</v>
          </cell>
          <cell r="C270">
            <v>1</v>
          </cell>
          <cell r="D270">
            <v>1</v>
          </cell>
          <cell r="E270">
            <v>1.05</v>
          </cell>
          <cell r="F270">
            <v>0.4</v>
          </cell>
          <cell r="G270">
            <v>2.65</v>
          </cell>
          <cell r="H270">
            <v>210</v>
          </cell>
          <cell r="I270">
            <v>1.113</v>
          </cell>
          <cell r="J270">
            <v>0</v>
          </cell>
          <cell r="K270">
            <v>0</v>
          </cell>
          <cell r="L270">
            <v>1.113</v>
          </cell>
          <cell r="M270">
            <v>2.9000000000000004</v>
          </cell>
          <cell r="N270">
            <v>2.4499999999999997</v>
          </cell>
          <cell r="O270">
            <v>7.1050000000000004</v>
          </cell>
          <cell r="P270" t="str">
            <v>V</v>
          </cell>
          <cell r="Q270" t="str">
            <v>3/4"</v>
          </cell>
          <cell r="R270">
            <v>8</v>
          </cell>
          <cell r="S270">
            <v>3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60.032000000000011</v>
          </cell>
          <cell r="AC270">
            <v>0</v>
          </cell>
          <cell r="AD270">
            <v>0</v>
          </cell>
        </row>
        <row r="271">
          <cell r="C271">
            <v>1</v>
          </cell>
          <cell r="D271">
            <v>1</v>
          </cell>
          <cell r="G271">
            <v>2.65</v>
          </cell>
          <cell r="P271" t="str">
            <v>V</v>
          </cell>
          <cell r="Q271" t="str">
            <v>3/4"</v>
          </cell>
          <cell r="R271">
            <v>10</v>
          </cell>
          <cell r="S271">
            <v>3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75.040000000000006</v>
          </cell>
          <cell r="AC271">
            <v>0</v>
          </cell>
          <cell r="AD271">
            <v>0</v>
          </cell>
        </row>
        <row r="272">
          <cell r="B272" t="str">
            <v>Est</v>
          </cell>
          <cell r="C272">
            <v>1</v>
          </cell>
          <cell r="D272">
            <v>1</v>
          </cell>
          <cell r="E272">
            <v>0.7</v>
          </cell>
          <cell r="F272">
            <v>0.4</v>
          </cell>
          <cell r="G272">
            <v>2.65</v>
          </cell>
          <cell r="Q272" t="str">
            <v>3/8"</v>
          </cell>
          <cell r="R272">
            <v>24</v>
          </cell>
          <cell r="S272">
            <v>2.2000000000000002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29.568000000000005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</row>
        <row r="273">
          <cell r="B273" t="str">
            <v>Est</v>
          </cell>
          <cell r="C273">
            <v>1</v>
          </cell>
          <cell r="D273">
            <v>1</v>
          </cell>
          <cell r="E273">
            <v>0.7</v>
          </cell>
          <cell r="F273">
            <v>0.4</v>
          </cell>
          <cell r="G273">
            <v>2.65</v>
          </cell>
          <cell r="Q273" t="str">
            <v>3/8"</v>
          </cell>
          <cell r="R273">
            <v>24</v>
          </cell>
          <cell r="S273">
            <v>2.2000000000000002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29.568000000000005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</row>
        <row r="274">
          <cell r="B274" t="str">
            <v>Est</v>
          </cell>
          <cell r="C274">
            <v>1</v>
          </cell>
          <cell r="D274">
            <v>1</v>
          </cell>
          <cell r="E274">
            <v>0.3</v>
          </cell>
          <cell r="F274">
            <v>0.4</v>
          </cell>
          <cell r="G274">
            <v>2.65</v>
          </cell>
          <cell r="Q274" t="str">
            <v>3/8"</v>
          </cell>
          <cell r="R274">
            <v>24</v>
          </cell>
          <cell r="S274">
            <v>1.4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18.815999999999999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75">
          <cell r="B275" t="str">
            <v>Est</v>
          </cell>
          <cell r="C275">
            <v>1</v>
          </cell>
          <cell r="D275">
            <v>1</v>
          </cell>
          <cell r="E275">
            <v>0.3</v>
          </cell>
          <cell r="F275">
            <v>0.4</v>
          </cell>
          <cell r="G275">
            <v>2.65</v>
          </cell>
          <cell r="Q275" t="str">
            <v>3/8"</v>
          </cell>
          <cell r="R275">
            <v>24</v>
          </cell>
          <cell r="S275">
            <v>1.4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18.815999999999999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</row>
        <row r="276">
          <cell r="B276" t="str">
            <v>Est</v>
          </cell>
          <cell r="C276">
            <v>1</v>
          </cell>
          <cell r="D276">
            <v>1</v>
          </cell>
          <cell r="E276">
            <v>0.15</v>
          </cell>
          <cell r="F276">
            <v>0.4</v>
          </cell>
          <cell r="G276">
            <v>2.65</v>
          </cell>
          <cell r="Q276" t="str">
            <v>3/8"</v>
          </cell>
          <cell r="R276">
            <v>24</v>
          </cell>
          <cell r="S276">
            <v>0.55000000000000004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7.3920000000000012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</row>
        <row r="277">
          <cell r="B277" t="str">
            <v>B2-C-02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</row>
        <row r="278">
          <cell r="B278" t="str">
            <v>Nucleo B</v>
          </cell>
          <cell r="C278">
            <v>1</v>
          </cell>
          <cell r="D278">
            <v>1</v>
          </cell>
          <cell r="E278">
            <v>1.25</v>
          </cell>
          <cell r="F278">
            <v>0.45</v>
          </cell>
          <cell r="G278">
            <v>2.65</v>
          </cell>
          <cell r="H278">
            <v>210</v>
          </cell>
          <cell r="I278">
            <v>1.4906249999999999</v>
          </cell>
          <cell r="J278">
            <v>0</v>
          </cell>
          <cell r="K278">
            <v>0</v>
          </cell>
          <cell r="L278">
            <v>1.4906249999999999</v>
          </cell>
          <cell r="M278">
            <v>3.4</v>
          </cell>
          <cell r="N278">
            <v>2.4499999999999997</v>
          </cell>
          <cell r="O278">
            <v>8.3299999999999983</v>
          </cell>
          <cell r="P278" t="str">
            <v>V</v>
          </cell>
          <cell r="Q278" t="str">
            <v>3/4"</v>
          </cell>
          <cell r="R278">
            <v>12</v>
          </cell>
          <cell r="S278">
            <v>3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90.048000000000016</v>
          </cell>
          <cell r="AC278">
            <v>0</v>
          </cell>
          <cell r="AD278">
            <v>0</v>
          </cell>
        </row>
        <row r="279">
          <cell r="C279">
            <v>1</v>
          </cell>
          <cell r="D279">
            <v>1</v>
          </cell>
          <cell r="G279">
            <v>2.65</v>
          </cell>
          <cell r="P279" t="str">
            <v>V</v>
          </cell>
          <cell r="Q279" t="str">
            <v>3/4"</v>
          </cell>
          <cell r="R279">
            <v>8</v>
          </cell>
          <cell r="S279">
            <v>3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60.032000000000011</v>
          </cell>
          <cell r="AC279">
            <v>0</v>
          </cell>
          <cell r="AD279">
            <v>0</v>
          </cell>
        </row>
        <row r="280">
          <cell r="B280" t="str">
            <v>Est</v>
          </cell>
          <cell r="C280">
            <v>1</v>
          </cell>
          <cell r="D280">
            <v>1</v>
          </cell>
          <cell r="E280">
            <v>0.65</v>
          </cell>
          <cell r="F280">
            <v>0.45</v>
          </cell>
          <cell r="G280">
            <v>2.65</v>
          </cell>
          <cell r="Q280" t="str">
            <v>3/8"</v>
          </cell>
          <cell r="R280">
            <v>24</v>
          </cell>
          <cell r="S280">
            <v>2.2000000000000002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29.568000000000005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</row>
        <row r="281">
          <cell r="B281" t="str">
            <v>Est</v>
          </cell>
          <cell r="C281">
            <v>1</v>
          </cell>
          <cell r="D281">
            <v>1</v>
          </cell>
          <cell r="E281">
            <v>0.55000000000000004</v>
          </cell>
          <cell r="F281">
            <v>0.45</v>
          </cell>
          <cell r="G281">
            <v>2.65</v>
          </cell>
          <cell r="Q281" t="str">
            <v>3/8"</v>
          </cell>
          <cell r="R281">
            <v>24</v>
          </cell>
          <cell r="S281">
            <v>2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26.880000000000003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</row>
        <row r="282">
          <cell r="B282" t="str">
            <v>Est</v>
          </cell>
          <cell r="C282">
            <v>1</v>
          </cell>
          <cell r="D282">
            <v>1</v>
          </cell>
          <cell r="E282">
            <v>0.75</v>
          </cell>
          <cell r="F282">
            <v>0.45</v>
          </cell>
          <cell r="G282">
            <v>2.65</v>
          </cell>
          <cell r="Q282" t="str">
            <v>3/8"</v>
          </cell>
          <cell r="R282">
            <v>24</v>
          </cell>
          <cell r="S282">
            <v>2.4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32.256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</row>
        <row r="283">
          <cell r="B283" t="str">
            <v>Est</v>
          </cell>
          <cell r="C283">
            <v>1</v>
          </cell>
          <cell r="D283">
            <v>1</v>
          </cell>
          <cell r="E283">
            <v>0.2</v>
          </cell>
          <cell r="F283">
            <v>0.45</v>
          </cell>
          <cell r="G283">
            <v>2.65</v>
          </cell>
          <cell r="Q283" t="str">
            <v>3/8"</v>
          </cell>
          <cell r="R283">
            <v>24</v>
          </cell>
          <cell r="S283">
            <v>1.3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17.472000000000005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</row>
        <row r="284">
          <cell r="B284" t="str">
            <v>Est</v>
          </cell>
          <cell r="C284">
            <v>1</v>
          </cell>
          <cell r="D284">
            <v>1</v>
          </cell>
          <cell r="E284">
            <v>0.2</v>
          </cell>
          <cell r="F284">
            <v>0.45</v>
          </cell>
          <cell r="G284">
            <v>2.65</v>
          </cell>
          <cell r="Q284" t="str">
            <v>3/8"</v>
          </cell>
          <cell r="R284">
            <v>24</v>
          </cell>
          <cell r="S284">
            <v>1.3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17.472000000000005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</row>
        <row r="285">
          <cell r="B285" t="str">
            <v>B2-C-03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</row>
        <row r="286">
          <cell r="B286" t="str">
            <v>Nucleo B</v>
          </cell>
          <cell r="C286">
            <v>1</v>
          </cell>
          <cell r="D286">
            <v>1</v>
          </cell>
          <cell r="E286">
            <v>2.15</v>
          </cell>
          <cell r="F286">
            <v>0.35</v>
          </cell>
          <cell r="G286">
            <v>2.65</v>
          </cell>
          <cell r="H286">
            <v>210</v>
          </cell>
          <cell r="I286">
            <v>1.9941249999999997</v>
          </cell>
          <cell r="J286">
            <v>0</v>
          </cell>
          <cell r="K286">
            <v>0</v>
          </cell>
          <cell r="L286">
            <v>1.9941249999999997</v>
          </cell>
          <cell r="M286">
            <v>5</v>
          </cell>
          <cell r="N286">
            <v>2.4499999999999997</v>
          </cell>
          <cell r="O286">
            <v>12.249999999999998</v>
          </cell>
          <cell r="P286" t="str">
            <v>V</v>
          </cell>
          <cell r="Q286" t="str">
            <v>3/4"</v>
          </cell>
          <cell r="R286">
            <v>14</v>
          </cell>
          <cell r="S286">
            <v>3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105.05600000000001</v>
          </cell>
          <cell r="AC286">
            <v>0</v>
          </cell>
          <cell r="AD286">
            <v>0</v>
          </cell>
        </row>
        <row r="287">
          <cell r="C287">
            <v>1</v>
          </cell>
          <cell r="D287">
            <v>1</v>
          </cell>
          <cell r="G287">
            <v>2.65</v>
          </cell>
          <cell r="P287" t="str">
            <v>V</v>
          </cell>
          <cell r="Q287" t="str">
            <v>3/4"</v>
          </cell>
          <cell r="R287">
            <v>16</v>
          </cell>
          <cell r="S287">
            <v>3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120.06400000000002</v>
          </cell>
          <cell r="AC287">
            <v>0</v>
          </cell>
          <cell r="AD287">
            <v>0</v>
          </cell>
        </row>
        <row r="288">
          <cell r="B288" t="str">
            <v>Est</v>
          </cell>
          <cell r="C288">
            <v>1</v>
          </cell>
          <cell r="D288">
            <v>1</v>
          </cell>
          <cell r="E288">
            <v>1.65</v>
          </cell>
          <cell r="F288">
            <v>0.35</v>
          </cell>
          <cell r="G288">
            <v>2.65</v>
          </cell>
          <cell r="Q288" t="str">
            <v>3/8"</v>
          </cell>
          <cell r="R288">
            <v>24</v>
          </cell>
          <cell r="S288">
            <v>4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53.760000000000005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</row>
        <row r="289">
          <cell r="B289" t="str">
            <v>Est</v>
          </cell>
          <cell r="C289">
            <v>1</v>
          </cell>
          <cell r="D289">
            <v>1</v>
          </cell>
          <cell r="E289">
            <v>1.5</v>
          </cell>
          <cell r="F289">
            <v>0.35</v>
          </cell>
          <cell r="G289">
            <v>2.65</v>
          </cell>
          <cell r="Q289" t="str">
            <v>3/8"</v>
          </cell>
          <cell r="R289">
            <v>24</v>
          </cell>
          <cell r="S289">
            <v>3.7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49.728000000000009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</row>
        <row r="290">
          <cell r="B290" t="str">
            <v>Est</v>
          </cell>
          <cell r="C290">
            <v>1</v>
          </cell>
          <cell r="D290">
            <v>1</v>
          </cell>
          <cell r="E290">
            <v>0.85</v>
          </cell>
          <cell r="F290">
            <v>0.35</v>
          </cell>
          <cell r="G290">
            <v>2.65</v>
          </cell>
          <cell r="Q290" t="str">
            <v>3/8"</v>
          </cell>
          <cell r="R290">
            <v>24</v>
          </cell>
          <cell r="S290">
            <v>2.4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32.256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</row>
        <row r="291">
          <cell r="B291" t="str">
            <v>Est</v>
          </cell>
          <cell r="C291">
            <v>1</v>
          </cell>
          <cell r="D291">
            <v>1</v>
          </cell>
          <cell r="E291">
            <v>1.1499999999999999</v>
          </cell>
          <cell r="F291">
            <v>0.35</v>
          </cell>
          <cell r="G291">
            <v>2.65</v>
          </cell>
          <cell r="Q291" t="str">
            <v>3/8"</v>
          </cell>
          <cell r="R291">
            <v>24</v>
          </cell>
          <cell r="S291">
            <v>3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40.320000000000007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</row>
        <row r="292">
          <cell r="B292" t="str">
            <v>B2-C-04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</row>
        <row r="293">
          <cell r="B293" t="str">
            <v>Nucleo B</v>
          </cell>
          <cell r="C293">
            <v>1</v>
          </cell>
          <cell r="D293">
            <v>2</v>
          </cell>
          <cell r="E293">
            <v>1.25</v>
          </cell>
          <cell r="F293">
            <v>0.25</v>
          </cell>
          <cell r="G293">
            <v>2.65</v>
          </cell>
          <cell r="H293">
            <v>210</v>
          </cell>
          <cell r="I293">
            <v>1.65625</v>
          </cell>
          <cell r="J293">
            <v>0</v>
          </cell>
          <cell r="K293">
            <v>0</v>
          </cell>
          <cell r="L293">
            <v>1.65625</v>
          </cell>
          <cell r="M293">
            <v>3</v>
          </cell>
          <cell r="N293">
            <v>2.4499999999999997</v>
          </cell>
          <cell r="O293">
            <v>14.7</v>
          </cell>
          <cell r="P293" t="str">
            <v>V</v>
          </cell>
          <cell r="Q293" t="str">
            <v>3/4"</v>
          </cell>
          <cell r="R293">
            <v>12</v>
          </cell>
          <cell r="S293">
            <v>3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170.68800000000002</v>
          </cell>
          <cell r="AC293">
            <v>0</v>
          </cell>
          <cell r="AD293">
            <v>0</v>
          </cell>
        </row>
        <row r="294">
          <cell r="C294">
            <v>1</v>
          </cell>
          <cell r="D294">
            <v>2</v>
          </cell>
          <cell r="E294">
            <v>0.3</v>
          </cell>
          <cell r="F294">
            <v>0.4</v>
          </cell>
          <cell r="G294">
            <v>2.65</v>
          </cell>
          <cell r="H294">
            <v>210</v>
          </cell>
          <cell r="I294">
            <v>0.63600000000000001</v>
          </cell>
          <cell r="J294">
            <v>0</v>
          </cell>
          <cell r="K294">
            <v>0</v>
          </cell>
          <cell r="L294">
            <v>0.63600000000000001</v>
          </cell>
          <cell r="M294">
            <v>1.4</v>
          </cell>
          <cell r="N294">
            <v>2.4499999999999997</v>
          </cell>
          <cell r="O294">
            <v>6.8599999999999985</v>
          </cell>
          <cell r="P294" t="str">
            <v>V</v>
          </cell>
          <cell r="Q294" t="str">
            <v>3/4"</v>
          </cell>
          <cell r="R294">
            <v>10</v>
          </cell>
          <cell r="S294">
            <v>3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142.24</v>
          </cell>
          <cell r="AC294">
            <v>0</v>
          </cell>
          <cell r="AD294">
            <v>0</v>
          </cell>
        </row>
        <row r="295">
          <cell r="B295" t="str">
            <v>Est</v>
          </cell>
          <cell r="C295">
            <v>1</v>
          </cell>
          <cell r="D295">
            <v>2</v>
          </cell>
          <cell r="E295">
            <v>1.25</v>
          </cell>
          <cell r="F295">
            <v>0.25</v>
          </cell>
          <cell r="G295">
            <v>2.65</v>
          </cell>
          <cell r="Q295" t="str">
            <v>3/8"</v>
          </cell>
          <cell r="R295">
            <v>24</v>
          </cell>
          <cell r="S295">
            <v>3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80.640000000000015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</row>
        <row r="296">
          <cell r="B296" t="str">
            <v>Est</v>
          </cell>
          <cell r="C296">
            <v>1</v>
          </cell>
          <cell r="D296">
            <v>2</v>
          </cell>
          <cell r="E296">
            <v>0.4</v>
          </cell>
          <cell r="F296">
            <v>0.25</v>
          </cell>
          <cell r="G296">
            <v>2.65</v>
          </cell>
          <cell r="Q296" t="str">
            <v>3/8"</v>
          </cell>
          <cell r="R296">
            <v>24</v>
          </cell>
          <cell r="S296">
            <v>1.3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34.94400000000001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</row>
        <row r="297">
          <cell r="B297" t="str">
            <v>Est</v>
          </cell>
          <cell r="C297">
            <v>1</v>
          </cell>
          <cell r="D297">
            <v>2</v>
          </cell>
          <cell r="E297">
            <v>0.4</v>
          </cell>
          <cell r="F297">
            <v>0.25</v>
          </cell>
          <cell r="G297">
            <v>2.65</v>
          </cell>
          <cell r="Q297" t="str">
            <v>3/8"</v>
          </cell>
          <cell r="R297">
            <v>24</v>
          </cell>
          <cell r="S297">
            <v>1.3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34.94400000000001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</row>
        <row r="298">
          <cell r="B298" t="str">
            <v>Est</v>
          </cell>
          <cell r="C298">
            <v>1</v>
          </cell>
          <cell r="D298">
            <v>2</v>
          </cell>
          <cell r="E298">
            <v>0.55000000000000004</v>
          </cell>
          <cell r="F298">
            <v>0.4</v>
          </cell>
          <cell r="G298">
            <v>2.65</v>
          </cell>
          <cell r="Q298" t="str">
            <v>3/8"</v>
          </cell>
          <cell r="R298">
            <v>24</v>
          </cell>
          <cell r="S298">
            <v>1.9000000000000001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51.07200000000001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</row>
        <row r="299">
          <cell r="B299" t="str">
            <v>Est</v>
          </cell>
          <cell r="C299">
            <v>1</v>
          </cell>
          <cell r="D299">
            <v>2</v>
          </cell>
          <cell r="E299">
            <v>0.55000000000000004</v>
          </cell>
          <cell r="F299">
            <v>0.25</v>
          </cell>
          <cell r="G299">
            <v>2.65</v>
          </cell>
          <cell r="Q299" t="str">
            <v>3/8"</v>
          </cell>
          <cell r="R299">
            <v>24</v>
          </cell>
          <cell r="S299">
            <v>1.6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43.00800000000001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</row>
        <row r="300">
          <cell r="B300" t="str">
            <v>Est</v>
          </cell>
          <cell r="C300">
            <v>1</v>
          </cell>
          <cell r="D300">
            <v>2</v>
          </cell>
          <cell r="E300">
            <v>0.15</v>
          </cell>
          <cell r="F300">
            <v>0.4</v>
          </cell>
          <cell r="G300">
            <v>2.65</v>
          </cell>
          <cell r="Q300" t="str">
            <v>3/8"</v>
          </cell>
          <cell r="R300">
            <v>24</v>
          </cell>
          <cell r="S300">
            <v>0.55000000000000004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14.784000000000002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</row>
        <row r="301">
          <cell r="B301" t="str">
            <v>10° Piso</v>
          </cell>
          <cell r="H301">
            <v>210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</row>
        <row r="302">
          <cell r="B302" t="str">
            <v>B2-C-01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</row>
        <row r="303">
          <cell r="B303" t="str">
            <v>Nucleo B</v>
          </cell>
          <cell r="C303">
            <v>1</v>
          </cell>
          <cell r="D303">
            <v>1</v>
          </cell>
          <cell r="E303">
            <v>1.05</v>
          </cell>
          <cell r="F303">
            <v>0.4</v>
          </cell>
          <cell r="G303">
            <v>2.65</v>
          </cell>
          <cell r="H303">
            <v>210</v>
          </cell>
          <cell r="I303">
            <v>1.113</v>
          </cell>
          <cell r="J303">
            <v>0</v>
          </cell>
          <cell r="K303">
            <v>0</v>
          </cell>
          <cell r="L303">
            <v>1.113</v>
          </cell>
          <cell r="M303">
            <v>2.9000000000000004</v>
          </cell>
          <cell r="N303">
            <v>2.4499999999999997</v>
          </cell>
          <cell r="O303">
            <v>7.1050000000000004</v>
          </cell>
          <cell r="P303" t="str">
            <v>V</v>
          </cell>
          <cell r="Q303" t="str">
            <v>3/4"</v>
          </cell>
          <cell r="R303">
            <v>8</v>
          </cell>
          <cell r="S303">
            <v>3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60.032000000000011</v>
          </cell>
          <cell r="AC303">
            <v>0</v>
          </cell>
          <cell r="AD303">
            <v>0</v>
          </cell>
        </row>
        <row r="304">
          <cell r="C304">
            <v>1</v>
          </cell>
          <cell r="D304">
            <v>1</v>
          </cell>
          <cell r="G304">
            <v>2.65</v>
          </cell>
          <cell r="P304" t="str">
            <v>V</v>
          </cell>
          <cell r="Q304" t="str">
            <v>3/4"</v>
          </cell>
          <cell r="R304">
            <v>10</v>
          </cell>
          <cell r="S304">
            <v>3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75.040000000000006</v>
          </cell>
          <cell r="AC304">
            <v>0</v>
          </cell>
          <cell r="AD304">
            <v>0</v>
          </cell>
        </row>
        <row r="305">
          <cell r="B305" t="str">
            <v>Est</v>
          </cell>
          <cell r="C305">
            <v>1</v>
          </cell>
          <cell r="D305">
            <v>1</v>
          </cell>
          <cell r="E305">
            <v>0.7</v>
          </cell>
          <cell r="F305">
            <v>0.4</v>
          </cell>
          <cell r="G305">
            <v>2.65</v>
          </cell>
          <cell r="Q305" t="str">
            <v>3/8"</v>
          </cell>
          <cell r="R305">
            <v>24</v>
          </cell>
          <cell r="S305">
            <v>2.2000000000000002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29.568000000000005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</row>
        <row r="306">
          <cell r="B306" t="str">
            <v>Est</v>
          </cell>
          <cell r="C306">
            <v>1</v>
          </cell>
          <cell r="D306">
            <v>1</v>
          </cell>
          <cell r="E306">
            <v>0.7</v>
          </cell>
          <cell r="F306">
            <v>0.4</v>
          </cell>
          <cell r="G306">
            <v>2.65</v>
          </cell>
          <cell r="Q306" t="str">
            <v>3/8"</v>
          </cell>
          <cell r="R306">
            <v>24</v>
          </cell>
          <cell r="S306">
            <v>2.2000000000000002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29.568000000000005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</row>
        <row r="307">
          <cell r="B307" t="str">
            <v>Est</v>
          </cell>
          <cell r="C307">
            <v>1</v>
          </cell>
          <cell r="D307">
            <v>1</v>
          </cell>
          <cell r="E307">
            <v>0.3</v>
          </cell>
          <cell r="F307">
            <v>0.4</v>
          </cell>
          <cell r="G307">
            <v>2.65</v>
          </cell>
          <cell r="Q307" t="str">
            <v>3/8"</v>
          </cell>
          <cell r="R307">
            <v>24</v>
          </cell>
          <cell r="S307">
            <v>1.4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18.815999999999999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</row>
        <row r="308">
          <cell r="B308" t="str">
            <v>Est</v>
          </cell>
          <cell r="C308">
            <v>1</v>
          </cell>
          <cell r="D308">
            <v>1</v>
          </cell>
          <cell r="E308">
            <v>0.3</v>
          </cell>
          <cell r="F308">
            <v>0.4</v>
          </cell>
          <cell r="G308">
            <v>2.65</v>
          </cell>
          <cell r="Q308" t="str">
            <v>3/8"</v>
          </cell>
          <cell r="R308">
            <v>24</v>
          </cell>
          <cell r="S308">
            <v>1.4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18.815999999999999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</row>
        <row r="309">
          <cell r="B309" t="str">
            <v>Est</v>
          </cell>
          <cell r="C309">
            <v>1</v>
          </cell>
          <cell r="D309">
            <v>1</v>
          </cell>
          <cell r="E309">
            <v>0.15</v>
          </cell>
          <cell r="F309">
            <v>0.4</v>
          </cell>
          <cell r="G309">
            <v>2.65</v>
          </cell>
          <cell r="Q309" t="str">
            <v>3/8"</v>
          </cell>
          <cell r="R309">
            <v>24</v>
          </cell>
          <cell r="S309">
            <v>0.55000000000000004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7.3920000000000012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</row>
        <row r="310">
          <cell r="B310" t="str">
            <v>B2-C-02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</row>
        <row r="311">
          <cell r="B311" t="str">
            <v>Nucleo B</v>
          </cell>
          <cell r="C311">
            <v>1</v>
          </cell>
          <cell r="D311">
            <v>1</v>
          </cell>
          <cell r="E311">
            <v>1.25</v>
          </cell>
          <cell r="F311">
            <v>0.45</v>
          </cell>
          <cell r="G311">
            <v>2.65</v>
          </cell>
          <cell r="H311">
            <v>210</v>
          </cell>
          <cell r="I311">
            <v>1.4906249999999999</v>
          </cell>
          <cell r="J311">
            <v>0</v>
          </cell>
          <cell r="K311">
            <v>0</v>
          </cell>
          <cell r="L311">
            <v>1.4906249999999999</v>
          </cell>
          <cell r="M311">
            <v>3.4</v>
          </cell>
          <cell r="N311">
            <v>2.4499999999999997</v>
          </cell>
          <cell r="O311">
            <v>8.3299999999999983</v>
          </cell>
          <cell r="P311" t="str">
            <v>V</v>
          </cell>
          <cell r="Q311" t="str">
            <v>3/4"</v>
          </cell>
          <cell r="R311">
            <v>12</v>
          </cell>
          <cell r="S311">
            <v>3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90.048000000000016</v>
          </cell>
          <cell r="AC311">
            <v>0</v>
          </cell>
          <cell r="AD311">
            <v>0</v>
          </cell>
        </row>
        <row r="312">
          <cell r="C312">
            <v>1</v>
          </cell>
          <cell r="D312">
            <v>1</v>
          </cell>
          <cell r="G312">
            <v>2.65</v>
          </cell>
          <cell r="P312" t="str">
            <v>V</v>
          </cell>
          <cell r="Q312" t="str">
            <v>3/4"</v>
          </cell>
          <cell r="R312">
            <v>8</v>
          </cell>
          <cell r="S312">
            <v>3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60.032000000000011</v>
          </cell>
          <cell r="AC312">
            <v>0</v>
          </cell>
          <cell r="AD312">
            <v>0</v>
          </cell>
        </row>
        <row r="313">
          <cell r="B313" t="str">
            <v>Est</v>
          </cell>
          <cell r="C313">
            <v>1</v>
          </cell>
          <cell r="D313">
            <v>1</v>
          </cell>
          <cell r="E313">
            <v>0.65</v>
          </cell>
          <cell r="F313">
            <v>0.45</v>
          </cell>
          <cell r="G313">
            <v>2.65</v>
          </cell>
          <cell r="Q313" t="str">
            <v>3/8"</v>
          </cell>
          <cell r="R313">
            <v>24</v>
          </cell>
          <cell r="S313">
            <v>2.2000000000000002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29.568000000000005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</row>
        <row r="314">
          <cell r="B314" t="str">
            <v>Est</v>
          </cell>
          <cell r="C314">
            <v>1</v>
          </cell>
          <cell r="D314">
            <v>1</v>
          </cell>
          <cell r="E314">
            <v>0.55000000000000004</v>
          </cell>
          <cell r="F314">
            <v>0.45</v>
          </cell>
          <cell r="G314">
            <v>2.65</v>
          </cell>
          <cell r="Q314" t="str">
            <v>3/8"</v>
          </cell>
          <cell r="R314">
            <v>24</v>
          </cell>
          <cell r="S314">
            <v>2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26.880000000000003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</row>
        <row r="315">
          <cell r="B315" t="str">
            <v>Est</v>
          </cell>
          <cell r="C315">
            <v>1</v>
          </cell>
          <cell r="D315">
            <v>1</v>
          </cell>
          <cell r="E315">
            <v>0.75</v>
          </cell>
          <cell r="F315">
            <v>0.45</v>
          </cell>
          <cell r="G315">
            <v>2.65</v>
          </cell>
          <cell r="Q315" t="str">
            <v>3/8"</v>
          </cell>
          <cell r="R315">
            <v>24</v>
          </cell>
          <cell r="S315">
            <v>2.4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32.256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</row>
        <row r="316">
          <cell r="B316" t="str">
            <v>Est</v>
          </cell>
          <cell r="C316">
            <v>1</v>
          </cell>
          <cell r="D316">
            <v>1</v>
          </cell>
          <cell r="E316">
            <v>0.2</v>
          </cell>
          <cell r="F316">
            <v>0.45</v>
          </cell>
          <cell r="G316">
            <v>2.65</v>
          </cell>
          <cell r="Q316" t="str">
            <v>3/8"</v>
          </cell>
          <cell r="R316">
            <v>24</v>
          </cell>
          <cell r="S316">
            <v>1.3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17.472000000000005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</row>
        <row r="317">
          <cell r="B317" t="str">
            <v>Est</v>
          </cell>
          <cell r="C317">
            <v>1</v>
          </cell>
          <cell r="D317">
            <v>1</v>
          </cell>
          <cell r="E317">
            <v>0.2</v>
          </cell>
          <cell r="F317">
            <v>0.45</v>
          </cell>
          <cell r="G317">
            <v>2.65</v>
          </cell>
          <cell r="Q317" t="str">
            <v>3/8"</v>
          </cell>
          <cell r="R317">
            <v>24</v>
          </cell>
          <cell r="S317">
            <v>1.3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17.472000000000005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</row>
        <row r="318">
          <cell r="B318" t="str">
            <v>B2-C-03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</row>
        <row r="319">
          <cell r="B319" t="str">
            <v>Nucleo B</v>
          </cell>
          <cell r="C319">
            <v>1</v>
          </cell>
          <cell r="D319">
            <v>1</v>
          </cell>
          <cell r="E319">
            <v>2.15</v>
          </cell>
          <cell r="F319">
            <v>0.35</v>
          </cell>
          <cell r="G319">
            <v>2.65</v>
          </cell>
          <cell r="H319">
            <v>210</v>
          </cell>
          <cell r="I319">
            <v>1.9941249999999997</v>
          </cell>
          <cell r="J319">
            <v>0</v>
          </cell>
          <cell r="K319">
            <v>0</v>
          </cell>
          <cell r="L319">
            <v>1.9941249999999997</v>
          </cell>
          <cell r="M319">
            <v>5</v>
          </cell>
          <cell r="N319">
            <v>2.4499999999999997</v>
          </cell>
          <cell r="O319">
            <v>12.249999999999998</v>
          </cell>
          <cell r="P319" t="str">
            <v>V</v>
          </cell>
          <cell r="Q319" t="str">
            <v>3/4"</v>
          </cell>
          <cell r="R319">
            <v>14</v>
          </cell>
          <cell r="S319">
            <v>3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105.05600000000001</v>
          </cell>
          <cell r="AC319">
            <v>0</v>
          </cell>
          <cell r="AD319">
            <v>0</v>
          </cell>
        </row>
        <row r="320">
          <cell r="C320">
            <v>1</v>
          </cell>
          <cell r="D320">
            <v>1</v>
          </cell>
          <cell r="G320">
            <v>2.65</v>
          </cell>
          <cell r="P320" t="str">
            <v>V</v>
          </cell>
          <cell r="Q320" t="str">
            <v>3/4"</v>
          </cell>
          <cell r="R320">
            <v>16</v>
          </cell>
          <cell r="S320">
            <v>3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120.06400000000002</v>
          </cell>
          <cell r="AC320">
            <v>0</v>
          </cell>
          <cell r="AD320">
            <v>0</v>
          </cell>
        </row>
        <row r="321">
          <cell r="B321" t="str">
            <v>Est</v>
          </cell>
          <cell r="C321">
            <v>1</v>
          </cell>
          <cell r="D321">
            <v>1</v>
          </cell>
          <cell r="E321">
            <v>1.65</v>
          </cell>
          <cell r="F321">
            <v>0.35</v>
          </cell>
          <cell r="G321">
            <v>2.65</v>
          </cell>
          <cell r="Q321" t="str">
            <v>3/8"</v>
          </cell>
          <cell r="R321">
            <v>24</v>
          </cell>
          <cell r="S321">
            <v>4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53.760000000000005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</row>
        <row r="322">
          <cell r="B322" t="str">
            <v>Est</v>
          </cell>
          <cell r="C322">
            <v>1</v>
          </cell>
          <cell r="D322">
            <v>1</v>
          </cell>
          <cell r="E322">
            <v>1.5</v>
          </cell>
          <cell r="F322">
            <v>0.35</v>
          </cell>
          <cell r="G322">
            <v>2.65</v>
          </cell>
          <cell r="Q322" t="str">
            <v>3/8"</v>
          </cell>
          <cell r="R322">
            <v>24</v>
          </cell>
          <cell r="S322">
            <v>3.7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49.728000000000009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</row>
        <row r="323">
          <cell r="B323" t="str">
            <v>Est</v>
          </cell>
          <cell r="C323">
            <v>1</v>
          </cell>
          <cell r="D323">
            <v>1</v>
          </cell>
          <cell r="E323">
            <v>0.85</v>
          </cell>
          <cell r="F323">
            <v>0.35</v>
          </cell>
          <cell r="G323">
            <v>2.65</v>
          </cell>
          <cell r="Q323" t="str">
            <v>3/8"</v>
          </cell>
          <cell r="R323">
            <v>24</v>
          </cell>
          <cell r="S323">
            <v>2.4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32.256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</row>
        <row r="324">
          <cell r="B324" t="str">
            <v>Est</v>
          </cell>
          <cell r="C324">
            <v>1</v>
          </cell>
          <cell r="D324">
            <v>1</v>
          </cell>
          <cell r="E324">
            <v>1.1499999999999999</v>
          </cell>
          <cell r="F324">
            <v>0.35</v>
          </cell>
          <cell r="G324">
            <v>2.65</v>
          </cell>
          <cell r="Q324" t="str">
            <v>3/8"</v>
          </cell>
          <cell r="R324">
            <v>24</v>
          </cell>
          <cell r="S324">
            <v>3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40.320000000000007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</row>
        <row r="325">
          <cell r="B325" t="str">
            <v>B2-C-04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</row>
        <row r="326">
          <cell r="B326" t="str">
            <v>Nucleo B</v>
          </cell>
          <cell r="C326">
            <v>1</v>
          </cell>
          <cell r="D326">
            <v>2</v>
          </cell>
          <cell r="E326">
            <v>1.25</v>
          </cell>
          <cell r="F326">
            <v>0.25</v>
          </cell>
          <cell r="G326">
            <v>2.65</v>
          </cell>
          <cell r="H326">
            <v>210</v>
          </cell>
          <cell r="I326">
            <v>1.65625</v>
          </cell>
          <cell r="J326">
            <v>0</v>
          </cell>
          <cell r="K326">
            <v>0</v>
          </cell>
          <cell r="L326">
            <v>1.65625</v>
          </cell>
          <cell r="M326">
            <v>3</v>
          </cell>
          <cell r="N326">
            <v>2.4499999999999997</v>
          </cell>
          <cell r="O326">
            <v>14.7</v>
          </cell>
          <cell r="P326" t="str">
            <v>V</v>
          </cell>
          <cell r="Q326" t="str">
            <v>3/4"</v>
          </cell>
          <cell r="R326">
            <v>12</v>
          </cell>
          <cell r="S326">
            <v>3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170.68800000000002</v>
          </cell>
          <cell r="AC326">
            <v>0</v>
          </cell>
          <cell r="AD326">
            <v>0</v>
          </cell>
        </row>
        <row r="327">
          <cell r="C327">
            <v>1</v>
          </cell>
          <cell r="D327">
            <v>2</v>
          </cell>
          <cell r="E327">
            <v>0.3</v>
          </cell>
          <cell r="F327">
            <v>0.4</v>
          </cell>
          <cell r="G327">
            <v>2.65</v>
          </cell>
          <cell r="H327">
            <v>210</v>
          </cell>
          <cell r="I327">
            <v>0.63600000000000001</v>
          </cell>
          <cell r="J327">
            <v>0</v>
          </cell>
          <cell r="K327">
            <v>0</v>
          </cell>
          <cell r="L327">
            <v>0.63600000000000001</v>
          </cell>
          <cell r="M327">
            <v>1.4</v>
          </cell>
          <cell r="N327">
            <v>2.4499999999999997</v>
          </cell>
          <cell r="O327">
            <v>6.8599999999999985</v>
          </cell>
          <cell r="P327" t="str">
            <v>V</v>
          </cell>
          <cell r="Q327" t="str">
            <v>3/4"</v>
          </cell>
          <cell r="R327">
            <v>10</v>
          </cell>
          <cell r="S327">
            <v>3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142.24</v>
          </cell>
          <cell r="AC327">
            <v>0</v>
          </cell>
          <cell r="AD327">
            <v>0</v>
          </cell>
        </row>
        <row r="328">
          <cell r="B328" t="str">
            <v>Est</v>
          </cell>
          <cell r="C328">
            <v>1</v>
          </cell>
          <cell r="D328">
            <v>2</v>
          </cell>
          <cell r="E328">
            <v>1.25</v>
          </cell>
          <cell r="F328">
            <v>0.25</v>
          </cell>
          <cell r="G328">
            <v>2.65</v>
          </cell>
          <cell r="Q328" t="str">
            <v>3/8"</v>
          </cell>
          <cell r="R328">
            <v>24</v>
          </cell>
          <cell r="S328">
            <v>3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80.640000000000015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</row>
        <row r="329">
          <cell r="B329" t="str">
            <v>Est</v>
          </cell>
          <cell r="C329">
            <v>1</v>
          </cell>
          <cell r="D329">
            <v>2</v>
          </cell>
          <cell r="E329">
            <v>0.4</v>
          </cell>
          <cell r="F329">
            <v>0.25</v>
          </cell>
          <cell r="G329">
            <v>2.65</v>
          </cell>
          <cell r="Q329" t="str">
            <v>3/8"</v>
          </cell>
          <cell r="R329">
            <v>24</v>
          </cell>
          <cell r="S329">
            <v>1.3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34.94400000000001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</row>
        <row r="330">
          <cell r="B330" t="str">
            <v>Est</v>
          </cell>
          <cell r="C330">
            <v>1</v>
          </cell>
          <cell r="D330">
            <v>2</v>
          </cell>
          <cell r="E330">
            <v>0.4</v>
          </cell>
          <cell r="F330">
            <v>0.25</v>
          </cell>
          <cell r="G330">
            <v>2.65</v>
          </cell>
          <cell r="Q330" t="str">
            <v>3/8"</v>
          </cell>
          <cell r="R330">
            <v>24</v>
          </cell>
          <cell r="S330">
            <v>1.3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34.94400000000001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</row>
        <row r="331">
          <cell r="B331" t="str">
            <v>Est</v>
          </cell>
          <cell r="C331">
            <v>1</v>
          </cell>
          <cell r="D331">
            <v>2</v>
          </cell>
          <cell r="E331">
            <v>0.55000000000000004</v>
          </cell>
          <cell r="F331">
            <v>0.4</v>
          </cell>
          <cell r="G331">
            <v>2.65</v>
          </cell>
          <cell r="Q331" t="str">
            <v>3/8"</v>
          </cell>
          <cell r="R331">
            <v>24</v>
          </cell>
          <cell r="S331">
            <v>1.9000000000000001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51.07200000000001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</row>
        <row r="332">
          <cell r="B332" t="str">
            <v>Est</v>
          </cell>
          <cell r="C332">
            <v>1</v>
          </cell>
          <cell r="D332">
            <v>2</v>
          </cell>
          <cell r="E332">
            <v>0.55000000000000004</v>
          </cell>
          <cell r="F332">
            <v>0.25</v>
          </cell>
          <cell r="G332">
            <v>2.65</v>
          </cell>
          <cell r="Q332" t="str">
            <v>3/8"</v>
          </cell>
          <cell r="R332">
            <v>24</v>
          </cell>
          <cell r="S332">
            <v>1.6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43.00800000000001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</row>
        <row r="333">
          <cell r="B333" t="str">
            <v>Est</v>
          </cell>
          <cell r="C333">
            <v>1</v>
          </cell>
          <cell r="D333">
            <v>2</v>
          </cell>
          <cell r="E333">
            <v>0.15</v>
          </cell>
          <cell r="F333">
            <v>0.4</v>
          </cell>
          <cell r="G333">
            <v>2.65</v>
          </cell>
          <cell r="Q333" t="str">
            <v>3/8"</v>
          </cell>
          <cell r="R333">
            <v>24</v>
          </cell>
          <cell r="S333">
            <v>0.55000000000000004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14.784000000000002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</row>
        <row r="334"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</row>
        <row r="335"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</row>
        <row r="336">
          <cell r="B336" t="str">
            <v>11°-13° Piso</v>
          </cell>
          <cell r="C336">
            <v>3</v>
          </cell>
          <cell r="H336">
            <v>210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</row>
        <row r="337">
          <cell r="B337" t="str">
            <v>B2-C-01</v>
          </cell>
          <cell r="C337">
            <v>3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</row>
        <row r="338">
          <cell r="B338" t="str">
            <v>Nucleo B</v>
          </cell>
          <cell r="C338">
            <v>3</v>
          </cell>
          <cell r="D338">
            <v>1</v>
          </cell>
          <cell r="E338">
            <v>1.05</v>
          </cell>
          <cell r="F338">
            <v>0.4</v>
          </cell>
          <cell r="G338">
            <v>2.65</v>
          </cell>
          <cell r="H338">
            <v>210</v>
          </cell>
          <cell r="I338">
            <v>3.3390000000000004</v>
          </cell>
          <cell r="J338">
            <v>0</v>
          </cell>
          <cell r="K338">
            <v>0</v>
          </cell>
          <cell r="L338">
            <v>3.3390000000000004</v>
          </cell>
          <cell r="M338">
            <v>2.9000000000000004</v>
          </cell>
          <cell r="N338">
            <v>2.4499999999999997</v>
          </cell>
          <cell r="O338">
            <v>21.315000000000001</v>
          </cell>
          <cell r="P338" t="str">
            <v>V</v>
          </cell>
          <cell r="Q338" t="str">
            <v>3/4"</v>
          </cell>
          <cell r="R338">
            <v>8</v>
          </cell>
          <cell r="S338">
            <v>3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180.09600000000003</v>
          </cell>
          <cell r="AC338">
            <v>0</v>
          </cell>
          <cell r="AD338">
            <v>0</v>
          </cell>
        </row>
        <row r="339">
          <cell r="C339">
            <v>3</v>
          </cell>
          <cell r="D339">
            <v>1</v>
          </cell>
          <cell r="G339">
            <v>2.65</v>
          </cell>
          <cell r="P339" t="str">
            <v>V</v>
          </cell>
          <cell r="Q339" t="str">
            <v>3/4"</v>
          </cell>
          <cell r="R339">
            <v>10</v>
          </cell>
          <cell r="S339">
            <v>3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225.12</v>
          </cell>
          <cell r="AC339">
            <v>0</v>
          </cell>
          <cell r="AD339">
            <v>0</v>
          </cell>
        </row>
        <row r="340">
          <cell r="B340" t="str">
            <v>Est</v>
          </cell>
          <cell r="C340">
            <v>3</v>
          </cell>
          <cell r="D340">
            <v>1</v>
          </cell>
          <cell r="E340">
            <v>0.7</v>
          </cell>
          <cell r="F340">
            <v>0.4</v>
          </cell>
          <cell r="G340">
            <v>2.65</v>
          </cell>
          <cell r="Q340" t="str">
            <v>3/8"</v>
          </cell>
          <cell r="R340">
            <v>24</v>
          </cell>
          <cell r="S340">
            <v>2.2000000000000002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88.704000000000008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</row>
        <row r="341">
          <cell r="B341" t="str">
            <v>Est</v>
          </cell>
          <cell r="C341">
            <v>3</v>
          </cell>
          <cell r="D341">
            <v>1</v>
          </cell>
          <cell r="E341">
            <v>0.7</v>
          </cell>
          <cell r="F341">
            <v>0.4</v>
          </cell>
          <cell r="G341">
            <v>2.65</v>
          </cell>
          <cell r="Q341" t="str">
            <v>3/8"</v>
          </cell>
          <cell r="R341">
            <v>24</v>
          </cell>
          <cell r="S341">
            <v>2.2000000000000002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88.704000000000008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</row>
        <row r="342">
          <cell r="B342" t="str">
            <v>Est</v>
          </cell>
          <cell r="C342">
            <v>3</v>
          </cell>
          <cell r="D342">
            <v>1</v>
          </cell>
          <cell r="E342">
            <v>0.3</v>
          </cell>
          <cell r="F342">
            <v>0.4</v>
          </cell>
          <cell r="G342">
            <v>2.65</v>
          </cell>
          <cell r="Q342" t="str">
            <v>3/8"</v>
          </cell>
          <cell r="R342">
            <v>24</v>
          </cell>
          <cell r="S342">
            <v>1.4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56.447999999999993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</row>
        <row r="343">
          <cell r="B343" t="str">
            <v>Est</v>
          </cell>
          <cell r="C343">
            <v>3</v>
          </cell>
          <cell r="D343">
            <v>1</v>
          </cell>
          <cell r="E343">
            <v>0.3</v>
          </cell>
          <cell r="F343">
            <v>0.4</v>
          </cell>
          <cell r="G343">
            <v>2.65</v>
          </cell>
          <cell r="Q343" t="str">
            <v>3/8"</v>
          </cell>
          <cell r="R343">
            <v>24</v>
          </cell>
          <cell r="S343">
            <v>1.4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56.447999999999993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</row>
        <row r="344">
          <cell r="B344" t="str">
            <v>Est</v>
          </cell>
          <cell r="C344">
            <v>3</v>
          </cell>
          <cell r="D344">
            <v>1</v>
          </cell>
          <cell r="E344">
            <v>0.15</v>
          </cell>
          <cell r="F344">
            <v>0.4</v>
          </cell>
          <cell r="G344">
            <v>2.65</v>
          </cell>
          <cell r="Q344" t="str">
            <v>3/8"</v>
          </cell>
          <cell r="R344">
            <v>24</v>
          </cell>
          <cell r="S344">
            <v>0.55000000000000004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22.176000000000002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</row>
        <row r="345">
          <cell r="B345" t="str">
            <v>B2-C-02</v>
          </cell>
          <cell r="C345">
            <v>3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</row>
        <row r="346">
          <cell r="B346" t="str">
            <v>Nucleo B</v>
          </cell>
          <cell r="C346">
            <v>3</v>
          </cell>
          <cell r="D346">
            <v>1</v>
          </cell>
          <cell r="E346">
            <v>1.25</v>
          </cell>
          <cell r="F346">
            <v>0.45</v>
          </cell>
          <cell r="G346">
            <v>2.65</v>
          </cell>
          <cell r="H346">
            <v>210</v>
          </cell>
          <cell r="I346">
            <v>4.4718749999999998</v>
          </cell>
          <cell r="J346">
            <v>0</v>
          </cell>
          <cell r="K346">
            <v>0</v>
          </cell>
          <cell r="L346">
            <v>4.4718749999999998</v>
          </cell>
          <cell r="M346">
            <v>3.4</v>
          </cell>
          <cell r="N346">
            <v>2.4499999999999997</v>
          </cell>
          <cell r="O346">
            <v>24.989999999999995</v>
          </cell>
          <cell r="P346" t="str">
            <v>V</v>
          </cell>
          <cell r="Q346" t="str">
            <v>3/4"</v>
          </cell>
          <cell r="R346">
            <v>12</v>
          </cell>
          <cell r="S346">
            <v>3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270.14400000000006</v>
          </cell>
          <cell r="AC346">
            <v>0</v>
          </cell>
          <cell r="AD346">
            <v>0</v>
          </cell>
        </row>
        <row r="347">
          <cell r="C347">
            <v>3</v>
          </cell>
          <cell r="D347">
            <v>1</v>
          </cell>
          <cell r="G347">
            <v>2.65</v>
          </cell>
          <cell r="P347" t="str">
            <v>V</v>
          </cell>
          <cell r="Q347" t="str">
            <v>3/4"</v>
          </cell>
          <cell r="R347">
            <v>8</v>
          </cell>
          <cell r="S347">
            <v>3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180.09600000000003</v>
          </cell>
          <cell r="AC347">
            <v>0</v>
          </cell>
          <cell r="AD347">
            <v>0</v>
          </cell>
        </row>
        <row r="348">
          <cell r="B348" t="str">
            <v>Est</v>
          </cell>
          <cell r="C348">
            <v>3</v>
          </cell>
          <cell r="D348">
            <v>1</v>
          </cell>
          <cell r="E348">
            <v>0.65</v>
          </cell>
          <cell r="F348">
            <v>0.45</v>
          </cell>
          <cell r="G348">
            <v>2.65</v>
          </cell>
          <cell r="Q348" t="str">
            <v>3/8"</v>
          </cell>
          <cell r="R348">
            <v>24</v>
          </cell>
          <cell r="S348">
            <v>2.2000000000000002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88.704000000000008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</row>
        <row r="349">
          <cell r="B349" t="str">
            <v>Est</v>
          </cell>
          <cell r="C349">
            <v>3</v>
          </cell>
          <cell r="D349">
            <v>1</v>
          </cell>
          <cell r="E349">
            <v>0.55000000000000004</v>
          </cell>
          <cell r="F349">
            <v>0.45</v>
          </cell>
          <cell r="G349">
            <v>2.65</v>
          </cell>
          <cell r="Q349" t="str">
            <v>3/8"</v>
          </cell>
          <cell r="R349">
            <v>24</v>
          </cell>
          <cell r="S349">
            <v>2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80.640000000000015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</row>
        <row r="350">
          <cell r="B350" t="str">
            <v>Est</v>
          </cell>
          <cell r="C350">
            <v>3</v>
          </cell>
          <cell r="D350">
            <v>1</v>
          </cell>
          <cell r="E350">
            <v>0.75</v>
          </cell>
          <cell r="F350">
            <v>0.45</v>
          </cell>
          <cell r="G350">
            <v>2.65</v>
          </cell>
          <cell r="Q350" t="str">
            <v>3/8"</v>
          </cell>
          <cell r="R350">
            <v>24</v>
          </cell>
          <cell r="S350">
            <v>2.4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96.768000000000001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</row>
        <row r="351">
          <cell r="B351" t="str">
            <v>Est</v>
          </cell>
          <cell r="C351">
            <v>3</v>
          </cell>
          <cell r="D351">
            <v>1</v>
          </cell>
          <cell r="E351">
            <v>0.2</v>
          </cell>
          <cell r="F351">
            <v>0.45</v>
          </cell>
          <cell r="G351">
            <v>2.65</v>
          </cell>
          <cell r="Q351" t="str">
            <v>3/8"</v>
          </cell>
          <cell r="R351">
            <v>24</v>
          </cell>
          <cell r="S351">
            <v>1.3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52.416000000000011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</row>
        <row r="352">
          <cell r="B352" t="str">
            <v>Est</v>
          </cell>
          <cell r="C352">
            <v>3</v>
          </cell>
          <cell r="D352">
            <v>1</v>
          </cell>
          <cell r="E352">
            <v>0.2</v>
          </cell>
          <cell r="F352">
            <v>0.45</v>
          </cell>
          <cell r="G352">
            <v>2.65</v>
          </cell>
          <cell r="Q352" t="str">
            <v>3/8"</v>
          </cell>
          <cell r="R352">
            <v>24</v>
          </cell>
          <cell r="S352">
            <v>1.3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52.416000000000011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</row>
        <row r="353">
          <cell r="B353" t="str">
            <v>B2-C-03</v>
          </cell>
          <cell r="C353">
            <v>3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</row>
        <row r="354">
          <cell r="B354" t="str">
            <v>Nucleo B</v>
          </cell>
          <cell r="C354">
            <v>3</v>
          </cell>
          <cell r="D354">
            <v>1</v>
          </cell>
          <cell r="E354">
            <v>2.15</v>
          </cell>
          <cell r="F354">
            <v>0.35</v>
          </cell>
          <cell r="G354">
            <v>2.65</v>
          </cell>
          <cell r="H354">
            <v>210</v>
          </cell>
          <cell r="I354">
            <v>5.9823749999999984</v>
          </cell>
          <cell r="J354">
            <v>0</v>
          </cell>
          <cell r="K354">
            <v>0</v>
          </cell>
          <cell r="L354">
            <v>5.9823749999999984</v>
          </cell>
          <cell r="M354">
            <v>5</v>
          </cell>
          <cell r="N354">
            <v>2.4499999999999997</v>
          </cell>
          <cell r="O354">
            <v>36.749999999999993</v>
          </cell>
          <cell r="P354" t="str">
            <v>V</v>
          </cell>
          <cell r="Q354" t="str">
            <v>3/4"</v>
          </cell>
          <cell r="R354">
            <v>14</v>
          </cell>
          <cell r="S354">
            <v>3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315.16800000000001</v>
          </cell>
          <cell r="AC354">
            <v>0</v>
          </cell>
          <cell r="AD354">
            <v>0</v>
          </cell>
        </row>
        <row r="355">
          <cell r="C355">
            <v>3</v>
          </cell>
          <cell r="D355">
            <v>1</v>
          </cell>
          <cell r="G355">
            <v>2.65</v>
          </cell>
          <cell r="P355" t="str">
            <v>V</v>
          </cell>
          <cell r="Q355" t="str">
            <v>3/4"</v>
          </cell>
          <cell r="R355">
            <v>16</v>
          </cell>
          <cell r="S355">
            <v>3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360.19200000000006</v>
          </cell>
          <cell r="AC355">
            <v>0</v>
          </cell>
          <cell r="AD355">
            <v>0</v>
          </cell>
        </row>
        <row r="356">
          <cell r="B356" t="str">
            <v>Est</v>
          </cell>
          <cell r="C356">
            <v>3</v>
          </cell>
          <cell r="D356">
            <v>1</v>
          </cell>
          <cell r="E356">
            <v>1.65</v>
          </cell>
          <cell r="F356">
            <v>0.35</v>
          </cell>
          <cell r="G356">
            <v>2.65</v>
          </cell>
          <cell r="Q356" t="str">
            <v>3/8"</v>
          </cell>
          <cell r="R356">
            <v>24</v>
          </cell>
          <cell r="S356">
            <v>4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161.28000000000003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</row>
        <row r="357">
          <cell r="B357" t="str">
            <v>Est</v>
          </cell>
          <cell r="C357">
            <v>3</v>
          </cell>
          <cell r="D357">
            <v>1</v>
          </cell>
          <cell r="E357">
            <v>1.5</v>
          </cell>
          <cell r="F357">
            <v>0.35</v>
          </cell>
          <cell r="G357">
            <v>2.65</v>
          </cell>
          <cell r="Q357" t="str">
            <v>3/8"</v>
          </cell>
          <cell r="R357">
            <v>24</v>
          </cell>
          <cell r="S357">
            <v>3.7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149.18400000000003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</row>
        <row r="358">
          <cell r="B358" t="str">
            <v>Est</v>
          </cell>
          <cell r="C358">
            <v>3</v>
          </cell>
          <cell r="D358">
            <v>1</v>
          </cell>
          <cell r="E358">
            <v>0.85</v>
          </cell>
          <cell r="F358">
            <v>0.35</v>
          </cell>
          <cell r="G358">
            <v>2.65</v>
          </cell>
          <cell r="Q358" t="str">
            <v>3/8"</v>
          </cell>
          <cell r="R358">
            <v>24</v>
          </cell>
          <cell r="S358">
            <v>2.4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96.768000000000001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</row>
        <row r="359">
          <cell r="B359" t="str">
            <v>Est</v>
          </cell>
          <cell r="C359">
            <v>3</v>
          </cell>
          <cell r="D359">
            <v>1</v>
          </cell>
          <cell r="E359">
            <v>1.1499999999999999</v>
          </cell>
          <cell r="F359">
            <v>0.35</v>
          </cell>
          <cell r="G359">
            <v>2.65</v>
          </cell>
          <cell r="Q359" t="str">
            <v>3/8"</v>
          </cell>
          <cell r="R359">
            <v>24</v>
          </cell>
          <cell r="S359">
            <v>3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120.96000000000002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</row>
        <row r="360">
          <cell r="B360" t="str">
            <v>B2-C-04</v>
          </cell>
          <cell r="C360">
            <v>3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</row>
        <row r="361">
          <cell r="B361" t="str">
            <v>Nucleo B</v>
          </cell>
          <cell r="C361">
            <v>3</v>
          </cell>
          <cell r="D361">
            <v>2</v>
          </cell>
          <cell r="E361">
            <v>1.25</v>
          </cell>
          <cell r="F361">
            <v>0.25</v>
          </cell>
          <cell r="G361">
            <v>2.65</v>
          </cell>
          <cell r="H361">
            <v>210</v>
          </cell>
          <cell r="I361">
            <v>4.96875</v>
          </cell>
          <cell r="J361">
            <v>0</v>
          </cell>
          <cell r="K361">
            <v>0</v>
          </cell>
          <cell r="L361">
            <v>4.96875</v>
          </cell>
          <cell r="M361">
            <v>3</v>
          </cell>
          <cell r="N361">
            <v>2.4499999999999997</v>
          </cell>
          <cell r="O361">
            <v>44.099999999999994</v>
          </cell>
          <cell r="P361" t="str">
            <v>V</v>
          </cell>
          <cell r="Q361" t="str">
            <v>3/4"</v>
          </cell>
          <cell r="R361">
            <v>12</v>
          </cell>
          <cell r="S361">
            <v>3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512.06400000000008</v>
          </cell>
          <cell r="AC361">
            <v>0</v>
          </cell>
          <cell r="AD361">
            <v>0</v>
          </cell>
        </row>
        <row r="362">
          <cell r="C362">
            <v>3</v>
          </cell>
          <cell r="D362">
            <v>2</v>
          </cell>
          <cell r="E362">
            <v>0.3</v>
          </cell>
          <cell r="F362">
            <v>0.4</v>
          </cell>
          <cell r="G362">
            <v>2.65</v>
          </cell>
          <cell r="H362">
            <v>210</v>
          </cell>
          <cell r="I362">
            <v>1.9079999999999999</v>
          </cell>
          <cell r="J362">
            <v>0</v>
          </cell>
          <cell r="K362">
            <v>0</v>
          </cell>
          <cell r="L362">
            <v>1.9079999999999999</v>
          </cell>
          <cell r="M362">
            <v>1.4</v>
          </cell>
          <cell r="N362">
            <v>2.4499999999999997</v>
          </cell>
          <cell r="O362">
            <v>20.579999999999995</v>
          </cell>
          <cell r="P362" t="str">
            <v>V</v>
          </cell>
          <cell r="Q362" t="str">
            <v>3/4"</v>
          </cell>
          <cell r="R362">
            <v>10</v>
          </cell>
          <cell r="S362">
            <v>3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426.72</v>
          </cell>
          <cell r="AC362">
            <v>0</v>
          </cell>
          <cell r="AD362">
            <v>0</v>
          </cell>
        </row>
        <row r="363">
          <cell r="B363" t="str">
            <v>Est</v>
          </cell>
          <cell r="C363">
            <v>3</v>
          </cell>
          <cell r="D363">
            <v>2</v>
          </cell>
          <cell r="E363">
            <v>1.25</v>
          </cell>
          <cell r="F363">
            <v>0.25</v>
          </cell>
          <cell r="G363">
            <v>2.65</v>
          </cell>
          <cell r="Q363" t="str">
            <v>3/8"</v>
          </cell>
          <cell r="R363">
            <v>24</v>
          </cell>
          <cell r="S363">
            <v>3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241.92000000000004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</row>
        <row r="364">
          <cell r="B364" t="str">
            <v>Est</v>
          </cell>
          <cell r="C364">
            <v>3</v>
          </cell>
          <cell r="D364">
            <v>2</v>
          </cell>
          <cell r="E364">
            <v>0.4</v>
          </cell>
          <cell r="F364">
            <v>0.25</v>
          </cell>
          <cell r="G364">
            <v>2.65</v>
          </cell>
          <cell r="Q364" t="str">
            <v>3/8"</v>
          </cell>
          <cell r="R364">
            <v>24</v>
          </cell>
          <cell r="S364">
            <v>1.3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104.83200000000002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</row>
        <row r="365">
          <cell r="B365" t="str">
            <v>Est</v>
          </cell>
          <cell r="C365">
            <v>3</v>
          </cell>
          <cell r="D365">
            <v>2</v>
          </cell>
          <cell r="E365">
            <v>0.4</v>
          </cell>
          <cell r="F365">
            <v>0.25</v>
          </cell>
          <cell r="G365">
            <v>2.65</v>
          </cell>
          <cell r="Q365" t="str">
            <v>3/8"</v>
          </cell>
          <cell r="R365">
            <v>24</v>
          </cell>
          <cell r="S365">
            <v>1.3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104.83200000000002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</row>
        <row r="366">
          <cell r="B366" t="str">
            <v>Est</v>
          </cell>
          <cell r="C366">
            <v>3</v>
          </cell>
          <cell r="D366">
            <v>2</v>
          </cell>
          <cell r="E366">
            <v>0.55000000000000004</v>
          </cell>
          <cell r="F366">
            <v>0.4</v>
          </cell>
          <cell r="G366">
            <v>2.65</v>
          </cell>
          <cell r="Q366" t="str">
            <v>3/8"</v>
          </cell>
          <cell r="R366">
            <v>24</v>
          </cell>
          <cell r="S366">
            <v>1.9000000000000001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153.21600000000004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</row>
        <row r="367">
          <cell r="B367" t="str">
            <v>Est</v>
          </cell>
          <cell r="C367">
            <v>3</v>
          </cell>
          <cell r="D367">
            <v>2</v>
          </cell>
          <cell r="E367">
            <v>0.55000000000000004</v>
          </cell>
          <cell r="F367">
            <v>0.25</v>
          </cell>
          <cell r="G367">
            <v>2.65</v>
          </cell>
          <cell r="Q367" t="str">
            <v>3/8"</v>
          </cell>
          <cell r="R367">
            <v>24</v>
          </cell>
          <cell r="S367">
            <v>1.6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129.02400000000003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</row>
        <row r="368">
          <cell r="B368" t="str">
            <v>Est</v>
          </cell>
          <cell r="C368">
            <v>3</v>
          </cell>
          <cell r="D368">
            <v>2</v>
          </cell>
          <cell r="E368">
            <v>0.15</v>
          </cell>
          <cell r="F368">
            <v>0.4</v>
          </cell>
          <cell r="G368">
            <v>2.65</v>
          </cell>
          <cell r="Q368" t="str">
            <v>3/8"</v>
          </cell>
          <cell r="R368">
            <v>24</v>
          </cell>
          <cell r="S368">
            <v>0.55000000000000004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44.352000000000004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</row>
        <row r="369"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</row>
        <row r="370">
          <cell r="B370" t="str">
            <v>14° Piso</v>
          </cell>
          <cell r="C370">
            <v>1</v>
          </cell>
          <cell r="H370">
            <v>210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</row>
        <row r="371">
          <cell r="B371" t="str">
            <v>B2-C-01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</row>
        <row r="372">
          <cell r="B372" t="str">
            <v>Nucleo B</v>
          </cell>
          <cell r="C372">
            <v>1</v>
          </cell>
          <cell r="D372">
            <v>1</v>
          </cell>
          <cell r="E372">
            <v>1.05</v>
          </cell>
          <cell r="F372">
            <v>0.4</v>
          </cell>
          <cell r="G372">
            <v>2.65</v>
          </cell>
          <cell r="H372">
            <v>210</v>
          </cell>
          <cell r="I372">
            <v>1.113</v>
          </cell>
          <cell r="J372">
            <v>0</v>
          </cell>
          <cell r="K372">
            <v>0</v>
          </cell>
          <cell r="L372">
            <v>1.113</v>
          </cell>
          <cell r="M372">
            <v>2.9000000000000004</v>
          </cell>
          <cell r="N372">
            <v>2.4499999999999997</v>
          </cell>
          <cell r="O372">
            <v>7.1050000000000004</v>
          </cell>
          <cell r="P372" t="str">
            <v>V</v>
          </cell>
          <cell r="Q372" t="str">
            <v>3/4"</v>
          </cell>
          <cell r="R372">
            <v>8</v>
          </cell>
          <cell r="S372">
            <v>3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60.032000000000011</v>
          </cell>
          <cell r="AC372">
            <v>0</v>
          </cell>
          <cell r="AD372">
            <v>0</v>
          </cell>
        </row>
        <row r="373">
          <cell r="C373">
            <v>1</v>
          </cell>
          <cell r="D373">
            <v>1</v>
          </cell>
          <cell r="G373">
            <v>2.65</v>
          </cell>
          <cell r="P373" t="str">
            <v>V</v>
          </cell>
          <cell r="Q373" t="str">
            <v>3/4"</v>
          </cell>
          <cell r="R373">
            <v>10</v>
          </cell>
          <cell r="S373">
            <v>3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75.040000000000006</v>
          </cell>
          <cell r="AC373">
            <v>0</v>
          </cell>
          <cell r="AD373">
            <v>0</v>
          </cell>
        </row>
        <row r="374">
          <cell r="B374" t="str">
            <v>Est</v>
          </cell>
          <cell r="C374">
            <v>1</v>
          </cell>
          <cell r="D374">
            <v>1</v>
          </cell>
          <cell r="E374">
            <v>0.7</v>
          </cell>
          <cell r="F374">
            <v>0.4</v>
          </cell>
          <cell r="G374">
            <v>2.65</v>
          </cell>
          <cell r="Q374" t="str">
            <v>3/8"</v>
          </cell>
          <cell r="R374">
            <v>24</v>
          </cell>
          <cell r="S374">
            <v>2.2000000000000002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29.568000000000005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</row>
        <row r="375">
          <cell r="B375" t="str">
            <v>Est</v>
          </cell>
          <cell r="C375">
            <v>1</v>
          </cell>
          <cell r="D375">
            <v>1</v>
          </cell>
          <cell r="E375">
            <v>0.7</v>
          </cell>
          <cell r="F375">
            <v>0.4</v>
          </cell>
          <cell r="G375">
            <v>2.65</v>
          </cell>
          <cell r="Q375" t="str">
            <v>3/8"</v>
          </cell>
          <cell r="R375">
            <v>24</v>
          </cell>
          <cell r="S375">
            <v>2.2000000000000002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29.568000000000005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</row>
        <row r="376">
          <cell r="B376" t="str">
            <v>Est</v>
          </cell>
          <cell r="C376">
            <v>1</v>
          </cell>
          <cell r="D376">
            <v>1</v>
          </cell>
          <cell r="E376">
            <v>0.3</v>
          </cell>
          <cell r="F376">
            <v>0.4</v>
          </cell>
          <cell r="G376">
            <v>2.65</v>
          </cell>
          <cell r="Q376" t="str">
            <v>3/8"</v>
          </cell>
          <cell r="R376">
            <v>24</v>
          </cell>
          <cell r="S376">
            <v>1.4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18.815999999999999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</row>
        <row r="377">
          <cell r="B377" t="str">
            <v>Est</v>
          </cell>
          <cell r="C377">
            <v>1</v>
          </cell>
          <cell r="D377">
            <v>1</v>
          </cell>
          <cell r="E377">
            <v>0.3</v>
          </cell>
          <cell r="F377">
            <v>0.4</v>
          </cell>
          <cell r="G377">
            <v>2.65</v>
          </cell>
          <cell r="Q377" t="str">
            <v>3/8"</v>
          </cell>
          <cell r="R377">
            <v>24</v>
          </cell>
          <cell r="S377">
            <v>1.4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18.815999999999999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</row>
        <row r="378">
          <cell r="B378" t="str">
            <v>Est</v>
          </cell>
          <cell r="C378">
            <v>1</v>
          </cell>
          <cell r="D378">
            <v>1</v>
          </cell>
          <cell r="E378">
            <v>0.15</v>
          </cell>
          <cell r="F378">
            <v>0.4</v>
          </cell>
          <cell r="G378">
            <v>2.65</v>
          </cell>
          <cell r="Q378" t="str">
            <v>3/8"</v>
          </cell>
          <cell r="R378">
            <v>24</v>
          </cell>
          <cell r="S378">
            <v>0.55000000000000004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7.3920000000000012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</row>
        <row r="379">
          <cell r="B379" t="str">
            <v>B2-C-02</v>
          </cell>
          <cell r="C379">
            <v>1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</row>
        <row r="380">
          <cell r="B380" t="str">
            <v>Nucleo B</v>
          </cell>
          <cell r="C380">
            <v>1</v>
          </cell>
          <cell r="D380">
            <v>1</v>
          </cell>
          <cell r="E380">
            <v>1.25</v>
          </cell>
          <cell r="F380">
            <v>0.45</v>
          </cell>
          <cell r="G380">
            <v>2.65</v>
          </cell>
          <cell r="H380">
            <v>210</v>
          </cell>
          <cell r="I380">
            <v>1.4906249999999999</v>
          </cell>
          <cell r="J380">
            <v>0</v>
          </cell>
          <cell r="K380">
            <v>0</v>
          </cell>
          <cell r="L380">
            <v>1.4906249999999999</v>
          </cell>
          <cell r="M380">
            <v>3.4</v>
          </cell>
          <cell r="N380">
            <v>2.4499999999999997</v>
          </cell>
          <cell r="O380">
            <v>8.3299999999999983</v>
          </cell>
          <cell r="P380" t="str">
            <v>V</v>
          </cell>
          <cell r="Q380" t="str">
            <v>3/4"</v>
          </cell>
          <cell r="R380">
            <v>12</v>
          </cell>
          <cell r="S380">
            <v>3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90.048000000000016</v>
          </cell>
          <cell r="AC380">
            <v>0</v>
          </cell>
          <cell r="AD380">
            <v>0</v>
          </cell>
        </row>
        <row r="381">
          <cell r="C381">
            <v>1</v>
          </cell>
          <cell r="D381">
            <v>1</v>
          </cell>
          <cell r="G381">
            <v>2.65</v>
          </cell>
          <cell r="P381" t="str">
            <v>V</v>
          </cell>
          <cell r="Q381" t="str">
            <v>3/4"</v>
          </cell>
          <cell r="R381">
            <v>8</v>
          </cell>
          <cell r="S381">
            <v>3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60.032000000000011</v>
          </cell>
          <cell r="AC381">
            <v>0</v>
          </cell>
          <cell r="AD381">
            <v>0</v>
          </cell>
        </row>
        <row r="382">
          <cell r="B382" t="str">
            <v>Est</v>
          </cell>
          <cell r="C382">
            <v>1</v>
          </cell>
          <cell r="D382">
            <v>1</v>
          </cell>
          <cell r="E382">
            <v>0.65</v>
          </cell>
          <cell r="F382">
            <v>0.45</v>
          </cell>
          <cell r="G382">
            <v>2.65</v>
          </cell>
          <cell r="Q382" t="str">
            <v>3/8"</v>
          </cell>
          <cell r="R382">
            <v>24</v>
          </cell>
          <cell r="S382">
            <v>2.2000000000000002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29.568000000000005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</row>
        <row r="383">
          <cell r="B383" t="str">
            <v>Est</v>
          </cell>
          <cell r="C383">
            <v>1</v>
          </cell>
          <cell r="D383">
            <v>1</v>
          </cell>
          <cell r="E383">
            <v>0.55000000000000004</v>
          </cell>
          <cell r="F383">
            <v>0.45</v>
          </cell>
          <cell r="G383">
            <v>2.65</v>
          </cell>
          <cell r="Q383" t="str">
            <v>3/8"</v>
          </cell>
          <cell r="R383">
            <v>24</v>
          </cell>
          <cell r="S383">
            <v>2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26.880000000000003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</row>
        <row r="384">
          <cell r="B384" t="str">
            <v>Est</v>
          </cell>
          <cell r="C384">
            <v>1</v>
          </cell>
          <cell r="D384">
            <v>1</v>
          </cell>
          <cell r="E384">
            <v>0.75</v>
          </cell>
          <cell r="F384">
            <v>0.45</v>
          </cell>
          <cell r="G384">
            <v>2.65</v>
          </cell>
          <cell r="Q384" t="str">
            <v>3/8"</v>
          </cell>
          <cell r="R384">
            <v>24</v>
          </cell>
          <cell r="S384">
            <v>2.4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32.256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</row>
        <row r="385">
          <cell r="B385" t="str">
            <v>Est</v>
          </cell>
          <cell r="C385">
            <v>1</v>
          </cell>
          <cell r="D385">
            <v>1</v>
          </cell>
          <cell r="E385">
            <v>0.2</v>
          </cell>
          <cell r="F385">
            <v>0.45</v>
          </cell>
          <cell r="G385">
            <v>2.65</v>
          </cell>
          <cell r="Q385" t="str">
            <v>3/8"</v>
          </cell>
          <cell r="R385">
            <v>24</v>
          </cell>
          <cell r="S385">
            <v>1.3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17.472000000000005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</row>
        <row r="386">
          <cell r="B386" t="str">
            <v>Est</v>
          </cell>
          <cell r="C386">
            <v>1</v>
          </cell>
          <cell r="D386">
            <v>1</v>
          </cell>
          <cell r="E386">
            <v>0.2</v>
          </cell>
          <cell r="F386">
            <v>0.45</v>
          </cell>
          <cell r="G386">
            <v>2.65</v>
          </cell>
          <cell r="Q386" t="str">
            <v>3/8"</v>
          </cell>
          <cell r="R386">
            <v>24</v>
          </cell>
          <cell r="S386">
            <v>1.3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17.472000000000005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</row>
        <row r="387">
          <cell r="B387" t="str">
            <v>B2-C-03</v>
          </cell>
          <cell r="C387">
            <v>1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</row>
        <row r="388">
          <cell r="B388" t="str">
            <v>Nucleo B</v>
          </cell>
          <cell r="C388">
            <v>1</v>
          </cell>
          <cell r="D388">
            <v>1</v>
          </cell>
          <cell r="E388">
            <v>2.15</v>
          </cell>
          <cell r="F388">
            <v>0.35</v>
          </cell>
          <cell r="G388">
            <v>2.65</v>
          </cell>
          <cell r="H388">
            <v>210</v>
          </cell>
          <cell r="I388">
            <v>1.9941249999999997</v>
          </cell>
          <cell r="J388">
            <v>0</v>
          </cell>
          <cell r="K388">
            <v>0</v>
          </cell>
          <cell r="L388">
            <v>1.9941249999999997</v>
          </cell>
          <cell r="M388">
            <v>5</v>
          </cell>
          <cell r="N388">
            <v>2.4499999999999997</v>
          </cell>
          <cell r="O388">
            <v>12.249999999999998</v>
          </cell>
          <cell r="P388" t="str">
            <v>V</v>
          </cell>
          <cell r="Q388" t="str">
            <v>3/4"</v>
          </cell>
          <cell r="R388">
            <v>14</v>
          </cell>
          <cell r="S388">
            <v>3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105.05600000000001</v>
          </cell>
          <cell r="AC388">
            <v>0</v>
          </cell>
          <cell r="AD388">
            <v>0</v>
          </cell>
        </row>
        <row r="389">
          <cell r="C389">
            <v>1</v>
          </cell>
          <cell r="D389">
            <v>1</v>
          </cell>
          <cell r="G389">
            <v>2.65</v>
          </cell>
          <cell r="P389" t="str">
            <v>V</v>
          </cell>
          <cell r="Q389" t="str">
            <v>3/4"</v>
          </cell>
          <cell r="R389">
            <v>16</v>
          </cell>
          <cell r="S389">
            <v>3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120.06400000000002</v>
          </cell>
          <cell r="AC389">
            <v>0</v>
          </cell>
          <cell r="AD389">
            <v>0</v>
          </cell>
        </row>
        <row r="390">
          <cell r="B390" t="str">
            <v>Est</v>
          </cell>
          <cell r="C390">
            <v>1</v>
          </cell>
          <cell r="D390">
            <v>1</v>
          </cell>
          <cell r="E390">
            <v>1.65</v>
          </cell>
          <cell r="F390">
            <v>0.35</v>
          </cell>
          <cell r="G390">
            <v>2.65</v>
          </cell>
          <cell r="Q390" t="str">
            <v>3/8"</v>
          </cell>
          <cell r="R390">
            <v>24</v>
          </cell>
          <cell r="S390">
            <v>4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53.760000000000005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</row>
        <row r="391">
          <cell r="B391" t="str">
            <v>Est</v>
          </cell>
          <cell r="C391">
            <v>1</v>
          </cell>
          <cell r="D391">
            <v>1</v>
          </cell>
          <cell r="E391">
            <v>1.5</v>
          </cell>
          <cell r="F391">
            <v>0.35</v>
          </cell>
          <cell r="G391">
            <v>2.65</v>
          </cell>
          <cell r="Q391" t="str">
            <v>3/8"</v>
          </cell>
          <cell r="R391">
            <v>24</v>
          </cell>
          <cell r="S391">
            <v>3.7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49.728000000000009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</row>
        <row r="392">
          <cell r="B392" t="str">
            <v>Est</v>
          </cell>
          <cell r="C392">
            <v>1</v>
          </cell>
          <cell r="D392">
            <v>1</v>
          </cell>
          <cell r="E392">
            <v>0.85</v>
          </cell>
          <cell r="F392">
            <v>0.35</v>
          </cell>
          <cell r="G392">
            <v>2.65</v>
          </cell>
          <cell r="Q392" t="str">
            <v>3/8"</v>
          </cell>
          <cell r="R392">
            <v>24</v>
          </cell>
          <cell r="S392">
            <v>2.4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32.256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</row>
        <row r="393">
          <cell r="B393" t="str">
            <v>Est</v>
          </cell>
          <cell r="C393">
            <v>1</v>
          </cell>
          <cell r="D393">
            <v>1</v>
          </cell>
          <cell r="E393">
            <v>1.1499999999999999</v>
          </cell>
          <cell r="F393">
            <v>0.35</v>
          </cell>
          <cell r="G393">
            <v>2.65</v>
          </cell>
          <cell r="Q393" t="str">
            <v>3/8"</v>
          </cell>
          <cell r="R393">
            <v>24</v>
          </cell>
          <cell r="S393">
            <v>3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40.320000000000007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</row>
        <row r="394">
          <cell r="B394" t="str">
            <v>B2-C-04</v>
          </cell>
          <cell r="C394">
            <v>1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</row>
        <row r="395">
          <cell r="B395" t="str">
            <v>Nucleo B</v>
          </cell>
          <cell r="C395">
            <v>1</v>
          </cell>
          <cell r="D395">
            <v>2</v>
          </cell>
          <cell r="E395">
            <v>1.25</v>
          </cell>
          <cell r="F395">
            <v>0.25</v>
          </cell>
          <cell r="G395">
            <v>2.65</v>
          </cell>
          <cell r="H395">
            <v>210</v>
          </cell>
          <cell r="I395">
            <v>1.65625</v>
          </cell>
          <cell r="J395">
            <v>0</v>
          </cell>
          <cell r="K395">
            <v>0</v>
          </cell>
          <cell r="L395">
            <v>1.65625</v>
          </cell>
          <cell r="M395">
            <v>3</v>
          </cell>
          <cell r="N395">
            <v>2.4499999999999997</v>
          </cell>
          <cell r="O395">
            <v>14.7</v>
          </cell>
          <cell r="P395" t="str">
            <v>V</v>
          </cell>
          <cell r="Q395" t="str">
            <v>3/4"</v>
          </cell>
          <cell r="R395">
            <v>12</v>
          </cell>
          <cell r="S395">
            <v>3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170.68800000000002</v>
          </cell>
          <cell r="AC395">
            <v>0</v>
          </cell>
          <cell r="AD395">
            <v>0</v>
          </cell>
        </row>
        <row r="396">
          <cell r="C396">
            <v>1</v>
          </cell>
          <cell r="D396">
            <v>2</v>
          </cell>
          <cell r="E396">
            <v>0.3</v>
          </cell>
          <cell r="F396">
            <v>0.4</v>
          </cell>
          <cell r="G396">
            <v>2.65</v>
          </cell>
          <cell r="H396">
            <v>210</v>
          </cell>
          <cell r="I396">
            <v>0.63600000000000001</v>
          </cell>
          <cell r="J396">
            <v>0</v>
          </cell>
          <cell r="K396">
            <v>0</v>
          </cell>
          <cell r="L396">
            <v>0.63600000000000001</v>
          </cell>
          <cell r="M396">
            <v>1.4</v>
          </cell>
          <cell r="N396">
            <v>2.4499999999999997</v>
          </cell>
          <cell r="O396">
            <v>6.8599999999999985</v>
          </cell>
          <cell r="P396" t="str">
            <v>V</v>
          </cell>
          <cell r="Q396" t="str">
            <v>3/4"</v>
          </cell>
          <cell r="R396">
            <v>10</v>
          </cell>
          <cell r="S396">
            <v>3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142.24</v>
          </cell>
          <cell r="AC396">
            <v>0</v>
          </cell>
          <cell r="AD396">
            <v>0</v>
          </cell>
        </row>
        <row r="397">
          <cell r="B397" t="str">
            <v>Est</v>
          </cell>
          <cell r="C397">
            <v>1</v>
          </cell>
          <cell r="D397">
            <v>2</v>
          </cell>
          <cell r="E397">
            <v>1.25</v>
          </cell>
          <cell r="F397">
            <v>0.25</v>
          </cell>
          <cell r="G397">
            <v>2.65</v>
          </cell>
          <cell r="Q397" t="str">
            <v>3/8"</v>
          </cell>
          <cell r="R397">
            <v>24</v>
          </cell>
          <cell r="S397">
            <v>3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80.640000000000015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</row>
        <row r="398">
          <cell r="B398" t="str">
            <v>Est</v>
          </cell>
          <cell r="C398">
            <v>1</v>
          </cell>
          <cell r="D398">
            <v>2</v>
          </cell>
          <cell r="E398">
            <v>0.4</v>
          </cell>
          <cell r="F398">
            <v>0.25</v>
          </cell>
          <cell r="G398">
            <v>2.65</v>
          </cell>
          <cell r="Q398" t="str">
            <v>3/8"</v>
          </cell>
          <cell r="R398">
            <v>24</v>
          </cell>
          <cell r="S398">
            <v>1.3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34.94400000000001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</row>
        <row r="399">
          <cell r="B399" t="str">
            <v>Est</v>
          </cell>
          <cell r="C399">
            <v>1</v>
          </cell>
          <cell r="D399">
            <v>2</v>
          </cell>
          <cell r="E399">
            <v>0.4</v>
          </cell>
          <cell r="F399">
            <v>0.25</v>
          </cell>
          <cell r="G399">
            <v>2.65</v>
          </cell>
          <cell r="Q399" t="str">
            <v>3/8"</v>
          </cell>
          <cell r="R399">
            <v>24</v>
          </cell>
          <cell r="S399">
            <v>1.3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34.94400000000001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</row>
        <row r="400">
          <cell r="B400" t="str">
            <v>Est</v>
          </cell>
          <cell r="C400">
            <v>1</v>
          </cell>
          <cell r="D400">
            <v>2</v>
          </cell>
          <cell r="E400">
            <v>0.55000000000000004</v>
          </cell>
          <cell r="F400">
            <v>0.4</v>
          </cell>
          <cell r="G400">
            <v>2.65</v>
          </cell>
          <cell r="Q400" t="str">
            <v>3/8"</v>
          </cell>
          <cell r="R400">
            <v>24</v>
          </cell>
          <cell r="S400">
            <v>1.9000000000000001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51.07200000000001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</row>
        <row r="401">
          <cell r="B401" t="str">
            <v>Est</v>
          </cell>
          <cell r="C401">
            <v>1</v>
          </cell>
          <cell r="D401">
            <v>2</v>
          </cell>
          <cell r="E401">
            <v>0.55000000000000004</v>
          </cell>
          <cell r="F401">
            <v>0.25</v>
          </cell>
          <cell r="G401">
            <v>2.65</v>
          </cell>
          <cell r="Q401" t="str">
            <v>3/8"</v>
          </cell>
          <cell r="R401">
            <v>24</v>
          </cell>
          <cell r="S401">
            <v>1.6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43.00800000000001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</row>
        <row r="402">
          <cell r="B402" t="str">
            <v>Est</v>
          </cell>
          <cell r="C402">
            <v>1</v>
          </cell>
          <cell r="D402">
            <v>2</v>
          </cell>
          <cell r="E402">
            <v>0.15</v>
          </cell>
          <cell r="F402">
            <v>0.4</v>
          </cell>
          <cell r="G402">
            <v>2.65</v>
          </cell>
          <cell r="Q402" t="str">
            <v>3/8"</v>
          </cell>
          <cell r="R402">
            <v>24</v>
          </cell>
          <cell r="S402">
            <v>0.55000000000000004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14.784000000000002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</row>
        <row r="403">
          <cell r="B403" t="str">
            <v>15° Piso</v>
          </cell>
          <cell r="C403">
            <v>1</v>
          </cell>
          <cell r="H403">
            <v>210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</row>
        <row r="404">
          <cell r="B404" t="str">
            <v>B2-C-01</v>
          </cell>
          <cell r="C404">
            <v>1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</row>
        <row r="405">
          <cell r="B405" t="str">
            <v>Nucleo B</v>
          </cell>
          <cell r="C405">
            <v>1</v>
          </cell>
          <cell r="D405">
            <v>1</v>
          </cell>
          <cell r="E405">
            <v>1.05</v>
          </cell>
          <cell r="F405">
            <v>0.4</v>
          </cell>
          <cell r="G405">
            <v>2.65</v>
          </cell>
          <cell r="H405">
            <v>210</v>
          </cell>
          <cell r="I405">
            <v>1.113</v>
          </cell>
          <cell r="J405">
            <v>0</v>
          </cell>
          <cell r="K405">
            <v>0</v>
          </cell>
          <cell r="L405">
            <v>1.113</v>
          </cell>
          <cell r="M405">
            <v>2.9000000000000004</v>
          </cell>
          <cell r="N405">
            <v>2.4499999999999997</v>
          </cell>
          <cell r="O405">
            <v>7.1050000000000004</v>
          </cell>
          <cell r="P405" t="str">
            <v>V</v>
          </cell>
          <cell r="Q405" t="str">
            <v>3/4"</v>
          </cell>
          <cell r="R405">
            <v>8</v>
          </cell>
          <cell r="S405">
            <v>3.25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64.512000000000015</v>
          </cell>
          <cell r="AC405">
            <v>0</v>
          </cell>
          <cell r="AD405">
            <v>0</v>
          </cell>
        </row>
        <row r="406">
          <cell r="C406">
            <v>1</v>
          </cell>
          <cell r="D406">
            <v>1</v>
          </cell>
          <cell r="G406">
            <v>2.65</v>
          </cell>
          <cell r="P406" t="str">
            <v>V</v>
          </cell>
          <cell r="Q406" t="str">
            <v>3/4"</v>
          </cell>
          <cell r="R406">
            <v>10</v>
          </cell>
          <cell r="S406">
            <v>3.25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80.640000000000015</v>
          </cell>
          <cell r="AC406">
            <v>0</v>
          </cell>
          <cell r="AD406">
            <v>0</v>
          </cell>
        </row>
        <row r="407">
          <cell r="B407" t="str">
            <v>Est</v>
          </cell>
          <cell r="C407">
            <v>1</v>
          </cell>
          <cell r="D407">
            <v>1</v>
          </cell>
          <cell r="E407">
            <v>0.7</v>
          </cell>
          <cell r="F407">
            <v>0.4</v>
          </cell>
          <cell r="G407">
            <v>2.65</v>
          </cell>
          <cell r="Q407" t="str">
            <v>3/8"</v>
          </cell>
          <cell r="R407">
            <v>24</v>
          </cell>
          <cell r="S407">
            <v>2.2000000000000002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29.568000000000005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</row>
        <row r="408">
          <cell r="B408" t="str">
            <v>Est</v>
          </cell>
          <cell r="C408">
            <v>1</v>
          </cell>
          <cell r="D408">
            <v>1</v>
          </cell>
          <cell r="E408">
            <v>0.7</v>
          </cell>
          <cell r="F408">
            <v>0.4</v>
          </cell>
          <cell r="G408">
            <v>2.65</v>
          </cell>
          <cell r="Q408" t="str">
            <v>3/8"</v>
          </cell>
          <cell r="R408">
            <v>24</v>
          </cell>
          <cell r="S408">
            <v>2.2000000000000002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29.568000000000005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</row>
        <row r="409">
          <cell r="B409" t="str">
            <v>Est</v>
          </cell>
          <cell r="C409">
            <v>1</v>
          </cell>
          <cell r="D409">
            <v>1</v>
          </cell>
          <cell r="E409">
            <v>0.3</v>
          </cell>
          <cell r="F409">
            <v>0.4</v>
          </cell>
          <cell r="G409">
            <v>2.65</v>
          </cell>
          <cell r="Q409" t="str">
            <v>3/8"</v>
          </cell>
          <cell r="R409">
            <v>24</v>
          </cell>
          <cell r="S409">
            <v>1.4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18.815999999999999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</row>
        <row r="410">
          <cell r="B410" t="str">
            <v>Est</v>
          </cell>
          <cell r="C410">
            <v>1</v>
          </cell>
          <cell r="D410">
            <v>1</v>
          </cell>
          <cell r="E410">
            <v>0.3</v>
          </cell>
          <cell r="F410">
            <v>0.4</v>
          </cell>
          <cell r="G410">
            <v>2.65</v>
          </cell>
          <cell r="Q410" t="str">
            <v>3/8"</v>
          </cell>
          <cell r="R410">
            <v>24</v>
          </cell>
          <cell r="S410">
            <v>1.4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18.815999999999999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</row>
        <row r="411">
          <cell r="B411" t="str">
            <v>Est</v>
          </cell>
          <cell r="C411">
            <v>1</v>
          </cell>
          <cell r="D411">
            <v>1</v>
          </cell>
          <cell r="E411">
            <v>0.15</v>
          </cell>
          <cell r="F411">
            <v>0.4</v>
          </cell>
          <cell r="G411">
            <v>2.65</v>
          </cell>
          <cell r="Q411" t="str">
            <v>3/8"</v>
          </cell>
          <cell r="R411">
            <v>24</v>
          </cell>
          <cell r="S411">
            <v>0.55000000000000004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7.3920000000000012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</row>
        <row r="412">
          <cell r="B412" t="str">
            <v>B2-C-02</v>
          </cell>
          <cell r="C412">
            <v>1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</row>
        <row r="413">
          <cell r="B413" t="str">
            <v>Nucleo B</v>
          </cell>
          <cell r="C413">
            <v>1</v>
          </cell>
          <cell r="D413">
            <v>1</v>
          </cell>
          <cell r="E413">
            <v>1.25</v>
          </cell>
          <cell r="F413">
            <v>0.45</v>
          </cell>
          <cell r="G413">
            <v>2.65</v>
          </cell>
          <cell r="H413">
            <v>210</v>
          </cell>
          <cell r="I413">
            <v>1.4906249999999999</v>
          </cell>
          <cell r="J413">
            <v>0</v>
          </cell>
          <cell r="K413">
            <v>0</v>
          </cell>
          <cell r="L413">
            <v>1.4906249999999999</v>
          </cell>
          <cell r="M413">
            <v>3.4</v>
          </cell>
          <cell r="N413">
            <v>2.4499999999999997</v>
          </cell>
          <cell r="O413">
            <v>8.3299999999999983</v>
          </cell>
          <cell r="P413" t="str">
            <v>V</v>
          </cell>
          <cell r="Q413" t="str">
            <v>3/4"</v>
          </cell>
          <cell r="R413">
            <v>12</v>
          </cell>
          <cell r="S413">
            <v>3.25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96.768000000000015</v>
          </cell>
          <cell r="AC413">
            <v>0</v>
          </cell>
          <cell r="AD413">
            <v>0</v>
          </cell>
        </row>
        <row r="414">
          <cell r="C414">
            <v>1</v>
          </cell>
          <cell r="D414">
            <v>1</v>
          </cell>
          <cell r="G414">
            <v>2.65</v>
          </cell>
          <cell r="P414" t="str">
            <v>V</v>
          </cell>
          <cell r="Q414" t="str">
            <v>3/4"</v>
          </cell>
          <cell r="R414">
            <v>8</v>
          </cell>
          <cell r="S414">
            <v>3.25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64.512000000000015</v>
          </cell>
          <cell r="AC414">
            <v>0</v>
          </cell>
          <cell r="AD414">
            <v>0</v>
          </cell>
        </row>
        <row r="415">
          <cell r="B415" t="str">
            <v>Est</v>
          </cell>
          <cell r="C415">
            <v>1</v>
          </cell>
          <cell r="D415">
            <v>1</v>
          </cell>
          <cell r="E415">
            <v>0.65</v>
          </cell>
          <cell r="F415">
            <v>0.45</v>
          </cell>
          <cell r="G415">
            <v>2.65</v>
          </cell>
          <cell r="Q415" t="str">
            <v>3/8"</v>
          </cell>
          <cell r="R415">
            <v>24</v>
          </cell>
          <cell r="S415">
            <v>2.2000000000000002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29.568000000000005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</row>
        <row r="416">
          <cell r="B416" t="str">
            <v>Est</v>
          </cell>
          <cell r="C416">
            <v>1</v>
          </cell>
          <cell r="D416">
            <v>1</v>
          </cell>
          <cell r="E416">
            <v>0.55000000000000004</v>
          </cell>
          <cell r="F416">
            <v>0.45</v>
          </cell>
          <cell r="G416">
            <v>2.65</v>
          </cell>
          <cell r="Q416" t="str">
            <v>3/8"</v>
          </cell>
          <cell r="R416">
            <v>24</v>
          </cell>
          <cell r="S416">
            <v>2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26.880000000000003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</row>
        <row r="417">
          <cell r="B417" t="str">
            <v>Est</v>
          </cell>
          <cell r="C417">
            <v>1</v>
          </cell>
          <cell r="D417">
            <v>1</v>
          </cell>
          <cell r="E417">
            <v>0.75</v>
          </cell>
          <cell r="F417">
            <v>0.45</v>
          </cell>
          <cell r="G417">
            <v>2.65</v>
          </cell>
          <cell r="Q417" t="str">
            <v>3/8"</v>
          </cell>
          <cell r="R417">
            <v>24</v>
          </cell>
          <cell r="S417">
            <v>2.4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32.256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</row>
        <row r="418">
          <cell r="B418" t="str">
            <v>Est</v>
          </cell>
          <cell r="C418">
            <v>1</v>
          </cell>
          <cell r="D418">
            <v>1</v>
          </cell>
          <cell r="E418">
            <v>0.2</v>
          </cell>
          <cell r="F418">
            <v>0.45</v>
          </cell>
          <cell r="G418">
            <v>2.65</v>
          </cell>
          <cell r="Q418" t="str">
            <v>3/8"</v>
          </cell>
          <cell r="R418">
            <v>24</v>
          </cell>
          <cell r="S418">
            <v>1.3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17.472000000000005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</row>
        <row r="419">
          <cell r="B419" t="str">
            <v>Est</v>
          </cell>
          <cell r="C419">
            <v>1</v>
          </cell>
          <cell r="D419">
            <v>1</v>
          </cell>
          <cell r="E419">
            <v>0.2</v>
          </cell>
          <cell r="F419">
            <v>0.45</v>
          </cell>
          <cell r="G419">
            <v>2.65</v>
          </cell>
          <cell r="Q419" t="str">
            <v>3/8"</v>
          </cell>
          <cell r="R419">
            <v>24</v>
          </cell>
          <cell r="S419">
            <v>1.3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17.472000000000005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</row>
        <row r="420">
          <cell r="B420" t="str">
            <v>B2-C-03</v>
          </cell>
          <cell r="C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</row>
        <row r="421">
          <cell r="B421" t="str">
            <v>Nucleo B</v>
          </cell>
          <cell r="C421">
            <v>1</v>
          </cell>
          <cell r="D421">
            <v>1</v>
          </cell>
          <cell r="E421">
            <v>2.15</v>
          </cell>
          <cell r="F421">
            <v>0.35</v>
          </cell>
          <cell r="G421">
            <v>2.65</v>
          </cell>
          <cell r="H421">
            <v>210</v>
          </cell>
          <cell r="I421">
            <v>1.9941249999999997</v>
          </cell>
          <cell r="J421">
            <v>0</v>
          </cell>
          <cell r="K421">
            <v>0</v>
          </cell>
          <cell r="L421">
            <v>1.9941249999999997</v>
          </cell>
          <cell r="M421">
            <v>5</v>
          </cell>
          <cell r="N421">
            <v>2.4499999999999997</v>
          </cell>
          <cell r="O421">
            <v>12.249999999999998</v>
          </cell>
          <cell r="P421" t="str">
            <v>V</v>
          </cell>
          <cell r="Q421" t="str">
            <v>3/4"</v>
          </cell>
          <cell r="R421">
            <v>14</v>
          </cell>
          <cell r="S421">
            <v>3.25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112.896</v>
          </cell>
          <cell r="AC421">
            <v>0</v>
          </cell>
          <cell r="AD421">
            <v>0</v>
          </cell>
        </row>
        <row r="422">
          <cell r="C422">
            <v>1</v>
          </cell>
          <cell r="D422">
            <v>1</v>
          </cell>
          <cell r="G422">
            <v>2.65</v>
          </cell>
          <cell r="P422" t="str">
            <v>V</v>
          </cell>
          <cell r="Q422" t="str">
            <v>3/4"</v>
          </cell>
          <cell r="R422">
            <v>16</v>
          </cell>
          <cell r="S422">
            <v>3.25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129.02400000000003</v>
          </cell>
          <cell r="AC422">
            <v>0</v>
          </cell>
          <cell r="AD422">
            <v>0</v>
          </cell>
        </row>
        <row r="423">
          <cell r="B423" t="str">
            <v>Est</v>
          </cell>
          <cell r="C423">
            <v>1</v>
          </cell>
          <cell r="D423">
            <v>1</v>
          </cell>
          <cell r="E423">
            <v>1.65</v>
          </cell>
          <cell r="F423">
            <v>0.35</v>
          </cell>
          <cell r="G423">
            <v>2.65</v>
          </cell>
          <cell r="Q423" t="str">
            <v>3/8"</v>
          </cell>
          <cell r="R423">
            <v>24</v>
          </cell>
          <cell r="S423">
            <v>4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53.760000000000005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</row>
        <row r="424">
          <cell r="B424" t="str">
            <v>Est</v>
          </cell>
          <cell r="C424">
            <v>1</v>
          </cell>
          <cell r="D424">
            <v>1</v>
          </cell>
          <cell r="E424">
            <v>1.5</v>
          </cell>
          <cell r="F424">
            <v>0.35</v>
          </cell>
          <cell r="G424">
            <v>2.65</v>
          </cell>
          <cell r="Q424" t="str">
            <v>3/8"</v>
          </cell>
          <cell r="R424">
            <v>24</v>
          </cell>
          <cell r="S424">
            <v>3.7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49.728000000000009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</row>
        <row r="425">
          <cell r="B425" t="str">
            <v>Est</v>
          </cell>
          <cell r="C425">
            <v>1</v>
          </cell>
          <cell r="D425">
            <v>1</v>
          </cell>
          <cell r="E425">
            <v>0.85</v>
          </cell>
          <cell r="F425">
            <v>0.35</v>
          </cell>
          <cell r="G425">
            <v>2.65</v>
          </cell>
          <cell r="Q425" t="str">
            <v>3/8"</v>
          </cell>
          <cell r="R425">
            <v>24</v>
          </cell>
          <cell r="S425">
            <v>2.4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32.256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</row>
        <row r="426">
          <cell r="B426" t="str">
            <v>Est</v>
          </cell>
          <cell r="C426">
            <v>1</v>
          </cell>
          <cell r="D426">
            <v>1</v>
          </cell>
          <cell r="E426">
            <v>1.1499999999999999</v>
          </cell>
          <cell r="F426">
            <v>0.35</v>
          </cell>
          <cell r="G426">
            <v>2.65</v>
          </cell>
          <cell r="Q426" t="str">
            <v>3/8"</v>
          </cell>
          <cell r="R426">
            <v>24</v>
          </cell>
          <cell r="S426">
            <v>3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40.320000000000007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</row>
        <row r="427">
          <cell r="B427" t="str">
            <v>B2-C-04</v>
          </cell>
          <cell r="C427">
            <v>1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</row>
        <row r="428">
          <cell r="B428" t="str">
            <v>Nucleo B</v>
          </cell>
          <cell r="C428">
            <v>1</v>
          </cell>
          <cell r="D428">
            <v>2</v>
          </cell>
          <cell r="E428">
            <v>1.25</v>
          </cell>
          <cell r="F428">
            <v>0.25</v>
          </cell>
          <cell r="G428">
            <v>2.65</v>
          </cell>
          <cell r="H428">
            <v>210</v>
          </cell>
          <cell r="I428">
            <v>1.65625</v>
          </cell>
          <cell r="J428">
            <v>0</v>
          </cell>
          <cell r="K428">
            <v>0</v>
          </cell>
          <cell r="L428">
            <v>1.65625</v>
          </cell>
          <cell r="M428">
            <v>3</v>
          </cell>
          <cell r="N428">
            <v>2.4499999999999997</v>
          </cell>
          <cell r="O428">
            <v>14.7</v>
          </cell>
          <cell r="P428" t="str">
            <v>V</v>
          </cell>
          <cell r="Q428" t="str">
            <v>3/4"</v>
          </cell>
          <cell r="R428">
            <v>12</v>
          </cell>
          <cell r="S428">
            <v>3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170.68800000000002</v>
          </cell>
          <cell r="AC428">
            <v>0</v>
          </cell>
          <cell r="AD428">
            <v>0</v>
          </cell>
        </row>
        <row r="429">
          <cell r="C429">
            <v>1</v>
          </cell>
          <cell r="D429">
            <v>2</v>
          </cell>
          <cell r="E429">
            <v>0.3</v>
          </cell>
          <cell r="F429">
            <v>0.4</v>
          </cell>
          <cell r="G429">
            <v>2.65</v>
          </cell>
          <cell r="H429">
            <v>210</v>
          </cell>
          <cell r="I429">
            <v>0.63600000000000001</v>
          </cell>
          <cell r="J429">
            <v>0</v>
          </cell>
          <cell r="K429">
            <v>0</v>
          </cell>
          <cell r="L429">
            <v>0.63600000000000001</v>
          </cell>
          <cell r="M429">
            <v>1.4</v>
          </cell>
          <cell r="N429">
            <v>2.4499999999999997</v>
          </cell>
          <cell r="O429">
            <v>6.8599999999999985</v>
          </cell>
          <cell r="P429" t="str">
            <v>V</v>
          </cell>
          <cell r="Q429" t="str">
            <v>3/4"</v>
          </cell>
          <cell r="R429">
            <v>10</v>
          </cell>
          <cell r="S429">
            <v>3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142.24</v>
          </cell>
          <cell r="AC429">
            <v>0</v>
          </cell>
          <cell r="AD429">
            <v>0</v>
          </cell>
        </row>
        <row r="430">
          <cell r="B430" t="str">
            <v>Est</v>
          </cell>
          <cell r="C430">
            <v>1</v>
          </cell>
          <cell r="D430">
            <v>2</v>
          </cell>
          <cell r="E430">
            <v>1.25</v>
          </cell>
          <cell r="F430">
            <v>0.25</v>
          </cell>
          <cell r="G430">
            <v>2.65</v>
          </cell>
          <cell r="Q430" t="str">
            <v>3/8"</v>
          </cell>
          <cell r="R430">
            <v>24</v>
          </cell>
          <cell r="S430">
            <v>3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80.640000000000015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</row>
        <row r="431">
          <cell r="B431" t="str">
            <v>Est</v>
          </cell>
          <cell r="C431">
            <v>1</v>
          </cell>
          <cell r="D431">
            <v>2</v>
          </cell>
          <cell r="E431">
            <v>0.4</v>
          </cell>
          <cell r="F431">
            <v>0.25</v>
          </cell>
          <cell r="G431">
            <v>2.65</v>
          </cell>
          <cell r="Q431" t="str">
            <v>3/8"</v>
          </cell>
          <cell r="R431">
            <v>24</v>
          </cell>
          <cell r="S431">
            <v>1.3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34.94400000000001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</row>
        <row r="432">
          <cell r="B432" t="str">
            <v>Est</v>
          </cell>
          <cell r="C432">
            <v>1</v>
          </cell>
          <cell r="D432">
            <v>2</v>
          </cell>
          <cell r="E432">
            <v>0.4</v>
          </cell>
          <cell r="F432">
            <v>0.25</v>
          </cell>
          <cell r="G432">
            <v>2.65</v>
          </cell>
          <cell r="Q432" t="str">
            <v>3/8"</v>
          </cell>
          <cell r="R432">
            <v>24</v>
          </cell>
          <cell r="S432">
            <v>1.3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34.94400000000001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</row>
        <row r="433">
          <cell r="B433" t="str">
            <v>Est</v>
          </cell>
          <cell r="C433">
            <v>1</v>
          </cell>
          <cell r="D433">
            <v>2</v>
          </cell>
          <cell r="E433">
            <v>0.55000000000000004</v>
          </cell>
          <cell r="F433">
            <v>0.4</v>
          </cell>
          <cell r="G433">
            <v>2.65</v>
          </cell>
          <cell r="Q433" t="str">
            <v>3/8"</v>
          </cell>
          <cell r="R433">
            <v>24</v>
          </cell>
          <cell r="S433">
            <v>1.9000000000000001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51.07200000000001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</row>
        <row r="434">
          <cell r="B434" t="str">
            <v>Est</v>
          </cell>
          <cell r="C434">
            <v>1</v>
          </cell>
          <cell r="D434">
            <v>2</v>
          </cell>
          <cell r="E434">
            <v>0.55000000000000004</v>
          </cell>
          <cell r="F434">
            <v>0.25</v>
          </cell>
          <cell r="G434">
            <v>2.65</v>
          </cell>
          <cell r="Q434" t="str">
            <v>3/8"</v>
          </cell>
          <cell r="R434">
            <v>24</v>
          </cell>
          <cell r="S434">
            <v>1.6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43.00800000000001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</row>
        <row r="435">
          <cell r="B435" t="str">
            <v>Est</v>
          </cell>
          <cell r="C435">
            <v>1</v>
          </cell>
          <cell r="D435">
            <v>2</v>
          </cell>
          <cell r="E435">
            <v>0.15</v>
          </cell>
          <cell r="F435">
            <v>0.4</v>
          </cell>
          <cell r="G435">
            <v>2.65</v>
          </cell>
          <cell r="Q435" t="str">
            <v>3/8"</v>
          </cell>
          <cell r="R435">
            <v>24</v>
          </cell>
          <cell r="S435">
            <v>0.55000000000000004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14.784000000000002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</row>
        <row r="436">
          <cell r="B436" t="str">
            <v>AZOTEA</v>
          </cell>
          <cell r="C436">
            <v>1</v>
          </cell>
          <cell r="H436">
            <v>210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</row>
        <row r="437">
          <cell r="B437" t="str">
            <v>B2-C-02</v>
          </cell>
          <cell r="C437">
            <v>1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</row>
        <row r="438">
          <cell r="B438" t="str">
            <v>Nucleo B</v>
          </cell>
          <cell r="C438">
            <v>1</v>
          </cell>
          <cell r="D438">
            <v>1</v>
          </cell>
          <cell r="E438">
            <v>1.25</v>
          </cell>
          <cell r="F438">
            <v>0.25</v>
          </cell>
          <cell r="G438">
            <v>2.65</v>
          </cell>
          <cell r="H438">
            <v>210</v>
          </cell>
          <cell r="I438">
            <v>0.828125</v>
          </cell>
          <cell r="J438">
            <v>0</v>
          </cell>
          <cell r="K438">
            <v>0</v>
          </cell>
          <cell r="L438">
            <v>0.828125</v>
          </cell>
          <cell r="M438">
            <v>3</v>
          </cell>
          <cell r="N438">
            <v>2.4499999999999997</v>
          </cell>
          <cell r="O438">
            <v>7.35</v>
          </cell>
          <cell r="P438" t="str">
            <v>V</v>
          </cell>
          <cell r="Q438" t="str">
            <v>3/4"</v>
          </cell>
          <cell r="R438">
            <v>8</v>
          </cell>
          <cell r="S438">
            <v>3.25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64.512000000000015</v>
          </cell>
          <cell r="AC438">
            <v>0</v>
          </cell>
          <cell r="AD438">
            <v>0</v>
          </cell>
        </row>
        <row r="439">
          <cell r="C439">
            <v>1</v>
          </cell>
          <cell r="D439">
            <v>1</v>
          </cell>
          <cell r="G439">
            <v>2.65</v>
          </cell>
          <cell r="P439" t="str">
            <v>V</v>
          </cell>
          <cell r="Q439" t="str">
            <v>3/4"</v>
          </cell>
          <cell r="R439">
            <v>8</v>
          </cell>
          <cell r="S439">
            <v>4.6999999999999993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90.495999999999995</v>
          </cell>
          <cell r="AC439">
            <v>0</v>
          </cell>
          <cell r="AD439">
            <v>0</v>
          </cell>
        </row>
        <row r="440">
          <cell r="B440" t="str">
            <v>Est</v>
          </cell>
          <cell r="C440">
            <v>1</v>
          </cell>
          <cell r="D440">
            <v>1</v>
          </cell>
          <cell r="E440">
            <v>0.65</v>
          </cell>
          <cell r="F440">
            <v>0.25</v>
          </cell>
          <cell r="G440">
            <v>2.65</v>
          </cell>
          <cell r="Q440" t="str">
            <v>3/8"</v>
          </cell>
          <cell r="R440">
            <v>24</v>
          </cell>
          <cell r="S440">
            <v>1.8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24.192000000000004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</row>
        <row r="441">
          <cell r="B441" t="str">
            <v>Est</v>
          </cell>
          <cell r="C441">
            <v>1</v>
          </cell>
          <cell r="D441">
            <v>1</v>
          </cell>
          <cell r="E441">
            <v>0.55000000000000004</v>
          </cell>
          <cell r="F441">
            <v>0.25</v>
          </cell>
          <cell r="G441">
            <v>2.65</v>
          </cell>
          <cell r="Q441" t="str">
            <v>3/8"</v>
          </cell>
          <cell r="R441">
            <v>24</v>
          </cell>
          <cell r="S441">
            <v>1.6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21.504000000000005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</row>
        <row r="442">
          <cell r="B442" t="str">
            <v>Est</v>
          </cell>
          <cell r="C442">
            <v>1</v>
          </cell>
          <cell r="D442">
            <v>1</v>
          </cell>
          <cell r="E442">
            <v>0.75</v>
          </cell>
          <cell r="F442">
            <v>0.25</v>
          </cell>
          <cell r="G442">
            <v>2.65</v>
          </cell>
          <cell r="Q442" t="str">
            <v>3/8"</v>
          </cell>
          <cell r="R442">
            <v>24</v>
          </cell>
          <cell r="S442">
            <v>2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26.880000000000003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</row>
        <row r="443">
          <cell r="B443" t="str">
            <v>Est</v>
          </cell>
          <cell r="C443">
            <v>1</v>
          </cell>
          <cell r="D443">
            <v>1</v>
          </cell>
          <cell r="E443">
            <v>0.15</v>
          </cell>
          <cell r="F443">
            <v>0.4</v>
          </cell>
          <cell r="G443">
            <v>2.65</v>
          </cell>
          <cell r="Q443" t="str">
            <v>3/8"</v>
          </cell>
          <cell r="R443">
            <v>24</v>
          </cell>
          <cell r="S443">
            <v>0.55000000000000004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7.3920000000000012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</row>
        <row r="444">
          <cell r="B444" t="str">
            <v>Est</v>
          </cell>
          <cell r="C444">
            <v>1</v>
          </cell>
          <cell r="D444">
            <v>1</v>
          </cell>
          <cell r="E444">
            <v>0.15</v>
          </cell>
          <cell r="F444">
            <v>0.4</v>
          </cell>
          <cell r="G444">
            <v>2.65</v>
          </cell>
          <cell r="Q444" t="str">
            <v>3/8"</v>
          </cell>
          <cell r="R444">
            <v>24</v>
          </cell>
          <cell r="S444">
            <v>0.55000000000000004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7.3920000000000012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</row>
        <row r="445">
          <cell r="B445" t="str">
            <v>B1-CA-01</v>
          </cell>
          <cell r="C445">
            <v>1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</row>
        <row r="446">
          <cell r="B446" t="str">
            <v>Nucleo B</v>
          </cell>
          <cell r="C446">
            <v>1</v>
          </cell>
          <cell r="D446">
            <v>5</v>
          </cell>
          <cell r="E446">
            <v>0.25</v>
          </cell>
          <cell r="F446">
            <v>0.25</v>
          </cell>
          <cell r="G446">
            <v>2.65</v>
          </cell>
          <cell r="H446">
            <v>210</v>
          </cell>
          <cell r="I446">
            <v>0.828125</v>
          </cell>
          <cell r="J446">
            <v>0</v>
          </cell>
          <cell r="K446">
            <v>0</v>
          </cell>
          <cell r="L446">
            <v>0.828125</v>
          </cell>
          <cell r="M446">
            <v>1</v>
          </cell>
          <cell r="N446">
            <v>2.4499999999999997</v>
          </cell>
          <cell r="O446">
            <v>12.249999999999998</v>
          </cell>
          <cell r="P446" t="str">
            <v>V</v>
          </cell>
          <cell r="Q446" t="str">
            <v>5/8"</v>
          </cell>
          <cell r="R446">
            <v>8</v>
          </cell>
          <cell r="S446">
            <v>3.75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236.22000000000003</v>
          </cell>
          <cell r="AB446">
            <v>0</v>
          </cell>
          <cell r="AC446">
            <v>0</v>
          </cell>
          <cell r="AD446">
            <v>0</v>
          </cell>
        </row>
        <row r="447">
          <cell r="B447" t="str">
            <v>Est</v>
          </cell>
          <cell r="C447">
            <v>1</v>
          </cell>
          <cell r="D447">
            <v>5</v>
          </cell>
          <cell r="E447">
            <v>0.25</v>
          </cell>
          <cell r="F447">
            <v>0.25</v>
          </cell>
          <cell r="G447">
            <v>2.65</v>
          </cell>
          <cell r="Q447" t="str">
            <v>3/8"</v>
          </cell>
          <cell r="R447">
            <v>24</v>
          </cell>
          <cell r="S447">
            <v>1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67.2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</row>
        <row r="448">
          <cell r="B448" t="str">
            <v>B2-CA-01</v>
          </cell>
          <cell r="C448">
            <v>1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</row>
        <row r="449">
          <cell r="B449" t="str">
            <v>Nucleo B</v>
          </cell>
          <cell r="C449">
            <v>1</v>
          </cell>
          <cell r="D449">
            <v>8</v>
          </cell>
          <cell r="E449">
            <v>0.25</v>
          </cell>
          <cell r="F449">
            <v>0.25</v>
          </cell>
          <cell r="G449">
            <v>2.65</v>
          </cell>
          <cell r="H449">
            <v>210</v>
          </cell>
          <cell r="I449">
            <v>1.325</v>
          </cell>
          <cell r="J449">
            <v>0</v>
          </cell>
          <cell r="K449">
            <v>0</v>
          </cell>
          <cell r="L449">
            <v>1.325</v>
          </cell>
          <cell r="M449">
            <v>1</v>
          </cell>
          <cell r="N449">
            <v>2.4499999999999997</v>
          </cell>
          <cell r="O449">
            <v>19.599999999999998</v>
          </cell>
          <cell r="P449" t="str">
            <v>V</v>
          </cell>
          <cell r="Q449" t="str">
            <v>5/8"</v>
          </cell>
          <cell r="R449">
            <v>8</v>
          </cell>
          <cell r="S449">
            <v>3.75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375.72</v>
          </cell>
          <cell r="AB449">
            <v>0</v>
          </cell>
          <cell r="AC449">
            <v>0</v>
          </cell>
          <cell r="AD449">
            <v>0</v>
          </cell>
        </row>
        <row r="450">
          <cell r="B450" t="str">
            <v>Est</v>
          </cell>
          <cell r="C450">
            <v>1</v>
          </cell>
          <cell r="D450">
            <v>8</v>
          </cell>
          <cell r="E450">
            <v>0.25</v>
          </cell>
          <cell r="F450">
            <v>0.25</v>
          </cell>
          <cell r="G450">
            <v>2.65</v>
          </cell>
          <cell r="Q450" t="str">
            <v>3/8"</v>
          </cell>
          <cell r="R450">
            <v>24</v>
          </cell>
          <cell r="S450">
            <v>1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107.52000000000001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</row>
        <row r="453">
          <cell r="A453" t="str">
            <v>COL-CON280</v>
          </cell>
          <cell r="B453" t="str">
            <v>Concreto f'c= 280 kg/cm2</v>
          </cell>
          <cell r="D453" t="str">
            <v>M3</v>
          </cell>
          <cell r="E453">
            <v>48.228000000000002</v>
          </cell>
          <cell r="L453">
            <v>113.21924999999996</v>
          </cell>
        </row>
        <row r="454">
          <cell r="A454" t="str">
            <v>COL-CON210</v>
          </cell>
          <cell r="B454" t="str">
            <v>Concreto f'c= 210 kg/cm2</v>
          </cell>
          <cell r="D454" t="str">
            <v>M3</v>
          </cell>
          <cell r="E454">
            <v>64.991249999999994</v>
          </cell>
        </row>
        <row r="455">
          <cell r="A455" t="str">
            <v>COL-ENC</v>
          </cell>
          <cell r="B455" t="str">
            <v>Encofrado y desencofrado</v>
          </cell>
          <cell r="D455" t="str">
            <v>M2</v>
          </cell>
          <cell r="E455">
            <v>822.24500000000035</v>
          </cell>
        </row>
        <row r="456">
          <cell r="A456" t="str">
            <v>COL-ACE</v>
          </cell>
          <cell r="B456" t="str">
            <v>Acero de refuerzo</v>
          </cell>
          <cell r="D456" t="str">
            <v>KG</v>
          </cell>
          <cell r="E456">
            <v>29177.628999999964</v>
          </cell>
        </row>
        <row r="461">
          <cell r="B461" t="str">
            <v>PLACAS</v>
          </cell>
        </row>
        <row r="464">
          <cell r="B464" t="str">
            <v>1 PISO</v>
          </cell>
          <cell r="H464">
            <v>280</v>
          </cell>
        </row>
        <row r="466">
          <cell r="B466" t="str">
            <v>B2-PL-01</v>
          </cell>
        </row>
        <row r="467">
          <cell r="B467" t="str">
            <v>Acero Vert</v>
          </cell>
          <cell r="C467">
            <v>2</v>
          </cell>
          <cell r="D467">
            <v>1</v>
          </cell>
          <cell r="E467">
            <v>6.05</v>
          </cell>
          <cell r="F467">
            <v>0.2</v>
          </cell>
          <cell r="G467">
            <v>4.16</v>
          </cell>
          <cell r="H467">
            <v>280</v>
          </cell>
          <cell r="I467">
            <v>0</v>
          </cell>
          <cell r="J467">
            <v>10.0672</v>
          </cell>
          <cell r="K467">
            <v>0</v>
          </cell>
          <cell r="L467">
            <v>10.0672</v>
          </cell>
          <cell r="M467">
            <v>12.5</v>
          </cell>
          <cell r="N467">
            <v>3.96</v>
          </cell>
          <cell r="O467">
            <v>99</v>
          </cell>
          <cell r="P467" t="str">
            <v>V</v>
          </cell>
          <cell r="Q467" t="str">
            <v>3/8"</v>
          </cell>
          <cell r="R467">
            <v>40</v>
          </cell>
          <cell r="S467">
            <v>4.66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231.16800000000003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</row>
        <row r="468">
          <cell r="B468" t="str">
            <v>Acero Hor</v>
          </cell>
          <cell r="C468">
            <v>2</v>
          </cell>
          <cell r="D468">
            <v>1</v>
          </cell>
          <cell r="G468">
            <v>4.16</v>
          </cell>
          <cell r="P468" t="str">
            <v>H</v>
          </cell>
          <cell r="Q468" t="str">
            <v>3/8"</v>
          </cell>
          <cell r="R468">
            <v>36</v>
          </cell>
          <cell r="S468">
            <v>6.55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264.096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</row>
        <row r="469">
          <cell r="B469" t="str">
            <v>Nucleo A</v>
          </cell>
          <cell r="C469">
            <v>2</v>
          </cell>
          <cell r="D469">
            <v>1</v>
          </cell>
          <cell r="E469">
            <v>0.6</v>
          </cell>
          <cell r="F469">
            <v>0.2</v>
          </cell>
          <cell r="G469">
            <v>4.16</v>
          </cell>
          <cell r="P469" t="str">
            <v>V</v>
          </cell>
          <cell r="Q469" t="str">
            <v>1"</v>
          </cell>
          <cell r="R469">
            <v>8</v>
          </cell>
          <cell r="S469">
            <v>4.71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334.11520000000002</v>
          </cell>
          <cell r="AD469">
            <v>0</v>
          </cell>
        </row>
        <row r="470">
          <cell r="B470" t="str">
            <v>Est</v>
          </cell>
          <cell r="C470">
            <v>2</v>
          </cell>
          <cell r="D470">
            <v>1</v>
          </cell>
          <cell r="E470">
            <v>0.4</v>
          </cell>
          <cell r="F470">
            <v>0.2</v>
          </cell>
          <cell r="G470">
            <v>4.16</v>
          </cell>
          <cell r="Q470" t="str">
            <v>3/8"</v>
          </cell>
          <cell r="R470">
            <v>17</v>
          </cell>
          <cell r="S470">
            <v>1.2000000000000002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22.848000000000006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</row>
        <row r="471">
          <cell r="B471" t="str">
            <v>Est</v>
          </cell>
          <cell r="C471">
            <v>2</v>
          </cell>
          <cell r="D471">
            <v>1</v>
          </cell>
          <cell r="E471">
            <v>0.4</v>
          </cell>
          <cell r="F471">
            <v>0.2</v>
          </cell>
          <cell r="G471">
            <v>4.16</v>
          </cell>
          <cell r="Q471" t="str">
            <v>3/8"</v>
          </cell>
          <cell r="R471">
            <v>17</v>
          </cell>
          <cell r="S471">
            <v>1.2000000000000002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22.848000000000006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</row>
        <row r="472">
          <cell r="B472" t="str">
            <v>Nucleo A</v>
          </cell>
          <cell r="C472">
            <v>2</v>
          </cell>
          <cell r="D472">
            <v>1</v>
          </cell>
          <cell r="E472">
            <v>0.6</v>
          </cell>
          <cell r="F472">
            <v>0.2</v>
          </cell>
          <cell r="G472">
            <v>4.16</v>
          </cell>
          <cell r="P472" t="str">
            <v>V</v>
          </cell>
          <cell r="Q472" t="str">
            <v>1"</v>
          </cell>
          <cell r="R472">
            <v>8</v>
          </cell>
          <cell r="S472">
            <v>4.71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334.11520000000002</v>
          </cell>
          <cell r="AD472">
            <v>0</v>
          </cell>
        </row>
        <row r="473">
          <cell r="B473" t="str">
            <v>Est</v>
          </cell>
          <cell r="C473">
            <v>2</v>
          </cell>
          <cell r="D473">
            <v>1</v>
          </cell>
          <cell r="E473">
            <v>0.4</v>
          </cell>
          <cell r="F473">
            <v>0.2</v>
          </cell>
          <cell r="G473">
            <v>4.16</v>
          </cell>
          <cell r="Q473" t="str">
            <v>3/8"</v>
          </cell>
          <cell r="R473">
            <v>17</v>
          </cell>
          <cell r="S473">
            <v>1.2000000000000002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22.848000000000006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</row>
        <row r="474">
          <cell r="B474" t="str">
            <v>Est</v>
          </cell>
          <cell r="C474">
            <v>2</v>
          </cell>
          <cell r="D474">
            <v>1</v>
          </cell>
          <cell r="E474">
            <v>0.4</v>
          </cell>
          <cell r="F474">
            <v>0.2</v>
          </cell>
          <cell r="G474">
            <v>4.16</v>
          </cell>
          <cell r="Q474" t="str">
            <v>3/8"</v>
          </cell>
          <cell r="R474">
            <v>17</v>
          </cell>
          <cell r="S474">
            <v>1.2000000000000002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22.848000000000006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</row>
        <row r="475"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</row>
        <row r="476">
          <cell r="B476" t="str">
            <v>B2-PL-02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</row>
        <row r="477">
          <cell r="B477" t="str">
            <v>Acero Vert</v>
          </cell>
          <cell r="C477">
            <v>1</v>
          </cell>
          <cell r="D477">
            <v>1</v>
          </cell>
          <cell r="E477">
            <v>6</v>
          </cell>
          <cell r="F477">
            <v>0.2</v>
          </cell>
          <cell r="G477">
            <v>4.16</v>
          </cell>
          <cell r="H477">
            <v>280</v>
          </cell>
          <cell r="I477">
            <v>0</v>
          </cell>
          <cell r="J477">
            <v>4.9920000000000009</v>
          </cell>
          <cell r="K477">
            <v>0</v>
          </cell>
          <cell r="L477">
            <v>4.9920000000000009</v>
          </cell>
          <cell r="M477">
            <v>12.4</v>
          </cell>
          <cell r="N477">
            <v>3.96</v>
          </cell>
          <cell r="O477">
            <v>49.103999999999999</v>
          </cell>
          <cell r="P477" t="str">
            <v>V</v>
          </cell>
          <cell r="Q477" t="str">
            <v>3/8"</v>
          </cell>
          <cell r="R477">
            <v>42</v>
          </cell>
          <cell r="S477">
            <v>4.66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121.36320000000001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</row>
        <row r="478">
          <cell r="B478" t="str">
            <v>Acero Hor</v>
          </cell>
          <cell r="C478">
            <v>1</v>
          </cell>
          <cell r="D478">
            <v>1</v>
          </cell>
          <cell r="E478">
            <v>0.3</v>
          </cell>
          <cell r="F478">
            <v>0.4</v>
          </cell>
          <cell r="G478">
            <v>4.16</v>
          </cell>
          <cell r="H478">
            <v>280</v>
          </cell>
          <cell r="I478">
            <v>0</v>
          </cell>
          <cell r="J478">
            <v>0.49919999999999998</v>
          </cell>
          <cell r="K478">
            <v>0</v>
          </cell>
          <cell r="L478">
            <v>0.49919999999999998</v>
          </cell>
          <cell r="M478">
            <v>1.4</v>
          </cell>
          <cell r="N478">
            <v>3.96</v>
          </cell>
          <cell r="O478">
            <v>5.5439999999999996</v>
          </cell>
          <cell r="P478" t="str">
            <v>H</v>
          </cell>
          <cell r="Q478" t="str">
            <v>3/8"</v>
          </cell>
          <cell r="R478">
            <v>36</v>
          </cell>
          <cell r="S478">
            <v>6.3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127.008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</row>
        <row r="479">
          <cell r="B479" t="str">
            <v>Nucleo A</v>
          </cell>
          <cell r="C479">
            <v>1</v>
          </cell>
          <cell r="D479">
            <v>1</v>
          </cell>
          <cell r="E479">
            <v>0.4</v>
          </cell>
          <cell r="F479">
            <v>0.5</v>
          </cell>
          <cell r="G479">
            <v>4.16</v>
          </cell>
          <cell r="P479" t="str">
            <v>V</v>
          </cell>
          <cell r="Q479" t="str">
            <v>1"</v>
          </cell>
          <cell r="R479">
            <v>12</v>
          </cell>
          <cell r="S479">
            <v>4.71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250.5864</v>
          </cell>
          <cell r="AD479">
            <v>0</v>
          </cell>
        </row>
        <row r="480">
          <cell r="B480" t="str">
            <v>Est</v>
          </cell>
          <cell r="C480">
            <v>1</v>
          </cell>
          <cell r="D480">
            <v>1</v>
          </cell>
          <cell r="E480">
            <v>0.4</v>
          </cell>
          <cell r="F480">
            <v>0.5</v>
          </cell>
          <cell r="G480">
            <v>4.16</v>
          </cell>
          <cell r="Q480" t="str">
            <v>1/2"</v>
          </cell>
          <cell r="R480">
            <v>17</v>
          </cell>
          <cell r="S480">
            <v>1.8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30.294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</row>
        <row r="481">
          <cell r="B481" t="str">
            <v>Est</v>
          </cell>
          <cell r="C481">
            <v>1</v>
          </cell>
          <cell r="D481">
            <v>1</v>
          </cell>
          <cell r="E481">
            <v>0.25</v>
          </cell>
          <cell r="F481">
            <v>0.5</v>
          </cell>
          <cell r="G481">
            <v>4.16</v>
          </cell>
          <cell r="Q481" t="str">
            <v>1/2"</v>
          </cell>
          <cell r="R481">
            <v>17</v>
          </cell>
          <cell r="S481">
            <v>1.5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25.245000000000001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</row>
        <row r="482">
          <cell r="B482" t="str">
            <v>Est</v>
          </cell>
          <cell r="C482">
            <v>1</v>
          </cell>
          <cell r="D482">
            <v>1</v>
          </cell>
          <cell r="E482">
            <v>0.4</v>
          </cell>
          <cell r="F482">
            <v>0.1</v>
          </cell>
          <cell r="G482">
            <v>4.16</v>
          </cell>
          <cell r="Q482" t="str">
            <v>1/2"</v>
          </cell>
          <cell r="R482">
            <v>17</v>
          </cell>
          <cell r="S482">
            <v>0.5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8.4149999999999991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</row>
        <row r="483">
          <cell r="B483" t="str">
            <v>Nucleo A</v>
          </cell>
          <cell r="C483">
            <v>1</v>
          </cell>
          <cell r="D483">
            <v>1</v>
          </cell>
          <cell r="E483">
            <v>0.6</v>
          </cell>
          <cell r="F483">
            <v>0.2</v>
          </cell>
          <cell r="G483">
            <v>4.16</v>
          </cell>
          <cell r="P483" t="str">
            <v>V</v>
          </cell>
          <cell r="Q483" t="str">
            <v>1"</v>
          </cell>
          <cell r="R483">
            <v>8</v>
          </cell>
          <cell r="S483">
            <v>4.71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167.05760000000001</v>
          </cell>
          <cell r="AD483">
            <v>0</v>
          </cell>
        </row>
        <row r="484">
          <cell r="B484" t="str">
            <v>Est</v>
          </cell>
          <cell r="C484">
            <v>1</v>
          </cell>
          <cell r="D484">
            <v>1</v>
          </cell>
          <cell r="E484">
            <v>0.4</v>
          </cell>
          <cell r="F484">
            <v>0.2</v>
          </cell>
          <cell r="G484">
            <v>4.16</v>
          </cell>
          <cell r="Q484" t="str">
            <v>3/8"</v>
          </cell>
          <cell r="R484">
            <v>17</v>
          </cell>
          <cell r="S484">
            <v>1.2000000000000002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11.424000000000003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</row>
        <row r="485">
          <cell r="B485" t="str">
            <v>Est</v>
          </cell>
          <cell r="C485">
            <v>1</v>
          </cell>
          <cell r="D485">
            <v>1</v>
          </cell>
          <cell r="E485">
            <v>0.4</v>
          </cell>
          <cell r="F485">
            <v>0.2</v>
          </cell>
          <cell r="G485">
            <v>4.16</v>
          </cell>
          <cell r="Q485" t="str">
            <v>3/8"</v>
          </cell>
          <cell r="R485">
            <v>17</v>
          </cell>
          <cell r="S485">
            <v>1.2000000000000002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11.424000000000003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</row>
        <row r="486"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</row>
        <row r="487">
          <cell r="B487" t="str">
            <v>B2-PL-02A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</row>
        <row r="488">
          <cell r="B488" t="str">
            <v>Acero Vert</v>
          </cell>
          <cell r="C488">
            <v>1</v>
          </cell>
          <cell r="D488">
            <v>1</v>
          </cell>
          <cell r="E488">
            <v>6</v>
          </cell>
          <cell r="F488">
            <v>0.2</v>
          </cell>
          <cell r="G488">
            <v>4.16</v>
          </cell>
          <cell r="H488">
            <v>280</v>
          </cell>
          <cell r="I488">
            <v>0</v>
          </cell>
          <cell r="J488">
            <v>4.9920000000000009</v>
          </cell>
          <cell r="K488">
            <v>0</v>
          </cell>
          <cell r="L488">
            <v>4.9920000000000009</v>
          </cell>
          <cell r="M488">
            <v>12.4</v>
          </cell>
          <cell r="N488">
            <v>3.96</v>
          </cell>
          <cell r="O488">
            <v>49.103999999999999</v>
          </cell>
          <cell r="P488" t="str">
            <v>V</v>
          </cell>
          <cell r="Q488" t="str">
            <v>3/8"</v>
          </cell>
          <cell r="R488">
            <v>42</v>
          </cell>
          <cell r="S488">
            <v>4.66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121.36320000000001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</row>
        <row r="489">
          <cell r="B489" t="str">
            <v>Acero Hor</v>
          </cell>
          <cell r="C489">
            <v>1</v>
          </cell>
          <cell r="D489">
            <v>1</v>
          </cell>
          <cell r="E489">
            <v>0.3</v>
          </cell>
          <cell r="F489">
            <v>0.4</v>
          </cell>
          <cell r="G489">
            <v>4.16</v>
          </cell>
          <cell r="H489">
            <v>280</v>
          </cell>
          <cell r="I489">
            <v>0</v>
          </cell>
          <cell r="J489">
            <v>0.49919999999999998</v>
          </cell>
          <cell r="K489">
            <v>0</v>
          </cell>
          <cell r="L489">
            <v>0.49919999999999998</v>
          </cell>
          <cell r="M489">
            <v>1.4</v>
          </cell>
          <cell r="N489">
            <v>3.96</v>
          </cell>
          <cell r="O489">
            <v>5.5439999999999996</v>
          </cell>
          <cell r="P489" t="str">
            <v>H</v>
          </cell>
          <cell r="Q489" t="str">
            <v>3/8"</v>
          </cell>
          <cell r="R489">
            <v>36</v>
          </cell>
          <cell r="S489">
            <v>6.3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127.008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</row>
        <row r="490">
          <cell r="B490" t="str">
            <v>Nucleo A</v>
          </cell>
          <cell r="C490">
            <v>1</v>
          </cell>
          <cell r="D490">
            <v>1</v>
          </cell>
          <cell r="E490">
            <v>0.4</v>
          </cell>
          <cell r="F490">
            <v>0.5</v>
          </cell>
          <cell r="G490">
            <v>4.16</v>
          </cell>
          <cell r="P490" t="str">
            <v>V</v>
          </cell>
          <cell r="Q490" t="str">
            <v>1"</v>
          </cell>
          <cell r="R490">
            <v>12</v>
          </cell>
          <cell r="S490">
            <v>4.71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250.5864</v>
          </cell>
          <cell r="AD490">
            <v>0</v>
          </cell>
        </row>
        <row r="491">
          <cell r="B491" t="str">
            <v>Est</v>
          </cell>
          <cell r="C491">
            <v>1</v>
          </cell>
          <cell r="D491">
            <v>1</v>
          </cell>
          <cell r="E491">
            <v>0.4</v>
          </cell>
          <cell r="F491">
            <v>0.5</v>
          </cell>
          <cell r="G491">
            <v>4.16</v>
          </cell>
          <cell r="Q491" t="str">
            <v>1/2"</v>
          </cell>
          <cell r="R491">
            <v>17</v>
          </cell>
          <cell r="S491">
            <v>1.8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30.294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</row>
        <row r="492">
          <cell r="B492" t="str">
            <v>Est</v>
          </cell>
          <cell r="C492">
            <v>1</v>
          </cell>
          <cell r="D492">
            <v>1</v>
          </cell>
          <cell r="E492">
            <v>0.25</v>
          </cell>
          <cell r="F492">
            <v>0.5</v>
          </cell>
          <cell r="G492">
            <v>4.16</v>
          </cell>
          <cell r="Q492" t="str">
            <v>1/2"</v>
          </cell>
          <cell r="R492">
            <v>17</v>
          </cell>
          <cell r="S492">
            <v>1.5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25.245000000000001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</row>
        <row r="493">
          <cell r="B493" t="str">
            <v>Est</v>
          </cell>
          <cell r="C493">
            <v>1</v>
          </cell>
          <cell r="D493">
            <v>1</v>
          </cell>
          <cell r="E493">
            <v>0.4</v>
          </cell>
          <cell r="F493">
            <v>0.1</v>
          </cell>
          <cell r="G493">
            <v>4.16</v>
          </cell>
          <cell r="Q493" t="str">
            <v>1/2"</v>
          </cell>
          <cell r="R493">
            <v>17</v>
          </cell>
          <cell r="S493">
            <v>0.5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8.4149999999999991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</row>
        <row r="494">
          <cell r="B494" t="str">
            <v>Nucleo A</v>
          </cell>
          <cell r="C494">
            <v>1</v>
          </cell>
          <cell r="D494">
            <v>1</v>
          </cell>
          <cell r="E494">
            <v>0.6</v>
          </cell>
          <cell r="F494">
            <v>0.2</v>
          </cell>
          <cell r="G494">
            <v>4.16</v>
          </cell>
          <cell r="P494" t="str">
            <v>V</v>
          </cell>
          <cell r="Q494" t="str">
            <v>1"</v>
          </cell>
          <cell r="R494">
            <v>8</v>
          </cell>
          <cell r="S494">
            <v>4.71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167.05760000000001</v>
          </cell>
          <cell r="AD494">
            <v>0</v>
          </cell>
        </row>
        <row r="495">
          <cell r="B495" t="str">
            <v>Est</v>
          </cell>
          <cell r="C495">
            <v>1</v>
          </cell>
          <cell r="D495">
            <v>1</v>
          </cell>
          <cell r="E495">
            <v>0.4</v>
          </cell>
          <cell r="F495">
            <v>0.2</v>
          </cell>
          <cell r="G495">
            <v>4.16</v>
          </cell>
          <cell r="Q495" t="str">
            <v>3/8"</v>
          </cell>
          <cell r="R495">
            <v>17</v>
          </cell>
          <cell r="S495">
            <v>1.2000000000000002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11.424000000000003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</row>
        <row r="496">
          <cell r="B496" t="str">
            <v>Est</v>
          </cell>
          <cell r="C496">
            <v>1</v>
          </cell>
          <cell r="D496">
            <v>1</v>
          </cell>
          <cell r="E496">
            <v>0.4</v>
          </cell>
          <cell r="F496">
            <v>0.2</v>
          </cell>
          <cell r="G496">
            <v>4.16</v>
          </cell>
          <cell r="Q496" t="str">
            <v>3/8"</v>
          </cell>
          <cell r="R496">
            <v>17</v>
          </cell>
          <cell r="S496">
            <v>1.2000000000000002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11.424000000000003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</row>
        <row r="497"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</row>
        <row r="498">
          <cell r="B498" t="str">
            <v>B2-PL-03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</row>
        <row r="499">
          <cell r="B499" t="str">
            <v>Acero Vert</v>
          </cell>
          <cell r="C499">
            <v>1</v>
          </cell>
          <cell r="D499">
            <v>1</v>
          </cell>
          <cell r="E499">
            <v>4.4000000000000004</v>
          </cell>
          <cell r="F499">
            <v>0.25</v>
          </cell>
          <cell r="G499">
            <v>4.16</v>
          </cell>
          <cell r="H499">
            <v>280</v>
          </cell>
          <cell r="I499">
            <v>0</v>
          </cell>
          <cell r="J499">
            <v>4.5760000000000005</v>
          </cell>
          <cell r="K499">
            <v>0</v>
          </cell>
          <cell r="L499">
            <v>4.5760000000000005</v>
          </cell>
          <cell r="M499">
            <v>9.3000000000000007</v>
          </cell>
          <cell r="N499">
            <v>3.96</v>
          </cell>
          <cell r="O499">
            <v>36.828000000000003</v>
          </cell>
          <cell r="P499" t="str">
            <v>V</v>
          </cell>
          <cell r="Q499" t="str">
            <v>3/8"</v>
          </cell>
          <cell r="R499">
            <v>40</v>
          </cell>
          <cell r="S499">
            <v>4.66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115.58400000000002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</row>
        <row r="500">
          <cell r="B500" t="str">
            <v>Acero Hor</v>
          </cell>
          <cell r="C500">
            <v>1</v>
          </cell>
          <cell r="D500">
            <v>1</v>
          </cell>
          <cell r="G500">
            <v>4.16</v>
          </cell>
          <cell r="P500" t="str">
            <v>H</v>
          </cell>
          <cell r="Q500" t="str">
            <v>1/2"</v>
          </cell>
          <cell r="R500">
            <v>58</v>
          </cell>
          <cell r="S500">
            <v>4.7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269.87400000000002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</row>
        <row r="501">
          <cell r="B501" t="str">
            <v>Nucleo A</v>
          </cell>
          <cell r="C501">
            <v>1</v>
          </cell>
          <cell r="D501">
            <v>1</v>
          </cell>
          <cell r="E501">
            <v>0.2</v>
          </cell>
          <cell r="F501">
            <v>0.25</v>
          </cell>
          <cell r="G501">
            <v>4.16</v>
          </cell>
          <cell r="P501" t="str">
            <v>V</v>
          </cell>
          <cell r="Q501" t="str">
            <v>1"</v>
          </cell>
          <cell r="R501">
            <v>4</v>
          </cell>
          <cell r="S501">
            <v>6.16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106.5548</v>
          </cell>
          <cell r="AD501">
            <v>0</v>
          </cell>
        </row>
        <row r="502">
          <cell r="B502" t="str">
            <v>Est</v>
          </cell>
          <cell r="C502">
            <v>1</v>
          </cell>
          <cell r="D502">
            <v>1</v>
          </cell>
          <cell r="E502">
            <v>0.2</v>
          </cell>
          <cell r="F502">
            <v>0.25</v>
          </cell>
          <cell r="G502">
            <v>4.16</v>
          </cell>
          <cell r="Q502" t="str">
            <v>3/8"</v>
          </cell>
          <cell r="R502">
            <v>17</v>
          </cell>
          <cell r="S502">
            <v>0.9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8.5680000000000014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</row>
        <row r="503">
          <cell r="B503" t="str">
            <v>Nucleo A</v>
          </cell>
          <cell r="C503">
            <v>1</v>
          </cell>
          <cell r="D503">
            <v>1</v>
          </cell>
          <cell r="E503">
            <v>0.4</v>
          </cell>
          <cell r="F503">
            <v>0.25</v>
          </cell>
          <cell r="G503">
            <v>4.16</v>
          </cell>
          <cell r="P503" t="str">
            <v>V</v>
          </cell>
          <cell r="Q503" t="str">
            <v>1"</v>
          </cell>
          <cell r="R503">
            <v>4</v>
          </cell>
          <cell r="S503">
            <v>6.16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106.5548</v>
          </cell>
          <cell r="AD503">
            <v>0</v>
          </cell>
        </row>
        <row r="504">
          <cell r="B504" t="str">
            <v>Est</v>
          </cell>
          <cell r="C504">
            <v>1</v>
          </cell>
          <cell r="D504">
            <v>1</v>
          </cell>
          <cell r="E504">
            <v>0.4</v>
          </cell>
          <cell r="F504">
            <v>0.25</v>
          </cell>
          <cell r="G504">
            <v>4.16</v>
          </cell>
          <cell r="Q504" t="str">
            <v>3/8"</v>
          </cell>
          <cell r="R504">
            <v>17</v>
          </cell>
          <cell r="S504">
            <v>1.3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12.376000000000001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</row>
        <row r="505">
          <cell r="B505" t="str">
            <v>Acero Vert</v>
          </cell>
          <cell r="C505">
            <v>1</v>
          </cell>
          <cell r="D505">
            <v>1</v>
          </cell>
          <cell r="E505">
            <v>2.0699999999999998</v>
          </cell>
          <cell r="F505">
            <v>0.2</v>
          </cell>
          <cell r="G505">
            <v>4.16</v>
          </cell>
          <cell r="H505">
            <v>280</v>
          </cell>
          <cell r="I505">
            <v>0</v>
          </cell>
          <cell r="J505">
            <v>1.72224</v>
          </cell>
          <cell r="K505">
            <v>0</v>
          </cell>
          <cell r="L505">
            <v>1.72224</v>
          </cell>
          <cell r="M505">
            <v>4.54</v>
          </cell>
          <cell r="N505">
            <v>3.96</v>
          </cell>
          <cell r="O505">
            <v>17.978400000000001</v>
          </cell>
          <cell r="P505" t="str">
            <v>V</v>
          </cell>
          <cell r="Q505" t="str">
            <v>1/2"</v>
          </cell>
          <cell r="R505">
            <v>10</v>
          </cell>
          <cell r="S505">
            <v>4.66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48.609000000000002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</row>
        <row r="506">
          <cell r="B506" t="str">
            <v>Acero Hor</v>
          </cell>
          <cell r="C506">
            <v>1</v>
          </cell>
          <cell r="D506">
            <v>1</v>
          </cell>
          <cell r="G506">
            <v>4.16</v>
          </cell>
          <cell r="P506" t="str">
            <v>H</v>
          </cell>
          <cell r="Q506" t="str">
            <v>1/2"</v>
          </cell>
          <cell r="R506">
            <v>58</v>
          </cell>
          <cell r="S506">
            <v>2.6199999999999997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150.44039999999998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</row>
        <row r="507">
          <cell r="B507" t="str">
            <v>Nucleo A</v>
          </cell>
          <cell r="C507">
            <v>1</v>
          </cell>
          <cell r="D507">
            <v>1</v>
          </cell>
          <cell r="E507">
            <v>1</v>
          </cell>
          <cell r="F507">
            <v>0.2</v>
          </cell>
          <cell r="G507">
            <v>4.16</v>
          </cell>
          <cell r="P507" t="str">
            <v>V</v>
          </cell>
          <cell r="Q507" t="str">
            <v>1"</v>
          </cell>
          <cell r="R507">
            <v>14</v>
          </cell>
          <cell r="S507">
            <v>6.16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372.94180000000006</v>
          </cell>
          <cell r="AD507">
            <v>0</v>
          </cell>
        </row>
        <row r="508">
          <cell r="B508" t="str">
            <v>Est</v>
          </cell>
          <cell r="C508">
            <v>1</v>
          </cell>
          <cell r="D508">
            <v>1</v>
          </cell>
          <cell r="E508">
            <v>0.7</v>
          </cell>
          <cell r="F508">
            <v>0.2</v>
          </cell>
          <cell r="G508">
            <v>4.16</v>
          </cell>
          <cell r="Q508" t="str">
            <v>3/8"</v>
          </cell>
          <cell r="R508">
            <v>15</v>
          </cell>
          <cell r="S508">
            <v>1.7999999999999998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15.12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</row>
        <row r="509">
          <cell r="B509" t="str">
            <v>Est</v>
          </cell>
          <cell r="C509">
            <v>1</v>
          </cell>
          <cell r="D509">
            <v>1</v>
          </cell>
          <cell r="E509">
            <v>0.7</v>
          </cell>
          <cell r="F509">
            <v>0.2</v>
          </cell>
          <cell r="G509">
            <v>4.16</v>
          </cell>
          <cell r="Q509" t="str">
            <v>3/8"</v>
          </cell>
          <cell r="R509">
            <v>15</v>
          </cell>
          <cell r="S509">
            <v>1.7999999999999998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15.12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</row>
        <row r="510">
          <cell r="B510" t="str">
            <v>Est</v>
          </cell>
          <cell r="C510">
            <v>1</v>
          </cell>
          <cell r="D510">
            <v>1</v>
          </cell>
          <cell r="E510">
            <v>0.7</v>
          </cell>
          <cell r="F510">
            <v>0.2</v>
          </cell>
          <cell r="G510">
            <v>4.16</v>
          </cell>
          <cell r="Q510" t="str">
            <v>3/8"</v>
          </cell>
          <cell r="R510">
            <v>15</v>
          </cell>
          <cell r="S510">
            <v>1.7999999999999998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15.12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</row>
        <row r="511">
          <cell r="B511" t="str">
            <v>Est</v>
          </cell>
          <cell r="C511">
            <v>1</v>
          </cell>
          <cell r="D511">
            <v>1</v>
          </cell>
          <cell r="E511">
            <v>0.15</v>
          </cell>
          <cell r="F511">
            <v>0.2</v>
          </cell>
          <cell r="G511">
            <v>4.16</v>
          </cell>
          <cell r="Q511" t="str">
            <v>3/8"</v>
          </cell>
          <cell r="R511">
            <v>15</v>
          </cell>
          <cell r="S511">
            <v>0.5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4.2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</row>
        <row r="512">
          <cell r="B512" t="str">
            <v>Acero Vert</v>
          </cell>
          <cell r="C512">
            <v>1</v>
          </cell>
          <cell r="D512">
            <v>1</v>
          </cell>
          <cell r="E512">
            <v>2.0699999999999998</v>
          </cell>
          <cell r="F512">
            <v>0.4</v>
          </cell>
          <cell r="G512">
            <v>4.16</v>
          </cell>
          <cell r="H512">
            <v>280</v>
          </cell>
          <cell r="I512">
            <v>0</v>
          </cell>
          <cell r="J512">
            <v>3.44448</v>
          </cell>
          <cell r="K512">
            <v>0</v>
          </cell>
          <cell r="L512">
            <v>3.44448</v>
          </cell>
          <cell r="M512">
            <v>4.9399999999999995</v>
          </cell>
          <cell r="N512">
            <v>3.96</v>
          </cell>
          <cell r="O512">
            <v>19.562399999999997</v>
          </cell>
          <cell r="P512" t="str">
            <v>V</v>
          </cell>
          <cell r="Q512" t="str">
            <v>1/2"</v>
          </cell>
          <cell r="R512">
            <v>10</v>
          </cell>
          <cell r="S512">
            <v>4.66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48.609000000000002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</row>
        <row r="513">
          <cell r="B513" t="str">
            <v>Acero Hor</v>
          </cell>
          <cell r="C513">
            <v>1</v>
          </cell>
          <cell r="D513">
            <v>1</v>
          </cell>
          <cell r="G513">
            <v>4.16</v>
          </cell>
          <cell r="P513" t="str">
            <v>H</v>
          </cell>
          <cell r="Q513" t="str">
            <v>1/2"</v>
          </cell>
          <cell r="R513">
            <v>58</v>
          </cell>
          <cell r="S513">
            <v>2.6199999999999997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150.44039999999998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</row>
        <row r="514">
          <cell r="B514" t="str">
            <v>Nucleo A</v>
          </cell>
          <cell r="C514">
            <v>1</v>
          </cell>
          <cell r="D514">
            <v>1</v>
          </cell>
          <cell r="E514">
            <v>1</v>
          </cell>
          <cell r="F514">
            <v>0.4</v>
          </cell>
          <cell r="G514">
            <v>4.16</v>
          </cell>
          <cell r="P514" t="str">
            <v>V</v>
          </cell>
          <cell r="Q514" t="str">
            <v>1"</v>
          </cell>
          <cell r="R514">
            <v>20</v>
          </cell>
          <cell r="S514">
            <v>6.16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532.774</v>
          </cell>
          <cell r="AD514">
            <v>0</v>
          </cell>
        </row>
        <row r="515">
          <cell r="B515" t="str">
            <v>Est</v>
          </cell>
          <cell r="C515">
            <v>1</v>
          </cell>
          <cell r="D515">
            <v>1</v>
          </cell>
          <cell r="E515">
            <v>0.7</v>
          </cell>
          <cell r="F515">
            <v>0.4</v>
          </cell>
          <cell r="G515">
            <v>4.16</v>
          </cell>
          <cell r="Q515" t="str">
            <v>3/8"</v>
          </cell>
          <cell r="R515">
            <v>15</v>
          </cell>
          <cell r="S515">
            <v>2.2000000000000002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18.48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</row>
        <row r="516">
          <cell r="B516" t="str">
            <v>Est</v>
          </cell>
          <cell r="C516">
            <v>1</v>
          </cell>
          <cell r="D516">
            <v>1</v>
          </cell>
          <cell r="E516">
            <v>0.7</v>
          </cell>
          <cell r="F516">
            <v>0.4</v>
          </cell>
          <cell r="G516">
            <v>4.16</v>
          </cell>
          <cell r="Q516" t="str">
            <v>3/8"</v>
          </cell>
          <cell r="R516">
            <v>15</v>
          </cell>
          <cell r="S516">
            <v>2.2000000000000002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18.48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</row>
        <row r="517">
          <cell r="B517" t="str">
            <v>Est</v>
          </cell>
          <cell r="C517">
            <v>1</v>
          </cell>
          <cell r="D517">
            <v>1</v>
          </cell>
          <cell r="E517">
            <v>0.7</v>
          </cell>
          <cell r="F517">
            <v>0.4</v>
          </cell>
          <cell r="G517">
            <v>4.16</v>
          </cell>
          <cell r="Q517" t="str">
            <v>3/8"</v>
          </cell>
          <cell r="R517">
            <v>15</v>
          </cell>
          <cell r="S517">
            <v>2.2000000000000002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18.48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</row>
        <row r="518">
          <cell r="B518" t="str">
            <v>Est</v>
          </cell>
          <cell r="C518">
            <v>1</v>
          </cell>
          <cell r="D518">
            <v>1</v>
          </cell>
          <cell r="E518">
            <v>0.4</v>
          </cell>
          <cell r="F518">
            <v>0.2</v>
          </cell>
          <cell r="G518">
            <v>4.16</v>
          </cell>
          <cell r="Q518" t="str">
            <v>3/8"</v>
          </cell>
          <cell r="R518">
            <v>15</v>
          </cell>
          <cell r="S518">
            <v>1.2000000000000002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10.080000000000004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</row>
        <row r="519">
          <cell r="B519" t="str">
            <v>Est</v>
          </cell>
          <cell r="C519">
            <v>1</v>
          </cell>
          <cell r="D519">
            <v>1</v>
          </cell>
          <cell r="E519">
            <v>0.4</v>
          </cell>
          <cell r="F519">
            <v>0.2</v>
          </cell>
          <cell r="G519">
            <v>4.16</v>
          </cell>
          <cell r="Q519" t="str">
            <v>3/8"</v>
          </cell>
          <cell r="R519">
            <v>15</v>
          </cell>
          <cell r="S519">
            <v>1.2000000000000002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10.080000000000004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</row>
        <row r="520">
          <cell r="B520" t="str">
            <v>Est</v>
          </cell>
          <cell r="C520">
            <v>1</v>
          </cell>
          <cell r="D520">
            <v>1</v>
          </cell>
          <cell r="E520">
            <v>0.15</v>
          </cell>
          <cell r="F520">
            <v>0.4</v>
          </cell>
          <cell r="G520">
            <v>4.16</v>
          </cell>
          <cell r="Q520" t="str">
            <v>3/8"</v>
          </cell>
          <cell r="R520">
            <v>15</v>
          </cell>
          <cell r="S520">
            <v>0.7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5.8800000000000008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</row>
        <row r="521"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</row>
        <row r="522"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</row>
        <row r="523">
          <cell r="B523" t="str">
            <v>2 PISO</v>
          </cell>
          <cell r="H523">
            <v>280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</row>
        <row r="524"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</row>
        <row r="525">
          <cell r="B525" t="str">
            <v>B2-PL-01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</row>
        <row r="526">
          <cell r="B526" t="str">
            <v>Acero Vert</v>
          </cell>
          <cell r="C526">
            <v>2</v>
          </cell>
          <cell r="D526">
            <v>1</v>
          </cell>
          <cell r="E526">
            <v>6.05</v>
          </cell>
          <cell r="F526">
            <v>0.2</v>
          </cell>
          <cell r="G526">
            <v>2.65</v>
          </cell>
          <cell r="H526">
            <v>280</v>
          </cell>
          <cell r="I526">
            <v>0</v>
          </cell>
          <cell r="J526">
            <v>6.4129999999999994</v>
          </cell>
          <cell r="K526">
            <v>0</v>
          </cell>
          <cell r="L526">
            <v>6.4129999999999994</v>
          </cell>
          <cell r="M526">
            <v>12.5</v>
          </cell>
          <cell r="N526">
            <v>2.4499999999999997</v>
          </cell>
          <cell r="O526">
            <v>61.249999999999993</v>
          </cell>
          <cell r="P526" t="str">
            <v>V</v>
          </cell>
          <cell r="Q526" t="str">
            <v>3/8"</v>
          </cell>
          <cell r="R526">
            <v>40</v>
          </cell>
          <cell r="S526">
            <v>3.15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163.52000000000001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</row>
        <row r="527">
          <cell r="B527" t="str">
            <v>Acero Hor</v>
          </cell>
          <cell r="C527">
            <v>2</v>
          </cell>
          <cell r="D527">
            <v>1</v>
          </cell>
          <cell r="G527">
            <v>2.65</v>
          </cell>
          <cell r="P527" t="str">
            <v>H</v>
          </cell>
          <cell r="Q527" t="str">
            <v>3/8"</v>
          </cell>
          <cell r="R527">
            <v>24</v>
          </cell>
          <cell r="S527">
            <v>6.55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176.06399999999999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</row>
        <row r="528">
          <cell r="B528" t="str">
            <v>Nucleo A</v>
          </cell>
          <cell r="C528">
            <v>2</v>
          </cell>
          <cell r="D528">
            <v>1</v>
          </cell>
          <cell r="E528">
            <v>0.6</v>
          </cell>
          <cell r="F528">
            <v>0.2</v>
          </cell>
          <cell r="G528">
            <v>2.65</v>
          </cell>
          <cell r="P528" t="str">
            <v>V</v>
          </cell>
          <cell r="Q528" t="str">
            <v>1"</v>
          </cell>
          <cell r="R528">
            <v>8</v>
          </cell>
          <cell r="S528">
            <v>3.2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238.20000000000002</v>
          </cell>
          <cell r="AD528">
            <v>0</v>
          </cell>
        </row>
        <row r="529">
          <cell r="B529" t="str">
            <v>Est</v>
          </cell>
          <cell r="C529">
            <v>2</v>
          </cell>
          <cell r="D529">
            <v>1</v>
          </cell>
          <cell r="E529">
            <v>0.4</v>
          </cell>
          <cell r="F529">
            <v>0.2</v>
          </cell>
          <cell r="G529">
            <v>2.65</v>
          </cell>
          <cell r="Q529" t="str">
            <v>3/8"</v>
          </cell>
          <cell r="R529">
            <v>11</v>
          </cell>
          <cell r="S529">
            <v>1.2000000000000002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14.784000000000004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</row>
        <row r="530">
          <cell r="B530" t="str">
            <v>Est</v>
          </cell>
          <cell r="C530">
            <v>2</v>
          </cell>
          <cell r="D530">
            <v>1</v>
          </cell>
          <cell r="E530">
            <v>0.4</v>
          </cell>
          <cell r="F530">
            <v>0.2</v>
          </cell>
          <cell r="G530">
            <v>2.65</v>
          </cell>
          <cell r="Q530" t="str">
            <v>3/8"</v>
          </cell>
          <cell r="R530">
            <v>11</v>
          </cell>
          <cell r="S530">
            <v>1.2000000000000002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14.784000000000004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</row>
        <row r="531">
          <cell r="B531" t="str">
            <v>Nucleo A</v>
          </cell>
          <cell r="C531">
            <v>2</v>
          </cell>
          <cell r="D531">
            <v>1</v>
          </cell>
          <cell r="E531">
            <v>0.6</v>
          </cell>
          <cell r="F531">
            <v>0.2</v>
          </cell>
          <cell r="G531">
            <v>2.65</v>
          </cell>
          <cell r="P531" t="str">
            <v>V</v>
          </cell>
          <cell r="Q531" t="str">
            <v>1"</v>
          </cell>
          <cell r="R531">
            <v>8</v>
          </cell>
          <cell r="S531">
            <v>3.2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238.20000000000002</v>
          </cell>
          <cell r="AD531">
            <v>0</v>
          </cell>
        </row>
        <row r="532">
          <cell r="B532" t="str">
            <v>Est</v>
          </cell>
          <cell r="C532">
            <v>2</v>
          </cell>
          <cell r="D532">
            <v>1</v>
          </cell>
          <cell r="E532">
            <v>0.4</v>
          </cell>
          <cell r="F532">
            <v>0.2</v>
          </cell>
          <cell r="G532">
            <v>2.65</v>
          </cell>
          <cell r="Q532" t="str">
            <v>3/8"</v>
          </cell>
          <cell r="R532">
            <v>11</v>
          </cell>
          <cell r="S532">
            <v>1.2000000000000002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14.784000000000004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</row>
        <row r="533">
          <cell r="B533" t="str">
            <v>Est</v>
          </cell>
          <cell r="C533">
            <v>2</v>
          </cell>
          <cell r="D533">
            <v>1</v>
          </cell>
          <cell r="E533">
            <v>0.4</v>
          </cell>
          <cell r="F533">
            <v>0.2</v>
          </cell>
          <cell r="G533">
            <v>2.65</v>
          </cell>
          <cell r="Q533" t="str">
            <v>3/8"</v>
          </cell>
          <cell r="R533">
            <v>11</v>
          </cell>
          <cell r="S533">
            <v>1.2000000000000002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14.784000000000004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</row>
        <row r="534"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</row>
        <row r="535">
          <cell r="B535" t="str">
            <v>B2-PL-02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</row>
        <row r="536">
          <cell r="B536" t="str">
            <v>Acero Vert</v>
          </cell>
          <cell r="C536">
            <v>1</v>
          </cell>
          <cell r="D536">
            <v>1</v>
          </cell>
          <cell r="E536">
            <v>6</v>
          </cell>
          <cell r="F536">
            <v>0.2</v>
          </cell>
          <cell r="G536">
            <v>2.65</v>
          </cell>
          <cell r="H536">
            <v>280</v>
          </cell>
          <cell r="I536">
            <v>0</v>
          </cell>
          <cell r="J536">
            <v>3.18</v>
          </cell>
          <cell r="K536">
            <v>0</v>
          </cell>
          <cell r="L536">
            <v>3.18</v>
          </cell>
          <cell r="M536">
            <v>12.4</v>
          </cell>
          <cell r="N536">
            <v>2.4499999999999997</v>
          </cell>
          <cell r="O536">
            <v>30.38</v>
          </cell>
          <cell r="P536" t="str">
            <v>V</v>
          </cell>
          <cell r="Q536" t="str">
            <v>3/8"</v>
          </cell>
          <cell r="R536">
            <v>42</v>
          </cell>
          <cell r="S536">
            <v>3.15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85.847999999999999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</row>
        <row r="537">
          <cell r="B537" t="str">
            <v>Acero Hor</v>
          </cell>
          <cell r="C537">
            <v>1</v>
          </cell>
          <cell r="D537">
            <v>1</v>
          </cell>
          <cell r="E537">
            <v>0.3</v>
          </cell>
          <cell r="F537">
            <v>0.4</v>
          </cell>
          <cell r="G537">
            <v>2.65</v>
          </cell>
          <cell r="H537">
            <v>280</v>
          </cell>
          <cell r="I537">
            <v>0</v>
          </cell>
          <cell r="J537">
            <v>0.318</v>
          </cell>
          <cell r="K537">
            <v>0</v>
          </cell>
          <cell r="L537">
            <v>0.318</v>
          </cell>
          <cell r="M537">
            <v>1.4</v>
          </cell>
          <cell r="N537">
            <v>2.4499999999999997</v>
          </cell>
          <cell r="O537">
            <v>3.4299999999999993</v>
          </cell>
          <cell r="P537" t="str">
            <v>H</v>
          </cell>
          <cell r="Q537" t="str">
            <v>3/8"</v>
          </cell>
          <cell r="R537">
            <v>24</v>
          </cell>
          <cell r="S537">
            <v>6.3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84.671999999999997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</row>
        <row r="538">
          <cell r="B538" t="str">
            <v>Nucleo A</v>
          </cell>
          <cell r="C538">
            <v>1</v>
          </cell>
          <cell r="D538">
            <v>1</v>
          </cell>
          <cell r="E538">
            <v>0.4</v>
          </cell>
          <cell r="F538">
            <v>0.5</v>
          </cell>
          <cell r="G538">
            <v>2.65</v>
          </cell>
          <cell r="P538" t="str">
            <v>V</v>
          </cell>
          <cell r="Q538" t="str">
            <v>1"</v>
          </cell>
          <cell r="R538">
            <v>12</v>
          </cell>
          <cell r="S538">
            <v>3.2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178.65000000000003</v>
          </cell>
          <cell r="AD538">
            <v>0</v>
          </cell>
        </row>
        <row r="539">
          <cell r="B539" t="str">
            <v>Est</v>
          </cell>
          <cell r="C539">
            <v>1</v>
          </cell>
          <cell r="D539">
            <v>1</v>
          </cell>
          <cell r="E539">
            <v>0.4</v>
          </cell>
          <cell r="F539">
            <v>0.5</v>
          </cell>
          <cell r="G539">
            <v>2.65</v>
          </cell>
          <cell r="Q539" t="str">
            <v>1/2"</v>
          </cell>
          <cell r="R539">
            <v>11</v>
          </cell>
          <cell r="S539">
            <v>1.8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19.602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</row>
        <row r="540">
          <cell r="B540" t="str">
            <v>Est</v>
          </cell>
          <cell r="C540">
            <v>1</v>
          </cell>
          <cell r="D540">
            <v>1</v>
          </cell>
          <cell r="E540">
            <v>0.25</v>
          </cell>
          <cell r="F540">
            <v>0.5</v>
          </cell>
          <cell r="G540">
            <v>2.65</v>
          </cell>
          <cell r="Q540" t="str">
            <v>1/2"</v>
          </cell>
          <cell r="R540">
            <v>11</v>
          </cell>
          <cell r="S540">
            <v>1.5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16.335000000000001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</row>
        <row r="541">
          <cell r="B541" t="str">
            <v>Est</v>
          </cell>
          <cell r="C541">
            <v>1</v>
          </cell>
          <cell r="D541">
            <v>1</v>
          </cell>
          <cell r="E541">
            <v>0.4</v>
          </cell>
          <cell r="F541">
            <v>0.1</v>
          </cell>
          <cell r="G541">
            <v>2.65</v>
          </cell>
          <cell r="Q541" t="str">
            <v>1/2"</v>
          </cell>
          <cell r="R541">
            <v>11</v>
          </cell>
          <cell r="S541">
            <v>0.5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5.4450000000000003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</row>
        <row r="542">
          <cell r="B542" t="str">
            <v>Nucleo A</v>
          </cell>
          <cell r="C542">
            <v>1</v>
          </cell>
          <cell r="D542">
            <v>1</v>
          </cell>
          <cell r="E542">
            <v>0.6</v>
          </cell>
          <cell r="F542">
            <v>0.2</v>
          </cell>
          <cell r="G542">
            <v>2.65</v>
          </cell>
          <cell r="P542" t="str">
            <v>V</v>
          </cell>
          <cell r="Q542" t="str">
            <v>1"</v>
          </cell>
          <cell r="R542">
            <v>8</v>
          </cell>
          <cell r="S542">
            <v>3.2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119.10000000000001</v>
          </cell>
          <cell r="AD542">
            <v>0</v>
          </cell>
        </row>
        <row r="543">
          <cell r="B543" t="str">
            <v>Est</v>
          </cell>
          <cell r="C543">
            <v>1</v>
          </cell>
          <cell r="D543">
            <v>1</v>
          </cell>
          <cell r="E543">
            <v>0.4</v>
          </cell>
          <cell r="F543">
            <v>0.2</v>
          </cell>
          <cell r="G543">
            <v>2.65</v>
          </cell>
          <cell r="Q543" t="str">
            <v>3/8"</v>
          </cell>
          <cell r="R543">
            <v>11</v>
          </cell>
          <cell r="S543">
            <v>1.2000000000000002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7.3920000000000021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</row>
        <row r="544">
          <cell r="B544" t="str">
            <v>Est</v>
          </cell>
          <cell r="C544">
            <v>1</v>
          </cell>
          <cell r="D544">
            <v>1</v>
          </cell>
          <cell r="E544">
            <v>0.4</v>
          </cell>
          <cell r="F544">
            <v>0.2</v>
          </cell>
          <cell r="G544">
            <v>2.65</v>
          </cell>
          <cell r="Q544" t="str">
            <v>3/8"</v>
          </cell>
          <cell r="R544">
            <v>11</v>
          </cell>
          <cell r="S544">
            <v>1.2000000000000002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7.3920000000000021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</row>
        <row r="545"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</row>
        <row r="546">
          <cell r="B546" t="str">
            <v>B2-PL-02A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</row>
        <row r="547">
          <cell r="B547" t="str">
            <v>Acero Vert</v>
          </cell>
          <cell r="C547">
            <v>1</v>
          </cell>
          <cell r="D547">
            <v>1</v>
          </cell>
          <cell r="E547">
            <v>6</v>
          </cell>
          <cell r="F547">
            <v>0.2</v>
          </cell>
          <cell r="G547">
            <v>2.65</v>
          </cell>
          <cell r="H547">
            <v>280</v>
          </cell>
          <cell r="I547">
            <v>0</v>
          </cell>
          <cell r="J547">
            <v>3.18</v>
          </cell>
          <cell r="K547">
            <v>0</v>
          </cell>
          <cell r="L547">
            <v>3.18</v>
          </cell>
          <cell r="M547">
            <v>12.4</v>
          </cell>
          <cell r="N547">
            <v>2.4499999999999997</v>
          </cell>
          <cell r="O547">
            <v>30.38</v>
          </cell>
          <cell r="P547" t="str">
            <v>V</v>
          </cell>
          <cell r="Q547" t="str">
            <v>3/8"</v>
          </cell>
          <cell r="R547">
            <v>42</v>
          </cell>
          <cell r="S547">
            <v>3.15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85.847999999999999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</row>
        <row r="548">
          <cell r="B548" t="str">
            <v>Acero Hor</v>
          </cell>
          <cell r="C548">
            <v>1</v>
          </cell>
          <cell r="D548">
            <v>1</v>
          </cell>
          <cell r="E548">
            <v>0.3</v>
          </cell>
          <cell r="F548">
            <v>0.4</v>
          </cell>
          <cell r="G548">
            <v>2.65</v>
          </cell>
          <cell r="H548">
            <v>280</v>
          </cell>
          <cell r="I548">
            <v>0</v>
          </cell>
          <cell r="J548">
            <v>0.318</v>
          </cell>
          <cell r="K548">
            <v>0</v>
          </cell>
          <cell r="L548">
            <v>0.318</v>
          </cell>
          <cell r="M548">
            <v>1.4</v>
          </cell>
          <cell r="N548">
            <v>2.4499999999999997</v>
          </cell>
          <cell r="O548">
            <v>3.4299999999999993</v>
          </cell>
          <cell r="P548" t="str">
            <v>H</v>
          </cell>
          <cell r="Q548" t="str">
            <v>3/8"</v>
          </cell>
          <cell r="R548">
            <v>24</v>
          </cell>
          <cell r="S548">
            <v>6.3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84.671999999999997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</row>
        <row r="549">
          <cell r="B549" t="str">
            <v>Nucleo A</v>
          </cell>
          <cell r="C549">
            <v>1</v>
          </cell>
          <cell r="D549">
            <v>1</v>
          </cell>
          <cell r="E549">
            <v>0.4</v>
          </cell>
          <cell r="F549">
            <v>0.5</v>
          </cell>
          <cell r="G549">
            <v>2.65</v>
          </cell>
          <cell r="P549" t="str">
            <v>V</v>
          </cell>
          <cell r="Q549" t="str">
            <v>1"</v>
          </cell>
          <cell r="R549">
            <v>12</v>
          </cell>
          <cell r="S549">
            <v>3.2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178.65000000000003</v>
          </cell>
          <cell r="AD549">
            <v>0</v>
          </cell>
        </row>
        <row r="550">
          <cell r="B550" t="str">
            <v>Est</v>
          </cell>
          <cell r="C550">
            <v>1</v>
          </cell>
          <cell r="D550">
            <v>1</v>
          </cell>
          <cell r="E550">
            <v>0.4</v>
          </cell>
          <cell r="F550">
            <v>0.5</v>
          </cell>
          <cell r="G550">
            <v>2.65</v>
          </cell>
          <cell r="Q550" t="str">
            <v>1/2"</v>
          </cell>
          <cell r="R550">
            <v>11</v>
          </cell>
          <cell r="S550">
            <v>1.8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19.602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</row>
        <row r="551">
          <cell r="B551" t="str">
            <v>Est</v>
          </cell>
          <cell r="C551">
            <v>1</v>
          </cell>
          <cell r="D551">
            <v>1</v>
          </cell>
          <cell r="E551">
            <v>0.25</v>
          </cell>
          <cell r="F551">
            <v>0.5</v>
          </cell>
          <cell r="G551">
            <v>2.65</v>
          </cell>
          <cell r="Q551" t="str">
            <v>1/2"</v>
          </cell>
          <cell r="R551">
            <v>11</v>
          </cell>
          <cell r="S551">
            <v>1.5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16.335000000000001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</row>
        <row r="552">
          <cell r="B552" t="str">
            <v>Est</v>
          </cell>
          <cell r="C552">
            <v>1</v>
          </cell>
          <cell r="D552">
            <v>1</v>
          </cell>
          <cell r="E552">
            <v>0.4</v>
          </cell>
          <cell r="F552">
            <v>0.1</v>
          </cell>
          <cell r="G552">
            <v>2.65</v>
          </cell>
          <cell r="Q552" t="str">
            <v>1/2"</v>
          </cell>
          <cell r="R552">
            <v>11</v>
          </cell>
          <cell r="S552">
            <v>0.5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5.4450000000000003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</row>
        <row r="553">
          <cell r="B553" t="str">
            <v>Nucleo A</v>
          </cell>
          <cell r="C553">
            <v>1</v>
          </cell>
          <cell r="D553">
            <v>1</v>
          </cell>
          <cell r="E553">
            <v>0.6</v>
          </cell>
          <cell r="F553">
            <v>0.2</v>
          </cell>
          <cell r="G553">
            <v>2.65</v>
          </cell>
          <cell r="P553" t="str">
            <v>V</v>
          </cell>
          <cell r="Q553" t="str">
            <v>1"</v>
          </cell>
          <cell r="R553">
            <v>8</v>
          </cell>
          <cell r="S553">
            <v>3.2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119.10000000000001</v>
          </cell>
          <cell r="AD553">
            <v>0</v>
          </cell>
        </row>
        <row r="554">
          <cell r="B554" t="str">
            <v>Est</v>
          </cell>
          <cell r="C554">
            <v>1</v>
          </cell>
          <cell r="D554">
            <v>1</v>
          </cell>
          <cell r="E554">
            <v>0.4</v>
          </cell>
          <cell r="F554">
            <v>0.2</v>
          </cell>
          <cell r="G554">
            <v>2.65</v>
          </cell>
          <cell r="Q554" t="str">
            <v>3/8"</v>
          </cell>
          <cell r="R554">
            <v>11</v>
          </cell>
          <cell r="S554">
            <v>1.2000000000000002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7.3920000000000021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</row>
        <row r="555">
          <cell r="B555" t="str">
            <v>Est</v>
          </cell>
          <cell r="C555">
            <v>1</v>
          </cell>
          <cell r="D555">
            <v>1</v>
          </cell>
          <cell r="E555">
            <v>0.4</v>
          </cell>
          <cell r="F555">
            <v>0.2</v>
          </cell>
          <cell r="G555">
            <v>2.65</v>
          </cell>
          <cell r="Q555" t="str">
            <v>3/8"</v>
          </cell>
          <cell r="R555">
            <v>11</v>
          </cell>
          <cell r="S555">
            <v>1.2000000000000002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7.3920000000000021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</row>
        <row r="556">
          <cell r="B556" t="str">
            <v>B2-PL-03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</row>
        <row r="557">
          <cell r="B557" t="str">
            <v>Acero Vert</v>
          </cell>
          <cell r="C557">
            <v>1</v>
          </cell>
          <cell r="D557">
            <v>1</v>
          </cell>
          <cell r="E557">
            <v>4.4000000000000004</v>
          </cell>
          <cell r="F557">
            <v>0.25</v>
          </cell>
          <cell r="G557">
            <v>2.65</v>
          </cell>
          <cell r="H557">
            <v>280</v>
          </cell>
          <cell r="I557">
            <v>0</v>
          </cell>
          <cell r="J557">
            <v>2.915</v>
          </cell>
          <cell r="K557">
            <v>0</v>
          </cell>
          <cell r="L557">
            <v>2.915</v>
          </cell>
          <cell r="M557">
            <v>9.3000000000000007</v>
          </cell>
          <cell r="N557">
            <v>2.4499999999999997</v>
          </cell>
          <cell r="O557">
            <v>22.785</v>
          </cell>
          <cell r="P557" t="str">
            <v>V</v>
          </cell>
          <cell r="Q557" t="str">
            <v>3/8"</v>
          </cell>
          <cell r="R557">
            <v>40</v>
          </cell>
          <cell r="S557">
            <v>3.15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81.760000000000005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</row>
        <row r="558">
          <cell r="B558" t="str">
            <v>Acero Hor</v>
          </cell>
          <cell r="C558">
            <v>1</v>
          </cell>
          <cell r="D558">
            <v>1</v>
          </cell>
          <cell r="G558">
            <v>2.65</v>
          </cell>
          <cell r="P558" t="str">
            <v>H</v>
          </cell>
          <cell r="Q558" t="str">
            <v>1/2"</v>
          </cell>
          <cell r="R558">
            <v>38</v>
          </cell>
          <cell r="S558">
            <v>4.7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176.81399999999999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</row>
        <row r="559">
          <cell r="B559" t="str">
            <v>Nucleo A</v>
          </cell>
          <cell r="C559">
            <v>1</v>
          </cell>
          <cell r="D559">
            <v>1</v>
          </cell>
          <cell r="E559">
            <v>0.2</v>
          </cell>
          <cell r="F559">
            <v>0.25</v>
          </cell>
          <cell r="G559">
            <v>2.65</v>
          </cell>
          <cell r="P559" t="str">
            <v>V</v>
          </cell>
          <cell r="Q559" t="str">
            <v>1"</v>
          </cell>
          <cell r="R559">
            <v>4</v>
          </cell>
          <cell r="S559">
            <v>3.2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59.550000000000004</v>
          </cell>
          <cell r="AD559">
            <v>0</v>
          </cell>
        </row>
        <row r="560">
          <cell r="B560" t="str">
            <v>Est</v>
          </cell>
          <cell r="C560">
            <v>1</v>
          </cell>
          <cell r="D560">
            <v>1</v>
          </cell>
          <cell r="E560">
            <v>0.2</v>
          </cell>
          <cell r="F560">
            <v>0.25</v>
          </cell>
          <cell r="G560">
            <v>2.65</v>
          </cell>
          <cell r="Q560" t="str">
            <v>3/8"</v>
          </cell>
          <cell r="R560">
            <v>11</v>
          </cell>
          <cell r="S560">
            <v>0.9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5.5440000000000005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</row>
        <row r="561">
          <cell r="B561" t="str">
            <v>Nucleo A</v>
          </cell>
          <cell r="C561">
            <v>1</v>
          </cell>
          <cell r="D561">
            <v>1</v>
          </cell>
          <cell r="E561">
            <v>0.4</v>
          </cell>
          <cell r="F561">
            <v>0.25</v>
          </cell>
          <cell r="G561">
            <v>2.65</v>
          </cell>
          <cell r="P561" t="str">
            <v>V</v>
          </cell>
          <cell r="Q561" t="str">
            <v>1"</v>
          </cell>
          <cell r="R561">
            <v>4</v>
          </cell>
          <cell r="S561">
            <v>3.2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59.550000000000004</v>
          </cell>
          <cell r="AD561">
            <v>0</v>
          </cell>
        </row>
        <row r="562">
          <cell r="B562" t="str">
            <v>Est</v>
          </cell>
          <cell r="C562">
            <v>1</v>
          </cell>
          <cell r="D562">
            <v>1</v>
          </cell>
          <cell r="E562">
            <v>0.4</v>
          </cell>
          <cell r="F562">
            <v>0.25</v>
          </cell>
          <cell r="G562">
            <v>2.65</v>
          </cell>
          <cell r="Q562" t="str">
            <v>3/8"</v>
          </cell>
          <cell r="R562">
            <v>11</v>
          </cell>
          <cell r="S562">
            <v>1.3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8.0080000000000009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</row>
        <row r="563">
          <cell r="B563" t="str">
            <v>Acero Vert</v>
          </cell>
          <cell r="C563">
            <v>1</v>
          </cell>
          <cell r="D563">
            <v>1</v>
          </cell>
          <cell r="E563">
            <v>2.0699999999999998</v>
          </cell>
          <cell r="F563">
            <v>0.2</v>
          </cell>
          <cell r="G563">
            <v>2.65</v>
          </cell>
          <cell r="H563">
            <v>280</v>
          </cell>
          <cell r="I563">
            <v>0</v>
          </cell>
          <cell r="J563">
            <v>1.0971</v>
          </cell>
          <cell r="K563">
            <v>0</v>
          </cell>
          <cell r="L563">
            <v>1.0971</v>
          </cell>
          <cell r="M563">
            <v>4.54</v>
          </cell>
          <cell r="N563">
            <v>2.4499999999999997</v>
          </cell>
          <cell r="O563">
            <v>11.122999999999999</v>
          </cell>
          <cell r="P563" t="str">
            <v>V</v>
          </cell>
          <cell r="Q563" t="str">
            <v>1/2"</v>
          </cell>
          <cell r="R563">
            <v>10</v>
          </cell>
          <cell r="S563">
            <v>3.15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33.659999999999997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</row>
        <row r="564">
          <cell r="B564" t="str">
            <v>Acero Hor</v>
          </cell>
          <cell r="C564">
            <v>1</v>
          </cell>
          <cell r="D564">
            <v>1</v>
          </cell>
          <cell r="G564">
            <v>2.65</v>
          </cell>
          <cell r="P564" t="str">
            <v>H</v>
          </cell>
          <cell r="Q564" t="str">
            <v>1/2"</v>
          </cell>
          <cell r="R564">
            <v>38</v>
          </cell>
          <cell r="S564">
            <v>2.6199999999999997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98.564399999999992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</row>
        <row r="565">
          <cell r="B565" t="str">
            <v>Nucleo A</v>
          </cell>
          <cell r="C565">
            <v>1</v>
          </cell>
          <cell r="D565">
            <v>1</v>
          </cell>
          <cell r="E565">
            <v>1</v>
          </cell>
          <cell r="F565">
            <v>0.2</v>
          </cell>
          <cell r="G565">
            <v>2.65</v>
          </cell>
          <cell r="P565" t="str">
            <v>V</v>
          </cell>
          <cell r="Q565" t="str">
            <v>1"</v>
          </cell>
          <cell r="R565">
            <v>14</v>
          </cell>
          <cell r="S565">
            <v>3.2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208.42500000000004</v>
          </cell>
          <cell r="AD565">
            <v>0</v>
          </cell>
        </row>
        <row r="566">
          <cell r="B566" t="str">
            <v>Est</v>
          </cell>
          <cell r="C566">
            <v>1</v>
          </cell>
          <cell r="D566">
            <v>1</v>
          </cell>
          <cell r="E566">
            <v>0.7</v>
          </cell>
          <cell r="F566">
            <v>0.2</v>
          </cell>
          <cell r="G566">
            <v>2.65</v>
          </cell>
          <cell r="Q566" t="str">
            <v>3/8"</v>
          </cell>
          <cell r="R566">
            <v>10</v>
          </cell>
          <cell r="S566">
            <v>1.7999999999999998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10.080000000000002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</row>
        <row r="567">
          <cell r="B567" t="str">
            <v>Est</v>
          </cell>
          <cell r="C567">
            <v>1</v>
          </cell>
          <cell r="D567">
            <v>1</v>
          </cell>
          <cell r="E567">
            <v>0.7</v>
          </cell>
          <cell r="F567">
            <v>0.2</v>
          </cell>
          <cell r="G567">
            <v>2.65</v>
          </cell>
          <cell r="Q567" t="str">
            <v>3/8"</v>
          </cell>
          <cell r="R567">
            <v>10</v>
          </cell>
          <cell r="S567">
            <v>1.7999999999999998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10.080000000000002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</row>
        <row r="568">
          <cell r="B568" t="str">
            <v>Est</v>
          </cell>
          <cell r="C568">
            <v>1</v>
          </cell>
          <cell r="D568">
            <v>1</v>
          </cell>
          <cell r="E568">
            <v>0.7</v>
          </cell>
          <cell r="F568">
            <v>0.2</v>
          </cell>
          <cell r="G568">
            <v>2.65</v>
          </cell>
          <cell r="Q568" t="str">
            <v>3/8"</v>
          </cell>
          <cell r="R568">
            <v>10</v>
          </cell>
          <cell r="S568">
            <v>1.7999999999999998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10.080000000000002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</row>
        <row r="569">
          <cell r="B569" t="str">
            <v>Est</v>
          </cell>
          <cell r="C569">
            <v>1</v>
          </cell>
          <cell r="D569">
            <v>1</v>
          </cell>
          <cell r="E569">
            <v>0.15</v>
          </cell>
          <cell r="F569">
            <v>0.2</v>
          </cell>
          <cell r="G569">
            <v>2.65</v>
          </cell>
          <cell r="Q569" t="str">
            <v>3/8"</v>
          </cell>
          <cell r="R569">
            <v>10</v>
          </cell>
          <cell r="S569">
            <v>0.5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2.8000000000000003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</row>
        <row r="570">
          <cell r="B570" t="str">
            <v>Acero Vert</v>
          </cell>
          <cell r="C570">
            <v>1</v>
          </cell>
          <cell r="D570">
            <v>1</v>
          </cell>
          <cell r="E570">
            <v>2.0699999999999998</v>
          </cell>
          <cell r="F570">
            <v>0.4</v>
          </cell>
          <cell r="G570">
            <v>2.65</v>
          </cell>
          <cell r="H570">
            <v>280</v>
          </cell>
          <cell r="I570">
            <v>0</v>
          </cell>
          <cell r="J570">
            <v>2.1941999999999999</v>
          </cell>
          <cell r="K570">
            <v>0</v>
          </cell>
          <cell r="L570">
            <v>2.1941999999999999</v>
          </cell>
          <cell r="M570">
            <v>4.9399999999999995</v>
          </cell>
          <cell r="N570">
            <v>2.4499999999999997</v>
          </cell>
          <cell r="O570">
            <v>12.102999999999998</v>
          </cell>
          <cell r="P570" t="str">
            <v>V</v>
          </cell>
          <cell r="Q570" t="str">
            <v>1/2"</v>
          </cell>
          <cell r="R570">
            <v>10</v>
          </cell>
          <cell r="S570">
            <v>3.15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33.659999999999997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</row>
        <row r="571">
          <cell r="B571" t="str">
            <v>Acero Hor</v>
          </cell>
          <cell r="C571">
            <v>1</v>
          </cell>
          <cell r="D571">
            <v>1</v>
          </cell>
          <cell r="G571">
            <v>2.65</v>
          </cell>
          <cell r="P571" t="str">
            <v>H</v>
          </cell>
          <cell r="Q571" t="str">
            <v>1/2"</v>
          </cell>
          <cell r="R571">
            <v>38</v>
          </cell>
          <cell r="S571">
            <v>2.6199999999999997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98.564399999999992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</row>
        <row r="572">
          <cell r="B572" t="str">
            <v>Nucleo A</v>
          </cell>
          <cell r="C572">
            <v>1</v>
          </cell>
          <cell r="D572">
            <v>1</v>
          </cell>
          <cell r="E572">
            <v>1</v>
          </cell>
          <cell r="F572">
            <v>0.4</v>
          </cell>
          <cell r="G572">
            <v>2.65</v>
          </cell>
          <cell r="P572" t="str">
            <v>V</v>
          </cell>
          <cell r="Q572" t="str">
            <v>1"</v>
          </cell>
          <cell r="R572">
            <v>20</v>
          </cell>
          <cell r="S572">
            <v>3.2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297.75</v>
          </cell>
          <cell r="AD572">
            <v>0</v>
          </cell>
        </row>
        <row r="573">
          <cell r="B573" t="str">
            <v>Est</v>
          </cell>
          <cell r="C573">
            <v>1</v>
          </cell>
          <cell r="D573">
            <v>1</v>
          </cell>
          <cell r="E573">
            <v>0.7</v>
          </cell>
          <cell r="F573">
            <v>0.4</v>
          </cell>
          <cell r="G573">
            <v>2.65</v>
          </cell>
          <cell r="Q573" t="str">
            <v>3/8"</v>
          </cell>
          <cell r="R573">
            <v>10</v>
          </cell>
          <cell r="S573">
            <v>2.2000000000000002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12.32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</row>
        <row r="574">
          <cell r="B574" t="str">
            <v>Est</v>
          </cell>
          <cell r="C574">
            <v>1</v>
          </cell>
          <cell r="D574">
            <v>1</v>
          </cell>
          <cell r="E574">
            <v>0.7</v>
          </cell>
          <cell r="F574">
            <v>0.4</v>
          </cell>
          <cell r="G574">
            <v>2.65</v>
          </cell>
          <cell r="Q574" t="str">
            <v>3/8"</v>
          </cell>
          <cell r="R574">
            <v>10</v>
          </cell>
          <cell r="S574">
            <v>2.2000000000000002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12.32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</row>
        <row r="575">
          <cell r="B575" t="str">
            <v>Est</v>
          </cell>
          <cell r="C575">
            <v>1</v>
          </cell>
          <cell r="D575">
            <v>1</v>
          </cell>
          <cell r="E575">
            <v>0.7</v>
          </cell>
          <cell r="F575">
            <v>0.4</v>
          </cell>
          <cell r="G575">
            <v>2.65</v>
          </cell>
          <cell r="Q575" t="str">
            <v>3/8"</v>
          </cell>
          <cell r="R575">
            <v>10</v>
          </cell>
          <cell r="S575">
            <v>2.2000000000000002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12.32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</row>
        <row r="576">
          <cell r="B576" t="str">
            <v>Est</v>
          </cell>
          <cell r="C576">
            <v>1</v>
          </cell>
          <cell r="D576">
            <v>1</v>
          </cell>
          <cell r="E576">
            <v>0.4</v>
          </cell>
          <cell r="F576">
            <v>0.2</v>
          </cell>
          <cell r="G576">
            <v>2.65</v>
          </cell>
          <cell r="Q576" t="str">
            <v>3/8"</v>
          </cell>
          <cell r="R576">
            <v>10</v>
          </cell>
          <cell r="S576">
            <v>1.2000000000000002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6.7200000000000015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</row>
        <row r="577">
          <cell r="B577" t="str">
            <v>Est</v>
          </cell>
          <cell r="C577">
            <v>1</v>
          </cell>
          <cell r="D577">
            <v>1</v>
          </cell>
          <cell r="E577">
            <v>0.4</v>
          </cell>
          <cell r="F577">
            <v>0.2</v>
          </cell>
          <cell r="G577">
            <v>2.65</v>
          </cell>
          <cell r="Q577" t="str">
            <v>3/8"</v>
          </cell>
          <cell r="R577">
            <v>10</v>
          </cell>
          <cell r="S577">
            <v>1.2000000000000002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6.7200000000000015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</row>
        <row r="578">
          <cell r="B578" t="str">
            <v>Est</v>
          </cell>
          <cell r="C578">
            <v>1</v>
          </cell>
          <cell r="D578">
            <v>1</v>
          </cell>
          <cell r="E578">
            <v>0.15</v>
          </cell>
          <cell r="F578">
            <v>0.4</v>
          </cell>
          <cell r="G578">
            <v>2.65</v>
          </cell>
          <cell r="Q578" t="str">
            <v>3/8"</v>
          </cell>
          <cell r="R578">
            <v>10</v>
          </cell>
          <cell r="S578">
            <v>0.7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3.9200000000000004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</row>
        <row r="579"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</row>
        <row r="580">
          <cell r="B580" t="str">
            <v>3 PISO</v>
          </cell>
          <cell r="H580">
            <v>280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</row>
        <row r="581">
          <cell r="C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</row>
        <row r="582">
          <cell r="B582" t="str">
            <v>B2-PL-01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</row>
        <row r="583">
          <cell r="B583" t="str">
            <v>Acero Vert</v>
          </cell>
          <cell r="C583">
            <v>2</v>
          </cell>
          <cell r="D583">
            <v>1</v>
          </cell>
          <cell r="E583">
            <v>6.05</v>
          </cell>
          <cell r="F583">
            <v>0.2</v>
          </cell>
          <cell r="G583">
            <v>2.65</v>
          </cell>
          <cell r="H583">
            <v>280</v>
          </cell>
          <cell r="I583">
            <v>0</v>
          </cell>
          <cell r="J583">
            <v>6.4129999999999994</v>
          </cell>
          <cell r="K583">
            <v>0</v>
          </cell>
          <cell r="L583">
            <v>6.4129999999999994</v>
          </cell>
          <cell r="M583">
            <v>12.5</v>
          </cell>
          <cell r="N583">
            <v>2.4499999999999997</v>
          </cell>
          <cell r="O583">
            <v>61.249999999999993</v>
          </cell>
          <cell r="P583" t="str">
            <v>V</v>
          </cell>
          <cell r="Q583" t="str">
            <v>3/8"</v>
          </cell>
          <cell r="R583">
            <v>40</v>
          </cell>
          <cell r="S583">
            <v>3.15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163.52000000000001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</row>
        <row r="584">
          <cell r="B584" t="str">
            <v>Acero Hor</v>
          </cell>
          <cell r="C584">
            <v>2</v>
          </cell>
          <cell r="D584">
            <v>1</v>
          </cell>
          <cell r="G584">
            <v>2.65</v>
          </cell>
          <cell r="P584" t="str">
            <v>H</v>
          </cell>
          <cell r="Q584" t="str">
            <v>3/8"</v>
          </cell>
          <cell r="R584">
            <v>24</v>
          </cell>
          <cell r="S584">
            <v>6.55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176.06399999999999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</row>
        <row r="585">
          <cell r="B585" t="str">
            <v>Nucleo A</v>
          </cell>
          <cell r="C585">
            <v>2</v>
          </cell>
          <cell r="D585">
            <v>1</v>
          </cell>
          <cell r="E585">
            <v>0.6</v>
          </cell>
          <cell r="F585">
            <v>0.2</v>
          </cell>
          <cell r="G585">
            <v>2.65</v>
          </cell>
          <cell r="P585" t="str">
            <v>V</v>
          </cell>
          <cell r="Q585" t="str">
            <v>1"</v>
          </cell>
          <cell r="R585">
            <v>8</v>
          </cell>
          <cell r="S585">
            <v>3.2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238.20000000000002</v>
          </cell>
          <cell r="AD585">
            <v>0</v>
          </cell>
        </row>
        <row r="586">
          <cell r="B586" t="str">
            <v>Est</v>
          </cell>
          <cell r="C586">
            <v>2</v>
          </cell>
          <cell r="D586">
            <v>1</v>
          </cell>
          <cell r="E586">
            <v>0.4</v>
          </cell>
          <cell r="F586">
            <v>0.2</v>
          </cell>
          <cell r="G586">
            <v>2.65</v>
          </cell>
          <cell r="Q586" t="str">
            <v>3/8"</v>
          </cell>
          <cell r="R586">
            <v>11</v>
          </cell>
          <cell r="S586">
            <v>1.2000000000000002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14.784000000000004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</row>
        <row r="587">
          <cell r="B587" t="str">
            <v>Est</v>
          </cell>
          <cell r="C587">
            <v>2</v>
          </cell>
          <cell r="D587">
            <v>1</v>
          </cell>
          <cell r="E587">
            <v>0.4</v>
          </cell>
          <cell r="F587">
            <v>0.2</v>
          </cell>
          <cell r="G587">
            <v>2.65</v>
          </cell>
          <cell r="Q587" t="str">
            <v>3/8"</v>
          </cell>
          <cell r="R587">
            <v>11</v>
          </cell>
          <cell r="S587">
            <v>1.2000000000000002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14.784000000000004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</row>
        <row r="588">
          <cell r="B588" t="str">
            <v>Nucleo A</v>
          </cell>
          <cell r="C588">
            <v>2</v>
          </cell>
          <cell r="D588">
            <v>1</v>
          </cell>
          <cell r="E588">
            <v>0.6</v>
          </cell>
          <cell r="F588">
            <v>0.2</v>
          </cell>
          <cell r="G588">
            <v>2.65</v>
          </cell>
          <cell r="P588" t="str">
            <v>V</v>
          </cell>
          <cell r="Q588" t="str">
            <v>1"</v>
          </cell>
          <cell r="R588">
            <v>8</v>
          </cell>
          <cell r="S588">
            <v>3.2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238.20000000000002</v>
          </cell>
          <cell r="AD588">
            <v>0</v>
          </cell>
        </row>
        <row r="589">
          <cell r="B589" t="str">
            <v>Est</v>
          </cell>
          <cell r="C589">
            <v>2</v>
          </cell>
          <cell r="D589">
            <v>1</v>
          </cell>
          <cell r="E589">
            <v>0.4</v>
          </cell>
          <cell r="F589">
            <v>0.2</v>
          </cell>
          <cell r="G589">
            <v>2.65</v>
          </cell>
          <cell r="Q589" t="str">
            <v>3/8"</v>
          </cell>
          <cell r="R589">
            <v>11</v>
          </cell>
          <cell r="S589">
            <v>1.2000000000000002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14.784000000000004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</row>
        <row r="590">
          <cell r="B590" t="str">
            <v>Est</v>
          </cell>
          <cell r="C590">
            <v>2</v>
          </cell>
          <cell r="D590">
            <v>1</v>
          </cell>
          <cell r="E590">
            <v>0.4</v>
          </cell>
          <cell r="F590">
            <v>0.2</v>
          </cell>
          <cell r="G590">
            <v>2.65</v>
          </cell>
          <cell r="Q590" t="str">
            <v>3/8"</v>
          </cell>
          <cell r="R590">
            <v>11</v>
          </cell>
          <cell r="S590">
            <v>1.2000000000000002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14.784000000000004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</row>
        <row r="591"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</row>
        <row r="592">
          <cell r="B592" t="str">
            <v>B2-PL-02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</row>
        <row r="593">
          <cell r="B593" t="str">
            <v>Acero Vert</v>
          </cell>
          <cell r="C593">
            <v>1</v>
          </cell>
          <cell r="D593">
            <v>1</v>
          </cell>
          <cell r="E593">
            <v>6</v>
          </cell>
          <cell r="F593">
            <v>0.2</v>
          </cell>
          <cell r="G593">
            <v>2.65</v>
          </cell>
          <cell r="H593">
            <v>280</v>
          </cell>
          <cell r="I593">
            <v>0</v>
          </cell>
          <cell r="J593">
            <v>3.18</v>
          </cell>
          <cell r="K593">
            <v>0</v>
          </cell>
          <cell r="L593">
            <v>3.18</v>
          </cell>
          <cell r="M593">
            <v>12.4</v>
          </cell>
          <cell r="N593">
            <v>2.4499999999999997</v>
          </cell>
          <cell r="O593">
            <v>30.38</v>
          </cell>
          <cell r="P593" t="str">
            <v>V</v>
          </cell>
          <cell r="Q593" t="str">
            <v>3/8"</v>
          </cell>
          <cell r="R593">
            <v>42</v>
          </cell>
          <cell r="S593">
            <v>3.15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85.847999999999999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</row>
        <row r="594">
          <cell r="B594" t="str">
            <v>Acero Hor</v>
          </cell>
          <cell r="C594">
            <v>1</v>
          </cell>
          <cell r="D594">
            <v>1</v>
          </cell>
          <cell r="E594">
            <v>0.3</v>
          </cell>
          <cell r="F594">
            <v>0.4</v>
          </cell>
          <cell r="G594">
            <v>2.65</v>
          </cell>
          <cell r="H594">
            <v>280</v>
          </cell>
          <cell r="I594">
            <v>0</v>
          </cell>
          <cell r="J594">
            <v>0.318</v>
          </cell>
          <cell r="K594">
            <v>0</v>
          </cell>
          <cell r="L594">
            <v>0.318</v>
          </cell>
          <cell r="M594">
            <v>1.4</v>
          </cell>
          <cell r="N594">
            <v>2.4499999999999997</v>
          </cell>
          <cell r="O594">
            <v>3.4299999999999993</v>
          </cell>
          <cell r="P594" t="str">
            <v>H</v>
          </cell>
          <cell r="Q594" t="str">
            <v>3/8"</v>
          </cell>
          <cell r="R594">
            <v>24</v>
          </cell>
          <cell r="S594">
            <v>6.3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84.671999999999997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</row>
        <row r="595">
          <cell r="B595" t="str">
            <v>Nucleo A</v>
          </cell>
          <cell r="C595">
            <v>1</v>
          </cell>
          <cell r="D595">
            <v>1</v>
          </cell>
          <cell r="E595">
            <v>0.4</v>
          </cell>
          <cell r="F595">
            <v>0.5</v>
          </cell>
          <cell r="G595">
            <v>2.65</v>
          </cell>
          <cell r="P595" t="str">
            <v>V</v>
          </cell>
          <cell r="Q595" t="str">
            <v>1"</v>
          </cell>
          <cell r="R595">
            <v>12</v>
          </cell>
          <cell r="S595">
            <v>3.2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178.65000000000003</v>
          </cell>
          <cell r="AD595">
            <v>0</v>
          </cell>
        </row>
        <row r="596">
          <cell r="B596" t="str">
            <v>Est</v>
          </cell>
          <cell r="C596">
            <v>1</v>
          </cell>
          <cell r="D596">
            <v>1</v>
          </cell>
          <cell r="E596">
            <v>0.4</v>
          </cell>
          <cell r="F596">
            <v>0.5</v>
          </cell>
          <cell r="G596">
            <v>2.65</v>
          </cell>
          <cell r="Q596" t="str">
            <v>1/2"</v>
          </cell>
          <cell r="R596">
            <v>11</v>
          </cell>
          <cell r="S596">
            <v>1.8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19.602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</row>
        <row r="597">
          <cell r="B597" t="str">
            <v>Est</v>
          </cell>
          <cell r="C597">
            <v>1</v>
          </cell>
          <cell r="D597">
            <v>1</v>
          </cell>
          <cell r="E597">
            <v>0.25</v>
          </cell>
          <cell r="F597">
            <v>0.5</v>
          </cell>
          <cell r="G597">
            <v>2.65</v>
          </cell>
          <cell r="Q597" t="str">
            <v>1/2"</v>
          </cell>
          <cell r="R597">
            <v>11</v>
          </cell>
          <cell r="S597">
            <v>1.5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16.335000000000001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</row>
        <row r="598">
          <cell r="B598" t="str">
            <v>Est</v>
          </cell>
          <cell r="C598">
            <v>1</v>
          </cell>
          <cell r="D598">
            <v>1</v>
          </cell>
          <cell r="E598">
            <v>0.4</v>
          </cell>
          <cell r="F598">
            <v>0.1</v>
          </cell>
          <cell r="G598">
            <v>2.65</v>
          </cell>
          <cell r="Q598" t="str">
            <v>1/2"</v>
          </cell>
          <cell r="R598">
            <v>11</v>
          </cell>
          <cell r="S598">
            <v>0.5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5.4450000000000003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</row>
        <row r="599">
          <cell r="B599" t="str">
            <v>Nucleo A</v>
          </cell>
          <cell r="C599">
            <v>1</v>
          </cell>
          <cell r="D599">
            <v>1</v>
          </cell>
          <cell r="E599">
            <v>0.6</v>
          </cell>
          <cell r="F599">
            <v>0.2</v>
          </cell>
          <cell r="G599">
            <v>2.65</v>
          </cell>
          <cell r="P599" t="str">
            <v>V</v>
          </cell>
          <cell r="Q599" t="str">
            <v>1"</v>
          </cell>
          <cell r="R599">
            <v>8</v>
          </cell>
          <cell r="S599">
            <v>3.2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119.10000000000001</v>
          </cell>
          <cell r="AD599">
            <v>0</v>
          </cell>
        </row>
        <row r="600">
          <cell r="B600" t="str">
            <v>Est</v>
          </cell>
          <cell r="C600">
            <v>1</v>
          </cell>
          <cell r="D600">
            <v>1</v>
          </cell>
          <cell r="E600">
            <v>0.4</v>
          </cell>
          <cell r="F600">
            <v>0.2</v>
          </cell>
          <cell r="G600">
            <v>2.65</v>
          </cell>
          <cell r="Q600" t="str">
            <v>3/8"</v>
          </cell>
          <cell r="R600">
            <v>11</v>
          </cell>
          <cell r="S600">
            <v>1.2000000000000002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7.3920000000000021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</row>
        <row r="601">
          <cell r="B601" t="str">
            <v>Est</v>
          </cell>
          <cell r="C601">
            <v>1</v>
          </cell>
          <cell r="D601">
            <v>1</v>
          </cell>
          <cell r="E601">
            <v>0.4</v>
          </cell>
          <cell r="F601">
            <v>0.2</v>
          </cell>
          <cell r="G601">
            <v>2.65</v>
          </cell>
          <cell r="Q601" t="str">
            <v>3/8"</v>
          </cell>
          <cell r="R601">
            <v>11</v>
          </cell>
          <cell r="S601">
            <v>1.2000000000000002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7.3920000000000021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</row>
        <row r="602"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</row>
        <row r="603">
          <cell r="B603" t="str">
            <v>B2-PL-02A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</row>
        <row r="604">
          <cell r="B604" t="str">
            <v>Acero Vert</v>
          </cell>
          <cell r="C604">
            <v>1</v>
          </cell>
          <cell r="D604">
            <v>1</v>
          </cell>
          <cell r="E604">
            <v>6</v>
          </cell>
          <cell r="F604">
            <v>0.2</v>
          </cell>
          <cell r="G604">
            <v>2.65</v>
          </cell>
          <cell r="H604">
            <v>280</v>
          </cell>
          <cell r="I604">
            <v>0</v>
          </cell>
          <cell r="J604">
            <v>3.18</v>
          </cell>
          <cell r="K604">
            <v>0</v>
          </cell>
          <cell r="L604">
            <v>3.18</v>
          </cell>
          <cell r="M604">
            <v>12.4</v>
          </cell>
          <cell r="N604">
            <v>2.4499999999999997</v>
          </cell>
          <cell r="O604">
            <v>30.38</v>
          </cell>
          <cell r="P604" t="str">
            <v>V</v>
          </cell>
          <cell r="Q604" t="str">
            <v>3/8"</v>
          </cell>
          <cell r="R604">
            <v>42</v>
          </cell>
          <cell r="S604">
            <v>3.15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85.847999999999999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</row>
        <row r="605">
          <cell r="B605" t="str">
            <v>Acero Hor</v>
          </cell>
          <cell r="C605">
            <v>1</v>
          </cell>
          <cell r="D605">
            <v>1</v>
          </cell>
          <cell r="E605">
            <v>0.3</v>
          </cell>
          <cell r="F605">
            <v>0.4</v>
          </cell>
          <cell r="G605">
            <v>2.65</v>
          </cell>
          <cell r="H605">
            <v>280</v>
          </cell>
          <cell r="I605">
            <v>0</v>
          </cell>
          <cell r="J605">
            <v>0.318</v>
          </cell>
          <cell r="K605">
            <v>0</v>
          </cell>
          <cell r="L605">
            <v>0.318</v>
          </cell>
          <cell r="M605">
            <v>1.4</v>
          </cell>
          <cell r="N605">
            <v>2.4499999999999997</v>
          </cell>
          <cell r="O605">
            <v>3.4299999999999993</v>
          </cell>
          <cell r="P605" t="str">
            <v>H</v>
          </cell>
          <cell r="Q605" t="str">
            <v>3/8"</v>
          </cell>
          <cell r="R605">
            <v>24</v>
          </cell>
          <cell r="S605">
            <v>6.3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84.671999999999997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</row>
        <row r="606">
          <cell r="B606" t="str">
            <v>Nucleo A</v>
          </cell>
          <cell r="C606">
            <v>1</v>
          </cell>
          <cell r="D606">
            <v>1</v>
          </cell>
          <cell r="E606">
            <v>0.4</v>
          </cell>
          <cell r="F606">
            <v>0.5</v>
          </cell>
          <cell r="G606">
            <v>2.65</v>
          </cell>
          <cell r="P606" t="str">
            <v>V</v>
          </cell>
          <cell r="Q606" t="str">
            <v>1"</v>
          </cell>
          <cell r="R606">
            <v>12</v>
          </cell>
          <cell r="S606">
            <v>3.2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178.65000000000003</v>
          </cell>
          <cell r="AD606">
            <v>0</v>
          </cell>
        </row>
        <row r="607">
          <cell r="B607" t="str">
            <v>Est</v>
          </cell>
          <cell r="C607">
            <v>1</v>
          </cell>
          <cell r="D607">
            <v>1</v>
          </cell>
          <cell r="E607">
            <v>0.4</v>
          </cell>
          <cell r="F607">
            <v>0.5</v>
          </cell>
          <cell r="G607">
            <v>2.65</v>
          </cell>
          <cell r="Q607" t="str">
            <v>1/2"</v>
          </cell>
          <cell r="R607">
            <v>11</v>
          </cell>
          <cell r="S607">
            <v>1.8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19.602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</row>
        <row r="608">
          <cell r="B608" t="str">
            <v>Est</v>
          </cell>
          <cell r="C608">
            <v>1</v>
          </cell>
          <cell r="D608">
            <v>1</v>
          </cell>
          <cell r="E608">
            <v>0.25</v>
          </cell>
          <cell r="F608">
            <v>0.5</v>
          </cell>
          <cell r="G608">
            <v>2.65</v>
          </cell>
          <cell r="Q608" t="str">
            <v>1/2"</v>
          </cell>
          <cell r="R608">
            <v>11</v>
          </cell>
          <cell r="S608">
            <v>1.5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16.335000000000001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</row>
        <row r="609">
          <cell r="B609" t="str">
            <v>Est</v>
          </cell>
          <cell r="C609">
            <v>1</v>
          </cell>
          <cell r="D609">
            <v>1</v>
          </cell>
          <cell r="E609">
            <v>0.4</v>
          </cell>
          <cell r="F609">
            <v>0.1</v>
          </cell>
          <cell r="G609">
            <v>2.65</v>
          </cell>
          <cell r="Q609" t="str">
            <v>1/2"</v>
          </cell>
          <cell r="R609">
            <v>11</v>
          </cell>
          <cell r="S609">
            <v>0.5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5.4450000000000003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</row>
        <row r="610">
          <cell r="B610" t="str">
            <v>Nucleo A</v>
          </cell>
          <cell r="C610">
            <v>1</v>
          </cell>
          <cell r="D610">
            <v>1</v>
          </cell>
          <cell r="E610">
            <v>0.6</v>
          </cell>
          <cell r="F610">
            <v>0.2</v>
          </cell>
          <cell r="G610">
            <v>2.65</v>
          </cell>
          <cell r="P610" t="str">
            <v>V</v>
          </cell>
          <cell r="Q610" t="str">
            <v>1"</v>
          </cell>
          <cell r="R610">
            <v>8</v>
          </cell>
          <cell r="S610">
            <v>3.2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119.10000000000001</v>
          </cell>
          <cell r="AD610">
            <v>0</v>
          </cell>
        </row>
        <row r="611">
          <cell r="B611" t="str">
            <v>Est</v>
          </cell>
          <cell r="C611">
            <v>1</v>
          </cell>
          <cell r="D611">
            <v>1</v>
          </cell>
          <cell r="E611">
            <v>0.4</v>
          </cell>
          <cell r="F611">
            <v>0.2</v>
          </cell>
          <cell r="G611">
            <v>2.65</v>
          </cell>
          <cell r="Q611" t="str">
            <v>3/8"</v>
          </cell>
          <cell r="R611">
            <v>11</v>
          </cell>
          <cell r="S611">
            <v>1.2000000000000002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7.3920000000000021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</row>
        <row r="612">
          <cell r="B612" t="str">
            <v>Est</v>
          </cell>
          <cell r="C612">
            <v>1</v>
          </cell>
          <cell r="D612">
            <v>1</v>
          </cell>
          <cell r="E612">
            <v>0.4</v>
          </cell>
          <cell r="F612">
            <v>0.2</v>
          </cell>
          <cell r="G612">
            <v>2.65</v>
          </cell>
          <cell r="Q612" t="str">
            <v>3/8"</v>
          </cell>
          <cell r="R612">
            <v>11</v>
          </cell>
          <cell r="S612">
            <v>1.2000000000000002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7.3920000000000021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</row>
        <row r="613">
          <cell r="B613" t="str">
            <v>B2-PL-03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</row>
        <row r="614">
          <cell r="B614" t="str">
            <v>Acero Vert</v>
          </cell>
          <cell r="C614">
            <v>1</v>
          </cell>
          <cell r="D614">
            <v>1</v>
          </cell>
          <cell r="E614">
            <v>4.4000000000000004</v>
          </cell>
          <cell r="F614">
            <v>0.25</v>
          </cell>
          <cell r="G614">
            <v>2.65</v>
          </cell>
          <cell r="H614">
            <v>280</v>
          </cell>
          <cell r="I614">
            <v>0</v>
          </cell>
          <cell r="J614">
            <v>2.915</v>
          </cell>
          <cell r="K614">
            <v>0</v>
          </cell>
          <cell r="L614">
            <v>2.915</v>
          </cell>
          <cell r="M614">
            <v>9.3000000000000007</v>
          </cell>
          <cell r="N614">
            <v>2.4499999999999997</v>
          </cell>
          <cell r="O614">
            <v>22.785</v>
          </cell>
          <cell r="P614" t="str">
            <v>V</v>
          </cell>
          <cell r="Q614" t="str">
            <v>3/8"</v>
          </cell>
          <cell r="R614">
            <v>40</v>
          </cell>
          <cell r="S614">
            <v>3.15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81.760000000000005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</row>
        <row r="615">
          <cell r="B615" t="str">
            <v>Acero Hor</v>
          </cell>
          <cell r="C615">
            <v>1</v>
          </cell>
          <cell r="D615">
            <v>1</v>
          </cell>
          <cell r="G615">
            <v>2.65</v>
          </cell>
          <cell r="P615" t="str">
            <v>H</v>
          </cell>
          <cell r="Q615" t="str">
            <v>1/2"</v>
          </cell>
          <cell r="R615">
            <v>38</v>
          </cell>
          <cell r="S615">
            <v>4.7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176.81399999999999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</row>
        <row r="616">
          <cell r="B616" t="str">
            <v>Nucleo A</v>
          </cell>
          <cell r="C616">
            <v>1</v>
          </cell>
          <cell r="D616">
            <v>1</v>
          </cell>
          <cell r="E616">
            <v>0.2</v>
          </cell>
          <cell r="F616">
            <v>0.25</v>
          </cell>
          <cell r="G616">
            <v>2.65</v>
          </cell>
          <cell r="P616" t="str">
            <v>V</v>
          </cell>
          <cell r="Q616" t="str">
            <v>1"</v>
          </cell>
          <cell r="R616">
            <v>4</v>
          </cell>
          <cell r="S616">
            <v>3.2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59.550000000000004</v>
          </cell>
          <cell r="AD616">
            <v>0</v>
          </cell>
        </row>
        <row r="617">
          <cell r="B617" t="str">
            <v>Est</v>
          </cell>
          <cell r="C617">
            <v>1</v>
          </cell>
          <cell r="D617">
            <v>1</v>
          </cell>
          <cell r="E617">
            <v>0.2</v>
          </cell>
          <cell r="F617">
            <v>0.25</v>
          </cell>
          <cell r="G617">
            <v>2.65</v>
          </cell>
          <cell r="Q617" t="str">
            <v>3/8"</v>
          </cell>
          <cell r="R617">
            <v>11</v>
          </cell>
          <cell r="S617">
            <v>0.9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5.5440000000000005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</row>
        <row r="618">
          <cell r="B618" t="str">
            <v>Nucleo A</v>
          </cell>
          <cell r="C618">
            <v>1</v>
          </cell>
          <cell r="D618">
            <v>1</v>
          </cell>
          <cell r="E618">
            <v>0.4</v>
          </cell>
          <cell r="F618">
            <v>0.25</v>
          </cell>
          <cell r="G618">
            <v>2.65</v>
          </cell>
          <cell r="P618" t="str">
            <v>V</v>
          </cell>
          <cell r="Q618" t="str">
            <v>1"</v>
          </cell>
          <cell r="R618">
            <v>4</v>
          </cell>
          <cell r="S618">
            <v>3.2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59.550000000000004</v>
          </cell>
          <cell r="AD618">
            <v>0</v>
          </cell>
        </row>
        <row r="619">
          <cell r="B619" t="str">
            <v>Est</v>
          </cell>
          <cell r="C619">
            <v>1</v>
          </cell>
          <cell r="D619">
            <v>1</v>
          </cell>
          <cell r="E619">
            <v>0.4</v>
          </cell>
          <cell r="F619">
            <v>0.25</v>
          </cell>
          <cell r="G619">
            <v>2.65</v>
          </cell>
          <cell r="Q619" t="str">
            <v>3/8"</v>
          </cell>
          <cell r="R619">
            <v>11</v>
          </cell>
          <cell r="S619">
            <v>1.3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8.0080000000000009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</row>
        <row r="620">
          <cell r="B620" t="str">
            <v>Acero Vert</v>
          </cell>
          <cell r="C620">
            <v>1</v>
          </cell>
          <cell r="D620">
            <v>1</v>
          </cell>
          <cell r="E620">
            <v>2.0699999999999998</v>
          </cell>
          <cell r="F620">
            <v>0.2</v>
          </cell>
          <cell r="G620">
            <v>2.65</v>
          </cell>
          <cell r="H620">
            <v>280</v>
          </cell>
          <cell r="I620">
            <v>0</v>
          </cell>
          <cell r="J620">
            <v>1.0971</v>
          </cell>
          <cell r="K620">
            <v>0</v>
          </cell>
          <cell r="L620">
            <v>1.0971</v>
          </cell>
          <cell r="M620">
            <v>4.54</v>
          </cell>
          <cell r="N620">
            <v>2.4499999999999997</v>
          </cell>
          <cell r="O620">
            <v>11.122999999999999</v>
          </cell>
          <cell r="P620" t="str">
            <v>V</v>
          </cell>
          <cell r="Q620" t="str">
            <v>1/2"</v>
          </cell>
          <cell r="R620">
            <v>10</v>
          </cell>
          <cell r="S620">
            <v>3.15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33.659999999999997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</row>
        <row r="621">
          <cell r="B621" t="str">
            <v>Acero Hor</v>
          </cell>
          <cell r="C621">
            <v>1</v>
          </cell>
          <cell r="D621">
            <v>1</v>
          </cell>
          <cell r="G621">
            <v>2.65</v>
          </cell>
          <cell r="P621" t="str">
            <v>H</v>
          </cell>
          <cell r="Q621" t="str">
            <v>1/2"</v>
          </cell>
          <cell r="R621">
            <v>38</v>
          </cell>
          <cell r="S621">
            <v>2.6199999999999997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98.564399999999992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</row>
        <row r="622">
          <cell r="B622" t="str">
            <v>Nucleo A</v>
          </cell>
          <cell r="C622">
            <v>1</v>
          </cell>
          <cell r="D622">
            <v>1</v>
          </cell>
          <cell r="E622">
            <v>1</v>
          </cell>
          <cell r="F622">
            <v>0.2</v>
          </cell>
          <cell r="G622">
            <v>2.65</v>
          </cell>
          <cell r="P622" t="str">
            <v>V</v>
          </cell>
          <cell r="Q622" t="str">
            <v>1"</v>
          </cell>
          <cell r="R622">
            <v>14</v>
          </cell>
          <cell r="S622">
            <v>3.2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208.42500000000004</v>
          </cell>
          <cell r="AD622">
            <v>0</v>
          </cell>
        </row>
        <row r="623">
          <cell r="B623" t="str">
            <v>Est</v>
          </cell>
          <cell r="C623">
            <v>1</v>
          </cell>
          <cell r="D623">
            <v>1</v>
          </cell>
          <cell r="E623">
            <v>0.7</v>
          </cell>
          <cell r="F623">
            <v>0.2</v>
          </cell>
          <cell r="G623">
            <v>2.65</v>
          </cell>
          <cell r="Q623" t="str">
            <v>3/8"</v>
          </cell>
          <cell r="R623">
            <v>10</v>
          </cell>
          <cell r="S623">
            <v>1.7999999999999998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10.080000000000002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</row>
        <row r="624">
          <cell r="B624" t="str">
            <v>Est</v>
          </cell>
          <cell r="C624">
            <v>1</v>
          </cell>
          <cell r="D624">
            <v>1</v>
          </cell>
          <cell r="E624">
            <v>0.7</v>
          </cell>
          <cell r="F624">
            <v>0.2</v>
          </cell>
          <cell r="G624">
            <v>2.65</v>
          </cell>
          <cell r="Q624" t="str">
            <v>3/8"</v>
          </cell>
          <cell r="R624">
            <v>10</v>
          </cell>
          <cell r="S624">
            <v>1.7999999999999998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10.080000000000002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</row>
        <row r="625">
          <cell r="B625" t="str">
            <v>Est</v>
          </cell>
          <cell r="C625">
            <v>1</v>
          </cell>
          <cell r="D625">
            <v>1</v>
          </cell>
          <cell r="E625">
            <v>0.7</v>
          </cell>
          <cell r="F625">
            <v>0.2</v>
          </cell>
          <cell r="G625">
            <v>2.65</v>
          </cell>
          <cell r="Q625" t="str">
            <v>3/8"</v>
          </cell>
          <cell r="R625">
            <v>10</v>
          </cell>
          <cell r="S625">
            <v>1.7999999999999998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10.080000000000002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</row>
        <row r="626">
          <cell r="B626" t="str">
            <v>Est</v>
          </cell>
          <cell r="C626">
            <v>1</v>
          </cell>
          <cell r="D626">
            <v>1</v>
          </cell>
          <cell r="E626">
            <v>0.15</v>
          </cell>
          <cell r="F626">
            <v>0.2</v>
          </cell>
          <cell r="G626">
            <v>2.65</v>
          </cell>
          <cell r="Q626" t="str">
            <v>3/8"</v>
          </cell>
          <cell r="R626">
            <v>10</v>
          </cell>
          <cell r="S626">
            <v>0.5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2.8000000000000003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</row>
        <row r="627">
          <cell r="B627" t="str">
            <v>Acero Vert</v>
          </cell>
          <cell r="C627">
            <v>1</v>
          </cell>
          <cell r="D627">
            <v>1</v>
          </cell>
          <cell r="E627">
            <v>2.0699999999999998</v>
          </cell>
          <cell r="F627">
            <v>0.4</v>
          </cell>
          <cell r="G627">
            <v>2.65</v>
          </cell>
          <cell r="H627">
            <v>280</v>
          </cell>
          <cell r="I627">
            <v>0</v>
          </cell>
          <cell r="J627">
            <v>2.1941999999999999</v>
          </cell>
          <cell r="K627">
            <v>0</v>
          </cell>
          <cell r="L627">
            <v>2.1941999999999999</v>
          </cell>
          <cell r="M627">
            <v>4.9399999999999995</v>
          </cell>
          <cell r="N627">
            <v>2.4499999999999997</v>
          </cell>
          <cell r="O627">
            <v>12.102999999999998</v>
          </cell>
          <cell r="P627" t="str">
            <v>V</v>
          </cell>
          <cell r="Q627" t="str">
            <v>1/2"</v>
          </cell>
          <cell r="R627">
            <v>10</v>
          </cell>
          <cell r="S627">
            <v>3.15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33.659999999999997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</row>
        <row r="628">
          <cell r="B628" t="str">
            <v>Acero Hor</v>
          </cell>
          <cell r="C628">
            <v>1</v>
          </cell>
          <cell r="D628">
            <v>1</v>
          </cell>
          <cell r="G628">
            <v>2.65</v>
          </cell>
          <cell r="P628" t="str">
            <v>H</v>
          </cell>
          <cell r="Q628" t="str">
            <v>1/2"</v>
          </cell>
          <cell r="R628">
            <v>38</v>
          </cell>
          <cell r="S628">
            <v>2.6199999999999997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98.564399999999992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</row>
        <row r="629">
          <cell r="B629" t="str">
            <v>Nucleo A</v>
          </cell>
          <cell r="C629">
            <v>1</v>
          </cell>
          <cell r="D629">
            <v>1</v>
          </cell>
          <cell r="E629">
            <v>1</v>
          </cell>
          <cell r="F629">
            <v>0.4</v>
          </cell>
          <cell r="G629">
            <v>2.65</v>
          </cell>
          <cell r="P629" t="str">
            <v>V</v>
          </cell>
          <cell r="Q629" t="str">
            <v>1"</v>
          </cell>
          <cell r="R629">
            <v>20</v>
          </cell>
          <cell r="S629">
            <v>3.2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297.75</v>
          </cell>
          <cell r="AD629">
            <v>0</v>
          </cell>
        </row>
        <row r="630">
          <cell r="B630" t="str">
            <v>Est</v>
          </cell>
          <cell r="C630">
            <v>1</v>
          </cell>
          <cell r="D630">
            <v>1</v>
          </cell>
          <cell r="E630">
            <v>0.7</v>
          </cell>
          <cell r="F630">
            <v>0.4</v>
          </cell>
          <cell r="G630">
            <v>2.65</v>
          </cell>
          <cell r="Q630" t="str">
            <v>3/8"</v>
          </cell>
          <cell r="R630">
            <v>10</v>
          </cell>
          <cell r="S630">
            <v>2.2000000000000002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12.32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</row>
        <row r="631">
          <cell r="B631" t="str">
            <v>Est</v>
          </cell>
          <cell r="C631">
            <v>1</v>
          </cell>
          <cell r="D631">
            <v>1</v>
          </cell>
          <cell r="E631">
            <v>0.7</v>
          </cell>
          <cell r="F631">
            <v>0.4</v>
          </cell>
          <cell r="G631">
            <v>2.65</v>
          </cell>
          <cell r="Q631" t="str">
            <v>3/8"</v>
          </cell>
          <cell r="R631">
            <v>10</v>
          </cell>
          <cell r="S631">
            <v>2.2000000000000002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12.32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</row>
        <row r="632">
          <cell r="B632" t="str">
            <v>Est</v>
          </cell>
          <cell r="C632">
            <v>1</v>
          </cell>
          <cell r="D632">
            <v>1</v>
          </cell>
          <cell r="E632">
            <v>0.7</v>
          </cell>
          <cell r="F632">
            <v>0.4</v>
          </cell>
          <cell r="G632">
            <v>2.65</v>
          </cell>
          <cell r="Q632" t="str">
            <v>3/8"</v>
          </cell>
          <cell r="R632">
            <v>10</v>
          </cell>
          <cell r="S632">
            <v>2.2000000000000002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12.32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</row>
        <row r="633">
          <cell r="B633" t="str">
            <v>Est</v>
          </cell>
          <cell r="C633">
            <v>1</v>
          </cell>
          <cell r="D633">
            <v>1</v>
          </cell>
          <cell r="E633">
            <v>0.4</v>
          </cell>
          <cell r="F633">
            <v>0.2</v>
          </cell>
          <cell r="G633">
            <v>2.65</v>
          </cell>
          <cell r="Q633" t="str">
            <v>3/8"</v>
          </cell>
          <cell r="R633">
            <v>10</v>
          </cell>
          <cell r="S633">
            <v>1.2000000000000002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6.7200000000000015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</row>
        <row r="634">
          <cell r="B634" t="str">
            <v>Est</v>
          </cell>
          <cell r="C634">
            <v>1</v>
          </cell>
          <cell r="D634">
            <v>1</v>
          </cell>
          <cell r="E634">
            <v>0.4</v>
          </cell>
          <cell r="F634">
            <v>0.2</v>
          </cell>
          <cell r="G634">
            <v>2.65</v>
          </cell>
          <cell r="Q634" t="str">
            <v>3/8"</v>
          </cell>
          <cell r="R634">
            <v>10</v>
          </cell>
          <cell r="S634">
            <v>1.2000000000000002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6.7200000000000015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</row>
        <row r="635">
          <cell r="B635" t="str">
            <v>Est</v>
          </cell>
          <cell r="C635">
            <v>1</v>
          </cell>
          <cell r="D635">
            <v>1</v>
          </cell>
          <cell r="E635">
            <v>0.15</v>
          </cell>
          <cell r="F635">
            <v>0.4</v>
          </cell>
          <cell r="G635">
            <v>2.65</v>
          </cell>
          <cell r="Q635" t="str">
            <v>3/8"</v>
          </cell>
          <cell r="R635">
            <v>10</v>
          </cell>
          <cell r="S635">
            <v>0.7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3.9200000000000004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</row>
        <row r="636"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</row>
        <row r="637">
          <cell r="B637" t="str">
            <v>4 PISO</v>
          </cell>
          <cell r="H637">
            <v>280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</row>
        <row r="638"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</row>
        <row r="639">
          <cell r="B639" t="str">
            <v>B2-PL-01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</row>
        <row r="640">
          <cell r="B640" t="str">
            <v>Acero Vert</v>
          </cell>
          <cell r="C640">
            <v>2</v>
          </cell>
          <cell r="D640">
            <v>1</v>
          </cell>
          <cell r="E640">
            <v>6.05</v>
          </cell>
          <cell r="F640">
            <v>0.2</v>
          </cell>
          <cell r="G640">
            <v>2.65</v>
          </cell>
          <cell r="H640">
            <v>280</v>
          </cell>
          <cell r="I640">
            <v>0</v>
          </cell>
          <cell r="J640">
            <v>6.4129999999999994</v>
          </cell>
          <cell r="K640">
            <v>0</v>
          </cell>
          <cell r="L640">
            <v>6.4129999999999994</v>
          </cell>
          <cell r="M640">
            <v>12.5</v>
          </cell>
          <cell r="N640">
            <v>2.4499999999999997</v>
          </cell>
          <cell r="O640">
            <v>61.249999999999993</v>
          </cell>
          <cell r="P640" t="str">
            <v>V</v>
          </cell>
          <cell r="Q640" t="str">
            <v>3/8"</v>
          </cell>
          <cell r="R640">
            <v>40</v>
          </cell>
          <cell r="S640">
            <v>3.15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163.52000000000001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</row>
        <row r="641">
          <cell r="B641" t="str">
            <v>Acero Hor</v>
          </cell>
          <cell r="C641">
            <v>2</v>
          </cell>
          <cell r="D641">
            <v>1</v>
          </cell>
          <cell r="G641">
            <v>2.65</v>
          </cell>
          <cell r="P641" t="str">
            <v>H</v>
          </cell>
          <cell r="Q641" t="str">
            <v>3/8"</v>
          </cell>
          <cell r="R641">
            <v>24</v>
          </cell>
          <cell r="S641">
            <v>6.55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176.06399999999999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</row>
        <row r="642">
          <cell r="B642" t="str">
            <v>Nucleo A</v>
          </cell>
          <cell r="C642">
            <v>2</v>
          </cell>
          <cell r="D642">
            <v>1</v>
          </cell>
          <cell r="E642">
            <v>0.6</v>
          </cell>
          <cell r="F642">
            <v>0.2</v>
          </cell>
          <cell r="G642">
            <v>2.65</v>
          </cell>
          <cell r="P642" t="str">
            <v>V</v>
          </cell>
          <cell r="Q642" t="str">
            <v>1"</v>
          </cell>
          <cell r="R642">
            <v>4</v>
          </cell>
          <cell r="S642">
            <v>3.2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119.10000000000001</v>
          </cell>
          <cell r="AD642">
            <v>0</v>
          </cell>
        </row>
        <row r="643">
          <cell r="B643" t="str">
            <v>Est</v>
          </cell>
          <cell r="C643">
            <v>2</v>
          </cell>
          <cell r="D643">
            <v>1</v>
          </cell>
          <cell r="E643">
            <v>0.4</v>
          </cell>
          <cell r="F643">
            <v>0.2</v>
          </cell>
          <cell r="G643">
            <v>2.65</v>
          </cell>
          <cell r="Q643" t="str">
            <v>3/8"</v>
          </cell>
          <cell r="R643">
            <v>11</v>
          </cell>
          <cell r="S643">
            <v>1.2000000000000002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14.784000000000004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</row>
        <row r="644">
          <cell r="B644" t="str">
            <v>Nucleo A</v>
          </cell>
          <cell r="C644">
            <v>2</v>
          </cell>
          <cell r="D644">
            <v>1</v>
          </cell>
          <cell r="E644">
            <v>0.6</v>
          </cell>
          <cell r="F644">
            <v>0.2</v>
          </cell>
          <cell r="G644">
            <v>2.65</v>
          </cell>
          <cell r="P644" t="str">
            <v>V</v>
          </cell>
          <cell r="Q644" t="str">
            <v>1"</v>
          </cell>
          <cell r="R644">
            <v>4</v>
          </cell>
          <cell r="S644">
            <v>3.2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119.10000000000001</v>
          </cell>
          <cell r="AD644">
            <v>0</v>
          </cell>
        </row>
        <row r="645">
          <cell r="B645" t="str">
            <v>Est</v>
          </cell>
          <cell r="C645">
            <v>2</v>
          </cell>
          <cell r="D645">
            <v>1</v>
          </cell>
          <cell r="E645">
            <v>0.4</v>
          </cell>
          <cell r="F645">
            <v>0.2</v>
          </cell>
          <cell r="G645">
            <v>2.65</v>
          </cell>
          <cell r="Q645" t="str">
            <v>3/8"</v>
          </cell>
          <cell r="R645">
            <v>11</v>
          </cell>
          <cell r="S645">
            <v>1.2000000000000002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14.784000000000004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</row>
        <row r="646"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</row>
        <row r="647">
          <cell r="B647" t="str">
            <v>B2-PL-02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</row>
        <row r="648">
          <cell r="B648" t="str">
            <v>Acero Vert</v>
          </cell>
          <cell r="C648">
            <v>1</v>
          </cell>
          <cell r="D648">
            <v>1</v>
          </cell>
          <cell r="E648">
            <v>6</v>
          </cell>
          <cell r="F648">
            <v>0.2</v>
          </cell>
          <cell r="G648">
            <v>2.65</v>
          </cell>
          <cell r="H648">
            <v>280</v>
          </cell>
          <cell r="I648">
            <v>0</v>
          </cell>
          <cell r="J648">
            <v>3.18</v>
          </cell>
          <cell r="K648">
            <v>0</v>
          </cell>
          <cell r="L648">
            <v>3.18</v>
          </cell>
          <cell r="M648">
            <v>12.4</v>
          </cell>
          <cell r="N648">
            <v>2.4499999999999997</v>
          </cell>
          <cell r="O648">
            <v>30.38</v>
          </cell>
          <cell r="P648" t="str">
            <v>V</v>
          </cell>
          <cell r="Q648" t="str">
            <v>3/8"</v>
          </cell>
          <cell r="R648">
            <v>44</v>
          </cell>
          <cell r="S648">
            <v>3.15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89.936000000000007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</row>
        <row r="649">
          <cell r="B649" t="str">
            <v>Acero Hor</v>
          </cell>
          <cell r="C649">
            <v>1</v>
          </cell>
          <cell r="D649">
            <v>1</v>
          </cell>
          <cell r="E649">
            <v>0.3</v>
          </cell>
          <cell r="F649">
            <v>0.4</v>
          </cell>
          <cell r="G649">
            <v>2.65</v>
          </cell>
          <cell r="H649">
            <v>280</v>
          </cell>
          <cell r="I649">
            <v>0</v>
          </cell>
          <cell r="J649">
            <v>0.318</v>
          </cell>
          <cell r="K649">
            <v>0</v>
          </cell>
          <cell r="L649">
            <v>0.318</v>
          </cell>
          <cell r="M649">
            <v>1.4</v>
          </cell>
          <cell r="N649">
            <v>2.4499999999999997</v>
          </cell>
          <cell r="O649">
            <v>3.4299999999999993</v>
          </cell>
          <cell r="P649" t="str">
            <v>H</v>
          </cell>
          <cell r="Q649" t="str">
            <v>3/8"</v>
          </cell>
          <cell r="R649">
            <v>24</v>
          </cell>
          <cell r="S649">
            <v>6.3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84.671999999999997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</row>
        <row r="650">
          <cell r="B650" t="str">
            <v>Nucleo A</v>
          </cell>
          <cell r="C650">
            <v>1</v>
          </cell>
          <cell r="D650">
            <v>1</v>
          </cell>
          <cell r="E650">
            <v>0.4</v>
          </cell>
          <cell r="F650">
            <v>0.5</v>
          </cell>
          <cell r="G650">
            <v>2.65</v>
          </cell>
          <cell r="P650" t="str">
            <v>V</v>
          </cell>
          <cell r="Q650" t="str">
            <v>3/4"</v>
          </cell>
          <cell r="R650">
            <v>4</v>
          </cell>
          <cell r="S650">
            <v>3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30.016000000000005</v>
          </cell>
          <cell r="AC650">
            <v>0</v>
          </cell>
          <cell r="AD650">
            <v>0</v>
          </cell>
        </row>
        <row r="651">
          <cell r="B651" t="str">
            <v>Nucleo A</v>
          </cell>
          <cell r="C651">
            <v>1</v>
          </cell>
          <cell r="D651">
            <v>1</v>
          </cell>
          <cell r="G651">
            <v>2.65</v>
          </cell>
          <cell r="P651" t="str">
            <v>V</v>
          </cell>
          <cell r="Q651" t="str">
            <v>1"</v>
          </cell>
          <cell r="R651">
            <v>8</v>
          </cell>
          <cell r="S651">
            <v>3.2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119.10000000000001</v>
          </cell>
          <cell r="AD651">
            <v>0</v>
          </cell>
        </row>
        <row r="652">
          <cell r="B652" t="str">
            <v>Est</v>
          </cell>
          <cell r="C652">
            <v>1</v>
          </cell>
          <cell r="D652">
            <v>1</v>
          </cell>
          <cell r="E652">
            <v>0.4</v>
          </cell>
          <cell r="F652">
            <v>0.5</v>
          </cell>
          <cell r="G652">
            <v>2.65</v>
          </cell>
          <cell r="Q652" t="str">
            <v>3/8"</v>
          </cell>
          <cell r="R652">
            <v>11</v>
          </cell>
          <cell r="S652">
            <v>1.8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11.088000000000001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</row>
        <row r="653">
          <cell r="B653" t="str">
            <v>Est</v>
          </cell>
          <cell r="C653">
            <v>1</v>
          </cell>
          <cell r="D653">
            <v>1</v>
          </cell>
          <cell r="E653">
            <v>0.25</v>
          </cell>
          <cell r="F653">
            <v>0.5</v>
          </cell>
          <cell r="G653">
            <v>2.65</v>
          </cell>
          <cell r="Q653" t="str">
            <v>3/8"</v>
          </cell>
          <cell r="R653">
            <v>11</v>
          </cell>
          <cell r="S653">
            <v>1.5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9.24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</row>
        <row r="654">
          <cell r="B654" t="str">
            <v>Est</v>
          </cell>
          <cell r="C654">
            <v>1</v>
          </cell>
          <cell r="D654">
            <v>1</v>
          </cell>
          <cell r="E654">
            <v>0.4</v>
          </cell>
          <cell r="F654">
            <v>0.1</v>
          </cell>
          <cell r="G654">
            <v>2.65</v>
          </cell>
          <cell r="Q654" t="str">
            <v>3/8"</v>
          </cell>
          <cell r="R654">
            <v>11</v>
          </cell>
          <cell r="S654">
            <v>0.5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3.08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</row>
        <row r="655">
          <cell r="B655" t="str">
            <v>Nucleo A</v>
          </cell>
          <cell r="C655">
            <v>1</v>
          </cell>
          <cell r="D655">
            <v>1</v>
          </cell>
          <cell r="E655">
            <v>0.25</v>
          </cell>
          <cell r="F655">
            <v>0.2</v>
          </cell>
          <cell r="G655">
            <v>2.65</v>
          </cell>
          <cell r="P655" t="str">
            <v>V</v>
          </cell>
          <cell r="Q655" t="str">
            <v>1"</v>
          </cell>
          <cell r="R655">
            <v>4</v>
          </cell>
          <cell r="S655">
            <v>3.2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59.550000000000004</v>
          </cell>
          <cell r="AD655">
            <v>0</v>
          </cell>
        </row>
        <row r="656">
          <cell r="B656" t="str">
            <v>Est</v>
          </cell>
          <cell r="C656">
            <v>1</v>
          </cell>
          <cell r="D656">
            <v>1</v>
          </cell>
          <cell r="E656">
            <v>0.25</v>
          </cell>
          <cell r="F656">
            <v>0.2</v>
          </cell>
          <cell r="G656">
            <v>2.65</v>
          </cell>
          <cell r="Q656" t="str">
            <v>3/8"</v>
          </cell>
          <cell r="R656">
            <v>11</v>
          </cell>
          <cell r="S656">
            <v>0.9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5.5440000000000005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</row>
        <row r="657"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</row>
        <row r="658">
          <cell r="B658" t="str">
            <v>B2-PL-02A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</row>
        <row r="659">
          <cell r="B659" t="str">
            <v>Acero Vert</v>
          </cell>
          <cell r="C659">
            <v>1</v>
          </cell>
          <cell r="D659">
            <v>1</v>
          </cell>
          <cell r="E659">
            <v>6</v>
          </cell>
          <cell r="F659">
            <v>0.2</v>
          </cell>
          <cell r="G659">
            <v>2.65</v>
          </cell>
          <cell r="H659">
            <v>280</v>
          </cell>
          <cell r="I659">
            <v>0</v>
          </cell>
          <cell r="J659">
            <v>3.18</v>
          </cell>
          <cell r="K659">
            <v>0</v>
          </cell>
          <cell r="L659">
            <v>3.18</v>
          </cell>
          <cell r="M659">
            <v>12.4</v>
          </cell>
          <cell r="N659">
            <v>2.4499999999999997</v>
          </cell>
          <cell r="O659">
            <v>30.38</v>
          </cell>
          <cell r="P659" t="str">
            <v>V</v>
          </cell>
          <cell r="Q659" t="str">
            <v>3/8"</v>
          </cell>
          <cell r="R659">
            <v>44</v>
          </cell>
          <cell r="S659">
            <v>3.15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89.936000000000007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</row>
        <row r="660">
          <cell r="B660" t="str">
            <v>Acero Hor</v>
          </cell>
          <cell r="C660">
            <v>1</v>
          </cell>
          <cell r="D660">
            <v>1</v>
          </cell>
          <cell r="E660">
            <v>0.3</v>
          </cell>
          <cell r="F660">
            <v>0.4</v>
          </cell>
          <cell r="G660">
            <v>2.65</v>
          </cell>
          <cell r="H660">
            <v>280</v>
          </cell>
          <cell r="I660">
            <v>0</v>
          </cell>
          <cell r="J660">
            <v>0.318</v>
          </cell>
          <cell r="K660">
            <v>0</v>
          </cell>
          <cell r="L660">
            <v>0.318</v>
          </cell>
          <cell r="M660">
            <v>1.4</v>
          </cell>
          <cell r="N660">
            <v>2.4499999999999997</v>
          </cell>
          <cell r="O660">
            <v>3.4299999999999993</v>
          </cell>
          <cell r="P660" t="str">
            <v>H</v>
          </cell>
          <cell r="Q660" t="str">
            <v>3/8"</v>
          </cell>
          <cell r="R660">
            <v>24</v>
          </cell>
          <cell r="S660">
            <v>6.3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84.671999999999997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</row>
        <row r="661">
          <cell r="B661" t="str">
            <v>Nucleo A</v>
          </cell>
          <cell r="C661">
            <v>1</v>
          </cell>
          <cell r="D661">
            <v>1</v>
          </cell>
          <cell r="E661">
            <v>0.4</v>
          </cell>
          <cell r="F661">
            <v>0.5</v>
          </cell>
          <cell r="G661">
            <v>2.65</v>
          </cell>
          <cell r="P661" t="str">
            <v>V</v>
          </cell>
          <cell r="Q661" t="str">
            <v>3/4"</v>
          </cell>
          <cell r="R661">
            <v>4</v>
          </cell>
          <cell r="S661">
            <v>3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30.016000000000005</v>
          </cell>
          <cell r="AC661">
            <v>0</v>
          </cell>
          <cell r="AD661">
            <v>0</v>
          </cell>
        </row>
        <row r="662">
          <cell r="B662" t="str">
            <v>Nucleo A</v>
          </cell>
          <cell r="C662">
            <v>1</v>
          </cell>
          <cell r="D662">
            <v>1</v>
          </cell>
          <cell r="G662">
            <v>2.65</v>
          </cell>
          <cell r="P662" t="str">
            <v>V</v>
          </cell>
          <cell r="Q662" t="str">
            <v>1"</v>
          </cell>
          <cell r="R662">
            <v>8</v>
          </cell>
          <cell r="S662">
            <v>3.2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119.10000000000001</v>
          </cell>
          <cell r="AD662">
            <v>0</v>
          </cell>
        </row>
        <row r="663">
          <cell r="B663" t="str">
            <v>Est</v>
          </cell>
          <cell r="C663">
            <v>1</v>
          </cell>
          <cell r="D663">
            <v>1</v>
          </cell>
          <cell r="E663">
            <v>0.4</v>
          </cell>
          <cell r="F663">
            <v>0.5</v>
          </cell>
          <cell r="G663">
            <v>2.65</v>
          </cell>
          <cell r="Q663" t="str">
            <v>3/8"</v>
          </cell>
          <cell r="R663">
            <v>11</v>
          </cell>
          <cell r="S663">
            <v>1.8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11.088000000000001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</row>
        <row r="664">
          <cell r="B664" t="str">
            <v>Est</v>
          </cell>
          <cell r="C664">
            <v>1</v>
          </cell>
          <cell r="D664">
            <v>1</v>
          </cell>
          <cell r="E664">
            <v>0.25</v>
          </cell>
          <cell r="F664">
            <v>0.5</v>
          </cell>
          <cell r="G664">
            <v>2.65</v>
          </cell>
          <cell r="Q664" t="str">
            <v>3/8"</v>
          </cell>
          <cell r="R664">
            <v>11</v>
          </cell>
          <cell r="S664">
            <v>1.5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9.24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</row>
        <row r="665">
          <cell r="B665" t="str">
            <v>Est</v>
          </cell>
          <cell r="C665">
            <v>1</v>
          </cell>
          <cell r="D665">
            <v>1</v>
          </cell>
          <cell r="E665">
            <v>0.4</v>
          </cell>
          <cell r="F665">
            <v>0.1</v>
          </cell>
          <cell r="G665">
            <v>2.65</v>
          </cell>
          <cell r="Q665" t="str">
            <v>3/8"</v>
          </cell>
          <cell r="R665">
            <v>11</v>
          </cell>
          <cell r="S665">
            <v>0.5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3.08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</row>
        <row r="666">
          <cell r="B666" t="str">
            <v>Nucleo A</v>
          </cell>
          <cell r="C666">
            <v>1</v>
          </cell>
          <cell r="D666">
            <v>1</v>
          </cell>
          <cell r="E666">
            <v>0.25</v>
          </cell>
          <cell r="F666">
            <v>0.2</v>
          </cell>
          <cell r="G666">
            <v>2.65</v>
          </cell>
          <cell r="P666" t="str">
            <v>V</v>
          </cell>
          <cell r="Q666" t="str">
            <v>1"</v>
          </cell>
          <cell r="R666">
            <v>4</v>
          </cell>
          <cell r="S666">
            <v>3.2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59.550000000000004</v>
          </cell>
          <cell r="AD666">
            <v>0</v>
          </cell>
        </row>
        <row r="667">
          <cell r="B667" t="str">
            <v>Est</v>
          </cell>
          <cell r="C667">
            <v>1</v>
          </cell>
          <cell r="D667">
            <v>1</v>
          </cell>
          <cell r="E667">
            <v>0.25</v>
          </cell>
          <cell r="F667">
            <v>0.2</v>
          </cell>
          <cell r="G667">
            <v>2.65</v>
          </cell>
          <cell r="Q667" t="str">
            <v>3/8"</v>
          </cell>
          <cell r="R667">
            <v>11</v>
          </cell>
          <cell r="S667">
            <v>0.9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5.5440000000000005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</row>
        <row r="668">
          <cell r="B668" t="str">
            <v>B2-PL-03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</row>
        <row r="669">
          <cell r="B669" t="str">
            <v>Acero Vert</v>
          </cell>
          <cell r="C669">
            <v>1</v>
          </cell>
          <cell r="D669">
            <v>1</v>
          </cell>
          <cell r="E669">
            <v>4.4000000000000004</v>
          </cell>
          <cell r="F669">
            <v>0.25</v>
          </cell>
          <cell r="G669">
            <v>2.65</v>
          </cell>
          <cell r="H669">
            <v>280</v>
          </cell>
          <cell r="I669">
            <v>0</v>
          </cell>
          <cell r="J669">
            <v>2.915</v>
          </cell>
          <cell r="K669">
            <v>0</v>
          </cell>
          <cell r="L669">
            <v>2.915</v>
          </cell>
          <cell r="M669">
            <v>9.3000000000000007</v>
          </cell>
          <cell r="N669">
            <v>2.4499999999999997</v>
          </cell>
          <cell r="O669">
            <v>22.785</v>
          </cell>
          <cell r="P669" t="str">
            <v>V</v>
          </cell>
          <cell r="Q669" t="str">
            <v>3/8"</v>
          </cell>
          <cell r="R669">
            <v>40</v>
          </cell>
          <cell r="S669">
            <v>3.15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81.760000000000005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</row>
        <row r="670">
          <cell r="B670" t="str">
            <v>Acero Hor</v>
          </cell>
          <cell r="C670">
            <v>1</v>
          </cell>
          <cell r="D670">
            <v>1</v>
          </cell>
          <cell r="G670">
            <v>2.65</v>
          </cell>
          <cell r="P670" t="str">
            <v>H</v>
          </cell>
          <cell r="Q670" t="str">
            <v>3/8"</v>
          </cell>
          <cell r="R670">
            <v>38</v>
          </cell>
          <cell r="S670">
            <v>4.7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100.01600000000001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</row>
        <row r="671">
          <cell r="B671" t="str">
            <v>Nucleo A</v>
          </cell>
          <cell r="C671">
            <v>1</v>
          </cell>
          <cell r="D671">
            <v>1</v>
          </cell>
          <cell r="E671">
            <v>0.2</v>
          </cell>
          <cell r="F671">
            <v>0.25</v>
          </cell>
          <cell r="G671">
            <v>2.65</v>
          </cell>
          <cell r="P671" t="str">
            <v>V</v>
          </cell>
          <cell r="Q671" t="str">
            <v>1"</v>
          </cell>
          <cell r="R671">
            <v>2</v>
          </cell>
          <cell r="S671">
            <v>3.2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29.775000000000002</v>
          </cell>
          <cell r="AD671">
            <v>0</v>
          </cell>
        </row>
        <row r="672">
          <cell r="B672" t="str">
            <v>Nucleo A</v>
          </cell>
          <cell r="C672">
            <v>1</v>
          </cell>
          <cell r="D672">
            <v>1</v>
          </cell>
          <cell r="G672">
            <v>2.65</v>
          </cell>
          <cell r="P672" t="str">
            <v>V</v>
          </cell>
          <cell r="Q672" t="str">
            <v>3/4"</v>
          </cell>
          <cell r="R672">
            <v>2</v>
          </cell>
          <cell r="S672">
            <v>3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15.008000000000003</v>
          </cell>
          <cell r="AC672">
            <v>0</v>
          </cell>
          <cell r="AD672">
            <v>0</v>
          </cell>
        </row>
        <row r="673">
          <cell r="B673" t="str">
            <v>Est</v>
          </cell>
          <cell r="C673">
            <v>1</v>
          </cell>
          <cell r="D673">
            <v>1</v>
          </cell>
          <cell r="E673">
            <v>0.2</v>
          </cell>
          <cell r="F673">
            <v>0.25</v>
          </cell>
          <cell r="G673">
            <v>2.65</v>
          </cell>
          <cell r="Q673" t="str">
            <v>3/8"</v>
          </cell>
          <cell r="R673">
            <v>11</v>
          </cell>
          <cell r="S673">
            <v>0.9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5.5440000000000005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</row>
        <row r="674">
          <cell r="B674" t="str">
            <v>Nucleo A</v>
          </cell>
          <cell r="C674">
            <v>1</v>
          </cell>
          <cell r="D674">
            <v>1</v>
          </cell>
          <cell r="E674">
            <v>0.4</v>
          </cell>
          <cell r="F674">
            <v>0.25</v>
          </cell>
          <cell r="G674">
            <v>2.65</v>
          </cell>
          <cell r="P674" t="str">
            <v>V</v>
          </cell>
          <cell r="Q674" t="str">
            <v>1"</v>
          </cell>
          <cell r="R674">
            <v>2</v>
          </cell>
          <cell r="S674">
            <v>3.2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29.775000000000002</v>
          </cell>
          <cell r="AD674">
            <v>0</v>
          </cell>
        </row>
        <row r="675">
          <cell r="B675" t="str">
            <v>Nucleo A</v>
          </cell>
          <cell r="C675">
            <v>1</v>
          </cell>
          <cell r="D675">
            <v>1</v>
          </cell>
          <cell r="G675">
            <v>2.65</v>
          </cell>
          <cell r="P675" t="str">
            <v>V</v>
          </cell>
          <cell r="Q675" t="str">
            <v>3/4"</v>
          </cell>
          <cell r="R675">
            <v>2</v>
          </cell>
          <cell r="S675">
            <v>3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15.008000000000003</v>
          </cell>
          <cell r="AC675">
            <v>0</v>
          </cell>
          <cell r="AD675">
            <v>0</v>
          </cell>
        </row>
        <row r="676">
          <cell r="B676" t="str">
            <v>Est</v>
          </cell>
          <cell r="C676">
            <v>1</v>
          </cell>
          <cell r="D676">
            <v>1</v>
          </cell>
          <cell r="E676">
            <v>0.4</v>
          </cell>
          <cell r="F676">
            <v>0.25</v>
          </cell>
          <cell r="G676">
            <v>2.65</v>
          </cell>
          <cell r="Q676" t="str">
            <v>3/8"</v>
          </cell>
          <cell r="R676">
            <v>11</v>
          </cell>
          <cell r="S676">
            <v>1.3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8.0080000000000009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</row>
        <row r="677">
          <cell r="B677" t="str">
            <v>Acero Vert</v>
          </cell>
          <cell r="C677">
            <v>1</v>
          </cell>
          <cell r="D677">
            <v>1</v>
          </cell>
          <cell r="E677">
            <v>2.0699999999999998</v>
          </cell>
          <cell r="F677">
            <v>0.2</v>
          </cell>
          <cell r="G677">
            <v>2.65</v>
          </cell>
          <cell r="H677">
            <v>280</v>
          </cell>
          <cell r="I677">
            <v>0</v>
          </cell>
          <cell r="J677">
            <v>1.0971</v>
          </cell>
          <cell r="K677">
            <v>0</v>
          </cell>
          <cell r="L677">
            <v>1.0971</v>
          </cell>
          <cell r="M677">
            <v>4.54</v>
          </cell>
          <cell r="N677">
            <v>2.4499999999999997</v>
          </cell>
          <cell r="O677">
            <v>11.122999999999999</v>
          </cell>
          <cell r="P677" t="str">
            <v>V</v>
          </cell>
          <cell r="Q677" t="str">
            <v>3/8"</v>
          </cell>
          <cell r="R677">
            <v>14</v>
          </cell>
          <cell r="S677">
            <v>3.15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28.616000000000003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</row>
        <row r="678">
          <cell r="B678" t="str">
            <v>Acero Hor</v>
          </cell>
          <cell r="C678">
            <v>1</v>
          </cell>
          <cell r="D678">
            <v>1</v>
          </cell>
          <cell r="G678">
            <v>2.65</v>
          </cell>
          <cell r="P678" t="str">
            <v>H</v>
          </cell>
          <cell r="Q678" t="str">
            <v>3/8"</v>
          </cell>
          <cell r="R678">
            <v>24</v>
          </cell>
          <cell r="S678">
            <v>2.6199999999999997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35.212800000000001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</row>
        <row r="679">
          <cell r="B679" t="str">
            <v>Nucleo A</v>
          </cell>
          <cell r="C679">
            <v>1</v>
          </cell>
          <cell r="D679">
            <v>1</v>
          </cell>
          <cell r="E679">
            <v>0.55000000000000004</v>
          </cell>
          <cell r="F679">
            <v>0.2</v>
          </cell>
          <cell r="G679">
            <v>2.65</v>
          </cell>
          <cell r="P679" t="str">
            <v>V</v>
          </cell>
          <cell r="Q679" t="str">
            <v>1"</v>
          </cell>
          <cell r="R679">
            <v>8</v>
          </cell>
          <cell r="S679">
            <v>3.2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119.10000000000001</v>
          </cell>
          <cell r="AD679">
            <v>0</v>
          </cell>
        </row>
        <row r="680">
          <cell r="B680" t="str">
            <v>Est</v>
          </cell>
          <cell r="C680">
            <v>1</v>
          </cell>
          <cell r="D680">
            <v>1</v>
          </cell>
          <cell r="E680">
            <v>0.4</v>
          </cell>
          <cell r="F680">
            <v>0.2</v>
          </cell>
          <cell r="G680">
            <v>2.65</v>
          </cell>
          <cell r="Q680" t="str">
            <v>3/8"</v>
          </cell>
          <cell r="R680">
            <v>11</v>
          </cell>
          <cell r="S680">
            <v>1.2000000000000002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7.3920000000000021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</row>
        <row r="681">
          <cell r="B681" t="str">
            <v>Est</v>
          </cell>
          <cell r="C681">
            <v>1</v>
          </cell>
          <cell r="D681">
            <v>1</v>
          </cell>
          <cell r="E681">
            <v>0.4</v>
          </cell>
          <cell r="F681">
            <v>0.2</v>
          </cell>
          <cell r="G681">
            <v>2.65</v>
          </cell>
          <cell r="Q681" t="str">
            <v>3/8"</v>
          </cell>
          <cell r="R681">
            <v>11</v>
          </cell>
          <cell r="S681">
            <v>1.2000000000000002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7.3920000000000021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</row>
        <row r="682">
          <cell r="B682" t="str">
            <v>Acero Vert</v>
          </cell>
          <cell r="C682">
            <v>1</v>
          </cell>
          <cell r="D682">
            <v>1</v>
          </cell>
          <cell r="E682">
            <v>2.0699999999999998</v>
          </cell>
          <cell r="F682">
            <v>0.4</v>
          </cell>
          <cell r="G682">
            <v>2.65</v>
          </cell>
          <cell r="H682">
            <v>280</v>
          </cell>
          <cell r="I682">
            <v>0</v>
          </cell>
          <cell r="J682">
            <v>2.1941999999999999</v>
          </cell>
          <cell r="K682">
            <v>0</v>
          </cell>
          <cell r="L682">
            <v>2.1941999999999999</v>
          </cell>
          <cell r="M682">
            <v>4.9399999999999995</v>
          </cell>
          <cell r="N682">
            <v>2.4499999999999997</v>
          </cell>
          <cell r="O682">
            <v>12.102999999999998</v>
          </cell>
          <cell r="P682" t="str">
            <v>V</v>
          </cell>
          <cell r="Q682" t="str">
            <v>3/8"</v>
          </cell>
          <cell r="R682">
            <v>14</v>
          </cell>
          <cell r="S682">
            <v>3.15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28.616000000000003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</row>
        <row r="683">
          <cell r="B683" t="str">
            <v>Acero Hor</v>
          </cell>
          <cell r="C683">
            <v>1</v>
          </cell>
          <cell r="D683">
            <v>1</v>
          </cell>
          <cell r="G683">
            <v>2.65</v>
          </cell>
          <cell r="P683" t="str">
            <v>H</v>
          </cell>
          <cell r="Q683" t="str">
            <v>3/8"</v>
          </cell>
          <cell r="R683">
            <v>38</v>
          </cell>
          <cell r="S683">
            <v>2.6199999999999997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55.753599999999999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</row>
        <row r="684">
          <cell r="B684" t="str">
            <v>Nucleo A</v>
          </cell>
          <cell r="C684">
            <v>1</v>
          </cell>
          <cell r="D684">
            <v>1</v>
          </cell>
          <cell r="E684">
            <v>0.55000000000000004</v>
          </cell>
          <cell r="F684">
            <v>0.4</v>
          </cell>
          <cell r="G684">
            <v>2.65</v>
          </cell>
          <cell r="P684" t="str">
            <v>V</v>
          </cell>
          <cell r="Q684" t="str">
            <v>1"</v>
          </cell>
          <cell r="R684">
            <v>12</v>
          </cell>
          <cell r="S684">
            <v>3.2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178.65000000000003</v>
          </cell>
          <cell r="AD684">
            <v>0</v>
          </cell>
        </row>
        <row r="685">
          <cell r="B685" t="str">
            <v>Est</v>
          </cell>
          <cell r="C685">
            <v>1</v>
          </cell>
          <cell r="D685">
            <v>1</v>
          </cell>
          <cell r="E685">
            <v>0.55000000000000004</v>
          </cell>
          <cell r="F685">
            <v>0.4</v>
          </cell>
          <cell r="G685">
            <v>2.65</v>
          </cell>
          <cell r="Q685" t="str">
            <v>3/8"</v>
          </cell>
          <cell r="R685">
            <v>11</v>
          </cell>
          <cell r="S685">
            <v>1.9000000000000001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11.704000000000002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</row>
        <row r="686">
          <cell r="B686" t="str">
            <v>Est</v>
          </cell>
          <cell r="C686">
            <v>1</v>
          </cell>
          <cell r="D686">
            <v>1</v>
          </cell>
          <cell r="E686">
            <v>0.55000000000000004</v>
          </cell>
          <cell r="F686">
            <v>0.25</v>
          </cell>
          <cell r="G686">
            <v>2.65</v>
          </cell>
          <cell r="Q686" t="str">
            <v>3/8"</v>
          </cell>
          <cell r="R686">
            <v>11</v>
          </cell>
          <cell r="S686">
            <v>1.6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9.8560000000000016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</row>
        <row r="687">
          <cell r="B687" t="str">
            <v>Est</v>
          </cell>
          <cell r="C687">
            <v>1</v>
          </cell>
          <cell r="D687">
            <v>1</v>
          </cell>
          <cell r="E687">
            <v>0.25</v>
          </cell>
          <cell r="F687">
            <v>0.4</v>
          </cell>
          <cell r="G687">
            <v>2.65</v>
          </cell>
          <cell r="Q687" t="str">
            <v>3/8"</v>
          </cell>
          <cell r="R687">
            <v>11</v>
          </cell>
          <cell r="S687">
            <v>1.3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8.0080000000000009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</row>
        <row r="688"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</row>
        <row r="689">
          <cell r="B689" t="str">
            <v>5 PISO</v>
          </cell>
          <cell r="H689">
            <v>280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</row>
        <row r="690">
          <cell r="C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</row>
        <row r="691">
          <cell r="B691" t="str">
            <v>B2-PL-01</v>
          </cell>
          <cell r="C691">
            <v>2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</row>
        <row r="692">
          <cell r="B692" t="str">
            <v>Acero Vert</v>
          </cell>
          <cell r="C692">
            <v>2</v>
          </cell>
          <cell r="D692">
            <v>1</v>
          </cell>
          <cell r="E692">
            <v>6.05</v>
          </cell>
          <cell r="F692">
            <v>0.2</v>
          </cell>
          <cell r="G692">
            <v>2.65</v>
          </cell>
          <cell r="H692">
            <v>280</v>
          </cell>
          <cell r="I692">
            <v>0</v>
          </cell>
          <cell r="J692">
            <v>6.4129999999999994</v>
          </cell>
          <cell r="K692">
            <v>0</v>
          </cell>
          <cell r="L692">
            <v>6.4129999999999994</v>
          </cell>
          <cell r="M692">
            <v>12.5</v>
          </cell>
          <cell r="N692">
            <v>2.4499999999999997</v>
          </cell>
          <cell r="O692">
            <v>61.249999999999993</v>
          </cell>
          <cell r="P692" t="str">
            <v>V</v>
          </cell>
          <cell r="Q692" t="str">
            <v>3/8"</v>
          </cell>
          <cell r="R692">
            <v>40</v>
          </cell>
          <cell r="S692">
            <v>3.15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163.52000000000001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</row>
        <row r="693">
          <cell r="B693" t="str">
            <v>Acero Hor</v>
          </cell>
          <cell r="C693">
            <v>2</v>
          </cell>
          <cell r="D693">
            <v>1</v>
          </cell>
          <cell r="G693">
            <v>2.65</v>
          </cell>
          <cell r="P693" t="str">
            <v>H</v>
          </cell>
          <cell r="Q693" t="str">
            <v>3/8"</v>
          </cell>
          <cell r="R693">
            <v>24</v>
          </cell>
          <cell r="S693">
            <v>6.55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176.06399999999999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</row>
        <row r="694">
          <cell r="B694" t="str">
            <v>Nucleo A</v>
          </cell>
          <cell r="C694">
            <v>2</v>
          </cell>
          <cell r="D694">
            <v>1</v>
          </cell>
          <cell r="E694">
            <v>0.6</v>
          </cell>
          <cell r="F694">
            <v>0.2</v>
          </cell>
          <cell r="G694">
            <v>2.65</v>
          </cell>
          <cell r="P694" t="str">
            <v>V</v>
          </cell>
          <cell r="Q694" t="str">
            <v>1"</v>
          </cell>
          <cell r="R694">
            <v>4</v>
          </cell>
          <cell r="S694">
            <v>3.2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119.10000000000001</v>
          </cell>
          <cell r="AD694">
            <v>0</v>
          </cell>
        </row>
        <row r="695">
          <cell r="B695" t="str">
            <v>Est</v>
          </cell>
          <cell r="C695">
            <v>2</v>
          </cell>
          <cell r="D695">
            <v>1</v>
          </cell>
          <cell r="E695">
            <v>0.4</v>
          </cell>
          <cell r="F695">
            <v>0.2</v>
          </cell>
          <cell r="G695">
            <v>2.65</v>
          </cell>
          <cell r="Q695" t="str">
            <v>3/8"</v>
          </cell>
          <cell r="R695">
            <v>11</v>
          </cell>
          <cell r="S695">
            <v>1.2000000000000002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14.784000000000004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</row>
        <row r="696">
          <cell r="B696" t="str">
            <v>Nucleo A</v>
          </cell>
          <cell r="C696">
            <v>2</v>
          </cell>
          <cell r="D696">
            <v>1</v>
          </cell>
          <cell r="E696">
            <v>0.6</v>
          </cell>
          <cell r="F696">
            <v>0.2</v>
          </cell>
          <cell r="G696">
            <v>2.65</v>
          </cell>
          <cell r="P696" t="str">
            <v>V</v>
          </cell>
          <cell r="Q696" t="str">
            <v>1"</v>
          </cell>
          <cell r="R696">
            <v>4</v>
          </cell>
          <cell r="S696">
            <v>3.2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119.10000000000001</v>
          </cell>
          <cell r="AD696">
            <v>0</v>
          </cell>
        </row>
        <row r="697">
          <cell r="B697" t="str">
            <v>Est</v>
          </cell>
          <cell r="C697">
            <v>2</v>
          </cell>
          <cell r="D697">
            <v>1</v>
          </cell>
          <cell r="E697">
            <v>0.4</v>
          </cell>
          <cell r="F697">
            <v>0.2</v>
          </cell>
          <cell r="G697">
            <v>2.65</v>
          </cell>
          <cell r="Q697" t="str">
            <v>3/8"</v>
          </cell>
          <cell r="R697">
            <v>11</v>
          </cell>
          <cell r="S697">
            <v>1.2000000000000002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14.784000000000004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</row>
        <row r="698"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</row>
        <row r="699">
          <cell r="B699" t="str">
            <v>B2-PL-02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</row>
        <row r="700">
          <cell r="B700" t="str">
            <v>Acero Vert</v>
          </cell>
          <cell r="C700">
            <v>1</v>
          </cell>
          <cell r="D700">
            <v>1</v>
          </cell>
          <cell r="E700">
            <v>6</v>
          </cell>
          <cell r="F700">
            <v>0.2</v>
          </cell>
          <cell r="G700">
            <v>2.65</v>
          </cell>
          <cell r="H700">
            <v>280</v>
          </cell>
          <cell r="I700">
            <v>0</v>
          </cell>
          <cell r="J700">
            <v>3.18</v>
          </cell>
          <cell r="K700">
            <v>0</v>
          </cell>
          <cell r="L700">
            <v>3.18</v>
          </cell>
          <cell r="M700">
            <v>12.4</v>
          </cell>
          <cell r="N700">
            <v>2.4499999999999997</v>
          </cell>
          <cell r="O700">
            <v>30.38</v>
          </cell>
          <cell r="P700" t="str">
            <v>V</v>
          </cell>
          <cell r="Q700" t="str">
            <v>3/8"</v>
          </cell>
          <cell r="R700">
            <v>44</v>
          </cell>
          <cell r="S700">
            <v>3.15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89.936000000000007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</row>
        <row r="701">
          <cell r="B701" t="str">
            <v>Acero Hor</v>
          </cell>
          <cell r="C701">
            <v>1</v>
          </cell>
          <cell r="D701">
            <v>1</v>
          </cell>
          <cell r="E701">
            <v>0.3</v>
          </cell>
          <cell r="F701">
            <v>0.4</v>
          </cell>
          <cell r="G701">
            <v>2.65</v>
          </cell>
          <cell r="H701">
            <v>280</v>
          </cell>
          <cell r="I701">
            <v>0</v>
          </cell>
          <cell r="J701">
            <v>0.318</v>
          </cell>
          <cell r="K701">
            <v>0</v>
          </cell>
          <cell r="L701">
            <v>0.318</v>
          </cell>
          <cell r="M701">
            <v>1.4</v>
          </cell>
          <cell r="N701">
            <v>2.4499999999999997</v>
          </cell>
          <cell r="O701">
            <v>3.4299999999999993</v>
          </cell>
          <cell r="P701" t="str">
            <v>H</v>
          </cell>
          <cell r="Q701" t="str">
            <v>3/8"</v>
          </cell>
          <cell r="R701">
            <v>24</v>
          </cell>
          <cell r="S701">
            <v>6.3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84.671999999999997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</row>
        <row r="702">
          <cell r="B702" t="str">
            <v>Nucleo A</v>
          </cell>
          <cell r="C702">
            <v>1</v>
          </cell>
          <cell r="D702">
            <v>1</v>
          </cell>
          <cell r="E702">
            <v>0.4</v>
          </cell>
          <cell r="F702">
            <v>0.5</v>
          </cell>
          <cell r="G702">
            <v>2.65</v>
          </cell>
          <cell r="P702" t="str">
            <v>V</v>
          </cell>
          <cell r="Q702" t="str">
            <v>3/4"</v>
          </cell>
          <cell r="R702">
            <v>4</v>
          </cell>
          <cell r="S702">
            <v>3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30.016000000000005</v>
          </cell>
          <cell r="AC702">
            <v>0</v>
          </cell>
          <cell r="AD702">
            <v>0</v>
          </cell>
        </row>
        <row r="703">
          <cell r="B703" t="str">
            <v>Nucleo A</v>
          </cell>
          <cell r="C703">
            <v>1</v>
          </cell>
          <cell r="D703">
            <v>1</v>
          </cell>
          <cell r="G703">
            <v>2.65</v>
          </cell>
          <cell r="P703" t="str">
            <v>V</v>
          </cell>
          <cell r="Q703" t="str">
            <v>1"</v>
          </cell>
          <cell r="R703">
            <v>8</v>
          </cell>
          <cell r="S703">
            <v>3.2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119.10000000000001</v>
          </cell>
          <cell r="AD703">
            <v>0</v>
          </cell>
        </row>
        <row r="704">
          <cell r="B704" t="str">
            <v>Est</v>
          </cell>
          <cell r="C704">
            <v>1</v>
          </cell>
          <cell r="D704">
            <v>1</v>
          </cell>
          <cell r="E704">
            <v>0.4</v>
          </cell>
          <cell r="F704">
            <v>0.5</v>
          </cell>
          <cell r="G704">
            <v>2.65</v>
          </cell>
          <cell r="Q704" t="str">
            <v>1/2"</v>
          </cell>
          <cell r="R704">
            <v>11</v>
          </cell>
          <cell r="S704">
            <v>1.8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19.602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</row>
        <row r="705">
          <cell r="B705" t="str">
            <v>Est</v>
          </cell>
          <cell r="C705">
            <v>1</v>
          </cell>
          <cell r="D705">
            <v>1</v>
          </cell>
          <cell r="E705">
            <v>0.25</v>
          </cell>
          <cell r="F705">
            <v>0.5</v>
          </cell>
          <cell r="G705">
            <v>2.65</v>
          </cell>
          <cell r="Q705" t="str">
            <v>1/2"</v>
          </cell>
          <cell r="R705">
            <v>11</v>
          </cell>
          <cell r="S705">
            <v>1.5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16.335000000000001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</row>
        <row r="706">
          <cell r="B706" t="str">
            <v>Est</v>
          </cell>
          <cell r="C706">
            <v>1</v>
          </cell>
          <cell r="D706">
            <v>1</v>
          </cell>
          <cell r="E706">
            <v>0.4</v>
          </cell>
          <cell r="F706">
            <v>0.1</v>
          </cell>
          <cell r="G706">
            <v>2.65</v>
          </cell>
          <cell r="Q706" t="str">
            <v>1/2"</v>
          </cell>
          <cell r="R706">
            <v>11</v>
          </cell>
          <cell r="S706">
            <v>0.5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5.4450000000000003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</row>
        <row r="707">
          <cell r="B707" t="str">
            <v>Nucleo A</v>
          </cell>
          <cell r="C707">
            <v>1</v>
          </cell>
          <cell r="D707">
            <v>1</v>
          </cell>
          <cell r="E707">
            <v>0.25</v>
          </cell>
          <cell r="F707">
            <v>0.2</v>
          </cell>
          <cell r="G707">
            <v>2.65</v>
          </cell>
          <cell r="P707" t="str">
            <v>V</v>
          </cell>
          <cell r="Q707" t="str">
            <v>1"</v>
          </cell>
          <cell r="R707">
            <v>4</v>
          </cell>
          <cell r="S707">
            <v>3.2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59.550000000000004</v>
          </cell>
          <cell r="AD707">
            <v>0</v>
          </cell>
        </row>
        <row r="708">
          <cell r="B708" t="str">
            <v>Est</v>
          </cell>
          <cell r="C708">
            <v>1</v>
          </cell>
          <cell r="D708">
            <v>1</v>
          </cell>
          <cell r="E708">
            <v>0.25</v>
          </cell>
          <cell r="F708">
            <v>0.2</v>
          </cell>
          <cell r="G708">
            <v>2.65</v>
          </cell>
          <cell r="Q708" t="str">
            <v>3/8"</v>
          </cell>
          <cell r="R708">
            <v>11</v>
          </cell>
          <cell r="S708">
            <v>0.9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5.5440000000000005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</row>
        <row r="709"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</row>
        <row r="710">
          <cell r="B710" t="str">
            <v>B2-PL-02A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</row>
        <row r="711">
          <cell r="B711" t="str">
            <v>Acero Vert</v>
          </cell>
          <cell r="C711">
            <v>1</v>
          </cell>
          <cell r="D711">
            <v>1</v>
          </cell>
          <cell r="E711">
            <v>6</v>
          </cell>
          <cell r="F711">
            <v>0.2</v>
          </cell>
          <cell r="G711">
            <v>2.65</v>
          </cell>
          <cell r="H711">
            <v>280</v>
          </cell>
          <cell r="I711">
            <v>0</v>
          </cell>
          <cell r="J711">
            <v>3.18</v>
          </cell>
          <cell r="K711">
            <v>0</v>
          </cell>
          <cell r="L711">
            <v>3.18</v>
          </cell>
          <cell r="M711">
            <v>12.4</v>
          </cell>
          <cell r="N711">
            <v>2.4499999999999997</v>
          </cell>
          <cell r="O711">
            <v>30.38</v>
          </cell>
          <cell r="P711" t="str">
            <v>V</v>
          </cell>
          <cell r="Q711" t="str">
            <v>3/8"</v>
          </cell>
          <cell r="R711">
            <v>44</v>
          </cell>
          <cell r="S711">
            <v>3.15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89.936000000000007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</row>
        <row r="712">
          <cell r="B712" t="str">
            <v>Acero Hor</v>
          </cell>
          <cell r="C712">
            <v>1</v>
          </cell>
          <cell r="D712">
            <v>1</v>
          </cell>
          <cell r="E712">
            <v>0.3</v>
          </cell>
          <cell r="F712">
            <v>0.4</v>
          </cell>
          <cell r="G712">
            <v>2.65</v>
          </cell>
          <cell r="H712">
            <v>280</v>
          </cell>
          <cell r="I712">
            <v>0</v>
          </cell>
          <cell r="J712">
            <v>0.318</v>
          </cell>
          <cell r="K712">
            <v>0</v>
          </cell>
          <cell r="L712">
            <v>0.318</v>
          </cell>
          <cell r="M712">
            <v>1.4</v>
          </cell>
          <cell r="N712">
            <v>2.4499999999999997</v>
          </cell>
          <cell r="O712">
            <v>3.4299999999999993</v>
          </cell>
          <cell r="P712" t="str">
            <v>H</v>
          </cell>
          <cell r="Q712" t="str">
            <v>3/8"</v>
          </cell>
          <cell r="R712">
            <v>24</v>
          </cell>
          <cell r="S712">
            <v>6.3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84.671999999999997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</row>
        <row r="713">
          <cell r="B713" t="str">
            <v>Nucleo A</v>
          </cell>
          <cell r="C713">
            <v>1</v>
          </cell>
          <cell r="D713">
            <v>1</v>
          </cell>
          <cell r="E713">
            <v>0.4</v>
          </cell>
          <cell r="F713">
            <v>0.5</v>
          </cell>
          <cell r="G713">
            <v>2.65</v>
          </cell>
          <cell r="P713" t="str">
            <v>V</v>
          </cell>
          <cell r="Q713" t="str">
            <v>3/4"</v>
          </cell>
          <cell r="R713">
            <v>4</v>
          </cell>
          <cell r="S713">
            <v>3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30.016000000000005</v>
          </cell>
          <cell r="AC713">
            <v>0</v>
          </cell>
          <cell r="AD713">
            <v>0</v>
          </cell>
        </row>
        <row r="714">
          <cell r="B714" t="str">
            <v>Nucleo A</v>
          </cell>
          <cell r="C714">
            <v>1</v>
          </cell>
          <cell r="D714">
            <v>1</v>
          </cell>
          <cell r="G714">
            <v>2.65</v>
          </cell>
          <cell r="P714" t="str">
            <v>V</v>
          </cell>
          <cell r="Q714" t="str">
            <v>1"</v>
          </cell>
          <cell r="R714">
            <v>8</v>
          </cell>
          <cell r="S714">
            <v>3.2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119.10000000000001</v>
          </cell>
          <cell r="AD714">
            <v>0</v>
          </cell>
        </row>
        <row r="715">
          <cell r="B715" t="str">
            <v>Est</v>
          </cell>
          <cell r="C715">
            <v>1</v>
          </cell>
          <cell r="D715">
            <v>1</v>
          </cell>
          <cell r="E715">
            <v>0.4</v>
          </cell>
          <cell r="F715">
            <v>0.5</v>
          </cell>
          <cell r="G715">
            <v>2.65</v>
          </cell>
          <cell r="Q715" t="str">
            <v>1/2"</v>
          </cell>
          <cell r="R715">
            <v>11</v>
          </cell>
          <cell r="S715">
            <v>1.8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19.602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</row>
        <row r="716">
          <cell r="B716" t="str">
            <v>Est</v>
          </cell>
          <cell r="C716">
            <v>1</v>
          </cell>
          <cell r="D716">
            <v>1</v>
          </cell>
          <cell r="E716">
            <v>0.25</v>
          </cell>
          <cell r="F716">
            <v>0.5</v>
          </cell>
          <cell r="G716">
            <v>2.65</v>
          </cell>
          <cell r="Q716" t="str">
            <v>1/2"</v>
          </cell>
          <cell r="R716">
            <v>11</v>
          </cell>
          <cell r="S716">
            <v>1.5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16.335000000000001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</row>
        <row r="717">
          <cell r="B717" t="str">
            <v>Est</v>
          </cell>
          <cell r="C717">
            <v>1</v>
          </cell>
          <cell r="D717">
            <v>1</v>
          </cell>
          <cell r="E717">
            <v>0.4</v>
          </cell>
          <cell r="F717">
            <v>0.1</v>
          </cell>
          <cell r="G717">
            <v>2.65</v>
          </cell>
          <cell r="Q717" t="str">
            <v>1/2"</v>
          </cell>
          <cell r="R717">
            <v>11</v>
          </cell>
          <cell r="S717">
            <v>0.5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5.4450000000000003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</row>
        <row r="718">
          <cell r="B718" t="str">
            <v>Nucleo A</v>
          </cell>
          <cell r="C718">
            <v>1</v>
          </cell>
          <cell r="D718">
            <v>1</v>
          </cell>
          <cell r="E718">
            <v>0.25</v>
          </cell>
          <cell r="F718">
            <v>0.2</v>
          </cell>
          <cell r="G718">
            <v>2.65</v>
          </cell>
          <cell r="P718" t="str">
            <v>V</v>
          </cell>
          <cell r="Q718" t="str">
            <v>1"</v>
          </cell>
          <cell r="R718">
            <v>4</v>
          </cell>
          <cell r="S718">
            <v>3.2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59.550000000000004</v>
          </cell>
          <cell r="AD718">
            <v>0</v>
          </cell>
        </row>
        <row r="719">
          <cell r="B719" t="str">
            <v>Est</v>
          </cell>
          <cell r="C719">
            <v>1</v>
          </cell>
          <cell r="D719">
            <v>1</v>
          </cell>
          <cell r="E719">
            <v>0.25</v>
          </cell>
          <cell r="F719">
            <v>0.2</v>
          </cell>
          <cell r="G719">
            <v>2.65</v>
          </cell>
          <cell r="Q719" t="str">
            <v>3/8"</v>
          </cell>
          <cell r="R719">
            <v>11</v>
          </cell>
          <cell r="S719">
            <v>0.9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5.5440000000000005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</row>
        <row r="720">
          <cell r="B720" t="str">
            <v>B2-PL-03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</row>
        <row r="721">
          <cell r="B721" t="str">
            <v>Acero Vert</v>
          </cell>
          <cell r="C721">
            <v>1</v>
          </cell>
          <cell r="D721">
            <v>1</v>
          </cell>
          <cell r="E721">
            <v>4.4000000000000004</v>
          </cell>
          <cell r="F721">
            <v>0.25</v>
          </cell>
          <cell r="G721">
            <v>2.65</v>
          </cell>
          <cell r="H721">
            <v>280</v>
          </cell>
          <cell r="I721">
            <v>0</v>
          </cell>
          <cell r="J721">
            <v>2.915</v>
          </cell>
          <cell r="K721">
            <v>0</v>
          </cell>
          <cell r="L721">
            <v>2.915</v>
          </cell>
          <cell r="M721">
            <v>9.3000000000000007</v>
          </cell>
          <cell r="N721">
            <v>2.4499999999999997</v>
          </cell>
          <cell r="O721">
            <v>22.785</v>
          </cell>
          <cell r="P721" t="str">
            <v>V</v>
          </cell>
          <cell r="Q721" t="str">
            <v>3/8"</v>
          </cell>
          <cell r="R721">
            <v>40</v>
          </cell>
          <cell r="S721">
            <v>3.15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81.760000000000005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</row>
        <row r="722">
          <cell r="B722" t="str">
            <v>Acero Hor</v>
          </cell>
          <cell r="C722">
            <v>1</v>
          </cell>
          <cell r="D722">
            <v>1</v>
          </cell>
          <cell r="G722">
            <v>2.65</v>
          </cell>
          <cell r="P722" t="str">
            <v>H</v>
          </cell>
          <cell r="Q722" t="str">
            <v>3/8"</v>
          </cell>
          <cell r="R722">
            <v>38</v>
          </cell>
          <cell r="S722">
            <v>4.7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100.01600000000001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</row>
        <row r="723">
          <cell r="B723" t="str">
            <v>Nucleo A</v>
          </cell>
          <cell r="C723">
            <v>1</v>
          </cell>
          <cell r="D723">
            <v>1</v>
          </cell>
          <cell r="E723">
            <v>0.2</v>
          </cell>
          <cell r="F723">
            <v>0.25</v>
          </cell>
          <cell r="G723">
            <v>2.65</v>
          </cell>
          <cell r="P723" t="str">
            <v>V</v>
          </cell>
          <cell r="Q723" t="str">
            <v>1"</v>
          </cell>
          <cell r="R723">
            <v>2</v>
          </cell>
          <cell r="S723">
            <v>3.2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29.775000000000002</v>
          </cell>
          <cell r="AD723">
            <v>0</v>
          </cell>
        </row>
        <row r="724">
          <cell r="B724" t="str">
            <v>Nucleo A</v>
          </cell>
          <cell r="C724">
            <v>1</v>
          </cell>
          <cell r="D724">
            <v>1</v>
          </cell>
          <cell r="G724">
            <v>2.65</v>
          </cell>
          <cell r="P724" t="str">
            <v>V</v>
          </cell>
          <cell r="Q724" t="str">
            <v>3/4"</v>
          </cell>
          <cell r="R724">
            <v>2</v>
          </cell>
          <cell r="S724">
            <v>3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15.008000000000003</v>
          </cell>
          <cell r="AC724">
            <v>0</v>
          </cell>
          <cell r="AD724">
            <v>0</v>
          </cell>
        </row>
        <row r="725">
          <cell r="B725" t="str">
            <v>Est</v>
          </cell>
          <cell r="C725">
            <v>1</v>
          </cell>
          <cell r="D725">
            <v>1</v>
          </cell>
          <cell r="E725">
            <v>0.2</v>
          </cell>
          <cell r="F725">
            <v>0.25</v>
          </cell>
          <cell r="G725">
            <v>2.65</v>
          </cell>
          <cell r="Q725" t="str">
            <v>3/8"</v>
          </cell>
          <cell r="R725">
            <v>11</v>
          </cell>
          <cell r="S725">
            <v>0.9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5.5440000000000005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</row>
        <row r="726">
          <cell r="B726" t="str">
            <v>Nucleo A</v>
          </cell>
          <cell r="C726">
            <v>1</v>
          </cell>
          <cell r="D726">
            <v>1</v>
          </cell>
          <cell r="E726">
            <v>0.4</v>
          </cell>
          <cell r="F726">
            <v>0.25</v>
          </cell>
          <cell r="G726">
            <v>2.65</v>
          </cell>
          <cell r="P726" t="str">
            <v>V</v>
          </cell>
          <cell r="Q726" t="str">
            <v>1"</v>
          </cell>
          <cell r="R726">
            <v>2</v>
          </cell>
          <cell r="S726">
            <v>3.2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29.775000000000002</v>
          </cell>
          <cell r="AD726">
            <v>0</v>
          </cell>
        </row>
        <row r="727">
          <cell r="B727" t="str">
            <v>Nucleo A</v>
          </cell>
          <cell r="C727">
            <v>1</v>
          </cell>
          <cell r="D727">
            <v>1</v>
          </cell>
          <cell r="G727">
            <v>2.65</v>
          </cell>
          <cell r="P727" t="str">
            <v>V</v>
          </cell>
          <cell r="Q727" t="str">
            <v>3/4"</v>
          </cell>
          <cell r="R727">
            <v>2</v>
          </cell>
          <cell r="S727">
            <v>3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15.008000000000003</v>
          </cell>
          <cell r="AC727">
            <v>0</v>
          </cell>
          <cell r="AD727">
            <v>0</v>
          </cell>
        </row>
        <row r="728">
          <cell r="B728" t="str">
            <v>Est</v>
          </cell>
          <cell r="C728">
            <v>1</v>
          </cell>
          <cell r="D728">
            <v>1</v>
          </cell>
          <cell r="E728">
            <v>0.4</v>
          </cell>
          <cell r="F728">
            <v>0.25</v>
          </cell>
          <cell r="G728">
            <v>2.65</v>
          </cell>
          <cell r="Q728" t="str">
            <v>3/8"</v>
          </cell>
          <cell r="R728">
            <v>11</v>
          </cell>
          <cell r="S728">
            <v>1.3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8.0080000000000009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</row>
        <row r="729">
          <cell r="B729" t="str">
            <v>Acero Vert</v>
          </cell>
          <cell r="C729">
            <v>1</v>
          </cell>
          <cell r="D729">
            <v>1</v>
          </cell>
          <cell r="E729">
            <v>2.0699999999999998</v>
          </cell>
          <cell r="F729">
            <v>0.2</v>
          </cell>
          <cell r="G729">
            <v>2.65</v>
          </cell>
          <cell r="H729">
            <v>280</v>
          </cell>
          <cell r="I729">
            <v>0</v>
          </cell>
          <cell r="J729">
            <v>1.0971</v>
          </cell>
          <cell r="K729">
            <v>0</v>
          </cell>
          <cell r="L729">
            <v>1.0971</v>
          </cell>
          <cell r="M729">
            <v>4.54</v>
          </cell>
          <cell r="N729">
            <v>2.4499999999999997</v>
          </cell>
          <cell r="O729">
            <v>11.122999999999999</v>
          </cell>
          <cell r="P729" t="str">
            <v>V</v>
          </cell>
          <cell r="Q729" t="str">
            <v>3/8"</v>
          </cell>
          <cell r="R729">
            <v>14</v>
          </cell>
          <cell r="S729">
            <v>3.15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28.616000000000003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</row>
        <row r="730">
          <cell r="B730" t="str">
            <v>Acero Hor</v>
          </cell>
          <cell r="C730">
            <v>1</v>
          </cell>
          <cell r="D730">
            <v>1</v>
          </cell>
          <cell r="G730">
            <v>2.65</v>
          </cell>
          <cell r="P730" t="str">
            <v>H</v>
          </cell>
          <cell r="Q730" t="str">
            <v>3/8"</v>
          </cell>
          <cell r="R730">
            <v>24</v>
          </cell>
          <cell r="S730">
            <v>2.6199999999999997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35.212800000000001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</row>
        <row r="731">
          <cell r="B731" t="str">
            <v>Nucleo A</v>
          </cell>
          <cell r="C731">
            <v>1</v>
          </cell>
          <cell r="D731">
            <v>1</v>
          </cell>
          <cell r="E731">
            <v>0.55000000000000004</v>
          </cell>
          <cell r="F731">
            <v>0.2</v>
          </cell>
          <cell r="G731">
            <v>2.65</v>
          </cell>
          <cell r="P731" t="str">
            <v>V</v>
          </cell>
          <cell r="Q731" t="str">
            <v>1"</v>
          </cell>
          <cell r="R731">
            <v>8</v>
          </cell>
          <cell r="S731">
            <v>3.2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119.10000000000001</v>
          </cell>
          <cell r="AD731">
            <v>0</v>
          </cell>
        </row>
        <row r="732">
          <cell r="B732" t="str">
            <v>Est</v>
          </cell>
          <cell r="C732">
            <v>1</v>
          </cell>
          <cell r="D732">
            <v>1</v>
          </cell>
          <cell r="E732">
            <v>0.4</v>
          </cell>
          <cell r="F732">
            <v>0.2</v>
          </cell>
          <cell r="G732">
            <v>2.65</v>
          </cell>
          <cell r="Q732" t="str">
            <v>3/8"</v>
          </cell>
          <cell r="R732">
            <v>11</v>
          </cell>
          <cell r="S732">
            <v>1.2000000000000002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7.3920000000000021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</row>
        <row r="733">
          <cell r="B733" t="str">
            <v>Est</v>
          </cell>
          <cell r="C733">
            <v>1</v>
          </cell>
          <cell r="D733">
            <v>1</v>
          </cell>
          <cell r="E733">
            <v>0.4</v>
          </cell>
          <cell r="F733">
            <v>0.2</v>
          </cell>
          <cell r="G733">
            <v>2.65</v>
          </cell>
          <cell r="Q733" t="str">
            <v>3/8"</v>
          </cell>
          <cell r="R733">
            <v>11</v>
          </cell>
          <cell r="S733">
            <v>1.2000000000000002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7.3920000000000021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</row>
        <row r="734">
          <cell r="B734" t="str">
            <v>Acero Vert</v>
          </cell>
          <cell r="C734">
            <v>1</v>
          </cell>
          <cell r="D734">
            <v>1</v>
          </cell>
          <cell r="E734">
            <v>2.0699999999999998</v>
          </cell>
          <cell r="F734">
            <v>0.4</v>
          </cell>
          <cell r="G734">
            <v>2.65</v>
          </cell>
          <cell r="H734">
            <v>280</v>
          </cell>
          <cell r="I734">
            <v>0</v>
          </cell>
          <cell r="J734">
            <v>2.1941999999999999</v>
          </cell>
          <cell r="K734">
            <v>0</v>
          </cell>
          <cell r="L734">
            <v>2.1941999999999999</v>
          </cell>
          <cell r="M734">
            <v>4.9399999999999995</v>
          </cell>
          <cell r="N734">
            <v>2.4499999999999997</v>
          </cell>
          <cell r="O734">
            <v>12.102999999999998</v>
          </cell>
          <cell r="P734" t="str">
            <v>V</v>
          </cell>
          <cell r="Q734" t="str">
            <v>3/8"</v>
          </cell>
          <cell r="R734">
            <v>14</v>
          </cell>
          <cell r="S734">
            <v>3.15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28.616000000000003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</row>
        <row r="735">
          <cell r="B735" t="str">
            <v>Acero Hor</v>
          </cell>
          <cell r="C735">
            <v>1</v>
          </cell>
          <cell r="D735">
            <v>1</v>
          </cell>
          <cell r="G735">
            <v>2.65</v>
          </cell>
          <cell r="P735" t="str">
            <v>H</v>
          </cell>
          <cell r="Q735" t="str">
            <v>3/8"</v>
          </cell>
          <cell r="R735">
            <v>38</v>
          </cell>
          <cell r="S735">
            <v>2.6199999999999997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55.753599999999999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</row>
        <row r="736">
          <cell r="B736" t="str">
            <v>Nucleo A</v>
          </cell>
          <cell r="C736">
            <v>1</v>
          </cell>
          <cell r="D736">
            <v>1</v>
          </cell>
          <cell r="E736">
            <v>0.55000000000000004</v>
          </cell>
          <cell r="F736">
            <v>0.4</v>
          </cell>
          <cell r="G736">
            <v>2.65</v>
          </cell>
          <cell r="P736" t="str">
            <v>V</v>
          </cell>
          <cell r="Q736" t="str">
            <v>1"</v>
          </cell>
          <cell r="R736">
            <v>12</v>
          </cell>
          <cell r="S736">
            <v>3.2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178.65000000000003</v>
          </cell>
          <cell r="AD736">
            <v>0</v>
          </cell>
        </row>
        <row r="737">
          <cell r="B737" t="str">
            <v>Est</v>
          </cell>
          <cell r="C737">
            <v>1</v>
          </cell>
          <cell r="D737">
            <v>1</v>
          </cell>
          <cell r="E737">
            <v>0.55000000000000004</v>
          </cell>
          <cell r="F737">
            <v>0.4</v>
          </cell>
          <cell r="G737">
            <v>2.65</v>
          </cell>
          <cell r="Q737" t="str">
            <v>3/8"</v>
          </cell>
          <cell r="R737">
            <v>11</v>
          </cell>
          <cell r="S737">
            <v>1.9000000000000001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11.704000000000002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</row>
        <row r="738">
          <cell r="B738" t="str">
            <v>Est</v>
          </cell>
          <cell r="C738">
            <v>1</v>
          </cell>
          <cell r="D738">
            <v>1</v>
          </cell>
          <cell r="E738">
            <v>0.55000000000000004</v>
          </cell>
          <cell r="F738">
            <v>0.25</v>
          </cell>
          <cell r="G738">
            <v>2.65</v>
          </cell>
          <cell r="Q738" t="str">
            <v>3/8"</v>
          </cell>
          <cell r="R738">
            <v>11</v>
          </cell>
          <cell r="S738">
            <v>1.6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9.8560000000000016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</row>
        <row r="739">
          <cell r="B739" t="str">
            <v>Est</v>
          </cell>
          <cell r="C739">
            <v>1</v>
          </cell>
          <cell r="D739">
            <v>1</v>
          </cell>
          <cell r="E739">
            <v>0.25</v>
          </cell>
          <cell r="F739">
            <v>0.4</v>
          </cell>
          <cell r="G739">
            <v>2.65</v>
          </cell>
          <cell r="Q739" t="str">
            <v>3/8"</v>
          </cell>
          <cell r="R739">
            <v>11</v>
          </cell>
          <cell r="S739">
            <v>1.3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8.0080000000000009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</row>
        <row r="740"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</row>
        <row r="741"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</row>
        <row r="742">
          <cell r="B742" t="str">
            <v>6 PISO</v>
          </cell>
          <cell r="H742">
            <v>280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</row>
        <row r="743">
          <cell r="C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</row>
        <row r="744">
          <cell r="B744" t="str">
            <v>B2-PL-01</v>
          </cell>
          <cell r="C744">
            <v>2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</row>
        <row r="745">
          <cell r="B745" t="str">
            <v>Acero Vert</v>
          </cell>
          <cell r="C745">
            <v>2</v>
          </cell>
          <cell r="D745">
            <v>1</v>
          </cell>
          <cell r="E745">
            <v>6.05</v>
          </cell>
          <cell r="F745">
            <v>0.2</v>
          </cell>
          <cell r="G745">
            <v>2.65</v>
          </cell>
          <cell r="H745">
            <v>280</v>
          </cell>
          <cell r="I745">
            <v>0</v>
          </cell>
          <cell r="J745">
            <v>6.4129999999999994</v>
          </cell>
          <cell r="K745">
            <v>0</v>
          </cell>
          <cell r="L745">
            <v>6.4129999999999994</v>
          </cell>
          <cell r="M745">
            <v>12.5</v>
          </cell>
          <cell r="N745">
            <v>2.4499999999999997</v>
          </cell>
          <cell r="O745">
            <v>61.249999999999993</v>
          </cell>
          <cell r="P745" t="str">
            <v>V</v>
          </cell>
          <cell r="Q745" t="str">
            <v>3/8"</v>
          </cell>
          <cell r="R745">
            <v>40</v>
          </cell>
          <cell r="S745">
            <v>3.15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163.52000000000001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</row>
        <row r="746">
          <cell r="B746" t="str">
            <v>Acero Hor</v>
          </cell>
          <cell r="C746">
            <v>2</v>
          </cell>
          <cell r="D746">
            <v>1</v>
          </cell>
          <cell r="G746">
            <v>2.65</v>
          </cell>
          <cell r="P746" t="str">
            <v>H</v>
          </cell>
          <cell r="Q746" t="str">
            <v>3/8"</v>
          </cell>
          <cell r="R746">
            <v>24</v>
          </cell>
          <cell r="S746">
            <v>6.55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176.06399999999999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</row>
        <row r="747">
          <cell r="B747" t="str">
            <v>Nucleo A</v>
          </cell>
          <cell r="C747">
            <v>2</v>
          </cell>
          <cell r="D747">
            <v>1</v>
          </cell>
          <cell r="E747">
            <v>0.6</v>
          </cell>
          <cell r="F747">
            <v>0.2</v>
          </cell>
          <cell r="G747">
            <v>2.65</v>
          </cell>
          <cell r="P747" t="str">
            <v>V</v>
          </cell>
          <cell r="Q747" t="str">
            <v>1"</v>
          </cell>
          <cell r="R747">
            <v>4</v>
          </cell>
          <cell r="S747">
            <v>3.2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119.10000000000001</v>
          </cell>
          <cell r="AD747">
            <v>0</v>
          </cell>
        </row>
        <row r="748">
          <cell r="B748" t="str">
            <v>Est</v>
          </cell>
          <cell r="C748">
            <v>2</v>
          </cell>
          <cell r="D748">
            <v>1</v>
          </cell>
          <cell r="E748">
            <v>0.4</v>
          </cell>
          <cell r="F748">
            <v>0.2</v>
          </cell>
          <cell r="G748">
            <v>2.65</v>
          </cell>
          <cell r="Q748" t="str">
            <v>3/8"</v>
          </cell>
          <cell r="R748">
            <v>11</v>
          </cell>
          <cell r="S748">
            <v>1.2000000000000002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14.784000000000004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</row>
        <row r="749">
          <cell r="B749" t="str">
            <v>Nucleo A</v>
          </cell>
          <cell r="C749">
            <v>2</v>
          </cell>
          <cell r="D749">
            <v>1</v>
          </cell>
          <cell r="E749">
            <v>0.6</v>
          </cell>
          <cell r="F749">
            <v>0.2</v>
          </cell>
          <cell r="G749">
            <v>2.65</v>
          </cell>
          <cell r="P749" t="str">
            <v>V</v>
          </cell>
          <cell r="Q749" t="str">
            <v>1"</v>
          </cell>
          <cell r="R749">
            <v>4</v>
          </cell>
          <cell r="S749">
            <v>3.2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119.10000000000001</v>
          </cell>
          <cell r="AD749">
            <v>0</v>
          </cell>
        </row>
        <row r="750">
          <cell r="B750" t="str">
            <v>Est</v>
          </cell>
          <cell r="C750">
            <v>2</v>
          </cell>
          <cell r="D750">
            <v>1</v>
          </cell>
          <cell r="E750">
            <v>0.4</v>
          </cell>
          <cell r="F750">
            <v>0.2</v>
          </cell>
          <cell r="G750">
            <v>2.65</v>
          </cell>
          <cell r="Q750" t="str">
            <v>3/8"</v>
          </cell>
          <cell r="R750">
            <v>11</v>
          </cell>
          <cell r="S750">
            <v>1.2000000000000002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14.784000000000004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</row>
        <row r="751"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</row>
        <row r="752">
          <cell r="B752" t="str">
            <v>B2-PL-02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</row>
        <row r="753">
          <cell r="B753" t="str">
            <v>Acero Vert</v>
          </cell>
          <cell r="C753">
            <v>1</v>
          </cell>
          <cell r="D753">
            <v>1</v>
          </cell>
          <cell r="E753">
            <v>6</v>
          </cell>
          <cell r="F753">
            <v>0.2</v>
          </cell>
          <cell r="G753">
            <v>2.65</v>
          </cell>
          <cell r="H753">
            <v>280</v>
          </cell>
          <cell r="I753">
            <v>0</v>
          </cell>
          <cell r="J753">
            <v>3.18</v>
          </cell>
          <cell r="K753">
            <v>0</v>
          </cell>
          <cell r="L753">
            <v>3.18</v>
          </cell>
          <cell r="M753">
            <v>12.4</v>
          </cell>
          <cell r="N753">
            <v>2.4499999999999997</v>
          </cell>
          <cell r="O753">
            <v>30.38</v>
          </cell>
          <cell r="P753" t="str">
            <v>V</v>
          </cell>
          <cell r="Q753" t="str">
            <v>3/8"</v>
          </cell>
          <cell r="R753">
            <v>44</v>
          </cell>
          <cell r="S753">
            <v>3.15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89.936000000000007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</row>
        <row r="754">
          <cell r="B754" t="str">
            <v>Acero Hor</v>
          </cell>
          <cell r="C754">
            <v>1</v>
          </cell>
          <cell r="D754">
            <v>1</v>
          </cell>
          <cell r="E754">
            <v>0.3</v>
          </cell>
          <cell r="F754">
            <v>0.4</v>
          </cell>
          <cell r="G754">
            <v>2.65</v>
          </cell>
          <cell r="H754">
            <v>280</v>
          </cell>
          <cell r="I754">
            <v>0</v>
          </cell>
          <cell r="J754">
            <v>0.318</v>
          </cell>
          <cell r="K754">
            <v>0</v>
          </cell>
          <cell r="L754">
            <v>0.318</v>
          </cell>
          <cell r="M754">
            <v>1.4</v>
          </cell>
          <cell r="N754">
            <v>2.4499999999999997</v>
          </cell>
          <cell r="O754">
            <v>3.4299999999999993</v>
          </cell>
          <cell r="P754" t="str">
            <v>H</v>
          </cell>
          <cell r="Q754" t="str">
            <v>3/8"</v>
          </cell>
          <cell r="R754">
            <v>24</v>
          </cell>
          <cell r="S754">
            <v>6.3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84.671999999999997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</row>
        <row r="755">
          <cell r="B755" t="str">
            <v>Nucleo A</v>
          </cell>
          <cell r="C755">
            <v>1</v>
          </cell>
          <cell r="D755">
            <v>1</v>
          </cell>
          <cell r="E755">
            <v>0.4</v>
          </cell>
          <cell r="F755">
            <v>0.5</v>
          </cell>
          <cell r="G755">
            <v>2.65</v>
          </cell>
          <cell r="P755" t="str">
            <v>V</v>
          </cell>
          <cell r="Q755" t="str">
            <v>3/4"</v>
          </cell>
          <cell r="R755">
            <v>4</v>
          </cell>
          <cell r="S755">
            <v>3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30.016000000000005</v>
          </cell>
          <cell r="AC755">
            <v>0</v>
          </cell>
          <cell r="AD755">
            <v>0</v>
          </cell>
        </row>
        <row r="756">
          <cell r="B756" t="str">
            <v>Nucleo A</v>
          </cell>
          <cell r="C756">
            <v>1</v>
          </cell>
          <cell r="D756">
            <v>1</v>
          </cell>
          <cell r="G756">
            <v>2.65</v>
          </cell>
          <cell r="P756" t="str">
            <v>V</v>
          </cell>
          <cell r="Q756" t="str">
            <v>1"</v>
          </cell>
          <cell r="R756">
            <v>8</v>
          </cell>
          <cell r="S756">
            <v>3.2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119.10000000000001</v>
          </cell>
          <cell r="AD756">
            <v>0</v>
          </cell>
        </row>
        <row r="757">
          <cell r="B757" t="str">
            <v>Est</v>
          </cell>
          <cell r="C757">
            <v>1</v>
          </cell>
          <cell r="D757">
            <v>1</v>
          </cell>
          <cell r="E757">
            <v>0.4</v>
          </cell>
          <cell r="F757">
            <v>0.5</v>
          </cell>
          <cell r="G757">
            <v>2.65</v>
          </cell>
          <cell r="Q757" t="str">
            <v>1/2"</v>
          </cell>
          <cell r="R757">
            <v>11</v>
          </cell>
          <cell r="S757">
            <v>1.8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19.602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</row>
        <row r="758">
          <cell r="B758" t="str">
            <v>Est</v>
          </cell>
          <cell r="C758">
            <v>1</v>
          </cell>
          <cell r="D758">
            <v>1</v>
          </cell>
          <cell r="E758">
            <v>0.25</v>
          </cell>
          <cell r="F758">
            <v>0.5</v>
          </cell>
          <cell r="G758">
            <v>2.65</v>
          </cell>
          <cell r="Q758" t="str">
            <v>1/2"</v>
          </cell>
          <cell r="R758">
            <v>11</v>
          </cell>
          <cell r="S758">
            <v>1.5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16.335000000000001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</row>
        <row r="759">
          <cell r="B759" t="str">
            <v>Est</v>
          </cell>
          <cell r="C759">
            <v>1</v>
          </cell>
          <cell r="D759">
            <v>1</v>
          </cell>
          <cell r="E759">
            <v>0.4</v>
          </cell>
          <cell r="F759">
            <v>0.1</v>
          </cell>
          <cell r="G759">
            <v>2.65</v>
          </cell>
          <cell r="Q759" t="str">
            <v>1/2"</v>
          </cell>
          <cell r="R759">
            <v>11</v>
          </cell>
          <cell r="S759">
            <v>0.5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5.4450000000000003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</row>
        <row r="760">
          <cell r="B760" t="str">
            <v>Nucleo A</v>
          </cell>
          <cell r="C760">
            <v>1</v>
          </cell>
          <cell r="D760">
            <v>1</v>
          </cell>
          <cell r="E760">
            <v>0.25</v>
          </cell>
          <cell r="F760">
            <v>0.2</v>
          </cell>
          <cell r="G760">
            <v>2.65</v>
          </cell>
          <cell r="P760" t="str">
            <v>V</v>
          </cell>
          <cell r="Q760" t="str">
            <v>1"</v>
          </cell>
          <cell r="R760">
            <v>4</v>
          </cell>
          <cell r="S760">
            <v>3.2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59.550000000000004</v>
          </cell>
          <cell r="AD760">
            <v>0</v>
          </cell>
        </row>
        <row r="761">
          <cell r="B761" t="str">
            <v>Est</v>
          </cell>
          <cell r="C761">
            <v>1</v>
          </cell>
          <cell r="D761">
            <v>1</v>
          </cell>
          <cell r="E761">
            <v>0.25</v>
          </cell>
          <cell r="F761">
            <v>0.2</v>
          </cell>
          <cell r="G761">
            <v>2.65</v>
          </cell>
          <cell r="Q761" t="str">
            <v>3/8"</v>
          </cell>
          <cell r="R761">
            <v>11</v>
          </cell>
          <cell r="S761">
            <v>0.9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5.5440000000000005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</row>
        <row r="762"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</row>
        <row r="763">
          <cell r="B763" t="str">
            <v>B2-PL-02A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</row>
        <row r="764">
          <cell r="B764" t="str">
            <v>Acero Vert</v>
          </cell>
          <cell r="C764">
            <v>1</v>
          </cell>
          <cell r="D764">
            <v>1</v>
          </cell>
          <cell r="E764">
            <v>6</v>
          </cell>
          <cell r="F764">
            <v>0.2</v>
          </cell>
          <cell r="G764">
            <v>2.65</v>
          </cell>
          <cell r="H764">
            <v>280</v>
          </cell>
          <cell r="I764">
            <v>0</v>
          </cell>
          <cell r="J764">
            <v>3.18</v>
          </cell>
          <cell r="K764">
            <v>0</v>
          </cell>
          <cell r="L764">
            <v>3.18</v>
          </cell>
          <cell r="M764">
            <v>12.4</v>
          </cell>
          <cell r="N764">
            <v>2.4499999999999997</v>
          </cell>
          <cell r="O764">
            <v>30.38</v>
          </cell>
          <cell r="P764" t="str">
            <v>V</v>
          </cell>
          <cell r="Q764" t="str">
            <v>3/8"</v>
          </cell>
          <cell r="R764">
            <v>44</v>
          </cell>
          <cell r="S764">
            <v>3.15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89.936000000000007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</row>
        <row r="765">
          <cell r="B765" t="str">
            <v>Acero Hor</v>
          </cell>
          <cell r="C765">
            <v>1</v>
          </cell>
          <cell r="D765">
            <v>1</v>
          </cell>
          <cell r="E765">
            <v>0.3</v>
          </cell>
          <cell r="F765">
            <v>0.4</v>
          </cell>
          <cell r="G765">
            <v>2.65</v>
          </cell>
          <cell r="H765">
            <v>280</v>
          </cell>
          <cell r="I765">
            <v>0</v>
          </cell>
          <cell r="J765">
            <v>0.318</v>
          </cell>
          <cell r="K765">
            <v>0</v>
          </cell>
          <cell r="L765">
            <v>0.318</v>
          </cell>
          <cell r="M765">
            <v>1.4</v>
          </cell>
          <cell r="N765">
            <v>2.4499999999999997</v>
          </cell>
          <cell r="O765">
            <v>3.4299999999999993</v>
          </cell>
          <cell r="P765" t="str">
            <v>H</v>
          </cell>
          <cell r="Q765" t="str">
            <v>3/8"</v>
          </cell>
          <cell r="R765">
            <v>24</v>
          </cell>
          <cell r="S765">
            <v>6.3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84.671999999999997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</row>
        <row r="766">
          <cell r="B766" t="str">
            <v>Nucleo A</v>
          </cell>
          <cell r="C766">
            <v>1</v>
          </cell>
          <cell r="D766">
            <v>1</v>
          </cell>
          <cell r="E766">
            <v>0.4</v>
          </cell>
          <cell r="F766">
            <v>0.5</v>
          </cell>
          <cell r="G766">
            <v>2.65</v>
          </cell>
          <cell r="P766" t="str">
            <v>V</v>
          </cell>
          <cell r="Q766" t="str">
            <v>3/4"</v>
          </cell>
          <cell r="R766">
            <v>4</v>
          </cell>
          <cell r="S766">
            <v>3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30.016000000000005</v>
          </cell>
          <cell r="AC766">
            <v>0</v>
          </cell>
          <cell r="AD766">
            <v>0</v>
          </cell>
        </row>
        <row r="767">
          <cell r="B767" t="str">
            <v>Nucleo A</v>
          </cell>
          <cell r="C767">
            <v>1</v>
          </cell>
          <cell r="D767">
            <v>1</v>
          </cell>
          <cell r="G767">
            <v>2.65</v>
          </cell>
          <cell r="P767" t="str">
            <v>V</v>
          </cell>
          <cell r="Q767" t="str">
            <v>1"</v>
          </cell>
          <cell r="R767">
            <v>8</v>
          </cell>
          <cell r="S767">
            <v>3.2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119.10000000000001</v>
          </cell>
          <cell r="AD767">
            <v>0</v>
          </cell>
        </row>
        <row r="768">
          <cell r="B768" t="str">
            <v>Est</v>
          </cell>
          <cell r="C768">
            <v>1</v>
          </cell>
          <cell r="D768">
            <v>1</v>
          </cell>
          <cell r="E768">
            <v>0.4</v>
          </cell>
          <cell r="F768">
            <v>0.5</v>
          </cell>
          <cell r="G768">
            <v>2.65</v>
          </cell>
          <cell r="Q768" t="str">
            <v>1/2"</v>
          </cell>
          <cell r="R768">
            <v>11</v>
          </cell>
          <cell r="S768">
            <v>1.8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19.602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</row>
        <row r="769">
          <cell r="B769" t="str">
            <v>Est</v>
          </cell>
          <cell r="C769">
            <v>1</v>
          </cell>
          <cell r="D769">
            <v>1</v>
          </cell>
          <cell r="E769">
            <v>0.25</v>
          </cell>
          <cell r="F769">
            <v>0.5</v>
          </cell>
          <cell r="G769">
            <v>2.65</v>
          </cell>
          <cell r="Q769" t="str">
            <v>1/2"</v>
          </cell>
          <cell r="R769">
            <v>11</v>
          </cell>
          <cell r="S769">
            <v>1.5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16.335000000000001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</row>
        <row r="770">
          <cell r="B770" t="str">
            <v>Est</v>
          </cell>
          <cell r="C770">
            <v>1</v>
          </cell>
          <cell r="D770">
            <v>1</v>
          </cell>
          <cell r="E770">
            <v>0.4</v>
          </cell>
          <cell r="F770">
            <v>0.1</v>
          </cell>
          <cell r="G770">
            <v>2.65</v>
          </cell>
          <cell r="Q770" t="str">
            <v>1/2"</v>
          </cell>
          <cell r="R770">
            <v>11</v>
          </cell>
          <cell r="S770">
            <v>0.5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5.4450000000000003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</row>
        <row r="771">
          <cell r="B771" t="str">
            <v>Nucleo A</v>
          </cell>
          <cell r="C771">
            <v>1</v>
          </cell>
          <cell r="D771">
            <v>1</v>
          </cell>
          <cell r="E771">
            <v>0.25</v>
          </cell>
          <cell r="F771">
            <v>0.2</v>
          </cell>
          <cell r="G771">
            <v>2.65</v>
          </cell>
          <cell r="P771" t="str">
            <v>V</v>
          </cell>
          <cell r="Q771" t="str">
            <v>1"</v>
          </cell>
          <cell r="R771">
            <v>4</v>
          </cell>
          <cell r="S771">
            <v>3.2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59.550000000000004</v>
          </cell>
          <cell r="AD771">
            <v>0</v>
          </cell>
        </row>
        <row r="772">
          <cell r="B772" t="str">
            <v>Est</v>
          </cell>
          <cell r="C772">
            <v>1</v>
          </cell>
          <cell r="D772">
            <v>1</v>
          </cell>
          <cell r="E772">
            <v>0.25</v>
          </cell>
          <cell r="F772">
            <v>0.2</v>
          </cell>
          <cell r="G772">
            <v>2.65</v>
          </cell>
          <cell r="Q772" t="str">
            <v>3/8"</v>
          </cell>
          <cell r="R772">
            <v>11</v>
          </cell>
          <cell r="S772">
            <v>0.9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5.5440000000000005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</row>
        <row r="773">
          <cell r="B773" t="str">
            <v>B2-PL-03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</row>
        <row r="774">
          <cell r="B774" t="str">
            <v>Acero Vert</v>
          </cell>
          <cell r="C774">
            <v>1</v>
          </cell>
          <cell r="D774">
            <v>1</v>
          </cell>
          <cell r="E774">
            <v>4.4000000000000004</v>
          </cell>
          <cell r="F774">
            <v>0.25</v>
          </cell>
          <cell r="G774">
            <v>2.65</v>
          </cell>
          <cell r="H774">
            <v>280</v>
          </cell>
          <cell r="I774">
            <v>0</v>
          </cell>
          <cell r="J774">
            <v>2.915</v>
          </cell>
          <cell r="K774">
            <v>0</v>
          </cell>
          <cell r="L774">
            <v>2.915</v>
          </cell>
          <cell r="M774">
            <v>9.3000000000000007</v>
          </cell>
          <cell r="N774">
            <v>2.4499999999999997</v>
          </cell>
          <cell r="O774">
            <v>22.785</v>
          </cell>
          <cell r="P774" t="str">
            <v>V</v>
          </cell>
          <cell r="Q774" t="str">
            <v>3/8"</v>
          </cell>
          <cell r="R774">
            <v>40</v>
          </cell>
          <cell r="S774">
            <v>3.15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81.760000000000005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</row>
        <row r="775">
          <cell r="B775" t="str">
            <v>Acero Hor</v>
          </cell>
          <cell r="C775">
            <v>1</v>
          </cell>
          <cell r="D775">
            <v>1</v>
          </cell>
          <cell r="G775">
            <v>2.65</v>
          </cell>
          <cell r="P775" t="str">
            <v>H</v>
          </cell>
          <cell r="Q775" t="str">
            <v>3/8"</v>
          </cell>
          <cell r="R775">
            <v>38</v>
          </cell>
          <cell r="S775">
            <v>4.7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100.01600000000001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</row>
        <row r="776">
          <cell r="B776" t="str">
            <v>Nucleo A</v>
          </cell>
          <cell r="C776">
            <v>1</v>
          </cell>
          <cell r="D776">
            <v>1</v>
          </cell>
          <cell r="E776">
            <v>0.2</v>
          </cell>
          <cell r="F776">
            <v>0.25</v>
          </cell>
          <cell r="G776">
            <v>2.65</v>
          </cell>
          <cell r="P776" t="str">
            <v>V</v>
          </cell>
          <cell r="Q776" t="str">
            <v>1"</v>
          </cell>
          <cell r="R776">
            <v>2</v>
          </cell>
          <cell r="S776">
            <v>3.2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29.775000000000002</v>
          </cell>
          <cell r="AD776">
            <v>0</v>
          </cell>
        </row>
        <row r="777">
          <cell r="B777" t="str">
            <v>Nucleo A</v>
          </cell>
          <cell r="C777">
            <v>1</v>
          </cell>
          <cell r="D777">
            <v>1</v>
          </cell>
          <cell r="G777">
            <v>2.65</v>
          </cell>
          <cell r="P777" t="str">
            <v>V</v>
          </cell>
          <cell r="Q777" t="str">
            <v>3/4"</v>
          </cell>
          <cell r="R777">
            <v>2</v>
          </cell>
          <cell r="S777">
            <v>3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15.008000000000003</v>
          </cell>
          <cell r="AC777">
            <v>0</v>
          </cell>
          <cell r="AD777">
            <v>0</v>
          </cell>
        </row>
        <row r="778">
          <cell r="B778" t="str">
            <v>Est</v>
          </cell>
          <cell r="C778">
            <v>1</v>
          </cell>
          <cell r="D778">
            <v>1</v>
          </cell>
          <cell r="E778">
            <v>0.2</v>
          </cell>
          <cell r="F778">
            <v>0.25</v>
          </cell>
          <cell r="G778">
            <v>2.65</v>
          </cell>
          <cell r="Q778" t="str">
            <v>3/8"</v>
          </cell>
          <cell r="R778">
            <v>11</v>
          </cell>
          <cell r="S778">
            <v>0.9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5.5440000000000005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</row>
        <row r="779">
          <cell r="B779" t="str">
            <v>Nucleo A</v>
          </cell>
          <cell r="C779">
            <v>1</v>
          </cell>
          <cell r="D779">
            <v>1</v>
          </cell>
          <cell r="E779">
            <v>0.4</v>
          </cell>
          <cell r="F779">
            <v>0.25</v>
          </cell>
          <cell r="G779">
            <v>2.65</v>
          </cell>
          <cell r="P779" t="str">
            <v>V</v>
          </cell>
          <cell r="Q779" t="str">
            <v>1"</v>
          </cell>
          <cell r="R779">
            <v>2</v>
          </cell>
          <cell r="S779">
            <v>3.2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29.775000000000002</v>
          </cell>
          <cell r="AD779">
            <v>0</v>
          </cell>
        </row>
        <row r="780">
          <cell r="B780" t="str">
            <v>Nucleo A</v>
          </cell>
          <cell r="C780">
            <v>1</v>
          </cell>
          <cell r="D780">
            <v>1</v>
          </cell>
          <cell r="G780">
            <v>2.65</v>
          </cell>
          <cell r="P780" t="str">
            <v>V</v>
          </cell>
          <cell r="Q780" t="str">
            <v>3/4"</v>
          </cell>
          <cell r="R780">
            <v>2</v>
          </cell>
          <cell r="S780">
            <v>3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15.008000000000003</v>
          </cell>
          <cell r="AC780">
            <v>0</v>
          </cell>
          <cell r="AD780">
            <v>0</v>
          </cell>
        </row>
        <row r="781">
          <cell r="B781" t="str">
            <v>Est</v>
          </cell>
          <cell r="C781">
            <v>1</v>
          </cell>
          <cell r="D781">
            <v>1</v>
          </cell>
          <cell r="E781">
            <v>0.4</v>
          </cell>
          <cell r="F781">
            <v>0.25</v>
          </cell>
          <cell r="G781">
            <v>2.65</v>
          </cell>
          <cell r="Q781" t="str">
            <v>3/8"</v>
          </cell>
          <cell r="R781">
            <v>11</v>
          </cell>
          <cell r="S781">
            <v>1.3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8.0080000000000009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</row>
        <row r="782">
          <cell r="B782" t="str">
            <v>Acero Vert</v>
          </cell>
          <cell r="C782">
            <v>1</v>
          </cell>
          <cell r="D782">
            <v>1</v>
          </cell>
          <cell r="E782">
            <v>2.0699999999999998</v>
          </cell>
          <cell r="F782">
            <v>0.2</v>
          </cell>
          <cell r="G782">
            <v>2.65</v>
          </cell>
          <cell r="H782">
            <v>280</v>
          </cell>
          <cell r="I782">
            <v>0</v>
          </cell>
          <cell r="J782">
            <v>1.0971</v>
          </cell>
          <cell r="K782">
            <v>0</v>
          </cell>
          <cell r="L782">
            <v>1.0971</v>
          </cell>
          <cell r="M782">
            <v>4.54</v>
          </cell>
          <cell r="N782">
            <v>2.4499999999999997</v>
          </cell>
          <cell r="O782">
            <v>11.122999999999999</v>
          </cell>
          <cell r="P782" t="str">
            <v>V</v>
          </cell>
          <cell r="Q782" t="str">
            <v>3/8"</v>
          </cell>
          <cell r="R782">
            <v>14</v>
          </cell>
          <cell r="S782">
            <v>3.15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28.616000000000003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</row>
        <row r="783">
          <cell r="B783" t="str">
            <v>Acero Hor</v>
          </cell>
          <cell r="C783">
            <v>1</v>
          </cell>
          <cell r="D783">
            <v>1</v>
          </cell>
          <cell r="G783">
            <v>2.65</v>
          </cell>
          <cell r="P783" t="str">
            <v>H</v>
          </cell>
          <cell r="Q783" t="str">
            <v>3/8"</v>
          </cell>
          <cell r="R783">
            <v>24</v>
          </cell>
          <cell r="S783">
            <v>2.6199999999999997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35.212800000000001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</row>
        <row r="784">
          <cell r="B784" t="str">
            <v>Nucleo A</v>
          </cell>
          <cell r="C784">
            <v>1</v>
          </cell>
          <cell r="D784">
            <v>1</v>
          </cell>
          <cell r="E784">
            <v>0.55000000000000004</v>
          </cell>
          <cell r="F784">
            <v>0.2</v>
          </cell>
          <cell r="G784">
            <v>2.65</v>
          </cell>
          <cell r="P784" t="str">
            <v>V</v>
          </cell>
          <cell r="Q784" t="str">
            <v>1"</v>
          </cell>
          <cell r="R784">
            <v>8</v>
          </cell>
          <cell r="S784">
            <v>3.2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119.10000000000001</v>
          </cell>
          <cell r="AD784">
            <v>0</v>
          </cell>
        </row>
        <row r="785">
          <cell r="B785" t="str">
            <v>Est</v>
          </cell>
          <cell r="C785">
            <v>1</v>
          </cell>
          <cell r="D785">
            <v>1</v>
          </cell>
          <cell r="E785">
            <v>0.4</v>
          </cell>
          <cell r="F785">
            <v>0.2</v>
          </cell>
          <cell r="G785">
            <v>2.65</v>
          </cell>
          <cell r="Q785" t="str">
            <v>3/8"</v>
          </cell>
          <cell r="R785">
            <v>11</v>
          </cell>
          <cell r="S785">
            <v>1.2000000000000002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7.3920000000000021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</row>
        <row r="786">
          <cell r="B786" t="str">
            <v>Est</v>
          </cell>
          <cell r="C786">
            <v>1</v>
          </cell>
          <cell r="D786">
            <v>1</v>
          </cell>
          <cell r="E786">
            <v>0.4</v>
          </cell>
          <cell r="F786">
            <v>0.2</v>
          </cell>
          <cell r="G786">
            <v>2.65</v>
          </cell>
          <cell r="Q786" t="str">
            <v>3/8"</v>
          </cell>
          <cell r="R786">
            <v>11</v>
          </cell>
          <cell r="S786">
            <v>1.2000000000000002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7.3920000000000021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</row>
        <row r="787">
          <cell r="B787" t="str">
            <v>Acero Vert</v>
          </cell>
          <cell r="C787">
            <v>1</v>
          </cell>
          <cell r="D787">
            <v>1</v>
          </cell>
          <cell r="E787">
            <v>2.0699999999999998</v>
          </cell>
          <cell r="F787">
            <v>0.4</v>
          </cell>
          <cell r="G787">
            <v>2.65</v>
          </cell>
          <cell r="H787">
            <v>280</v>
          </cell>
          <cell r="I787">
            <v>0</v>
          </cell>
          <cell r="J787">
            <v>2.1941999999999999</v>
          </cell>
          <cell r="K787">
            <v>0</v>
          </cell>
          <cell r="L787">
            <v>2.1941999999999999</v>
          </cell>
          <cell r="M787">
            <v>4.9399999999999995</v>
          </cell>
          <cell r="N787">
            <v>2.4499999999999997</v>
          </cell>
          <cell r="O787">
            <v>12.102999999999998</v>
          </cell>
          <cell r="P787" t="str">
            <v>V</v>
          </cell>
          <cell r="Q787" t="str">
            <v>3/8"</v>
          </cell>
          <cell r="R787">
            <v>14</v>
          </cell>
          <cell r="S787">
            <v>3.15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28.616000000000003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</row>
        <row r="788">
          <cell r="B788" t="str">
            <v>Acero Hor</v>
          </cell>
          <cell r="C788">
            <v>1</v>
          </cell>
          <cell r="D788">
            <v>1</v>
          </cell>
          <cell r="G788">
            <v>2.65</v>
          </cell>
          <cell r="P788" t="str">
            <v>H</v>
          </cell>
          <cell r="Q788" t="str">
            <v>3/8"</v>
          </cell>
          <cell r="R788">
            <v>38</v>
          </cell>
          <cell r="S788">
            <v>2.6199999999999997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55.753599999999999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</row>
        <row r="789">
          <cell r="B789" t="str">
            <v>Nucleo A</v>
          </cell>
          <cell r="C789">
            <v>1</v>
          </cell>
          <cell r="D789">
            <v>1</v>
          </cell>
          <cell r="E789">
            <v>0.55000000000000004</v>
          </cell>
          <cell r="F789">
            <v>0.4</v>
          </cell>
          <cell r="G789">
            <v>2.65</v>
          </cell>
          <cell r="P789" t="str">
            <v>V</v>
          </cell>
          <cell r="Q789" t="str">
            <v>1"</v>
          </cell>
          <cell r="R789">
            <v>12</v>
          </cell>
          <cell r="S789">
            <v>3.2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178.65000000000003</v>
          </cell>
          <cell r="AD789">
            <v>0</v>
          </cell>
        </row>
        <row r="790">
          <cell r="B790" t="str">
            <v>Est</v>
          </cell>
          <cell r="C790">
            <v>1</v>
          </cell>
          <cell r="D790">
            <v>1</v>
          </cell>
          <cell r="E790">
            <v>0.55000000000000004</v>
          </cell>
          <cell r="F790">
            <v>0.4</v>
          </cell>
          <cell r="G790">
            <v>2.65</v>
          </cell>
          <cell r="Q790" t="str">
            <v>3/8"</v>
          </cell>
          <cell r="R790">
            <v>11</v>
          </cell>
          <cell r="S790">
            <v>1.9000000000000001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11.704000000000002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</row>
        <row r="791">
          <cell r="B791" t="str">
            <v>Est</v>
          </cell>
          <cell r="C791">
            <v>1</v>
          </cell>
          <cell r="D791">
            <v>1</v>
          </cell>
          <cell r="E791">
            <v>0.55000000000000004</v>
          </cell>
          <cell r="F791">
            <v>0.25</v>
          </cell>
          <cell r="G791">
            <v>2.65</v>
          </cell>
          <cell r="Q791" t="str">
            <v>3/8"</v>
          </cell>
          <cell r="R791">
            <v>11</v>
          </cell>
          <cell r="S791">
            <v>1.6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9.8560000000000016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</row>
        <row r="792">
          <cell r="B792" t="str">
            <v>Est</v>
          </cell>
          <cell r="C792">
            <v>1</v>
          </cell>
          <cell r="D792">
            <v>1</v>
          </cell>
          <cell r="E792">
            <v>0.25</v>
          </cell>
          <cell r="F792">
            <v>0.4</v>
          </cell>
          <cell r="G792">
            <v>2.65</v>
          </cell>
          <cell r="Q792" t="str">
            <v>3/8"</v>
          </cell>
          <cell r="R792">
            <v>11</v>
          </cell>
          <cell r="S792">
            <v>1.3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8.0080000000000009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</row>
        <row r="793"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</row>
        <row r="794"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</row>
        <row r="795">
          <cell r="B795" t="str">
            <v>7 PISO</v>
          </cell>
          <cell r="H795">
            <v>210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</row>
        <row r="796"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</row>
        <row r="797">
          <cell r="B797" t="str">
            <v>B2-PL-01</v>
          </cell>
          <cell r="C797">
            <v>2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</row>
        <row r="798">
          <cell r="B798" t="str">
            <v>Acero Vert</v>
          </cell>
          <cell r="C798">
            <v>2</v>
          </cell>
          <cell r="D798">
            <v>1</v>
          </cell>
          <cell r="E798">
            <v>6.05</v>
          </cell>
          <cell r="F798">
            <v>0.2</v>
          </cell>
          <cell r="G798">
            <v>2.65</v>
          </cell>
          <cell r="H798">
            <v>210</v>
          </cell>
          <cell r="I798">
            <v>6.4129999999999994</v>
          </cell>
          <cell r="J798">
            <v>0</v>
          </cell>
          <cell r="K798">
            <v>0</v>
          </cell>
          <cell r="L798">
            <v>6.4129999999999994</v>
          </cell>
          <cell r="M798">
            <v>12.5</v>
          </cell>
          <cell r="N798">
            <v>2.4499999999999997</v>
          </cell>
          <cell r="O798">
            <v>61.249999999999993</v>
          </cell>
          <cell r="P798" t="str">
            <v>V</v>
          </cell>
          <cell r="Q798" t="str">
            <v>3/8"</v>
          </cell>
          <cell r="R798">
            <v>40</v>
          </cell>
          <cell r="S798">
            <v>3.15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163.52000000000001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</row>
        <row r="799">
          <cell r="B799" t="str">
            <v>Acero Hor</v>
          </cell>
          <cell r="C799">
            <v>2</v>
          </cell>
          <cell r="D799">
            <v>1</v>
          </cell>
          <cell r="G799">
            <v>2.65</v>
          </cell>
          <cell r="P799" t="str">
            <v>H</v>
          </cell>
          <cell r="Q799" t="str">
            <v>3/8"</v>
          </cell>
          <cell r="R799">
            <v>24</v>
          </cell>
          <cell r="S799">
            <v>6.55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176.06399999999999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</row>
        <row r="800">
          <cell r="B800" t="str">
            <v>Nucleo A</v>
          </cell>
          <cell r="C800">
            <v>2</v>
          </cell>
          <cell r="D800">
            <v>1</v>
          </cell>
          <cell r="E800">
            <v>0.6</v>
          </cell>
          <cell r="F800">
            <v>0.2</v>
          </cell>
          <cell r="G800">
            <v>2.65</v>
          </cell>
          <cell r="P800" t="str">
            <v>V</v>
          </cell>
          <cell r="Q800" t="str">
            <v>1"</v>
          </cell>
          <cell r="R800">
            <v>4</v>
          </cell>
          <cell r="S800">
            <v>3.2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119.10000000000001</v>
          </cell>
          <cell r="AD800">
            <v>0</v>
          </cell>
        </row>
        <row r="801">
          <cell r="B801" t="str">
            <v>Est</v>
          </cell>
          <cell r="C801">
            <v>2</v>
          </cell>
          <cell r="D801">
            <v>1</v>
          </cell>
          <cell r="E801">
            <v>0.4</v>
          </cell>
          <cell r="F801">
            <v>0.2</v>
          </cell>
          <cell r="G801">
            <v>2.65</v>
          </cell>
          <cell r="Q801" t="str">
            <v>3/8"</v>
          </cell>
          <cell r="R801">
            <v>11</v>
          </cell>
          <cell r="S801">
            <v>1.2000000000000002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14.784000000000004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</row>
        <row r="802">
          <cell r="B802" t="str">
            <v>Nucleo A</v>
          </cell>
          <cell r="C802">
            <v>2</v>
          </cell>
          <cell r="D802">
            <v>1</v>
          </cell>
          <cell r="E802">
            <v>0.6</v>
          </cell>
          <cell r="F802">
            <v>0.2</v>
          </cell>
          <cell r="G802">
            <v>2.65</v>
          </cell>
          <cell r="P802" t="str">
            <v>V</v>
          </cell>
          <cell r="Q802" t="str">
            <v>1"</v>
          </cell>
          <cell r="R802">
            <v>4</v>
          </cell>
          <cell r="S802">
            <v>3.2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119.10000000000001</v>
          </cell>
          <cell r="AD802">
            <v>0</v>
          </cell>
        </row>
        <row r="803">
          <cell r="B803" t="str">
            <v>Est</v>
          </cell>
          <cell r="C803">
            <v>2</v>
          </cell>
          <cell r="D803">
            <v>1</v>
          </cell>
          <cell r="E803">
            <v>0.4</v>
          </cell>
          <cell r="F803">
            <v>0.2</v>
          </cell>
          <cell r="G803">
            <v>2.65</v>
          </cell>
          <cell r="Q803" t="str">
            <v>3/8"</v>
          </cell>
          <cell r="R803">
            <v>11</v>
          </cell>
          <cell r="S803">
            <v>1.2000000000000002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14.784000000000004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</row>
        <row r="804"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</row>
        <row r="805">
          <cell r="B805" t="str">
            <v>B2-PL-02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</row>
        <row r="806">
          <cell r="B806" t="str">
            <v>Acero Vert</v>
          </cell>
          <cell r="C806">
            <v>1</v>
          </cell>
          <cell r="D806">
            <v>1</v>
          </cell>
          <cell r="E806">
            <v>6</v>
          </cell>
          <cell r="F806">
            <v>0.2</v>
          </cell>
          <cell r="G806">
            <v>2.65</v>
          </cell>
          <cell r="H806">
            <v>210</v>
          </cell>
          <cell r="I806">
            <v>3.18</v>
          </cell>
          <cell r="J806">
            <v>0</v>
          </cell>
          <cell r="K806">
            <v>0</v>
          </cell>
          <cell r="L806">
            <v>3.18</v>
          </cell>
          <cell r="M806">
            <v>12.4</v>
          </cell>
          <cell r="N806">
            <v>2.4499999999999997</v>
          </cell>
          <cell r="O806">
            <v>30.38</v>
          </cell>
          <cell r="P806" t="str">
            <v>V</v>
          </cell>
          <cell r="Q806" t="str">
            <v>3/8"</v>
          </cell>
          <cell r="R806">
            <v>44</v>
          </cell>
          <cell r="S806">
            <v>3.15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89.936000000000007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</row>
        <row r="807">
          <cell r="B807" t="str">
            <v>Acero Hor</v>
          </cell>
          <cell r="C807">
            <v>1</v>
          </cell>
          <cell r="D807">
            <v>1</v>
          </cell>
          <cell r="E807">
            <v>0.3</v>
          </cell>
          <cell r="F807">
            <v>0.4</v>
          </cell>
          <cell r="G807">
            <v>2.65</v>
          </cell>
          <cell r="H807">
            <v>210</v>
          </cell>
          <cell r="I807">
            <v>0.318</v>
          </cell>
          <cell r="J807">
            <v>0</v>
          </cell>
          <cell r="K807">
            <v>0</v>
          </cell>
          <cell r="L807">
            <v>0.318</v>
          </cell>
          <cell r="M807">
            <v>1.4</v>
          </cell>
          <cell r="N807">
            <v>2.4499999999999997</v>
          </cell>
          <cell r="O807">
            <v>3.4299999999999993</v>
          </cell>
          <cell r="P807" t="str">
            <v>H</v>
          </cell>
          <cell r="Q807" t="str">
            <v>3/8"</v>
          </cell>
          <cell r="R807">
            <v>24</v>
          </cell>
          <cell r="S807">
            <v>6.3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84.671999999999997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</row>
        <row r="808">
          <cell r="B808" t="str">
            <v>Nucleo A</v>
          </cell>
          <cell r="C808">
            <v>1</v>
          </cell>
          <cell r="D808">
            <v>1</v>
          </cell>
          <cell r="E808">
            <v>0.4</v>
          </cell>
          <cell r="F808">
            <v>0.5</v>
          </cell>
          <cell r="G808">
            <v>2.65</v>
          </cell>
          <cell r="P808" t="str">
            <v>V</v>
          </cell>
          <cell r="Q808" t="str">
            <v>3/4"</v>
          </cell>
          <cell r="R808">
            <v>4</v>
          </cell>
          <cell r="S808">
            <v>3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30.016000000000005</v>
          </cell>
          <cell r="AC808">
            <v>0</v>
          </cell>
          <cell r="AD808">
            <v>0</v>
          </cell>
        </row>
        <row r="809">
          <cell r="B809" t="str">
            <v>Nucleo A</v>
          </cell>
          <cell r="C809">
            <v>1</v>
          </cell>
          <cell r="D809">
            <v>1</v>
          </cell>
          <cell r="G809">
            <v>2.65</v>
          </cell>
          <cell r="P809" t="str">
            <v>V</v>
          </cell>
          <cell r="Q809" t="str">
            <v>1"</v>
          </cell>
          <cell r="R809">
            <v>8</v>
          </cell>
          <cell r="S809">
            <v>3.2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119.10000000000001</v>
          </cell>
          <cell r="AD809">
            <v>0</v>
          </cell>
        </row>
        <row r="810">
          <cell r="B810" t="str">
            <v>Est</v>
          </cell>
          <cell r="C810">
            <v>1</v>
          </cell>
          <cell r="D810">
            <v>1</v>
          </cell>
          <cell r="E810">
            <v>0.4</v>
          </cell>
          <cell r="F810">
            <v>0.5</v>
          </cell>
          <cell r="G810">
            <v>2.65</v>
          </cell>
          <cell r="Q810" t="str">
            <v>1/2"</v>
          </cell>
          <cell r="R810">
            <v>11</v>
          </cell>
          <cell r="S810">
            <v>1.8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19.602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</row>
        <row r="811">
          <cell r="B811" t="str">
            <v>Est</v>
          </cell>
          <cell r="C811">
            <v>1</v>
          </cell>
          <cell r="D811">
            <v>1</v>
          </cell>
          <cell r="E811">
            <v>0.25</v>
          </cell>
          <cell r="F811">
            <v>0.5</v>
          </cell>
          <cell r="G811">
            <v>2.65</v>
          </cell>
          <cell r="Q811" t="str">
            <v>1/2"</v>
          </cell>
          <cell r="R811">
            <v>11</v>
          </cell>
          <cell r="S811">
            <v>1.5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16.335000000000001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</row>
        <row r="812">
          <cell r="B812" t="str">
            <v>Est</v>
          </cell>
          <cell r="C812">
            <v>1</v>
          </cell>
          <cell r="D812">
            <v>1</v>
          </cell>
          <cell r="E812">
            <v>0.4</v>
          </cell>
          <cell r="F812">
            <v>0.1</v>
          </cell>
          <cell r="G812">
            <v>2.65</v>
          </cell>
          <cell r="Q812" t="str">
            <v>1/2"</v>
          </cell>
          <cell r="R812">
            <v>11</v>
          </cell>
          <cell r="S812">
            <v>0.5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5.4450000000000003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</row>
        <row r="813">
          <cell r="B813" t="str">
            <v>Nucleo A</v>
          </cell>
          <cell r="C813">
            <v>1</v>
          </cell>
          <cell r="D813">
            <v>1</v>
          </cell>
          <cell r="E813">
            <v>0.25</v>
          </cell>
          <cell r="F813">
            <v>0.2</v>
          </cell>
          <cell r="G813">
            <v>2.65</v>
          </cell>
          <cell r="P813" t="str">
            <v>V</v>
          </cell>
          <cell r="Q813" t="str">
            <v>1"</v>
          </cell>
          <cell r="R813">
            <v>4</v>
          </cell>
          <cell r="S813">
            <v>3.2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59.550000000000004</v>
          </cell>
          <cell r="AD813">
            <v>0</v>
          </cell>
        </row>
        <row r="814">
          <cell r="B814" t="str">
            <v>Est</v>
          </cell>
          <cell r="C814">
            <v>1</v>
          </cell>
          <cell r="D814">
            <v>1</v>
          </cell>
          <cell r="E814">
            <v>0.25</v>
          </cell>
          <cell r="F814">
            <v>0.2</v>
          </cell>
          <cell r="G814">
            <v>2.65</v>
          </cell>
          <cell r="Q814" t="str">
            <v>3/8"</v>
          </cell>
          <cell r="R814">
            <v>11</v>
          </cell>
          <cell r="S814">
            <v>0.9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5.5440000000000005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</row>
        <row r="815"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</row>
        <row r="816">
          <cell r="B816" t="str">
            <v>B2-PL-02A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</row>
        <row r="817">
          <cell r="B817" t="str">
            <v>Acero Vert</v>
          </cell>
          <cell r="C817">
            <v>1</v>
          </cell>
          <cell r="D817">
            <v>1</v>
          </cell>
          <cell r="E817">
            <v>6</v>
          </cell>
          <cell r="F817">
            <v>0.2</v>
          </cell>
          <cell r="G817">
            <v>2.65</v>
          </cell>
          <cell r="H817">
            <v>210</v>
          </cell>
          <cell r="I817">
            <v>3.18</v>
          </cell>
          <cell r="J817">
            <v>0</v>
          </cell>
          <cell r="K817">
            <v>0</v>
          </cell>
          <cell r="L817">
            <v>3.18</v>
          </cell>
          <cell r="M817">
            <v>12.4</v>
          </cell>
          <cell r="N817">
            <v>2.4499999999999997</v>
          </cell>
          <cell r="O817">
            <v>30.38</v>
          </cell>
          <cell r="P817" t="str">
            <v>V</v>
          </cell>
          <cell r="Q817" t="str">
            <v>3/8"</v>
          </cell>
          <cell r="R817">
            <v>44</v>
          </cell>
          <cell r="S817">
            <v>3.15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89.936000000000007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</row>
        <row r="818">
          <cell r="B818" t="str">
            <v>Acero Hor</v>
          </cell>
          <cell r="C818">
            <v>1</v>
          </cell>
          <cell r="D818">
            <v>1</v>
          </cell>
          <cell r="E818">
            <v>0.3</v>
          </cell>
          <cell r="F818">
            <v>0.4</v>
          </cell>
          <cell r="G818">
            <v>2.65</v>
          </cell>
          <cell r="H818">
            <v>210</v>
          </cell>
          <cell r="I818">
            <v>0.318</v>
          </cell>
          <cell r="J818">
            <v>0</v>
          </cell>
          <cell r="K818">
            <v>0</v>
          </cell>
          <cell r="L818">
            <v>0.318</v>
          </cell>
          <cell r="M818">
            <v>1.4</v>
          </cell>
          <cell r="N818">
            <v>2.4499999999999997</v>
          </cell>
          <cell r="O818">
            <v>3.4299999999999993</v>
          </cell>
          <cell r="P818" t="str">
            <v>H</v>
          </cell>
          <cell r="Q818" t="str">
            <v>3/8"</v>
          </cell>
          <cell r="R818">
            <v>24</v>
          </cell>
          <cell r="S818">
            <v>6.3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84.671999999999997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</row>
        <row r="819">
          <cell r="B819" t="str">
            <v>Nucleo A</v>
          </cell>
          <cell r="C819">
            <v>1</v>
          </cell>
          <cell r="D819">
            <v>1</v>
          </cell>
          <cell r="E819">
            <v>0.4</v>
          </cell>
          <cell r="F819">
            <v>0.5</v>
          </cell>
          <cell r="G819">
            <v>2.65</v>
          </cell>
          <cell r="P819" t="str">
            <v>V</v>
          </cell>
          <cell r="Q819" t="str">
            <v>3/4"</v>
          </cell>
          <cell r="R819">
            <v>4</v>
          </cell>
          <cell r="S819">
            <v>3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30.016000000000005</v>
          </cell>
          <cell r="AC819">
            <v>0</v>
          </cell>
          <cell r="AD819">
            <v>0</v>
          </cell>
        </row>
        <row r="820">
          <cell r="B820" t="str">
            <v>Nucleo A</v>
          </cell>
          <cell r="C820">
            <v>1</v>
          </cell>
          <cell r="D820">
            <v>1</v>
          </cell>
          <cell r="G820">
            <v>2.65</v>
          </cell>
          <cell r="P820" t="str">
            <v>V</v>
          </cell>
          <cell r="Q820" t="str">
            <v>1"</v>
          </cell>
          <cell r="R820">
            <v>8</v>
          </cell>
          <cell r="S820">
            <v>3.2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119.10000000000001</v>
          </cell>
          <cell r="AD820">
            <v>0</v>
          </cell>
        </row>
        <row r="821">
          <cell r="B821" t="str">
            <v>Est</v>
          </cell>
          <cell r="C821">
            <v>1</v>
          </cell>
          <cell r="D821">
            <v>1</v>
          </cell>
          <cell r="E821">
            <v>0.4</v>
          </cell>
          <cell r="F821">
            <v>0.5</v>
          </cell>
          <cell r="G821">
            <v>2.65</v>
          </cell>
          <cell r="Q821" t="str">
            <v>1/2"</v>
          </cell>
          <cell r="R821">
            <v>11</v>
          </cell>
          <cell r="S821">
            <v>1.8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19.602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</row>
        <row r="822">
          <cell r="B822" t="str">
            <v>Est</v>
          </cell>
          <cell r="C822">
            <v>1</v>
          </cell>
          <cell r="D822">
            <v>1</v>
          </cell>
          <cell r="E822">
            <v>0.25</v>
          </cell>
          <cell r="F822">
            <v>0.5</v>
          </cell>
          <cell r="G822">
            <v>2.65</v>
          </cell>
          <cell r="Q822" t="str">
            <v>1/2"</v>
          </cell>
          <cell r="R822">
            <v>11</v>
          </cell>
          <cell r="S822">
            <v>1.5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16.335000000000001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</row>
        <row r="823">
          <cell r="B823" t="str">
            <v>Est</v>
          </cell>
          <cell r="C823">
            <v>1</v>
          </cell>
          <cell r="D823">
            <v>1</v>
          </cell>
          <cell r="E823">
            <v>0.4</v>
          </cell>
          <cell r="F823">
            <v>0.1</v>
          </cell>
          <cell r="G823">
            <v>2.65</v>
          </cell>
          <cell r="Q823" t="str">
            <v>1/2"</v>
          </cell>
          <cell r="R823">
            <v>11</v>
          </cell>
          <cell r="S823">
            <v>0.5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5.4450000000000003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</row>
        <row r="824">
          <cell r="B824" t="str">
            <v>Nucleo A</v>
          </cell>
          <cell r="C824">
            <v>1</v>
          </cell>
          <cell r="D824">
            <v>1</v>
          </cell>
          <cell r="E824">
            <v>0.25</v>
          </cell>
          <cell r="F824">
            <v>0.2</v>
          </cell>
          <cell r="G824">
            <v>2.65</v>
          </cell>
          <cell r="P824" t="str">
            <v>V</v>
          </cell>
          <cell r="Q824" t="str">
            <v>1"</v>
          </cell>
          <cell r="R824">
            <v>4</v>
          </cell>
          <cell r="S824">
            <v>3.2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59.550000000000004</v>
          </cell>
          <cell r="AD824">
            <v>0</v>
          </cell>
        </row>
        <row r="825">
          <cell r="B825" t="str">
            <v>Est</v>
          </cell>
          <cell r="C825">
            <v>1</v>
          </cell>
          <cell r="D825">
            <v>1</v>
          </cell>
          <cell r="E825">
            <v>0.25</v>
          </cell>
          <cell r="F825">
            <v>0.2</v>
          </cell>
          <cell r="G825">
            <v>2.65</v>
          </cell>
          <cell r="Q825" t="str">
            <v>3/8"</v>
          </cell>
          <cell r="R825">
            <v>11</v>
          </cell>
          <cell r="S825">
            <v>0.9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5.5440000000000005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</row>
        <row r="826">
          <cell r="B826" t="str">
            <v>B2-PL-03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</row>
        <row r="827">
          <cell r="B827" t="str">
            <v>Acero Vert</v>
          </cell>
          <cell r="C827">
            <v>1</v>
          </cell>
          <cell r="D827">
            <v>1</v>
          </cell>
          <cell r="E827">
            <v>4.4000000000000004</v>
          </cell>
          <cell r="F827">
            <v>0.25</v>
          </cell>
          <cell r="G827">
            <v>2.65</v>
          </cell>
          <cell r="H827">
            <v>210</v>
          </cell>
          <cell r="I827">
            <v>2.915</v>
          </cell>
          <cell r="J827">
            <v>0</v>
          </cell>
          <cell r="K827">
            <v>0</v>
          </cell>
          <cell r="L827">
            <v>2.915</v>
          </cell>
          <cell r="M827">
            <v>9.3000000000000007</v>
          </cell>
          <cell r="N827">
            <v>2.4499999999999997</v>
          </cell>
          <cell r="O827">
            <v>22.785</v>
          </cell>
          <cell r="P827" t="str">
            <v>V</v>
          </cell>
          <cell r="Q827" t="str">
            <v>3/8"</v>
          </cell>
          <cell r="R827">
            <v>40</v>
          </cell>
          <cell r="S827">
            <v>3.15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81.760000000000005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</row>
        <row r="828">
          <cell r="B828" t="str">
            <v>Acero Hor</v>
          </cell>
          <cell r="C828">
            <v>1</v>
          </cell>
          <cell r="D828">
            <v>1</v>
          </cell>
          <cell r="G828">
            <v>2.65</v>
          </cell>
          <cell r="P828" t="str">
            <v>H</v>
          </cell>
          <cell r="Q828" t="str">
            <v>3/8"</v>
          </cell>
          <cell r="R828">
            <v>38</v>
          </cell>
          <cell r="S828">
            <v>4.7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100.01600000000001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</row>
        <row r="829">
          <cell r="B829" t="str">
            <v>Nucleo A</v>
          </cell>
          <cell r="C829">
            <v>1</v>
          </cell>
          <cell r="D829">
            <v>1</v>
          </cell>
          <cell r="E829">
            <v>0.2</v>
          </cell>
          <cell r="F829">
            <v>0.25</v>
          </cell>
          <cell r="G829">
            <v>2.65</v>
          </cell>
          <cell r="P829" t="str">
            <v>V</v>
          </cell>
          <cell r="Q829" t="str">
            <v>1"</v>
          </cell>
          <cell r="R829">
            <v>2</v>
          </cell>
          <cell r="S829">
            <v>3.2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29.775000000000002</v>
          </cell>
          <cell r="AD829">
            <v>0</v>
          </cell>
        </row>
        <row r="830">
          <cell r="B830" t="str">
            <v>Nucleo A</v>
          </cell>
          <cell r="C830">
            <v>1</v>
          </cell>
          <cell r="D830">
            <v>1</v>
          </cell>
          <cell r="G830">
            <v>2.65</v>
          </cell>
          <cell r="P830" t="str">
            <v>V</v>
          </cell>
          <cell r="Q830" t="str">
            <v>3/4"</v>
          </cell>
          <cell r="R830">
            <v>2</v>
          </cell>
          <cell r="S830">
            <v>3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15.008000000000003</v>
          </cell>
          <cell r="AC830">
            <v>0</v>
          </cell>
          <cell r="AD830">
            <v>0</v>
          </cell>
        </row>
        <row r="831">
          <cell r="B831" t="str">
            <v>Est</v>
          </cell>
          <cell r="C831">
            <v>1</v>
          </cell>
          <cell r="D831">
            <v>1</v>
          </cell>
          <cell r="E831">
            <v>0.2</v>
          </cell>
          <cell r="F831">
            <v>0.25</v>
          </cell>
          <cell r="G831">
            <v>2.65</v>
          </cell>
          <cell r="Q831" t="str">
            <v>3/8"</v>
          </cell>
          <cell r="R831">
            <v>11</v>
          </cell>
          <cell r="S831">
            <v>0.9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5.5440000000000005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</row>
        <row r="832">
          <cell r="B832" t="str">
            <v>Nucleo A</v>
          </cell>
          <cell r="C832">
            <v>1</v>
          </cell>
          <cell r="D832">
            <v>1</v>
          </cell>
          <cell r="E832">
            <v>0.4</v>
          </cell>
          <cell r="F832">
            <v>0.25</v>
          </cell>
          <cell r="G832">
            <v>2.65</v>
          </cell>
          <cell r="P832" t="str">
            <v>V</v>
          </cell>
          <cell r="Q832" t="str">
            <v>1"</v>
          </cell>
          <cell r="R832">
            <v>2</v>
          </cell>
          <cell r="S832">
            <v>3.2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29.775000000000002</v>
          </cell>
          <cell r="AD832">
            <v>0</v>
          </cell>
        </row>
        <row r="833">
          <cell r="B833" t="str">
            <v>Nucleo A</v>
          </cell>
          <cell r="C833">
            <v>1</v>
          </cell>
          <cell r="D833">
            <v>1</v>
          </cell>
          <cell r="G833">
            <v>2.65</v>
          </cell>
          <cell r="P833" t="str">
            <v>V</v>
          </cell>
          <cell r="Q833" t="str">
            <v>3/4"</v>
          </cell>
          <cell r="R833">
            <v>2</v>
          </cell>
          <cell r="S833">
            <v>3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15.008000000000003</v>
          </cell>
          <cell r="AC833">
            <v>0</v>
          </cell>
          <cell r="AD833">
            <v>0</v>
          </cell>
        </row>
        <row r="834">
          <cell r="B834" t="str">
            <v>Est</v>
          </cell>
          <cell r="C834">
            <v>1</v>
          </cell>
          <cell r="D834">
            <v>1</v>
          </cell>
          <cell r="E834">
            <v>0.4</v>
          </cell>
          <cell r="F834">
            <v>0.25</v>
          </cell>
          <cell r="G834">
            <v>2.65</v>
          </cell>
          <cell r="Q834" t="str">
            <v>3/8"</v>
          </cell>
          <cell r="R834">
            <v>11</v>
          </cell>
          <cell r="S834">
            <v>1.3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8.0080000000000009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</row>
        <row r="835">
          <cell r="B835" t="str">
            <v>Acero Vert</v>
          </cell>
          <cell r="C835">
            <v>1</v>
          </cell>
          <cell r="D835">
            <v>1</v>
          </cell>
          <cell r="E835">
            <v>2.0699999999999998</v>
          </cell>
          <cell r="F835">
            <v>0.2</v>
          </cell>
          <cell r="G835">
            <v>2.65</v>
          </cell>
          <cell r="H835">
            <v>210</v>
          </cell>
          <cell r="I835">
            <v>1.0971</v>
          </cell>
          <cell r="J835">
            <v>0</v>
          </cell>
          <cell r="K835">
            <v>0</v>
          </cell>
          <cell r="L835">
            <v>1.0971</v>
          </cell>
          <cell r="M835">
            <v>4.54</v>
          </cell>
          <cell r="N835">
            <v>2.4499999999999997</v>
          </cell>
          <cell r="O835">
            <v>11.122999999999999</v>
          </cell>
          <cell r="P835" t="str">
            <v>V</v>
          </cell>
          <cell r="Q835" t="str">
            <v>3/8"</v>
          </cell>
          <cell r="R835">
            <v>14</v>
          </cell>
          <cell r="S835">
            <v>3.15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28.616000000000003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</row>
        <row r="836">
          <cell r="B836" t="str">
            <v>Acero Hor</v>
          </cell>
          <cell r="C836">
            <v>1</v>
          </cell>
          <cell r="D836">
            <v>1</v>
          </cell>
          <cell r="G836">
            <v>2.65</v>
          </cell>
          <cell r="P836" t="str">
            <v>H</v>
          </cell>
          <cell r="Q836" t="str">
            <v>3/8"</v>
          </cell>
          <cell r="R836">
            <v>24</v>
          </cell>
          <cell r="S836">
            <v>2.6199999999999997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35.212800000000001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</row>
        <row r="837">
          <cell r="B837" t="str">
            <v>Nucleo A</v>
          </cell>
          <cell r="C837">
            <v>1</v>
          </cell>
          <cell r="D837">
            <v>1</v>
          </cell>
          <cell r="E837">
            <v>0.55000000000000004</v>
          </cell>
          <cell r="F837">
            <v>0.2</v>
          </cell>
          <cell r="G837">
            <v>2.65</v>
          </cell>
          <cell r="P837" t="str">
            <v>V</v>
          </cell>
          <cell r="Q837" t="str">
            <v>1"</v>
          </cell>
          <cell r="R837">
            <v>8</v>
          </cell>
          <cell r="S837">
            <v>3.2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119.10000000000001</v>
          </cell>
          <cell r="AD837">
            <v>0</v>
          </cell>
        </row>
        <row r="838">
          <cell r="B838" t="str">
            <v>Est</v>
          </cell>
          <cell r="C838">
            <v>1</v>
          </cell>
          <cell r="D838">
            <v>1</v>
          </cell>
          <cell r="E838">
            <v>0.4</v>
          </cell>
          <cell r="F838">
            <v>0.2</v>
          </cell>
          <cell r="G838">
            <v>2.65</v>
          </cell>
          <cell r="Q838" t="str">
            <v>3/8"</v>
          </cell>
          <cell r="R838">
            <v>11</v>
          </cell>
          <cell r="S838">
            <v>1.2000000000000002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7.3920000000000021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</row>
        <row r="839">
          <cell r="B839" t="str">
            <v>Est</v>
          </cell>
          <cell r="C839">
            <v>1</v>
          </cell>
          <cell r="D839">
            <v>1</v>
          </cell>
          <cell r="E839">
            <v>0.4</v>
          </cell>
          <cell r="F839">
            <v>0.2</v>
          </cell>
          <cell r="G839">
            <v>2.65</v>
          </cell>
          <cell r="Q839" t="str">
            <v>3/8"</v>
          </cell>
          <cell r="R839">
            <v>11</v>
          </cell>
          <cell r="S839">
            <v>1.2000000000000002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7.3920000000000021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</row>
        <row r="840">
          <cell r="B840" t="str">
            <v>Acero Vert</v>
          </cell>
          <cell r="C840">
            <v>1</v>
          </cell>
          <cell r="D840">
            <v>1</v>
          </cell>
          <cell r="E840">
            <v>2.0699999999999998</v>
          </cell>
          <cell r="F840">
            <v>0.4</v>
          </cell>
          <cell r="G840">
            <v>2.65</v>
          </cell>
          <cell r="H840">
            <v>210</v>
          </cell>
          <cell r="I840">
            <v>2.1941999999999999</v>
          </cell>
          <cell r="J840">
            <v>0</v>
          </cell>
          <cell r="K840">
            <v>0</v>
          </cell>
          <cell r="L840">
            <v>2.1941999999999999</v>
          </cell>
          <cell r="M840">
            <v>4.9399999999999995</v>
          </cell>
          <cell r="N840">
            <v>2.4499999999999997</v>
          </cell>
          <cell r="O840">
            <v>12.102999999999998</v>
          </cell>
          <cell r="P840" t="str">
            <v>V</v>
          </cell>
          <cell r="Q840" t="str">
            <v>3/8"</v>
          </cell>
          <cell r="R840">
            <v>14</v>
          </cell>
          <cell r="S840">
            <v>3.15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28.616000000000003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</row>
        <row r="841">
          <cell r="B841" t="str">
            <v>Acero Hor</v>
          </cell>
          <cell r="C841">
            <v>1</v>
          </cell>
          <cell r="D841">
            <v>1</v>
          </cell>
          <cell r="G841">
            <v>2.65</v>
          </cell>
          <cell r="P841" t="str">
            <v>H</v>
          </cell>
          <cell r="Q841" t="str">
            <v>3/8"</v>
          </cell>
          <cell r="R841">
            <v>38</v>
          </cell>
          <cell r="S841">
            <v>2.6199999999999997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55.753599999999999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</row>
        <row r="842">
          <cell r="B842" t="str">
            <v>Nucleo A</v>
          </cell>
          <cell r="C842">
            <v>1</v>
          </cell>
          <cell r="D842">
            <v>1</v>
          </cell>
          <cell r="E842">
            <v>0.55000000000000004</v>
          </cell>
          <cell r="F842">
            <v>0.4</v>
          </cell>
          <cell r="G842">
            <v>2.65</v>
          </cell>
          <cell r="P842" t="str">
            <v>V</v>
          </cell>
          <cell r="Q842" t="str">
            <v>1"</v>
          </cell>
          <cell r="R842">
            <v>12</v>
          </cell>
          <cell r="S842">
            <v>3.2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178.65000000000003</v>
          </cell>
          <cell r="AD842">
            <v>0</v>
          </cell>
        </row>
        <row r="843">
          <cell r="B843" t="str">
            <v>Est</v>
          </cell>
          <cell r="C843">
            <v>1</v>
          </cell>
          <cell r="D843">
            <v>1</v>
          </cell>
          <cell r="E843">
            <v>0.55000000000000004</v>
          </cell>
          <cell r="F843">
            <v>0.4</v>
          </cell>
          <cell r="G843">
            <v>2.65</v>
          </cell>
          <cell r="Q843" t="str">
            <v>3/8"</v>
          </cell>
          <cell r="R843">
            <v>11</v>
          </cell>
          <cell r="S843">
            <v>1.9000000000000001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11.704000000000002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</row>
        <row r="844">
          <cell r="B844" t="str">
            <v>Est</v>
          </cell>
          <cell r="C844">
            <v>1</v>
          </cell>
          <cell r="D844">
            <v>1</v>
          </cell>
          <cell r="E844">
            <v>0.55000000000000004</v>
          </cell>
          <cell r="F844">
            <v>0.25</v>
          </cell>
          <cell r="G844">
            <v>2.65</v>
          </cell>
          <cell r="Q844" t="str">
            <v>3/8"</v>
          </cell>
          <cell r="R844">
            <v>11</v>
          </cell>
          <cell r="S844">
            <v>1.6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9.8560000000000016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</row>
        <row r="845">
          <cell r="B845" t="str">
            <v>Est</v>
          </cell>
          <cell r="C845">
            <v>1</v>
          </cell>
          <cell r="D845">
            <v>1</v>
          </cell>
          <cell r="E845">
            <v>0.25</v>
          </cell>
          <cell r="F845">
            <v>0.4</v>
          </cell>
          <cell r="G845">
            <v>2.65</v>
          </cell>
          <cell r="Q845" t="str">
            <v>3/8"</v>
          </cell>
          <cell r="R845">
            <v>11</v>
          </cell>
          <cell r="S845">
            <v>1.3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8.0080000000000009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</row>
        <row r="846"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</row>
        <row r="847"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</row>
        <row r="848">
          <cell r="B848" t="str">
            <v>8 PISO</v>
          </cell>
          <cell r="H848">
            <v>210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</row>
        <row r="849"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</row>
        <row r="850">
          <cell r="B850" t="str">
            <v>B2-PL-01</v>
          </cell>
          <cell r="C850">
            <v>2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</row>
        <row r="851">
          <cell r="B851" t="str">
            <v>Acero Vert</v>
          </cell>
          <cell r="C851">
            <v>2</v>
          </cell>
          <cell r="D851">
            <v>1</v>
          </cell>
          <cell r="E851">
            <v>6.05</v>
          </cell>
          <cell r="F851">
            <v>0.2</v>
          </cell>
          <cell r="G851">
            <v>2.65</v>
          </cell>
          <cell r="H851">
            <v>210</v>
          </cell>
          <cell r="I851">
            <v>6.4129999999999994</v>
          </cell>
          <cell r="J851">
            <v>0</v>
          </cell>
          <cell r="K851">
            <v>0</v>
          </cell>
          <cell r="L851">
            <v>6.4129999999999994</v>
          </cell>
          <cell r="M851">
            <v>12.5</v>
          </cell>
          <cell r="N851">
            <v>2.4499999999999997</v>
          </cell>
          <cell r="O851">
            <v>61.249999999999993</v>
          </cell>
          <cell r="P851" t="str">
            <v>V</v>
          </cell>
          <cell r="Q851" t="str">
            <v>3/8"</v>
          </cell>
          <cell r="R851">
            <v>40</v>
          </cell>
          <cell r="S851">
            <v>3.15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163.52000000000001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</row>
        <row r="852">
          <cell r="B852" t="str">
            <v>Acero Hor</v>
          </cell>
          <cell r="C852">
            <v>2</v>
          </cell>
          <cell r="D852">
            <v>1</v>
          </cell>
          <cell r="G852">
            <v>2.65</v>
          </cell>
          <cell r="P852" t="str">
            <v>H</v>
          </cell>
          <cell r="Q852" t="str">
            <v>3/8"</v>
          </cell>
          <cell r="R852">
            <v>20</v>
          </cell>
          <cell r="S852">
            <v>6.55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146.72000000000003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</row>
        <row r="853">
          <cell r="B853" t="str">
            <v>Nucleo A</v>
          </cell>
          <cell r="C853">
            <v>2</v>
          </cell>
          <cell r="D853">
            <v>1</v>
          </cell>
          <cell r="E853">
            <v>0.25</v>
          </cell>
          <cell r="F853">
            <v>0.2</v>
          </cell>
          <cell r="G853">
            <v>2.65</v>
          </cell>
          <cell r="P853" t="str">
            <v>V</v>
          </cell>
          <cell r="Q853" t="str">
            <v>1"</v>
          </cell>
          <cell r="R853">
            <v>2</v>
          </cell>
          <cell r="S853">
            <v>3.2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59.550000000000004</v>
          </cell>
          <cell r="AD853">
            <v>0</v>
          </cell>
        </row>
        <row r="854">
          <cell r="B854" t="str">
            <v>Nucleo A</v>
          </cell>
          <cell r="C854">
            <v>2</v>
          </cell>
          <cell r="D854">
            <v>1</v>
          </cell>
          <cell r="G854">
            <v>2.65</v>
          </cell>
          <cell r="P854" t="str">
            <v>V</v>
          </cell>
          <cell r="Q854" t="str">
            <v>3/4"</v>
          </cell>
          <cell r="R854">
            <v>2</v>
          </cell>
          <cell r="S854">
            <v>3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30.016000000000005</v>
          </cell>
          <cell r="AC854">
            <v>0</v>
          </cell>
          <cell r="AD854">
            <v>0</v>
          </cell>
        </row>
        <row r="855">
          <cell r="B855" t="str">
            <v>Est</v>
          </cell>
          <cell r="C855">
            <v>2</v>
          </cell>
          <cell r="D855">
            <v>1</v>
          </cell>
          <cell r="E855">
            <v>0.25</v>
          </cell>
          <cell r="F855">
            <v>0.2</v>
          </cell>
          <cell r="G855">
            <v>2.65</v>
          </cell>
          <cell r="Q855" t="str">
            <v>3/8"</v>
          </cell>
          <cell r="R855">
            <v>10</v>
          </cell>
          <cell r="S855">
            <v>0.9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10.080000000000002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</row>
        <row r="856">
          <cell r="B856" t="str">
            <v>Nucleo A</v>
          </cell>
          <cell r="C856">
            <v>2</v>
          </cell>
          <cell r="D856">
            <v>1</v>
          </cell>
          <cell r="E856">
            <v>0.25</v>
          </cell>
          <cell r="F856">
            <v>0.2</v>
          </cell>
          <cell r="G856">
            <v>2.65</v>
          </cell>
          <cell r="P856" t="str">
            <v>V</v>
          </cell>
          <cell r="Q856" t="str">
            <v>1"</v>
          </cell>
          <cell r="R856">
            <v>2</v>
          </cell>
          <cell r="S856">
            <v>3.2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59.550000000000004</v>
          </cell>
          <cell r="AD856">
            <v>0</v>
          </cell>
        </row>
        <row r="857">
          <cell r="B857" t="str">
            <v>Nucleo A</v>
          </cell>
          <cell r="C857">
            <v>2</v>
          </cell>
          <cell r="D857">
            <v>1</v>
          </cell>
          <cell r="G857">
            <v>2.65</v>
          </cell>
          <cell r="P857" t="str">
            <v>V</v>
          </cell>
          <cell r="Q857" t="str">
            <v>3/4"</v>
          </cell>
          <cell r="R857">
            <v>2</v>
          </cell>
          <cell r="S857">
            <v>3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30.016000000000005</v>
          </cell>
          <cell r="AC857">
            <v>0</v>
          </cell>
          <cell r="AD857">
            <v>0</v>
          </cell>
        </row>
        <row r="858">
          <cell r="B858" t="str">
            <v>Est</v>
          </cell>
          <cell r="C858">
            <v>2</v>
          </cell>
          <cell r="D858">
            <v>1</v>
          </cell>
          <cell r="E858">
            <v>0.25</v>
          </cell>
          <cell r="F858">
            <v>0.2</v>
          </cell>
          <cell r="G858">
            <v>2.65</v>
          </cell>
          <cell r="Q858" t="str">
            <v>3/8"</v>
          </cell>
          <cell r="R858">
            <v>10</v>
          </cell>
          <cell r="S858">
            <v>0.9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10.080000000000002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</row>
        <row r="859"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</row>
        <row r="860">
          <cell r="B860" t="str">
            <v>B2-PL-02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</row>
        <row r="861">
          <cell r="B861" t="str">
            <v>Acero Vert</v>
          </cell>
          <cell r="C861">
            <v>1</v>
          </cell>
          <cell r="D861">
            <v>1</v>
          </cell>
          <cell r="E861">
            <v>6</v>
          </cell>
          <cell r="F861">
            <v>0.2</v>
          </cell>
          <cell r="G861">
            <v>2.65</v>
          </cell>
          <cell r="H861">
            <v>210</v>
          </cell>
          <cell r="I861">
            <v>3.18</v>
          </cell>
          <cell r="J861">
            <v>0</v>
          </cell>
          <cell r="K861">
            <v>0</v>
          </cell>
          <cell r="L861">
            <v>3.18</v>
          </cell>
          <cell r="M861">
            <v>12.4</v>
          </cell>
          <cell r="N861">
            <v>2.4499999999999997</v>
          </cell>
          <cell r="O861">
            <v>30.38</v>
          </cell>
          <cell r="P861" t="str">
            <v>V</v>
          </cell>
          <cell r="Q861" t="str">
            <v>3/8"</v>
          </cell>
          <cell r="R861">
            <v>38</v>
          </cell>
          <cell r="S861">
            <v>3.15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77.671999999999997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</row>
        <row r="862">
          <cell r="B862" t="str">
            <v>Acero Hor</v>
          </cell>
          <cell r="C862">
            <v>1</v>
          </cell>
          <cell r="D862">
            <v>1</v>
          </cell>
          <cell r="E862">
            <v>0.3</v>
          </cell>
          <cell r="F862">
            <v>0.4</v>
          </cell>
          <cell r="G862">
            <v>2.65</v>
          </cell>
          <cell r="H862">
            <v>210</v>
          </cell>
          <cell r="I862">
            <v>0.318</v>
          </cell>
          <cell r="J862">
            <v>0</v>
          </cell>
          <cell r="K862">
            <v>0</v>
          </cell>
          <cell r="L862">
            <v>0.318</v>
          </cell>
          <cell r="M862">
            <v>1.4</v>
          </cell>
          <cell r="N862">
            <v>2.4499999999999997</v>
          </cell>
          <cell r="O862">
            <v>3.4299999999999993</v>
          </cell>
          <cell r="P862" t="str">
            <v>H</v>
          </cell>
          <cell r="Q862" t="str">
            <v>3/8"</v>
          </cell>
          <cell r="R862">
            <v>20</v>
          </cell>
          <cell r="S862">
            <v>6.3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70.56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</row>
        <row r="863">
          <cell r="B863" t="str">
            <v>Nucleo A</v>
          </cell>
          <cell r="C863">
            <v>1</v>
          </cell>
          <cell r="D863">
            <v>1</v>
          </cell>
          <cell r="E863">
            <v>0.4</v>
          </cell>
          <cell r="F863">
            <v>0.5</v>
          </cell>
          <cell r="G863">
            <v>2.65</v>
          </cell>
          <cell r="P863" t="str">
            <v>V</v>
          </cell>
          <cell r="Q863" t="str">
            <v>3/4"</v>
          </cell>
          <cell r="R863">
            <v>8</v>
          </cell>
          <cell r="S863">
            <v>3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60.032000000000011</v>
          </cell>
          <cell r="AC863">
            <v>0</v>
          </cell>
          <cell r="AD863">
            <v>0</v>
          </cell>
        </row>
        <row r="864">
          <cell r="B864" t="str">
            <v>Nucleo A</v>
          </cell>
          <cell r="C864">
            <v>1</v>
          </cell>
          <cell r="D864">
            <v>1</v>
          </cell>
          <cell r="G864">
            <v>2.65</v>
          </cell>
          <cell r="P864" t="str">
            <v>V</v>
          </cell>
          <cell r="Q864" t="str">
            <v>1"</v>
          </cell>
          <cell r="R864">
            <v>4</v>
          </cell>
          <cell r="S864">
            <v>3.2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59.550000000000004</v>
          </cell>
          <cell r="AD864">
            <v>0</v>
          </cell>
        </row>
        <row r="865">
          <cell r="B865" t="str">
            <v>Est</v>
          </cell>
          <cell r="C865">
            <v>1</v>
          </cell>
          <cell r="D865">
            <v>1</v>
          </cell>
          <cell r="E865">
            <v>0.4</v>
          </cell>
          <cell r="F865">
            <v>0.5</v>
          </cell>
          <cell r="G865">
            <v>2.65</v>
          </cell>
          <cell r="Q865" t="str">
            <v>3/8"</v>
          </cell>
          <cell r="R865">
            <v>10</v>
          </cell>
          <cell r="S865">
            <v>1.8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10.080000000000002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</row>
        <row r="866">
          <cell r="B866" t="str">
            <v>Est</v>
          </cell>
          <cell r="C866">
            <v>1</v>
          </cell>
          <cell r="D866">
            <v>1</v>
          </cell>
          <cell r="E866">
            <v>0.25</v>
          </cell>
          <cell r="F866">
            <v>0.5</v>
          </cell>
          <cell r="G866">
            <v>2.65</v>
          </cell>
          <cell r="Q866" t="str">
            <v>3/8"</v>
          </cell>
          <cell r="R866">
            <v>10</v>
          </cell>
          <cell r="S866">
            <v>1.5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8.4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</row>
        <row r="867">
          <cell r="B867" t="str">
            <v>Est</v>
          </cell>
          <cell r="C867">
            <v>1</v>
          </cell>
          <cell r="D867">
            <v>1</v>
          </cell>
          <cell r="E867">
            <v>0.4</v>
          </cell>
          <cell r="F867">
            <v>0.1</v>
          </cell>
          <cell r="G867">
            <v>2.65</v>
          </cell>
          <cell r="Q867" t="str">
            <v>3/8"</v>
          </cell>
          <cell r="R867">
            <v>10</v>
          </cell>
          <cell r="S867">
            <v>0.5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2.8000000000000003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</row>
        <row r="868">
          <cell r="B868" t="str">
            <v>Nucleo A</v>
          </cell>
          <cell r="C868">
            <v>1</v>
          </cell>
          <cell r="D868">
            <v>1</v>
          </cell>
          <cell r="E868">
            <v>0.25</v>
          </cell>
          <cell r="F868">
            <v>0.2</v>
          </cell>
          <cell r="G868">
            <v>2.65</v>
          </cell>
          <cell r="P868" t="str">
            <v>V</v>
          </cell>
          <cell r="Q868" t="str">
            <v>1"</v>
          </cell>
          <cell r="R868">
            <v>2</v>
          </cell>
          <cell r="S868">
            <v>3.2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29.775000000000002</v>
          </cell>
          <cell r="AD868">
            <v>0</v>
          </cell>
        </row>
        <row r="869">
          <cell r="B869" t="str">
            <v>Nucleo A</v>
          </cell>
          <cell r="C869">
            <v>1</v>
          </cell>
          <cell r="D869">
            <v>1</v>
          </cell>
          <cell r="G869">
            <v>2.65</v>
          </cell>
          <cell r="P869" t="str">
            <v>V</v>
          </cell>
          <cell r="Q869" t="str">
            <v>3/4"</v>
          </cell>
          <cell r="R869">
            <v>2</v>
          </cell>
          <cell r="S869">
            <v>3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15.008000000000003</v>
          </cell>
          <cell r="AC869">
            <v>0</v>
          </cell>
          <cell r="AD869">
            <v>0</v>
          </cell>
        </row>
        <row r="870">
          <cell r="B870" t="str">
            <v>Est</v>
          </cell>
          <cell r="C870">
            <v>1</v>
          </cell>
          <cell r="D870">
            <v>1</v>
          </cell>
          <cell r="E870">
            <v>0.25</v>
          </cell>
          <cell r="F870">
            <v>0.2</v>
          </cell>
          <cell r="G870">
            <v>2.65</v>
          </cell>
          <cell r="Q870" t="str">
            <v>3/8"</v>
          </cell>
          <cell r="R870">
            <v>10</v>
          </cell>
          <cell r="S870">
            <v>0.9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5.0400000000000009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</row>
        <row r="871"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</row>
        <row r="872">
          <cell r="B872" t="str">
            <v>B2-PL-02A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</row>
        <row r="873">
          <cell r="B873" t="str">
            <v>Acero Vert</v>
          </cell>
          <cell r="C873">
            <v>1</v>
          </cell>
          <cell r="D873">
            <v>1</v>
          </cell>
          <cell r="E873">
            <v>6</v>
          </cell>
          <cell r="F873">
            <v>0.2</v>
          </cell>
          <cell r="G873">
            <v>2.65</v>
          </cell>
          <cell r="H873">
            <v>210</v>
          </cell>
          <cell r="I873">
            <v>3.18</v>
          </cell>
          <cell r="J873">
            <v>0</v>
          </cell>
          <cell r="K873">
            <v>0</v>
          </cell>
          <cell r="L873">
            <v>3.18</v>
          </cell>
          <cell r="M873">
            <v>12.4</v>
          </cell>
          <cell r="N873">
            <v>2.4499999999999997</v>
          </cell>
          <cell r="O873">
            <v>30.38</v>
          </cell>
          <cell r="P873" t="str">
            <v>V</v>
          </cell>
          <cell r="Q873" t="str">
            <v>3/8"</v>
          </cell>
          <cell r="R873">
            <v>38</v>
          </cell>
          <cell r="S873">
            <v>3.15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77.671999999999997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</row>
        <row r="874">
          <cell r="B874" t="str">
            <v>Acero Hor</v>
          </cell>
          <cell r="C874">
            <v>1</v>
          </cell>
          <cell r="D874">
            <v>1</v>
          </cell>
          <cell r="E874">
            <v>0.3</v>
          </cell>
          <cell r="F874">
            <v>0.4</v>
          </cell>
          <cell r="G874">
            <v>2.65</v>
          </cell>
          <cell r="H874">
            <v>210</v>
          </cell>
          <cell r="I874">
            <v>0.318</v>
          </cell>
          <cell r="J874">
            <v>0</v>
          </cell>
          <cell r="K874">
            <v>0</v>
          </cell>
          <cell r="L874">
            <v>0.318</v>
          </cell>
          <cell r="M874">
            <v>1.4</v>
          </cell>
          <cell r="N874">
            <v>2.4499999999999997</v>
          </cell>
          <cell r="O874">
            <v>3.4299999999999993</v>
          </cell>
          <cell r="P874" t="str">
            <v>H</v>
          </cell>
          <cell r="Q874" t="str">
            <v>3/8"</v>
          </cell>
          <cell r="R874">
            <v>20</v>
          </cell>
          <cell r="S874">
            <v>6.3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70.56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</row>
        <row r="875">
          <cell r="B875" t="str">
            <v>Nucleo A</v>
          </cell>
          <cell r="C875">
            <v>1</v>
          </cell>
          <cell r="D875">
            <v>1</v>
          </cell>
          <cell r="E875">
            <v>0.4</v>
          </cell>
          <cell r="F875">
            <v>0.5</v>
          </cell>
          <cell r="G875">
            <v>2.65</v>
          </cell>
          <cell r="P875" t="str">
            <v>V</v>
          </cell>
          <cell r="Q875" t="str">
            <v>3/4"</v>
          </cell>
          <cell r="R875">
            <v>8</v>
          </cell>
          <cell r="S875">
            <v>3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60.032000000000011</v>
          </cell>
          <cell r="AC875">
            <v>0</v>
          </cell>
          <cell r="AD875">
            <v>0</v>
          </cell>
        </row>
        <row r="876">
          <cell r="B876" t="str">
            <v>Nucleo A</v>
          </cell>
          <cell r="C876">
            <v>1</v>
          </cell>
          <cell r="D876">
            <v>1</v>
          </cell>
          <cell r="G876">
            <v>2.65</v>
          </cell>
          <cell r="P876" t="str">
            <v>V</v>
          </cell>
          <cell r="Q876" t="str">
            <v>1"</v>
          </cell>
          <cell r="R876">
            <v>4</v>
          </cell>
          <cell r="S876">
            <v>3.2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59.550000000000004</v>
          </cell>
          <cell r="AD876">
            <v>0</v>
          </cell>
        </row>
        <row r="877">
          <cell r="B877" t="str">
            <v>Est</v>
          </cell>
          <cell r="C877">
            <v>1</v>
          </cell>
          <cell r="D877">
            <v>1</v>
          </cell>
          <cell r="E877">
            <v>0.4</v>
          </cell>
          <cell r="F877">
            <v>0.5</v>
          </cell>
          <cell r="G877">
            <v>2.65</v>
          </cell>
          <cell r="Q877" t="str">
            <v>3/8"</v>
          </cell>
          <cell r="R877">
            <v>10</v>
          </cell>
          <cell r="S877">
            <v>1.8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10.080000000000002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</row>
        <row r="878">
          <cell r="B878" t="str">
            <v>Est</v>
          </cell>
          <cell r="C878">
            <v>1</v>
          </cell>
          <cell r="D878">
            <v>1</v>
          </cell>
          <cell r="E878">
            <v>0.25</v>
          </cell>
          <cell r="F878">
            <v>0.5</v>
          </cell>
          <cell r="G878">
            <v>2.65</v>
          </cell>
          <cell r="Q878" t="str">
            <v>3/8"</v>
          </cell>
          <cell r="R878">
            <v>10</v>
          </cell>
          <cell r="S878">
            <v>1.5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8.4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</row>
        <row r="879">
          <cell r="B879" t="str">
            <v>Est</v>
          </cell>
          <cell r="C879">
            <v>1</v>
          </cell>
          <cell r="D879">
            <v>1</v>
          </cell>
          <cell r="E879">
            <v>0.4</v>
          </cell>
          <cell r="F879">
            <v>0.1</v>
          </cell>
          <cell r="G879">
            <v>2.65</v>
          </cell>
          <cell r="Q879" t="str">
            <v>3/8"</v>
          </cell>
          <cell r="R879">
            <v>10</v>
          </cell>
          <cell r="S879">
            <v>0.5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2.8000000000000003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</row>
        <row r="880">
          <cell r="B880" t="str">
            <v>Nucleo A</v>
          </cell>
          <cell r="C880">
            <v>1</v>
          </cell>
          <cell r="D880">
            <v>1</v>
          </cell>
          <cell r="E880">
            <v>0.25</v>
          </cell>
          <cell r="F880">
            <v>0.2</v>
          </cell>
          <cell r="G880">
            <v>2.65</v>
          </cell>
          <cell r="P880" t="str">
            <v>V</v>
          </cell>
          <cell r="Q880" t="str">
            <v>1"</v>
          </cell>
          <cell r="R880">
            <v>2</v>
          </cell>
          <cell r="S880">
            <v>3.2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29.775000000000002</v>
          </cell>
          <cell r="AD880">
            <v>0</v>
          </cell>
        </row>
        <row r="881">
          <cell r="B881" t="str">
            <v>Nucleo A</v>
          </cell>
          <cell r="C881">
            <v>1</v>
          </cell>
          <cell r="D881">
            <v>1</v>
          </cell>
          <cell r="G881">
            <v>2.65</v>
          </cell>
          <cell r="P881" t="str">
            <v>V</v>
          </cell>
          <cell r="Q881" t="str">
            <v>3/4"</v>
          </cell>
          <cell r="R881">
            <v>2</v>
          </cell>
          <cell r="S881">
            <v>3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15.008000000000003</v>
          </cell>
          <cell r="AC881">
            <v>0</v>
          </cell>
          <cell r="AD881">
            <v>0</v>
          </cell>
        </row>
        <row r="882">
          <cell r="B882" t="str">
            <v>Est</v>
          </cell>
          <cell r="C882">
            <v>1</v>
          </cell>
          <cell r="D882">
            <v>1</v>
          </cell>
          <cell r="E882">
            <v>0.25</v>
          </cell>
          <cell r="F882">
            <v>0.2</v>
          </cell>
          <cell r="G882">
            <v>2.65</v>
          </cell>
          <cell r="Q882" t="str">
            <v>3/8"</v>
          </cell>
          <cell r="R882">
            <v>10</v>
          </cell>
          <cell r="S882">
            <v>0.9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5.0400000000000009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</row>
        <row r="883">
          <cell r="B883" t="str">
            <v>B2-PL-03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</row>
        <row r="884">
          <cell r="B884" t="str">
            <v>Acero Vert</v>
          </cell>
          <cell r="C884">
            <v>1</v>
          </cell>
          <cell r="D884">
            <v>1</v>
          </cell>
          <cell r="E884">
            <v>4.4000000000000004</v>
          </cell>
          <cell r="F884">
            <v>0.25</v>
          </cell>
          <cell r="G884">
            <v>2.65</v>
          </cell>
          <cell r="H884">
            <v>210</v>
          </cell>
          <cell r="I884">
            <v>2.915</v>
          </cell>
          <cell r="J884">
            <v>0</v>
          </cell>
          <cell r="K884">
            <v>0</v>
          </cell>
          <cell r="L884">
            <v>2.915</v>
          </cell>
          <cell r="M884">
            <v>9.3000000000000007</v>
          </cell>
          <cell r="N884">
            <v>2.4499999999999997</v>
          </cell>
          <cell r="O884">
            <v>22.785</v>
          </cell>
          <cell r="P884" t="str">
            <v>V</v>
          </cell>
          <cell r="Q884" t="str">
            <v>3/8"</v>
          </cell>
          <cell r="R884">
            <v>32</v>
          </cell>
          <cell r="S884">
            <v>3.15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65.408000000000001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</row>
        <row r="885">
          <cell r="B885" t="str">
            <v>Acero Hor</v>
          </cell>
          <cell r="C885">
            <v>1</v>
          </cell>
          <cell r="D885">
            <v>1</v>
          </cell>
          <cell r="G885">
            <v>2.65</v>
          </cell>
          <cell r="P885" t="str">
            <v>H</v>
          </cell>
          <cell r="Q885" t="str">
            <v>3/8"</v>
          </cell>
          <cell r="R885">
            <v>24</v>
          </cell>
          <cell r="S885">
            <v>4.7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63.168000000000013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</row>
        <row r="886">
          <cell r="B886" t="str">
            <v>Nucleo A</v>
          </cell>
          <cell r="C886">
            <v>1</v>
          </cell>
          <cell r="D886">
            <v>1</v>
          </cell>
          <cell r="E886">
            <v>0.2</v>
          </cell>
          <cell r="F886">
            <v>0.25</v>
          </cell>
          <cell r="G886">
            <v>2.65</v>
          </cell>
          <cell r="P886" t="str">
            <v>V</v>
          </cell>
          <cell r="Q886" t="str">
            <v>3/4"</v>
          </cell>
          <cell r="R886">
            <v>2</v>
          </cell>
          <cell r="S886">
            <v>3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15.008000000000003</v>
          </cell>
          <cell r="AC886">
            <v>0</v>
          </cell>
          <cell r="AD886">
            <v>0</v>
          </cell>
        </row>
        <row r="887">
          <cell r="B887" t="str">
            <v>Nucleo A</v>
          </cell>
          <cell r="C887">
            <v>1</v>
          </cell>
          <cell r="D887">
            <v>1</v>
          </cell>
          <cell r="G887">
            <v>2.65</v>
          </cell>
          <cell r="P887" t="str">
            <v>V</v>
          </cell>
          <cell r="Q887" t="str">
            <v>3/4"</v>
          </cell>
          <cell r="R887">
            <v>2</v>
          </cell>
          <cell r="S887">
            <v>3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15.008000000000003</v>
          </cell>
          <cell r="AC887">
            <v>0</v>
          </cell>
          <cell r="AD887">
            <v>0</v>
          </cell>
        </row>
        <row r="888">
          <cell r="B888" t="str">
            <v>Est</v>
          </cell>
          <cell r="C888">
            <v>1</v>
          </cell>
          <cell r="D888">
            <v>1</v>
          </cell>
          <cell r="E888">
            <v>0.2</v>
          </cell>
          <cell r="F888">
            <v>0.25</v>
          </cell>
          <cell r="G888">
            <v>2.65</v>
          </cell>
          <cell r="Q888" t="str">
            <v>3/8"</v>
          </cell>
          <cell r="R888">
            <v>11</v>
          </cell>
          <cell r="S888">
            <v>0.9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5.5440000000000005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</row>
        <row r="889">
          <cell r="B889" t="str">
            <v>Nucleo A</v>
          </cell>
          <cell r="C889">
            <v>1</v>
          </cell>
          <cell r="D889">
            <v>1</v>
          </cell>
          <cell r="E889">
            <v>0.4</v>
          </cell>
          <cell r="F889">
            <v>0.25</v>
          </cell>
          <cell r="G889">
            <v>2.65</v>
          </cell>
          <cell r="P889" t="str">
            <v>V</v>
          </cell>
          <cell r="Q889" t="str">
            <v>3/4"</v>
          </cell>
          <cell r="R889">
            <v>2</v>
          </cell>
          <cell r="S889">
            <v>3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15.008000000000003</v>
          </cell>
          <cell r="AC889">
            <v>0</v>
          </cell>
          <cell r="AD889">
            <v>0</v>
          </cell>
        </row>
        <row r="890">
          <cell r="B890" t="str">
            <v>Nucleo A</v>
          </cell>
          <cell r="C890">
            <v>1</v>
          </cell>
          <cell r="D890">
            <v>1</v>
          </cell>
          <cell r="G890">
            <v>2.65</v>
          </cell>
          <cell r="P890" t="str">
            <v>V</v>
          </cell>
          <cell r="Q890" t="str">
            <v>3/4"</v>
          </cell>
          <cell r="R890">
            <v>2</v>
          </cell>
          <cell r="S890">
            <v>3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15.008000000000003</v>
          </cell>
          <cell r="AC890">
            <v>0</v>
          </cell>
          <cell r="AD890">
            <v>0</v>
          </cell>
        </row>
        <row r="891">
          <cell r="B891" t="str">
            <v>Est</v>
          </cell>
          <cell r="C891">
            <v>1</v>
          </cell>
          <cell r="D891">
            <v>1</v>
          </cell>
          <cell r="E891">
            <v>0.4</v>
          </cell>
          <cell r="F891">
            <v>0.25</v>
          </cell>
          <cell r="G891">
            <v>2.65</v>
          </cell>
          <cell r="Q891" t="str">
            <v>3/8"</v>
          </cell>
          <cell r="R891">
            <v>11</v>
          </cell>
          <cell r="S891">
            <v>1.3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8.0080000000000009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</row>
        <row r="892">
          <cell r="B892" t="str">
            <v>Acero Vert</v>
          </cell>
          <cell r="C892">
            <v>1</v>
          </cell>
          <cell r="D892">
            <v>1</v>
          </cell>
          <cell r="E892">
            <v>2.0699999999999998</v>
          </cell>
          <cell r="F892">
            <v>0.2</v>
          </cell>
          <cell r="G892">
            <v>2.65</v>
          </cell>
          <cell r="H892">
            <v>210</v>
          </cell>
          <cell r="I892">
            <v>1.0971</v>
          </cell>
          <cell r="J892">
            <v>0</v>
          </cell>
          <cell r="K892">
            <v>0</v>
          </cell>
          <cell r="L892">
            <v>1.0971</v>
          </cell>
          <cell r="M892">
            <v>4.54</v>
          </cell>
          <cell r="N892">
            <v>2.4499999999999997</v>
          </cell>
          <cell r="O892">
            <v>11.122999999999999</v>
          </cell>
          <cell r="P892" t="str">
            <v>V</v>
          </cell>
          <cell r="Q892" t="str">
            <v>3/8"</v>
          </cell>
          <cell r="R892">
            <v>14</v>
          </cell>
          <cell r="S892">
            <v>3.15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28.616000000000003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</row>
        <row r="893">
          <cell r="B893" t="str">
            <v>Acero Hor</v>
          </cell>
          <cell r="C893">
            <v>1</v>
          </cell>
          <cell r="D893">
            <v>1</v>
          </cell>
          <cell r="G893">
            <v>2.65</v>
          </cell>
          <cell r="P893" t="str">
            <v>H</v>
          </cell>
          <cell r="Q893" t="str">
            <v>3/8"</v>
          </cell>
          <cell r="R893">
            <v>20</v>
          </cell>
          <cell r="S893">
            <v>2.6199999999999997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29.343999999999998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</row>
        <row r="894">
          <cell r="B894" t="str">
            <v>Nucleo A</v>
          </cell>
          <cell r="C894">
            <v>1</v>
          </cell>
          <cell r="D894">
            <v>1</v>
          </cell>
          <cell r="E894">
            <v>0.25</v>
          </cell>
          <cell r="F894">
            <v>0.2</v>
          </cell>
          <cell r="G894">
            <v>2.65</v>
          </cell>
          <cell r="P894" t="str">
            <v>V</v>
          </cell>
          <cell r="Q894" t="str">
            <v>1"</v>
          </cell>
          <cell r="R894">
            <v>4</v>
          </cell>
          <cell r="S894">
            <v>3.2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59.550000000000004</v>
          </cell>
          <cell r="AD894">
            <v>0</v>
          </cell>
        </row>
        <row r="895">
          <cell r="B895" t="str">
            <v>Est</v>
          </cell>
          <cell r="C895">
            <v>1</v>
          </cell>
          <cell r="D895">
            <v>1</v>
          </cell>
          <cell r="E895">
            <v>0.25</v>
          </cell>
          <cell r="F895">
            <v>0.2</v>
          </cell>
          <cell r="G895">
            <v>2.65</v>
          </cell>
          <cell r="Q895" t="str">
            <v>3/8"</v>
          </cell>
          <cell r="R895">
            <v>10</v>
          </cell>
          <cell r="S895">
            <v>0.9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5.0400000000000009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</row>
        <row r="896">
          <cell r="B896" t="str">
            <v>Acero Vert</v>
          </cell>
          <cell r="C896">
            <v>1</v>
          </cell>
          <cell r="D896">
            <v>1</v>
          </cell>
          <cell r="E896">
            <v>2.0699999999999998</v>
          </cell>
          <cell r="F896">
            <v>0.4</v>
          </cell>
          <cell r="G896">
            <v>2.65</v>
          </cell>
          <cell r="H896">
            <v>210</v>
          </cell>
          <cell r="I896">
            <v>2.1941999999999999</v>
          </cell>
          <cell r="J896">
            <v>0</v>
          </cell>
          <cell r="K896">
            <v>0</v>
          </cell>
          <cell r="L896">
            <v>2.1941999999999999</v>
          </cell>
          <cell r="M896">
            <v>4.9399999999999995</v>
          </cell>
          <cell r="N896">
            <v>2.4499999999999997</v>
          </cell>
          <cell r="O896">
            <v>12.102999999999998</v>
          </cell>
          <cell r="P896" t="str">
            <v>V</v>
          </cell>
          <cell r="Q896" t="str">
            <v>3/8"</v>
          </cell>
          <cell r="R896">
            <v>14</v>
          </cell>
          <cell r="S896">
            <v>3.15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28.616000000000003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</row>
        <row r="897">
          <cell r="B897" t="str">
            <v>Acero Hor</v>
          </cell>
          <cell r="C897">
            <v>1</v>
          </cell>
          <cell r="D897">
            <v>1</v>
          </cell>
          <cell r="G897">
            <v>2.65</v>
          </cell>
          <cell r="P897" t="str">
            <v>H</v>
          </cell>
          <cell r="Q897" t="str">
            <v>3/8"</v>
          </cell>
          <cell r="R897">
            <v>20</v>
          </cell>
          <cell r="S897">
            <v>2.6199999999999997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29.343999999999998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</row>
        <row r="898">
          <cell r="B898" t="str">
            <v>Nucleo A</v>
          </cell>
          <cell r="C898">
            <v>1</v>
          </cell>
          <cell r="D898">
            <v>1</v>
          </cell>
          <cell r="E898">
            <v>0.25</v>
          </cell>
          <cell r="F898">
            <v>0.4</v>
          </cell>
          <cell r="G898">
            <v>2.65</v>
          </cell>
          <cell r="P898" t="str">
            <v>V</v>
          </cell>
          <cell r="Q898" t="str">
            <v>1"</v>
          </cell>
          <cell r="R898">
            <v>8</v>
          </cell>
          <cell r="S898">
            <v>3.2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119.10000000000001</v>
          </cell>
          <cell r="AD898">
            <v>0</v>
          </cell>
        </row>
        <row r="899">
          <cell r="B899" t="str">
            <v>Est</v>
          </cell>
          <cell r="C899">
            <v>1</v>
          </cell>
          <cell r="D899">
            <v>1</v>
          </cell>
          <cell r="E899">
            <v>0.25</v>
          </cell>
          <cell r="F899">
            <v>0.4</v>
          </cell>
          <cell r="G899">
            <v>2.65</v>
          </cell>
          <cell r="Q899" t="str">
            <v>3/8"</v>
          </cell>
          <cell r="R899">
            <v>11</v>
          </cell>
          <cell r="S899">
            <v>1.3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8.0080000000000009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</row>
        <row r="900">
          <cell r="B900" t="str">
            <v>Est</v>
          </cell>
          <cell r="C900">
            <v>1</v>
          </cell>
          <cell r="D900">
            <v>1</v>
          </cell>
          <cell r="E900">
            <v>0.25</v>
          </cell>
          <cell r="F900">
            <v>0.25</v>
          </cell>
          <cell r="G900">
            <v>2.65</v>
          </cell>
          <cell r="Q900" t="str">
            <v>3/8"</v>
          </cell>
          <cell r="R900">
            <v>11</v>
          </cell>
          <cell r="S900">
            <v>1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6.16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</row>
        <row r="901"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</row>
        <row r="902"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</row>
        <row r="903">
          <cell r="B903" t="str">
            <v>9 PISO</v>
          </cell>
          <cell r="H903">
            <v>210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</row>
        <row r="904"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</row>
        <row r="905">
          <cell r="B905" t="str">
            <v>B2-PL-01</v>
          </cell>
          <cell r="C905">
            <v>2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</row>
        <row r="906">
          <cell r="B906" t="str">
            <v>Acero Vert</v>
          </cell>
          <cell r="C906">
            <v>2</v>
          </cell>
          <cell r="D906">
            <v>1</v>
          </cell>
          <cell r="E906">
            <v>6.05</v>
          </cell>
          <cell r="F906">
            <v>0.2</v>
          </cell>
          <cell r="G906">
            <v>2.65</v>
          </cell>
          <cell r="H906">
            <v>210</v>
          </cell>
          <cell r="I906">
            <v>6.4129999999999994</v>
          </cell>
          <cell r="J906">
            <v>0</v>
          </cell>
          <cell r="K906">
            <v>0</v>
          </cell>
          <cell r="L906">
            <v>6.4129999999999994</v>
          </cell>
          <cell r="M906">
            <v>12.5</v>
          </cell>
          <cell r="N906">
            <v>2.4499999999999997</v>
          </cell>
          <cell r="O906">
            <v>61.249999999999993</v>
          </cell>
          <cell r="P906" t="str">
            <v>V</v>
          </cell>
          <cell r="Q906" t="str">
            <v>3/8"</v>
          </cell>
          <cell r="R906">
            <v>40</v>
          </cell>
          <cell r="S906">
            <v>3.15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163.52000000000001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</row>
        <row r="907">
          <cell r="B907" t="str">
            <v>Acero Hor</v>
          </cell>
          <cell r="C907">
            <v>2</v>
          </cell>
          <cell r="D907">
            <v>1</v>
          </cell>
          <cell r="G907">
            <v>2.65</v>
          </cell>
          <cell r="P907" t="str">
            <v>H</v>
          </cell>
          <cell r="Q907" t="str">
            <v>3/8"</v>
          </cell>
          <cell r="R907">
            <v>20</v>
          </cell>
          <cell r="S907">
            <v>6.55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146.72000000000003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</row>
        <row r="908">
          <cell r="B908" t="str">
            <v>Nucleo A</v>
          </cell>
          <cell r="C908">
            <v>2</v>
          </cell>
          <cell r="D908">
            <v>1</v>
          </cell>
          <cell r="E908">
            <v>0.25</v>
          </cell>
          <cell r="F908">
            <v>0.2</v>
          </cell>
          <cell r="G908">
            <v>2.65</v>
          </cell>
          <cell r="P908" t="str">
            <v>V</v>
          </cell>
          <cell r="Q908" t="str">
            <v>1"</v>
          </cell>
          <cell r="R908">
            <v>2</v>
          </cell>
          <cell r="S908">
            <v>3.2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59.550000000000004</v>
          </cell>
          <cell r="AD908">
            <v>0</v>
          </cell>
        </row>
        <row r="909">
          <cell r="B909" t="str">
            <v>Nucleo A</v>
          </cell>
          <cell r="C909">
            <v>2</v>
          </cell>
          <cell r="D909">
            <v>1</v>
          </cell>
          <cell r="G909">
            <v>2.65</v>
          </cell>
          <cell r="P909" t="str">
            <v>V</v>
          </cell>
          <cell r="Q909" t="str">
            <v>3/4"</v>
          </cell>
          <cell r="R909">
            <v>2</v>
          </cell>
          <cell r="S909">
            <v>3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30.016000000000005</v>
          </cell>
          <cell r="AC909">
            <v>0</v>
          </cell>
          <cell r="AD909">
            <v>0</v>
          </cell>
        </row>
        <row r="910">
          <cell r="B910" t="str">
            <v>Est</v>
          </cell>
          <cell r="C910">
            <v>2</v>
          </cell>
          <cell r="D910">
            <v>1</v>
          </cell>
          <cell r="E910">
            <v>0.25</v>
          </cell>
          <cell r="F910">
            <v>0.2</v>
          </cell>
          <cell r="G910">
            <v>2.65</v>
          </cell>
          <cell r="Q910" t="str">
            <v>3/8"</v>
          </cell>
          <cell r="R910">
            <v>10</v>
          </cell>
          <cell r="S910">
            <v>0.9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10.080000000000002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</row>
        <row r="911">
          <cell r="B911" t="str">
            <v>Nucleo A</v>
          </cell>
          <cell r="C911">
            <v>2</v>
          </cell>
          <cell r="D911">
            <v>1</v>
          </cell>
          <cell r="E911">
            <v>0.25</v>
          </cell>
          <cell r="F911">
            <v>0.2</v>
          </cell>
          <cell r="G911">
            <v>2.65</v>
          </cell>
          <cell r="P911" t="str">
            <v>V</v>
          </cell>
          <cell r="Q911" t="str">
            <v>1"</v>
          </cell>
          <cell r="R911">
            <v>2</v>
          </cell>
          <cell r="S911">
            <v>3.2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59.550000000000004</v>
          </cell>
          <cell r="AD911">
            <v>0</v>
          </cell>
        </row>
        <row r="912">
          <cell r="B912" t="str">
            <v>Nucleo A</v>
          </cell>
          <cell r="C912">
            <v>2</v>
          </cell>
          <cell r="D912">
            <v>1</v>
          </cell>
          <cell r="G912">
            <v>2.65</v>
          </cell>
          <cell r="P912" t="str">
            <v>V</v>
          </cell>
          <cell r="Q912" t="str">
            <v>3/4"</v>
          </cell>
          <cell r="R912">
            <v>2</v>
          </cell>
          <cell r="S912">
            <v>3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30.016000000000005</v>
          </cell>
          <cell r="AC912">
            <v>0</v>
          </cell>
          <cell r="AD912">
            <v>0</v>
          </cell>
        </row>
        <row r="913">
          <cell r="B913" t="str">
            <v>Est</v>
          </cell>
          <cell r="C913">
            <v>2</v>
          </cell>
          <cell r="D913">
            <v>1</v>
          </cell>
          <cell r="E913">
            <v>0.25</v>
          </cell>
          <cell r="F913">
            <v>0.2</v>
          </cell>
          <cell r="G913">
            <v>2.65</v>
          </cell>
          <cell r="Q913" t="str">
            <v>3/8"</v>
          </cell>
          <cell r="R913">
            <v>10</v>
          </cell>
          <cell r="S913">
            <v>0.9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10.080000000000002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</row>
        <row r="914"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</row>
        <row r="915">
          <cell r="B915" t="str">
            <v>B2-PL-02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</row>
        <row r="916">
          <cell r="B916" t="str">
            <v>Acero Vert</v>
          </cell>
          <cell r="C916">
            <v>1</v>
          </cell>
          <cell r="D916">
            <v>1</v>
          </cell>
          <cell r="E916">
            <v>6</v>
          </cell>
          <cell r="F916">
            <v>0.2</v>
          </cell>
          <cell r="G916">
            <v>2.65</v>
          </cell>
          <cell r="H916">
            <v>210</v>
          </cell>
          <cell r="I916">
            <v>3.18</v>
          </cell>
          <cell r="J916">
            <v>0</v>
          </cell>
          <cell r="K916">
            <v>0</v>
          </cell>
          <cell r="L916">
            <v>3.18</v>
          </cell>
          <cell r="M916">
            <v>12.4</v>
          </cell>
          <cell r="N916">
            <v>2.4499999999999997</v>
          </cell>
          <cell r="O916">
            <v>30.38</v>
          </cell>
          <cell r="P916" t="str">
            <v>V</v>
          </cell>
          <cell r="Q916" t="str">
            <v>3/8"</v>
          </cell>
          <cell r="R916">
            <v>38</v>
          </cell>
          <cell r="S916">
            <v>3.15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77.671999999999997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</row>
        <row r="917">
          <cell r="B917" t="str">
            <v>Acero Hor</v>
          </cell>
          <cell r="C917">
            <v>1</v>
          </cell>
          <cell r="D917">
            <v>1</v>
          </cell>
          <cell r="E917">
            <v>0.3</v>
          </cell>
          <cell r="F917">
            <v>0.4</v>
          </cell>
          <cell r="G917">
            <v>2.65</v>
          </cell>
          <cell r="H917">
            <v>210</v>
          </cell>
          <cell r="I917">
            <v>0.318</v>
          </cell>
          <cell r="J917">
            <v>0</v>
          </cell>
          <cell r="K917">
            <v>0</v>
          </cell>
          <cell r="L917">
            <v>0.318</v>
          </cell>
          <cell r="M917">
            <v>1.4</v>
          </cell>
          <cell r="N917">
            <v>2.4499999999999997</v>
          </cell>
          <cell r="O917">
            <v>3.4299999999999993</v>
          </cell>
          <cell r="P917" t="str">
            <v>H</v>
          </cell>
          <cell r="Q917" t="str">
            <v>3/8"</v>
          </cell>
          <cell r="R917">
            <v>20</v>
          </cell>
          <cell r="S917">
            <v>6.3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70.56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</row>
        <row r="918">
          <cell r="B918" t="str">
            <v>Nucleo A</v>
          </cell>
          <cell r="C918">
            <v>1</v>
          </cell>
          <cell r="D918">
            <v>1</v>
          </cell>
          <cell r="E918">
            <v>0.4</v>
          </cell>
          <cell r="F918">
            <v>0.5</v>
          </cell>
          <cell r="G918">
            <v>2.65</v>
          </cell>
          <cell r="P918" t="str">
            <v>V</v>
          </cell>
          <cell r="Q918" t="str">
            <v>3/4"</v>
          </cell>
          <cell r="R918">
            <v>8</v>
          </cell>
          <cell r="S918">
            <v>3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60.032000000000011</v>
          </cell>
          <cell r="AC918">
            <v>0</v>
          </cell>
          <cell r="AD918">
            <v>0</v>
          </cell>
        </row>
        <row r="919">
          <cell r="B919" t="str">
            <v>Nucleo A</v>
          </cell>
          <cell r="C919">
            <v>1</v>
          </cell>
          <cell r="D919">
            <v>1</v>
          </cell>
          <cell r="G919">
            <v>2.65</v>
          </cell>
          <cell r="P919" t="str">
            <v>V</v>
          </cell>
          <cell r="Q919" t="str">
            <v>1"</v>
          </cell>
          <cell r="R919">
            <v>4</v>
          </cell>
          <cell r="S919">
            <v>3.2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59.550000000000004</v>
          </cell>
          <cell r="AD919">
            <v>0</v>
          </cell>
        </row>
        <row r="920">
          <cell r="B920" t="str">
            <v>Est</v>
          </cell>
          <cell r="C920">
            <v>1</v>
          </cell>
          <cell r="D920">
            <v>1</v>
          </cell>
          <cell r="E920">
            <v>0.4</v>
          </cell>
          <cell r="F920">
            <v>0.5</v>
          </cell>
          <cell r="G920">
            <v>2.65</v>
          </cell>
          <cell r="Q920" t="str">
            <v>3/8"</v>
          </cell>
          <cell r="R920">
            <v>10</v>
          </cell>
          <cell r="S920">
            <v>1.8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10.080000000000002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</row>
        <row r="921">
          <cell r="B921" t="str">
            <v>Est</v>
          </cell>
          <cell r="C921">
            <v>1</v>
          </cell>
          <cell r="D921">
            <v>1</v>
          </cell>
          <cell r="E921">
            <v>0.25</v>
          </cell>
          <cell r="F921">
            <v>0.5</v>
          </cell>
          <cell r="G921">
            <v>2.65</v>
          </cell>
          <cell r="Q921" t="str">
            <v>3/8"</v>
          </cell>
          <cell r="R921">
            <v>10</v>
          </cell>
          <cell r="S921">
            <v>1.5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8.4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</row>
        <row r="922">
          <cell r="B922" t="str">
            <v>Est</v>
          </cell>
          <cell r="C922">
            <v>1</v>
          </cell>
          <cell r="D922">
            <v>1</v>
          </cell>
          <cell r="E922">
            <v>0.4</v>
          </cell>
          <cell r="F922">
            <v>0.1</v>
          </cell>
          <cell r="G922">
            <v>2.65</v>
          </cell>
          <cell r="Q922" t="str">
            <v>3/8"</v>
          </cell>
          <cell r="R922">
            <v>10</v>
          </cell>
          <cell r="S922">
            <v>0.5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2.8000000000000003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</row>
        <row r="923">
          <cell r="B923" t="str">
            <v>Nucleo A</v>
          </cell>
          <cell r="C923">
            <v>1</v>
          </cell>
          <cell r="D923">
            <v>1</v>
          </cell>
          <cell r="E923">
            <v>0.25</v>
          </cell>
          <cell r="F923">
            <v>0.2</v>
          </cell>
          <cell r="G923">
            <v>2.65</v>
          </cell>
          <cell r="P923" t="str">
            <v>V</v>
          </cell>
          <cell r="Q923" t="str">
            <v>1"</v>
          </cell>
          <cell r="R923">
            <v>2</v>
          </cell>
          <cell r="S923">
            <v>3.2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29.775000000000002</v>
          </cell>
          <cell r="AD923">
            <v>0</v>
          </cell>
        </row>
        <row r="924">
          <cell r="B924" t="str">
            <v>Nucleo A</v>
          </cell>
          <cell r="C924">
            <v>1</v>
          </cell>
          <cell r="D924">
            <v>1</v>
          </cell>
          <cell r="G924">
            <v>2.65</v>
          </cell>
          <cell r="P924" t="str">
            <v>V</v>
          </cell>
          <cell r="Q924" t="str">
            <v>3/4"</v>
          </cell>
          <cell r="R924">
            <v>2</v>
          </cell>
          <cell r="S924">
            <v>3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15.008000000000003</v>
          </cell>
          <cell r="AC924">
            <v>0</v>
          </cell>
          <cell r="AD924">
            <v>0</v>
          </cell>
        </row>
        <row r="925">
          <cell r="B925" t="str">
            <v>Est</v>
          </cell>
          <cell r="C925">
            <v>1</v>
          </cell>
          <cell r="D925">
            <v>1</v>
          </cell>
          <cell r="E925">
            <v>0.25</v>
          </cell>
          <cell r="F925">
            <v>0.2</v>
          </cell>
          <cell r="G925">
            <v>2.65</v>
          </cell>
          <cell r="Q925" t="str">
            <v>3/8"</v>
          </cell>
          <cell r="R925">
            <v>10</v>
          </cell>
          <cell r="S925">
            <v>0.9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5.0400000000000009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</row>
        <row r="926"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</row>
        <row r="927">
          <cell r="B927" t="str">
            <v>B2-PL-02A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</row>
        <row r="928">
          <cell r="B928" t="str">
            <v>Acero Vert</v>
          </cell>
          <cell r="C928">
            <v>1</v>
          </cell>
          <cell r="D928">
            <v>1</v>
          </cell>
          <cell r="E928">
            <v>6</v>
          </cell>
          <cell r="F928">
            <v>0.2</v>
          </cell>
          <cell r="G928">
            <v>2.65</v>
          </cell>
          <cell r="H928">
            <v>210</v>
          </cell>
          <cell r="I928">
            <v>3.18</v>
          </cell>
          <cell r="J928">
            <v>0</v>
          </cell>
          <cell r="K928">
            <v>0</v>
          </cell>
          <cell r="L928">
            <v>3.18</v>
          </cell>
          <cell r="M928">
            <v>12.4</v>
          </cell>
          <cell r="N928">
            <v>2.4499999999999997</v>
          </cell>
          <cell r="O928">
            <v>30.38</v>
          </cell>
          <cell r="P928" t="str">
            <v>V</v>
          </cell>
          <cell r="Q928" t="str">
            <v>3/8"</v>
          </cell>
          <cell r="R928">
            <v>38</v>
          </cell>
          <cell r="S928">
            <v>3.15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77.671999999999997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</row>
        <row r="929">
          <cell r="B929" t="str">
            <v>Acero Hor</v>
          </cell>
          <cell r="C929">
            <v>1</v>
          </cell>
          <cell r="D929">
            <v>1</v>
          </cell>
          <cell r="E929">
            <v>0.3</v>
          </cell>
          <cell r="F929">
            <v>0.4</v>
          </cell>
          <cell r="G929">
            <v>2.65</v>
          </cell>
          <cell r="H929">
            <v>210</v>
          </cell>
          <cell r="I929">
            <v>0.318</v>
          </cell>
          <cell r="J929">
            <v>0</v>
          </cell>
          <cell r="K929">
            <v>0</v>
          </cell>
          <cell r="L929">
            <v>0.318</v>
          </cell>
          <cell r="M929">
            <v>1.4</v>
          </cell>
          <cell r="N929">
            <v>2.4499999999999997</v>
          </cell>
          <cell r="O929">
            <v>3.4299999999999993</v>
          </cell>
          <cell r="P929" t="str">
            <v>H</v>
          </cell>
          <cell r="Q929" t="str">
            <v>3/8"</v>
          </cell>
          <cell r="R929">
            <v>20</v>
          </cell>
          <cell r="S929">
            <v>6.3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70.56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</row>
        <row r="930">
          <cell r="B930" t="str">
            <v>Nucleo A</v>
          </cell>
          <cell r="C930">
            <v>1</v>
          </cell>
          <cell r="D930">
            <v>1</v>
          </cell>
          <cell r="E930">
            <v>0.4</v>
          </cell>
          <cell r="F930">
            <v>0.5</v>
          </cell>
          <cell r="G930">
            <v>2.65</v>
          </cell>
          <cell r="P930" t="str">
            <v>V</v>
          </cell>
          <cell r="Q930" t="str">
            <v>3/4"</v>
          </cell>
          <cell r="R930">
            <v>8</v>
          </cell>
          <cell r="S930">
            <v>3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60.032000000000011</v>
          </cell>
          <cell r="AC930">
            <v>0</v>
          </cell>
          <cell r="AD930">
            <v>0</v>
          </cell>
        </row>
        <row r="931">
          <cell r="B931" t="str">
            <v>Nucleo A</v>
          </cell>
          <cell r="C931">
            <v>1</v>
          </cell>
          <cell r="D931">
            <v>1</v>
          </cell>
          <cell r="G931">
            <v>2.65</v>
          </cell>
          <cell r="P931" t="str">
            <v>V</v>
          </cell>
          <cell r="Q931" t="str">
            <v>1"</v>
          </cell>
          <cell r="R931">
            <v>4</v>
          </cell>
          <cell r="S931">
            <v>3.2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59.550000000000004</v>
          </cell>
          <cell r="AD931">
            <v>0</v>
          </cell>
        </row>
        <row r="932">
          <cell r="B932" t="str">
            <v>Est</v>
          </cell>
          <cell r="C932">
            <v>1</v>
          </cell>
          <cell r="D932">
            <v>1</v>
          </cell>
          <cell r="E932">
            <v>0.4</v>
          </cell>
          <cell r="F932">
            <v>0.5</v>
          </cell>
          <cell r="G932">
            <v>2.65</v>
          </cell>
          <cell r="Q932" t="str">
            <v>3/8"</v>
          </cell>
          <cell r="R932">
            <v>10</v>
          </cell>
          <cell r="S932">
            <v>1.8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10.080000000000002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</row>
        <row r="933">
          <cell r="B933" t="str">
            <v>Est</v>
          </cell>
          <cell r="C933">
            <v>1</v>
          </cell>
          <cell r="D933">
            <v>1</v>
          </cell>
          <cell r="E933">
            <v>0.25</v>
          </cell>
          <cell r="F933">
            <v>0.5</v>
          </cell>
          <cell r="G933">
            <v>2.65</v>
          </cell>
          <cell r="Q933" t="str">
            <v>3/8"</v>
          </cell>
          <cell r="R933">
            <v>10</v>
          </cell>
          <cell r="S933">
            <v>1.5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8.4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</row>
        <row r="934">
          <cell r="B934" t="str">
            <v>Est</v>
          </cell>
          <cell r="C934">
            <v>1</v>
          </cell>
          <cell r="D934">
            <v>1</v>
          </cell>
          <cell r="E934">
            <v>0.4</v>
          </cell>
          <cell r="F934">
            <v>0.1</v>
          </cell>
          <cell r="G934">
            <v>2.65</v>
          </cell>
          <cell r="Q934" t="str">
            <v>3/8"</v>
          </cell>
          <cell r="R934">
            <v>10</v>
          </cell>
          <cell r="S934">
            <v>0.5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2.8000000000000003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</row>
        <row r="935">
          <cell r="B935" t="str">
            <v>Nucleo A</v>
          </cell>
          <cell r="C935">
            <v>1</v>
          </cell>
          <cell r="D935">
            <v>1</v>
          </cell>
          <cell r="E935">
            <v>0.25</v>
          </cell>
          <cell r="F935">
            <v>0.2</v>
          </cell>
          <cell r="G935">
            <v>2.65</v>
          </cell>
          <cell r="P935" t="str">
            <v>V</v>
          </cell>
          <cell r="Q935" t="str">
            <v>1"</v>
          </cell>
          <cell r="R935">
            <v>2</v>
          </cell>
          <cell r="S935">
            <v>3.2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29.775000000000002</v>
          </cell>
          <cell r="AD935">
            <v>0</v>
          </cell>
        </row>
        <row r="936">
          <cell r="B936" t="str">
            <v>Nucleo A</v>
          </cell>
          <cell r="C936">
            <v>1</v>
          </cell>
          <cell r="D936">
            <v>1</v>
          </cell>
          <cell r="G936">
            <v>2.65</v>
          </cell>
          <cell r="P936" t="str">
            <v>V</v>
          </cell>
          <cell r="Q936" t="str">
            <v>3/4"</v>
          </cell>
          <cell r="R936">
            <v>2</v>
          </cell>
          <cell r="S936">
            <v>3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15.008000000000003</v>
          </cell>
          <cell r="AC936">
            <v>0</v>
          </cell>
          <cell r="AD936">
            <v>0</v>
          </cell>
        </row>
        <row r="937">
          <cell r="B937" t="str">
            <v>Est</v>
          </cell>
          <cell r="C937">
            <v>1</v>
          </cell>
          <cell r="D937">
            <v>1</v>
          </cell>
          <cell r="E937">
            <v>0.25</v>
          </cell>
          <cell r="F937">
            <v>0.2</v>
          </cell>
          <cell r="G937">
            <v>2.65</v>
          </cell>
          <cell r="Q937" t="str">
            <v>3/8"</v>
          </cell>
          <cell r="R937">
            <v>10</v>
          </cell>
          <cell r="S937">
            <v>0.9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5.0400000000000009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</row>
        <row r="938">
          <cell r="B938" t="str">
            <v>B2-PL-03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</row>
        <row r="939">
          <cell r="B939" t="str">
            <v>Acero Vert</v>
          </cell>
          <cell r="C939">
            <v>1</v>
          </cell>
          <cell r="D939">
            <v>1</v>
          </cell>
          <cell r="E939">
            <v>4.4000000000000004</v>
          </cell>
          <cell r="F939">
            <v>0.25</v>
          </cell>
          <cell r="G939">
            <v>2.65</v>
          </cell>
          <cell r="H939">
            <v>210</v>
          </cell>
          <cell r="I939">
            <v>2.915</v>
          </cell>
          <cell r="J939">
            <v>0</v>
          </cell>
          <cell r="K939">
            <v>0</v>
          </cell>
          <cell r="L939">
            <v>2.915</v>
          </cell>
          <cell r="M939">
            <v>9.3000000000000007</v>
          </cell>
          <cell r="N939">
            <v>2.4499999999999997</v>
          </cell>
          <cell r="O939">
            <v>22.785</v>
          </cell>
          <cell r="P939" t="str">
            <v>V</v>
          </cell>
          <cell r="Q939" t="str">
            <v>3/8"</v>
          </cell>
          <cell r="R939">
            <v>32</v>
          </cell>
          <cell r="S939">
            <v>3.15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65.408000000000001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</row>
        <row r="940">
          <cell r="B940" t="str">
            <v>Acero Hor</v>
          </cell>
          <cell r="C940">
            <v>1</v>
          </cell>
          <cell r="D940">
            <v>1</v>
          </cell>
          <cell r="G940">
            <v>2.65</v>
          </cell>
          <cell r="P940" t="str">
            <v>H</v>
          </cell>
          <cell r="Q940" t="str">
            <v>3/8"</v>
          </cell>
          <cell r="R940">
            <v>24</v>
          </cell>
          <cell r="S940">
            <v>4.7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63.168000000000013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</row>
        <row r="941">
          <cell r="B941" t="str">
            <v>Nucleo A</v>
          </cell>
          <cell r="C941">
            <v>1</v>
          </cell>
          <cell r="D941">
            <v>1</v>
          </cell>
          <cell r="E941">
            <v>0.2</v>
          </cell>
          <cell r="F941">
            <v>0.25</v>
          </cell>
          <cell r="G941">
            <v>2.65</v>
          </cell>
          <cell r="P941" t="str">
            <v>V</v>
          </cell>
          <cell r="Q941" t="str">
            <v>3/4"</v>
          </cell>
          <cell r="R941">
            <v>2</v>
          </cell>
          <cell r="S941">
            <v>3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15.008000000000003</v>
          </cell>
          <cell r="AC941">
            <v>0</v>
          </cell>
          <cell r="AD941">
            <v>0</v>
          </cell>
        </row>
        <row r="942">
          <cell r="B942" t="str">
            <v>Nucleo A</v>
          </cell>
          <cell r="C942">
            <v>1</v>
          </cell>
          <cell r="D942">
            <v>1</v>
          </cell>
          <cell r="G942">
            <v>2.65</v>
          </cell>
          <cell r="P942" t="str">
            <v>V</v>
          </cell>
          <cell r="Q942" t="str">
            <v>3/4"</v>
          </cell>
          <cell r="R942">
            <v>2</v>
          </cell>
          <cell r="S942">
            <v>3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15.008000000000003</v>
          </cell>
          <cell r="AC942">
            <v>0</v>
          </cell>
          <cell r="AD942">
            <v>0</v>
          </cell>
        </row>
        <row r="943">
          <cell r="B943" t="str">
            <v>Est</v>
          </cell>
          <cell r="C943">
            <v>1</v>
          </cell>
          <cell r="D943">
            <v>1</v>
          </cell>
          <cell r="E943">
            <v>0.2</v>
          </cell>
          <cell r="F943">
            <v>0.25</v>
          </cell>
          <cell r="G943">
            <v>2.65</v>
          </cell>
          <cell r="Q943" t="str">
            <v>3/8"</v>
          </cell>
          <cell r="R943">
            <v>11</v>
          </cell>
          <cell r="S943">
            <v>0.9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5.5440000000000005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</row>
        <row r="944">
          <cell r="B944" t="str">
            <v>Nucleo A</v>
          </cell>
          <cell r="C944">
            <v>1</v>
          </cell>
          <cell r="D944">
            <v>1</v>
          </cell>
          <cell r="E944">
            <v>0.4</v>
          </cell>
          <cell r="F944">
            <v>0.25</v>
          </cell>
          <cell r="G944">
            <v>2.65</v>
          </cell>
          <cell r="P944" t="str">
            <v>V</v>
          </cell>
          <cell r="Q944" t="str">
            <v>3/4"</v>
          </cell>
          <cell r="R944">
            <v>2</v>
          </cell>
          <cell r="S944">
            <v>3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15.008000000000003</v>
          </cell>
          <cell r="AC944">
            <v>0</v>
          </cell>
          <cell r="AD944">
            <v>0</v>
          </cell>
        </row>
        <row r="945">
          <cell r="B945" t="str">
            <v>Nucleo A</v>
          </cell>
          <cell r="C945">
            <v>1</v>
          </cell>
          <cell r="D945">
            <v>1</v>
          </cell>
          <cell r="G945">
            <v>2.65</v>
          </cell>
          <cell r="P945" t="str">
            <v>V</v>
          </cell>
          <cell r="Q945" t="str">
            <v>3/4"</v>
          </cell>
          <cell r="R945">
            <v>2</v>
          </cell>
          <cell r="S945">
            <v>3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15.008000000000003</v>
          </cell>
          <cell r="AC945">
            <v>0</v>
          </cell>
          <cell r="AD945">
            <v>0</v>
          </cell>
        </row>
        <row r="946">
          <cell r="B946" t="str">
            <v>Est</v>
          </cell>
          <cell r="C946">
            <v>1</v>
          </cell>
          <cell r="D946">
            <v>1</v>
          </cell>
          <cell r="E946">
            <v>0.4</v>
          </cell>
          <cell r="F946">
            <v>0.25</v>
          </cell>
          <cell r="G946">
            <v>2.65</v>
          </cell>
          <cell r="Q946" t="str">
            <v>3/8"</v>
          </cell>
          <cell r="R946">
            <v>11</v>
          </cell>
          <cell r="S946">
            <v>1.3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8.0080000000000009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</row>
        <row r="947">
          <cell r="B947" t="str">
            <v>Acero Vert</v>
          </cell>
          <cell r="C947">
            <v>1</v>
          </cell>
          <cell r="D947">
            <v>1</v>
          </cell>
          <cell r="E947">
            <v>2.0699999999999998</v>
          </cell>
          <cell r="F947">
            <v>0.2</v>
          </cell>
          <cell r="G947">
            <v>2.65</v>
          </cell>
          <cell r="H947">
            <v>210</v>
          </cell>
          <cell r="I947">
            <v>1.0971</v>
          </cell>
          <cell r="J947">
            <v>0</v>
          </cell>
          <cell r="K947">
            <v>0</v>
          </cell>
          <cell r="L947">
            <v>1.0971</v>
          </cell>
          <cell r="M947">
            <v>4.54</v>
          </cell>
          <cell r="N947">
            <v>2.4499999999999997</v>
          </cell>
          <cell r="O947">
            <v>11.122999999999999</v>
          </cell>
          <cell r="P947" t="str">
            <v>V</v>
          </cell>
          <cell r="Q947" t="str">
            <v>3/8"</v>
          </cell>
          <cell r="R947">
            <v>14</v>
          </cell>
          <cell r="S947">
            <v>3.15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28.616000000000003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</row>
        <row r="948">
          <cell r="B948" t="str">
            <v>Acero Hor</v>
          </cell>
          <cell r="C948">
            <v>1</v>
          </cell>
          <cell r="D948">
            <v>1</v>
          </cell>
          <cell r="G948">
            <v>2.65</v>
          </cell>
          <cell r="P948" t="str">
            <v>H</v>
          </cell>
          <cell r="Q948" t="str">
            <v>3/8"</v>
          </cell>
          <cell r="R948">
            <v>20</v>
          </cell>
          <cell r="S948">
            <v>2.6199999999999997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29.343999999999998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</row>
        <row r="949">
          <cell r="B949" t="str">
            <v>Nucleo A</v>
          </cell>
          <cell r="C949">
            <v>1</v>
          </cell>
          <cell r="D949">
            <v>1</v>
          </cell>
          <cell r="E949">
            <v>0.25</v>
          </cell>
          <cell r="F949">
            <v>0.2</v>
          </cell>
          <cell r="G949">
            <v>2.65</v>
          </cell>
          <cell r="P949" t="str">
            <v>V</v>
          </cell>
          <cell r="Q949" t="str">
            <v>1"</v>
          </cell>
          <cell r="R949">
            <v>4</v>
          </cell>
          <cell r="S949">
            <v>3.2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59.550000000000004</v>
          </cell>
          <cell r="AD949">
            <v>0</v>
          </cell>
        </row>
        <row r="950">
          <cell r="B950" t="str">
            <v>Est</v>
          </cell>
          <cell r="C950">
            <v>1</v>
          </cell>
          <cell r="D950">
            <v>1</v>
          </cell>
          <cell r="E950">
            <v>0.25</v>
          </cell>
          <cell r="F950">
            <v>0.2</v>
          </cell>
          <cell r="G950">
            <v>2.65</v>
          </cell>
          <cell r="Q950" t="str">
            <v>3/8"</v>
          </cell>
          <cell r="R950">
            <v>10</v>
          </cell>
          <cell r="S950">
            <v>0.9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5.0400000000000009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</row>
        <row r="951">
          <cell r="B951" t="str">
            <v>Acero Vert</v>
          </cell>
          <cell r="C951">
            <v>1</v>
          </cell>
          <cell r="D951">
            <v>1</v>
          </cell>
          <cell r="E951">
            <v>2.0699999999999998</v>
          </cell>
          <cell r="F951">
            <v>0.4</v>
          </cell>
          <cell r="G951">
            <v>2.65</v>
          </cell>
          <cell r="H951">
            <v>210</v>
          </cell>
          <cell r="I951">
            <v>2.1941999999999999</v>
          </cell>
          <cell r="J951">
            <v>0</v>
          </cell>
          <cell r="K951">
            <v>0</v>
          </cell>
          <cell r="L951">
            <v>2.1941999999999999</v>
          </cell>
          <cell r="M951">
            <v>4.9399999999999995</v>
          </cell>
          <cell r="N951">
            <v>2.4499999999999997</v>
          </cell>
          <cell r="O951">
            <v>12.102999999999998</v>
          </cell>
          <cell r="P951" t="str">
            <v>V</v>
          </cell>
          <cell r="Q951" t="str">
            <v>3/8"</v>
          </cell>
          <cell r="R951">
            <v>14</v>
          </cell>
          <cell r="S951">
            <v>3.15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28.616000000000003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</row>
        <row r="952">
          <cell r="B952" t="str">
            <v>Acero Hor</v>
          </cell>
          <cell r="C952">
            <v>1</v>
          </cell>
          <cell r="D952">
            <v>1</v>
          </cell>
          <cell r="G952">
            <v>2.65</v>
          </cell>
          <cell r="P952" t="str">
            <v>H</v>
          </cell>
          <cell r="Q952" t="str">
            <v>3/8"</v>
          </cell>
          <cell r="R952">
            <v>20</v>
          </cell>
          <cell r="S952">
            <v>2.6199999999999997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29.343999999999998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</row>
        <row r="953">
          <cell r="B953" t="str">
            <v>Nucleo A</v>
          </cell>
          <cell r="C953">
            <v>1</v>
          </cell>
          <cell r="D953">
            <v>1</v>
          </cell>
          <cell r="E953">
            <v>0.25</v>
          </cell>
          <cell r="F953">
            <v>0.4</v>
          </cell>
          <cell r="G953">
            <v>2.65</v>
          </cell>
          <cell r="P953" t="str">
            <v>V</v>
          </cell>
          <cell r="Q953" t="str">
            <v>1"</v>
          </cell>
          <cell r="R953">
            <v>8</v>
          </cell>
          <cell r="S953">
            <v>3.2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119.10000000000001</v>
          </cell>
          <cell r="AD953">
            <v>0</v>
          </cell>
        </row>
        <row r="954">
          <cell r="B954" t="str">
            <v>Est</v>
          </cell>
          <cell r="C954">
            <v>1</v>
          </cell>
          <cell r="D954">
            <v>1</v>
          </cell>
          <cell r="E954">
            <v>0.25</v>
          </cell>
          <cell r="F954">
            <v>0.4</v>
          </cell>
          <cell r="G954">
            <v>2.65</v>
          </cell>
          <cell r="Q954" t="str">
            <v>3/8"</v>
          </cell>
          <cell r="R954">
            <v>11</v>
          </cell>
          <cell r="S954">
            <v>1.3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8.0080000000000009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</row>
        <row r="955">
          <cell r="B955" t="str">
            <v>Est</v>
          </cell>
          <cell r="C955">
            <v>1</v>
          </cell>
          <cell r="D955">
            <v>1</v>
          </cell>
          <cell r="E955">
            <v>0.25</v>
          </cell>
          <cell r="F955">
            <v>0.25</v>
          </cell>
          <cell r="G955">
            <v>2.65</v>
          </cell>
          <cell r="Q955" t="str">
            <v>3/8"</v>
          </cell>
          <cell r="R955">
            <v>11</v>
          </cell>
          <cell r="S955">
            <v>1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6.16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</row>
        <row r="956"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</row>
        <row r="957">
          <cell r="B957" t="str">
            <v>10 PISO</v>
          </cell>
          <cell r="H957">
            <v>210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</row>
        <row r="958"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</row>
        <row r="959">
          <cell r="B959" t="str">
            <v>B2-PL-01</v>
          </cell>
          <cell r="C959">
            <v>2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</row>
        <row r="960">
          <cell r="B960" t="str">
            <v>Acero Vert</v>
          </cell>
          <cell r="C960">
            <v>2</v>
          </cell>
          <cell r="D960">
            <v>1</v>
          </cell>
          <cell r="E960">
            <v>6.05</v>
          </cell>
          <cell r="F960">
            <v>0.2</v>
          </cell>
          <cell r="G960">
            <v>2.65</v>
          </cell>
          <cell r="H960">
            <v>210</v>
          </cell>
          <cell r="I960">
            <v>6.4129999999999994</v>
          </cell>
          <cell r="J960">
            <v>0</v>
          </cell>
          <cell r="K960">
            <v>0</v>
          </cell>
          <cell r="L960">
            <v>6.4129999999999994</v>
          </cell>
          <cell r="M960">
            <v>12.5</v>
          </cell>
          <cell r="N960">
            <v>2.4499999999999997</v>
          </cell>
          <cell r="O960">
            <v>61.249999999999993</v>
          </cell>
          <cell r="P960" t="str">
            <v>V</v>
          </cell>
          <cell r="Q960" t="str">
            <v>3/8"</v>
          </cell>
          <cell r="R960">
            <v>40</v>
          </cell>
          <cell r="S960">
            <v>3.15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163.52000000000001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</row>
        <row r="961">
          <cell r="B961" t="str">
            <v>Acero Hor</v>
          </cell>
          <cell r="C961">
            <v>2</v>
          </cell>
          <cell r="D961">
            <v>1</v>
          </cell>
          <cell r="G961">
            <v>2.65</v>
          </cell>
          <cell r="P961" t="str">
            <v>H</v>
          </cell>
          <cell r="Q961" t="str">
            <v>3/8"</v>
          </cell>
          <cell r="R961">
            <v>20</v>
          </cell>
          <cell r="S961">
            <v>6.55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146.72000000000003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</row>
        <row r="962">
          <cell r="B962" t="str">
            <v>Nucleo A</v>
          </cell>
          <cell r="C962">
            <v>2</v>
          </cell>
          <cell r="D962">
            <v>1</v>
          </cell>
          <cell r="E962">
            <v>0.25</v>
          </cell>
          <cell r="F962">
            <v>0.2</v>
          </cell>
          <cell r="G962">
            <v>2.65</v>
          </cell>
          <cell r="P962" t="str">
            <v>V</v>
          </cell>
          <cell r="Q962" t="str">
            <v>1"</v>
          </cell>
          <cell r="R962">
            <v>2</v>
          </cell>
          <cell r="S962">
            <v>3.2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59.550000000000004</v>
          </cell>
          <cell r="AD962">
            <v>0</v>
          </cell>
        </row>
        <row r="963">
          <cell r="B963" t="str">
            <v>Nucleo A</v>
          </cell>
          <cell r="C963">
            <v>2</v>
          </cell>
          <cell r="D963">
            <v>1</v>
          </cell>
          <cell r="G963">
            <v>2.65</v>
          </cell>
          <cell r="P963" t="str">
            <v>V</v>
          </cell>
          <cell r="Q963" t="str">
            <v>3/4"</v>
          </cell>
          <cell r="R963">
            <v>2</v>
          </cell>
          <cell r="S963">
            <v>3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30.016000000000005</v>
          </cell>
          <cell r="AC963">
            <v>0</v>
          </cell>
          <cell r="AD963">
            <v>0</v>
          </cell>
        </row>
        <row r="964">
          <cell r="B964" t="str">
            <v>Est</v>
          </cell>
          <cell r="C964">
            <v>2</v>
          </cell>
          <cell r="D964">
            <v>1</v>
          </cell>
          <cell r="E964">
            <v>0.25</v>
          </cell>
          <cell r="F964">
            <v>0.2</v>
          </cell>
          <cell r="G964">
            <v>2.65</v>
          </cell>
          <cell r="Q964" t="str">
            <v>3/8"</v>
          </cell>
          <cell r="R964">
            <v>10</v>
          </cell>
          <cell r="S964">
            <v>0.9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10.080000000000002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</row>
        <row r="965">
          <cell r="B965" t="str">
            <v>Nucleo A</v>
          </cell>
          <cell r="C965">
            <v>2</v>
          </cell>
          <cell r="D965">
            <v>1</v>
          </cell>
          <cell r="E965">
            <v>0.25</v>
          </cell>
          <cell r="F965">
            <v>0.2</v>
          </cell>
          <cell r="G965">
            <v>2.65</v>
          </cell>
          <cell r="P965" t="str">
            <v>V</v>
          </cell>
          <cell r="Q965" t="str">
            <v>1"</v>
          </cell>
          <cell r="R965">
            <v>2</v>
          </cell>
          <cell r="S965">
            <v>3.2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59.550000000000004</v>
          </cell>
          <cell r="AD965">
            <v>0</v>
          </cell>
        </row>
        <row r="966">
          <cell r="B966" t="str">
            <v>Nucleo A</v>
          </cell>
          <cell r="C966">
            <v>2</v>
          </cell>
          <cell r="D966">
            <v>1</v>
          </cell>
          <cell r="G966">
            <v>2.65</v>
          </cell>
          <cell r="P966" t="str">
            <v>V</v>
          </cell>
          <cell r="Q966" t="str">
            <v>3/4"</v>
          </cell>
          <cell r="R966">
            <v>2</v>
          </cell>
          <cell r="S966">
            <v>3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30.016000000000005</v>
          </cell>
          <cell r="AC966">
            <v>0</v>
          </cell>
          <cell r="AD966">
            <v>0</v>
          </cell>
        </row>
        <row r="967">
          <cell r="B967" t="str">
            <v>Est</v>
          </cell>
          <cell r="C967">
            <v>2</v>
          </cell>
          <cell r="D967">
            <v>1</v>
          </cell>
          <cell r="E967">
            <v>0.25</v>
          </cell>
          <cell r="F967">
            <v>0.2</v>
          </cell>
          <cell r="G967">
            <v>2.65</v>
          </cell>
          <cell r="Q967" t="str">
            <v>3/8"</v>
          </cell>
          <cell r="R967">
            <v>10</v>
          </cell>
          <cell r="S967">
            <v>0.9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10.080000000000002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</row>
        <row r="968"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</row>
        <row r="969">
          <cell r="B969" t="str">
            <v>B2-PL-02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</row>
        <row r="970">
          <cell r="B970" t="str">
            <v>Acero Vert</v>
          </cell>
          <cell r="C970">
            <v>1</v>
          </cell>
          <cell r="D970">
            <v>1</v>
          </cell>
          <cell r="E970">
            <v>6</v>
          </cell>
          <cell r="F970">
            <v>0.2</v>
          </cell>
          <cell r="G970">
            <v>2.65</v>
          </cell>
          <cell r="H970">
            <v>210</v>
          </cell>
          <cell r="I970">
            <v>3.18</v>
          </cell>
          <cell r="J970">
            <v>0</v>
          </cell>
          <cell r="K970">
            <v>0</v>
          </cell>
          <cell r="L970">
            <v>3.18</v>
          </cell>
          <cell r="M970">
            <v>12.4</v>
          </cell>
          <cell r="N970">
            <v>2.4499999999999997</v>
          </cell>
          <cell r="O970">
            <v>30.38</v>
          </cell>
          <cell r="P970" t="str">
            <v>V</v>
          </cell>
          <cell r="Q970" t="str">
            <v>3/8"</v>
          </cell>
          <cell r="R970">
            <v>38</v>
          </cell>
          <cell r="S970">
            <v>3.15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77.671999999999997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</row>
        <row r="971">
          <cell r="B971" t="str">
            <v>Acero Hor</v>
          </cell>
          <cell r="C971">
            <v>1</v>
          </cell>
          <cell r="D971">
            <v>1</v>
          </cell>
          <cell r="E971">
            <v>0.3</v>
          </cell>
          <cell r="F971">
            <v>0.4</v>
          </cell>
          <cell r="G971">
            <v>2.65</v>
          </cell>
          <cell r="H971">
            <v>210</v>
          </cell>
          <cell r="I971">
            <v>0.318</v>
          </cell>
          <cell r="J971">
            <v>0</v>
          </cell>
          <cell r="K971">
            <v>0</v>
          </cell>
          <cell r="L971">
            <v>0.318</v>
          </cell>
          <cell r="M971">
            <v>1.4</v>
          </cell>
          <cell r="N971">
            <v>2.4499999999999997</v>
          </cell>
          <cell r="O971">
            <v>3.4299999999999993</v>
          </cell>
          <cell r="P971" t="str">
            <v>H</v>
          </cell>
          <cell r="Q971" t="str">
            <v>3/8"</v>
          </cell>
          <cell r="R971">
            <v>20</v>
          </cell>
          <cell r="S971">
            <v>6.3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70.56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</row>
        <row r="972">
          <cell r="B972" t="str">
            <v>Nucleo A</v>
          </cell>
          <cell r="C972">
            <v>1</v>
          </cell>
          <cell r="D972">
            <v>1</v>
          </cell>
          <cell r="E972">
            <v>0.4</v>
          </cell>
          <cell r="F972">
            <v>0.5</v>
          </cell>
          <cell r="G972">
            <v>2.65</v>
          </cell>
          <cell r="P972" t="str">
            <v>V</v>
          </cell>
          <cell r="Q972" t="str">
            <v>3/4"</v>
          </cell>
          <cell r="R972">
            <v>8</v>
          </cell>
          <cell r="S972">
            <v>3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60.032000000000011</v>
          </cell>
          <cell r="AC972">
            <v>0</v>
          </cell>
          <cell r="AD972">
            <v>0</v>
          </cell>
        </row>
        <row r="973">
          <cell r="B973" t="str">
            <v>Nucleo A</v>
          </cell>
          <cell r="C973">
            <v>1</v>
          </cell>
          <cell r="D973">
            <v>1</v>
          </cell>
          <cell r="G973">
            <v>2.65</v>
          </cell>
          <cell r="P973" t="str">
            <v>V</v>
          </cell>
          <cell r="Q973" t="str">
            <v>1"</v>
          </cell>
          <cell r="R973">
            <v>4</v>
          </cell>
          <cell r="S973">
            <v>3.2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59.550000000000004</v>
          </cell>
          <cell r="AD973">
            <v>0</v>
          </cell>
        </row>
        <row r="974">
          <cell r="B974" t="str">
            <v>Est</v>
          </cell>
          <cell r="C974">
            <v>1</v>
          </cell>
          <cell r="D974">
            <v>1</v>
          </cell>
          <cell r="E974">
            <v>0.4</v>
          </cell>
          <cell r="F974">
            <v>0.5</v>
          </cell>
          <cell r="G974">
            <v>2.65</v>
          </cell>
          <cell r="Q974" t="str">
            <v>3/8"</v>
          </cell>
          <cell r="R974">
            <v>10</v>
          </cell>
          <cell r="S974">
            <v>1.8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10.080000000000002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</row>
        <row r="975">
          <cell r="B975" t="str">
            <v>Est</v>
          </cell>
          <cell r="C975">
            <v>1</v>
          </cell>
          <cell r="D975">
            <v>1</v>
          </cell>
          <cell r="E975">
            <v>0.25</v>
          </cell>
          <cell r="F975">
            <v>0.5</v>
          </cell>
          <cell r="G975">
            <v>2.65</v>
          </cell>
          <cell r="Q975" t="str">
            <v>3/8"</v>
          </cell>
          <cell r="R975">
            <v>10</v>
          </cell>
          <cell r="S975">
            <v>1.5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8.4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</row>
        <row r="976">
          <cell r="B976" t="str">
            <v>Est</v>
          </cell>
          <cell r="C976">
            <v>1</v>
          </cell>
          <cell r="D976">
            <v>1</v>
          </cell>
          <cell r="E976">
            <v>0.4</v>
          </cell>
          <cell r="F976">
            <v>0.1</v>
          </cell>
          <cell r="G976">
            <v>2.65</v>
          </cell>
          <cell r="Q976" t="str">
            <v>3/8"</v>
          </cell>
          <cell r="R976">
            <v>10</v>
          </cell>
          <cell r="S976">
            <v>0.5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2.8000000000000003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</row>
        <row r="977">
          <cell r="B977" t="str">
            <v>Nucleo A</v>
          </cell>
          <cell r="C977">
            <v>1</v>
          </cell>
          <cell r="D977">
            <v>1</v>
          </cell>
          <cell r="E977">
            <v>0.25</v>
          </cell>
          <cell r="F977">
            <v>0.2</v>
          </cell>
          <cell r="G977">
            <v>2.65</v>
          </cell>
          <cell r="P977" t="str">
            <v>V</v>
          </cell>
          <cell r="Q977" t="str">
            <v>1"</v>
          </cell>
          <cell r="R977">
            <v>2</v>
          </cell>
          <cell r="S977">
            <v>3.2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29.775000000000002</v>
          </cell>
          <cell r="AD977">
            <v>0</v>
          </cell>
        </row>
        <row r="978">
          <cell r="B978" t="str">
            <v>Nucleo A</v>
          </cell>
          <cell r="C978">
            <v>1</v>
          </cell>
          <cell r="D978">
            <v>1</v>
          </cell>
          <cell r="G978">
            <v>2.65</v>
          </cell>
          <cell r="P978" t="str">
            <v>V</v>
          </cell>
          <cell r="Q978" t="str">
            <v>3/4"</v>
          </cell>
          <cell r="R978">
            <v>2</v>
          </cell>
          <cell r="S978">
            <v>3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15.008000000000003</v>
          </cell>
          <cell r="AC978">
            <v>0</v>
          </cell>
          <cell r="AD978">
            <v>0</v>
          </cell>
        </row>
        <row r="979">
          <cell r="B979" t="str">
            <v>Est</v>
          </cell>
          <cell r="C979">
            <v>1</v>
          </cell>
          <cell r="D979">
            <v>1</v>
          </cell>
          <cell r="E979">
            <v>0.25</v>
          </cell>
          <cell r="F979">
            <v>0.2</v>
          </cell>
          <cell r="G979">
            <v>2.65</v>
          </cell>
          <cell r="Q979" t="str">
            <v>3/8"</v>
          </cell>
          <cell r="R979">
            <v>10</v>
          </cell>
          <cell r="S979">
            <v>0.9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5.0400000000000009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</row>
        <row r="980"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</row>
        <row r="981">
          <cell r="B981" t="str">
            <v>B2-PL-02A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</row>
        <row r="982">
          <cell r="B982" t="str">
            <v>Acero Vert</v>
          </cell>
          <cell r="C982">
            <v>1</v>
          </cell>
          <cell r="D982">
            <v>1</v>
          </cell>
          <cell r="E982">
            <v>6</v>
          </cell>
          <cell r="F982">
            <v>0.2</v>
          </cell>
          <cell r="G982">
            <v>2.65</v>
          </cell>
          <cell r="H982">
            <v>210</v>
          </cell>
          <cell r="I982">
            <v>3.18</v>
          </cell>
          <cell r="J982">
            <v>0</v>
          </cell>
          <cell r="K982">
            <v>0</v>
          </cell>
          <cell r="L982">
            <v>3.18</v>
          </cell>
          <cell r="M982">
            <v>12.4</v>
          </cell>
          <cell r="N982">
            <v>2.4499999999999997</v>
          </cell>
          <cell r="O982">
            <v>30.38</v>
          </cell>
          <cell r="P982" t="str">
            <v>V</v>
          </cell>
          <cell r="Q982" t="str">
            <v>3/8"</v>
          </cell>
          <cell r="R982">
            <v>38</v>
          </cell>
          <cell r="S982">
            <v>3.15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77.671999999999997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</row>
        <row r="983">
          <cell r="B983" t="str">
            <v>Acero Hor</v>
          </cell>
          <cell r="C983">
            <v>1</v>
          </cell>
          <cell r="D983">
            <v>1</v>
          </cell>
          <cell r="E983">
            <v>0.3</v>
          </cell>
          <cell r="F983">
            <v>0.4</v>
          </cell>
          <cell r="G983">
            <v>2.65</v>
          </cell>
          <cell r="H983">
            <v>210</v>
          </cell>
          <cell r="I983">
            <v>0.318</v>
          </cell>
          <cell r="J983">
            <v>0</v>
          </cell>
          <cell r="K983">
            <v>0</v>
          </cell>
          <cell r="L983">
            <v>0.318</v>
          </cell>
          <cell r="M983">
            <v>1.4</v>
          </cell>
          <cell r="N983">
            <v>2.4499999999999997</v>
          </cell>
          <cell r="O983">
            <v>3.4299999999999993</v>
          </cell>
          <cell r="P983" t="str">
            <v>H</v>
          </cell>
          <cell r="Q983" t="str">
            <v>3/8"</v>
          </cell>
          <cell r="R983">
            <v>20</v>
          </cell>
          <cell r="S983">
            <v>6.3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70.56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</row>
        <row r="984">
          <cell r="B984" t="str">
            <v>Nucleo A</v>
          </cell>
          <cell r="C984">
            <v>1</v>
          </cell>
          <cell r="D984">
            <v>1</v>
          </cell>
          <cell r="E984">
            <v>0.4</v>
          </cell>
          <cell r="F984">
            <v>0.5</v>
          </cell>
          <cell r="G984">
            <v>2.65</v>
          </cell>
          <cell r="P984" t="str">
            <v>V</v>
          </cell>
          <cell r="Q984" t="str">
            <v>3/4"</v>
          </cell>
          <cell r="R984">
            <v>8</v>
          </cell>
          <cell r="S984">
            <v>3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60.032000000000011</v>
          </cell>
          <cell r="AC984">
            <v>0</v>
          </cell>
          <cell r="AD984">
            <v>0</v>
          </cell>
        </row>
        <row r="985">
          <cell r="B985" t="str">
            <v>Nucleo A</v>
          </cell>
          <cell r="C985">
            <v>1</v>
          </cell>
          <cell r="D985">
            <v>1</v>
          </cell>
          <cell r="G985">
            <v>2.65</v>
          </cell>
          <cell r="P985" t="str">
            <v>V</v>
          </cell>
          <cell r="Q985" t="str">
            <v>1"</v>
          </cell>
          <cell r="R985">
            <v>4</v>
          </cell>
          <cell r="S985">
            <v>3.2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59.550000000000004</v>
          </cell>
          <cell r="AD985">
            <v>0</v>
          </cell>
        </row>
        <row r="986">
          <cell r="B986" t="str">
            <v>Est</v>
          </cell>
          <cell r="C986">
            <v>1</v>
          </cell>
          <cell r="D986">
            <v>1</v>
          </cell>
          <cell r="E986">
            <v>0.4</v>
          </cell>
          <cell r="F986">
            <v>0.5</v>
          </cell>
          <cell r="G986">
            <v>2.65</v>
          </cell>
          <cell r="Q986" t="str">
            <v>3/8"</v>
          </cell>
          <cell r="R986">
            <v>10</v>
          </cell>
          <cell r="S986">
            <v>1.8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10.080000000000002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</row>
        <row r="987">
          <cell r="B987" t="str">
            <v>Est</v>
          </cell>
          <cell r="C987">
            <v>1</v>
          </cell>
          <cell r="D987">
            <v>1</v>
          </cell>
          <cell r="E987">
            <v>0.25</v>
          </cell>
          <cell r="F987">
            <v>0.5</v>
          </cell>
          <cell r="G987">
            <v>2.65</v>
          </cell>
          <cell r="Q987" t="str">
            <v>3/8"</v>
          </cell>
          <cell r="R987">
            <v>10</v>
          </cell>
          <cell r="S987">
            <v>1.5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8.4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</row>
        <row r="988">
          <cell r="B988" t="str">
            <v>Est</v>
          </cell>
          <cell r="C988">
            <v>1</v>
          </cell>
          <cell r="D988">
            <v>1</v>
          </cell>
          <cell r="E988">
            <v>0.4</v>
          </cell>
          <cell r="F988">
            <v>0.1</v>
          </cell>
          <cell r="G988">
            <v>2.65</v>
          </cell>
          <cell r="Q988" t="str">
            <v>3/8"</v>
          </cell>
          <cell r="R988">
            <v>10</v>
          </cell>
          <cell r="S988">
            <v>0.5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2.8000000000000003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</row>
        <row r="989">
          <cell r="B989" t="str">
            <v>Nucleo A</v>
          </cell>
          <cell r="C989">
            <v>1</v>
          </cell>
          <cell r="D989">
            <v>1</v>
          </cell>
          <cell r="E989">
            <v>0.25</v>
          </cell>
          <cell r="F989">
            <v>0.2</v>
          </cell>
          <cell r="G989">
            <v>2.65</v>
          </cell>
          <cell r="P989" t="str">
            <v>V</v>
          </cell>
          <cell r="Q989" t="str">
            <v>1"</v>
          </cell>
          <cell r="R989">
            <v>2</v>
          </cell>
          <cell r="S989">
            <v>3.2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29.775000000000002</v>
          </cell>
          <cell r="AD989">
            <v>0</v>
          </cell>
        </row>
        <row r="990">
          <cell r="B990" t="str">
            <v>Nucleo A</v>
          </cell>
          <cell r="C990">
            <v>1</v>
          </cell>
          <cell r="D990">
            <v>1</v>
          </cell>
          <cell r="G990">
            <v>2.65</v>
          </cell>
          <cell r="P990" t="str">
            <v>V</v>
          </cell>
          <cell r="Q990" t="str">
            <v>3/4"</v>
          </cell>
          <cell r="R990">
            <v>2</v>
          </cell>
          <cell r="S990">
            <v>3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15.008000000000003</v>
          </cell>
          <cell r="AC990">
            <v>0</v>
          </cell>
          <cell r="AD990">
            <v>0</v>
          </cell>
        </row>
        <row r="991">
          <cell r="B991" t="str">
            <v>Est</v>
          </cell>
          <cell r="C991">
            <v>1</v>
          </cell>
          <cell r="D991">
            <v>1</v>
          </cell>
          <cell r="E991">
            <v>0.25</v>
          </cell>
          <cell r="F991">
            <v>0.2</v>
          </cell>
          <cell r="G991">
            <v>2.65</v>
          </cell>
          <cell r="Q991" t="str">
            <v>3/8"</v>
          </cell>
          <cell r="R991">
            <v>10</v>
          </cell>
          <cell r="S991">
            <v>0.9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5.0400000000000009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</row>
        <row r="992">
          <cell r="B992" t="str">
            <v>B2-PL-03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</row>
        <row r="993">
          <cell r="B993" t="str">
            <v>Acero Vert</v>
          </cell>
          <cell r="C993">
            <v>1</v>
          </cell>
          <cell r="D993">
            <v>1</v>
          </cell>
          <cell r="E993">
            <v>4.4000000000000004</v>
          </cell>
          <cell r="F993">
            <v>0.25</v>
          </cell>
          <cell r="G993">
            <v>2.65</v>
          </cell>
          <cell r="H993">
            <v>210</v>
          </cell>
          <cell r="I993">
            <v>2.915</v>
          </cell>
          <cell r="J993">
            <v>0</v>
          </cell>
          <cell r="K993">
            <v>0</v>
          </cell>
          <cell r="L993">
            <v>2.915</v>
          </cell>
          <cell r="M993">
            <v>9.3000000000000007</v>
          </cell>
          <cell r="N993">
            <v>2.4499999999999997</v>
          </cell>
          <cell r="O993">
            <v>22.785</v>
          </cell>
          <cell r="P993" t="str">
            <v>V</v>
          </cell>
          <cell r="Q993" t="str">
            <v>3/8"</v>
          </cell>
          <cell r="R993">
            <v>32</v>
          </cell>
          <cell r="S993">
            <v>3.15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65.408000000000001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</row>
        <row r="994">
          <cell r="B994" t="str">
            <v>Acero Hor</v>
          </cell>
          <cell r="C994">
            <v>1</v>
          </cell>
          <cell r="D994">
            <v>1</v>
          </cell>
          <cell r="G994">
            <v>2.65</v>
          </cell>
          <cell r="P994" t="str">
            <v>H</v>
          </cell>
          <cell r="Q994" t="str">
            <v>3/8"</v>
          </cell>
          <cell r="R994">
            <v>24</v>
          </cell>
          <cell r="S994">
            <v>4.7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63.168000000000013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</row>
        <row r="995">
          <cell r="B995" t="str">
            <v>Nucleo A</v>
          </cell>
          <cell r="C995">
            <v>1</v>
          </cell>
          <cell r="D995">
            <v>1</v>
          </cell>
          <cell r="E995">
            <v>0.2</v>
          </cell>
          <cell r="F995">
            <v>0.25</v>
          </cell>
          <cell r="G995">
            <v>2.65</v>
          </cell>
          <cell r="P995" t="str">
            <v>V</v>
          </cell>
          <cell r="Q995" t="str">
            <v>3/4"</v>
          </cell>
          <cell r="R995">
            <v>2</v>
          </cell>
          <cell r="S995">
            <v>3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15.008000000000003</v>
          </cell>
          <cell r="AC995">
            <v>0</v>
          </cell>
          <cell r="AD995">
            <v>0</v>
          </cell>
        </row>
        <row r="996">
          <cell r="B996" t="str">
            <v>Nucleo A</v>
          </cell>
          <cell r="C996">
            <v>1</v>
          </cell>
          <cell r="D996">
            <v>1</v>
          </cell>
          <cell r="G996">
            <v>2.65</v>
          </cell>
          <cell r="P996" t="str">
            <v>V</v>
          </cell>
          <cell r="Q996" t="str">
            <v>3/4"</v>
          </cell>
          <cell r="R996">
            <v>2</v>
          </cell>
          <cell r="S996">
            <v>3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15.008000000000003</v>
          </cell>
          <cell r="AC996">
            <v>0</v>
          </cell>
          <cell r="AD996">
            <v>0</v>
          </cell>
        </row>
        <row r="997">
          <cell r="B997" t="str">
            <v>Est</v>
          </cell>
          <cell r="C997">
            <v>1</v>
          </cell>
          <cell r="D997">
            <v>1</v>
          </cell>
          <cell r="E997">
            <v>0.2</v>
          </cell>
          <cell r="F997">
            <v>0.25</v>
          </cell>
          <cell r="G997">
            <v>2.65</v>
          </cell>
          <cell r="Q997" t="str">
            <v>3/8"</v>
          </cell>
          <cell r="R997">
            <v>11</v>
          </cell>
          <cell r="S997">
            <v>0.9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5.5440000000000005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</row>
        <row r="998">
          <cell r="B998" t="str">
            <v>Nucleo A</v>
          </cell>
          <cell r="C998">
            <v>1</v>
          </cell>
          <cell r="D998">
            <v>1</v>
          </cell>
          <cell r="E998">
            <v>0.4</v>
          </cell>
          <cell r="F998">
            <v>0.25</v>
          </cell>
          <cell r="G998">
            <v>2.65</v>
          </cell>
          <cell r="P998" t="str">
            <v>V</v>
          </cell>
          <cell r="Q998" t="str">
            <v>3/4"</v>
          </cell>
          <cell r="R998">
            <v>2</v>
          </cell>
          <cell r="S998">
            <v>3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15.008000000000003</v>
          </cell>
          <cell r="AC998">
            <v>0</v>
          </cell>
          <cell r="AD998">
            <v>0</v>
          </cell>
        </row>
        <row r="999">
          <cell r="B999" t="str">
            <v>Nucleo A</v>
          </cell>
          <cell r="C999">
            <v>1</v>
          </cell>
          <cell r="D999">
            <v>1</v>
          </cell>
          <cell r="G999">
            <v>2.65</v>
          </cell>
          <cell r="P999" t="str">
            <v>V</v>
          </cell>
          <cell r="Q999" t="str">
            <v>3/4"</v>
          </cell>
          <cell r="R999">
            <v>2</v>
          </cell>
          <cell r="S999">
            <v>3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15.008000000000003</v>
          </cell>
          <cell r="AC999">
            <v>0</v>
          </cell>
          <cell r="AD999">
            <v>0</v>
          </cell>
        </row>
        <row r="1000">
          <cell r="B1000" t="str">
            <v>Est</v>
          </cell>
          <cell r="C1000">
            <v>1</v>
          </cell>
          <cell r="D1000">
            <v>1</v>
          </cell>
          <cell r="E1000">
            <v>0.4</v>
          </cell>
          <cell r="F1000">
            <v>0.25</v>
          </cell>
          <cell r="G1000">
            <v>2.65</v>
          </cell>
          <cell r="Q1000" t="str">
            <v>3/8"</v>
          </cell>
          <cell r="R1000">
            <v>11</v>
          </cell>
          <cell r="S1000">
            <v>1.3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8.0080000000000009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</row>
        <row r="1001">
          <cell r="B1001" t="str">
            <v>Acero Vert</v>
          </cell>
          <cell r="C1001">
            <v>1</v>
          </cell>
          <cell r="D1001">
            <v>1</v>
          </cell>
          <cell r="E1001">
            <v>2.0699999999999998</v>
          </cell>
          <cell r="F1001">
            <v>0.2</v>
          </cell>
          <cell r="G1001">
            <v>2.65</v>
          </cell>
          <cell r="H1001">
            <v>210</v>
          </cell>
          <cell r="I1001">
            <v>1.0971</v>
          </cell>
          <cell r="J1001">
            <v>0</v>
          </cell>
          <cell r="K1001">
            <v>0</v>
          </cell>
          <cell r="L1001">
            <v>1.0971</v>
          </cell>
          <cell r="M1001">
            <v>4.54</v>
          </cell>
          <cell r="N1001">
            <v>2.4499999999999997</v>
          </cell>
          <cell r="O1001">
            <v>11.122999999999999</v>
          </cell>
          <cell r="P1001" t="str">
            <v>V</v>
          </cell>
          <cell r="Q1001" t="str">
            <v>3/8"</v>
          </cell>
          <cell r="R1001">
            <v>14</v>
          </cell>
          <cell r="S1001">
            <v>3.15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28.616000000000003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</row>
        <row r="1002">
          <cell r="B1002" t="str">
            <v>Acero Hor</v>
          </cell>
          <cell r="C1002">
            <v>1</v>
          </cell>
          <cell r="D1002">
            <v>1</v>
          </cell>
          <cell r="G1002">
            <v>2.65</v>
          </cell>
          <cell r="P1002" t="str">
            <v>H</v>
          </cell>
          <cell r="Q1002" t="str">
            <v>3/8"</v>
          </cell>
          <cell r="R1002">
            <v>20</v>
          </cell>
          <cell r="S1002">
            <v>2.6199999999999997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29.343999999999998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</row>
        <row r="1003">
          <cell r="B1003" t="str">
            <v>Nucleo A</v>
          </cell>
          <cell r="C1003">
            <v>1</v>
          </cell>
          <cell r="D1003">
            <v>1</v>
          </cell>
          <cell r="E1003">
            <v>0.25</v>
          </cell>
          <cell r="F1003">
            <v>0.2</v>
          </cell>
          <cell r="G1003">
            <v>2.65</v>
          </cell>
          <cell r="P1003" t="str">
            <v>V</v>
          </cell>
          <cell r="Q1003" t="str">
            <v>1"</v>
          </cell>
          <cell r="R1003">
            <v>4</v>
          </cell>
          <cell r="S1003">
            <v>3.2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59.550000000000004</v>
          </cell>
          <cell r="AD1003">
            <v>0</v>
          </cell>
        </row>
        <row r="1004">
          <cell r="B1004" t="str">
            <v>Est</v>
          </cell>
          <cell r="C1004">
            <v>1</v>
          </cell>
          <cell r="D1004">
            <v>1</v>
          </cell>
          <cell r="E1004">
            <v>0.25</v>
          </cell>
          <cell r="F1004">
            <v>0.2</v>
          </cell>
          <cell r="G1004">
            <v>2.65</v>
          </cell>
          <cell r="Q1004" t="str">
            <v>3/8"</v>
          </cell>
          <cell r="R1004">
            <v>10</v>
          </cell>
          <cell r="S1004">
            <v>0.9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5.0400000000000009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</row>
        <row r="1005">
          <cell r="B1005" t="str">
            <v>Acero Vert</v>
          </cell>
          <cell r="C1005">
            <v>1</v>
          </cell>
          <cell r="D1005">
            <v>1</v>
          </cell>
          <cell r="E1005">
            <v>2.0699999999999998</v>
          </cell>
          <cell r="F1005">
            <v>0.4</v>
          </cell>
          <cell r="G1005">
            <v>2.65</v>
          </cell>
          <cell r="H1005">
            <v>210</v>
          </cell>
          <cell r="I1005">
            <v>2.1941999999999999</v>
          </cell>
          <cell r="J1005">
            <v>0</v>
          </cell>
          <cell r="K1005">
            <v>0</v>
          </cell>
          <cell r="L1005">
            <v>2.1941999999999999</v>
          </cell>
          <cell r="M1005">
            <v>4.9399999999999995</v>
          </cell>
          <cell r="N1005">
            <v>2.4499999999999997</v>
          </cell>
          <cell r="O1005">
            <v>12.102999999999998</v>
          </cell>
          <cell r="P1005" t="str">
            <v>V</v>
          </cell>
          <cell r="Q1005" t="str">
            <v>3/8"</v>
          </cell>
          <cell r="R1005">
            <v>14</v>
          </cell>
          <cell r="S1005">
            <v>3.15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28.616000000000003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</row>
        <row r="1006">
          <cell r="B1006" t="str">
            <v>Acero Hor</v>
          </cell>
          <cell r="C1006">
            <v>1</v>
          </cell>
          <cell r="D1006">
            <v>1</v>
          </cell>
          <cell r="G1006">
            <v>2.65</v>
          </cell>
          <cell r="P1006" t="str">
            <v>H</v>
          </cell>
          <cell r="Q1006" t="str">
            <v>3/8"</v>
          </cell>
          <cell r="R1006">
            <v>20</v>
          </cell>
          <cell r="S1006">
            <v>2.6199999999999997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29.343999999999998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</row>
        <row r="1007">
          <cell r="B1007" t="str">
            <v>Nucleo A</v>
          </cell>
          <cell r="C1007">
            <v>1</v>
          </cell>
          <cell r="D1007">
            <v>1</v>
          </cell>
          <cell r="E1007">
            <v>0.25</v>
          </cell>
          <cell r="F1007">
            <v>0.4</v>
          </cell>
          <cell r="G1007">
            <v>2.65</v>
          </cell>
          <cell r="P1007" t="str">
            <v>V</v>
          </cell>
          <cell r="Q1007" t="str">
            <v>1"</v>
          </cell>
          <cell r="R1007">
            <v>8</v>
          </cell>
          <cell r="S1007">
            <v>3.2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119.10000000000001</v>
          </cell>
          <cell r="AD1007">
            <v>0</v>
          </cell>
        </row>
        <row r="1008">
          <cell r="B1008" t="str">
            <v>Est</v>
          </cell>
          <cell r="C1008">
            <v>1</v>
          </cell>
          <cell r="D1008">
            <v>1</v>
          </cell>
          <cell r="E1008">
            <v>0.25</v>
          </cell>
          <cell r="F1008">
            <v>0.4</v>
          </cell>
          <cell r="G1008">
            <v>2.65</v>
          </cell>
          <cell r="Q1008" t="str">
            <v>3/8"</v>
          </cell>
          <cell r="R1008">
            <v>11</v>
          </cell>
          <cell r="S1008">
            <v>1.3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8.0080000000000009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</row>
        <row r="1009">
          <cell r="B1009" t="str">
            <v>Est</v>
          </cell>
          <cell r="C1009">
            <v>1</v>
          </cell>
          <cell r="D1009">
            <v>1</v>
          </cell>
          <cell r="E1009">
            <v>0.25</v>
          </cell>
          <cell r="F1009">
            <v>0.25</v>
          </cell>
          <cell r="G1009">
            <v>2.65</v>
          </cell>
          <cell r="Q1009" t="str">
            <v>3/8"</v>
          </cell>
          <cell r="R1009">
            <v>11</v>
          </cell>
          <cell r="S1009">
            <v>1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6.16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</row>
        <row r="1010"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</row>
        <row r="1011">
          <cell r="B1011" t="str">
            <v>11 PISO</v>
          </cell>
          <cell r="H1011">
            <v>210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</row>
        <row r="1012"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</row>
        <row r="1013">
          <cell r="B1013" t="str">
            <v>B2-PL-01</v>
          </cell>
          <cell r="C1013">
            <v>2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</row>
        <row r="1014">
          <cell r="B1014" t="str">
            <v>Acero Vert</v>
          </cell>
          <cell r="C1014">
            <v>2</v>
          </cell>
          <cell r="D1014">
            <v>1</v>
          </cell>
          <cell r="E1014">
            <v>6.05</v>
          </cell>
          <cell r="F1014">
            <v>0.2</v>
          </cell>
          <cell r="G1014">
            <v>2.65</v>
          </cell>
          <cell r="H1014">
            <v>210</v>
          </cell>
          <cell r="I1014">
            <v>6.4129999999999994</v>
          </cell>
          <cell r="J1014">
            <v>0</v>
          </cell>
          <cell r="K1014">
            <v>0</v>
          </cell>
          <cell r="L1014">
            <v>6.4129999999999994</v>
          </cell>
          <cell r="M1014">
            <v>12.5</v>
          </cell>
          <cell r="N1014">
            <v>2.4499999999999997</v>
          </cell>
          <cell r="O1014">
            <v>61.249999999999993</v>
          </cell>
          <cell r="P1014" t="str">
            <v>V</v>
          </cell>
          <cell r="Q1014" t="str">
            <v>3/8"</v>
          </cell>
          <cell r="R1014">
            <v>40</v>
          </cell>
          <cell r="S1014">
            <v>3.15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163.52000000000001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</row>
        <row r="1015">
          <cell r="B1015" t="str">
            <v>Acero Hor</v>
          </cell>
          <cell r="C1015">
            <v>2</v>
          </cell>
          <cell r="D1015">
            <v>1</v>
          </cell>
          <cell r="G1015">
            <v>2.65</v>
          </cell>
          <cell r="P1015" t="str">
            <v>H</v>
          </cell>
          <cell r="Q1015" t="str">
            <v>3/8"</v>
          </cell>
          <cell r="R1015">
            <v>20</v>
          </cell>
          <cell r="S1015">
            <v>6.55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146.72000000000003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</row>
        <row r="1016">
          <cell r="B1016" t="str">
            <v>Nucleo A</v>
          </cell>
          <cell r="C1016">
            <v>2</v>
          </cell>
          <cell r="D1016">
            <v>1</v>
          </cell>
          <cell r="E1016">
            <v>0.25</v>
          </cell>
          <cell r="F1016">
            <v>0.2</v>
          </cell>
          <cell r="G1016">
            <v>2.65</v>
          </cell>
          <cell r="P1016" t="str">
            <v>V</v>
          </cell>
          <cell r="Q1016" t="str">
            <v>3/4"</v>
          </cell>
          <cell r="R1016">
            <v>2</v>
          </cell>
          <cell r="S1016">
            <v>3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30.016000000000005</v>
          </cell>
          <cell r="AC1016">
            <v>0</v>
          </cell>
          <cell r="AD1016">
            <v>0</v>
          </cell>
        </row>
        <row r="1017">
          <cell r="B1017" t="str">
            <v>Nucleo A</v>
          </cell>
          <cell r="C1017">
            <v>2</v>
          </cell>
          <cell r="D1017">
            <v>1</v>
          </cell>
          <cell r="G1017">
            <v>2.65</v>
          </cell>
          <cell r="P1017" t="str">
            <v>V</v>
          </cell>
          <cell r="Q1017" t="str">
            <v>3/4"</v>
          </cell>
          <cell r="R1017">
            <v>2</v>
          </cell>
          <cell r="S1017">
            <v>3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30.016000000000005</v>
          </cell>
          <cell r="AC1017">
            <v>0</v>
          </cell>
          <cell r="AD1017">
            <v>0</v>
          </cell>
        </row>
        <row r="1018">
          <cell r="B1018" t="str">
            <v>Est</v>
          </cell>
          <cell r="C1018">
            <v>2</v>
          </cell>
          <cell r="D1018">
            <v>1</v>
          </cell>
          <cell r="E1018">
            <v>0.25</v>
          </cell>
          <cell r="F1018">
            <v>0.2</v>
          </cell>
          <cell r="G1018">
            <v>2.65</v>
          </cell>
          <cell r="Q1018" t="str">
            <v>3/8"</v>
          </cell>
          <cell r="R1018">
            <v>10</v>
          </cell>
          <cell r="S1018">
            <v>0.9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10.080000000000002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</row>
        <row r="1019">
          <cell r="B1019" t="str">
            <v>Nucleo A</v>
          </cell>
          <cell r="C1019">
            <v>2</v>
          </cell>
          <cell r="D1019">
            <v>1</v>
          </cell>
          <cell r="E1019">
            <v>0.25</v>
          </cell>
          <cell r="F1019">
            <v>0.2</v>
          </cell>
          <cell r="G1019">
            <v>2.65</v>
          </cell>
          <cell r="P1019" t="str">
            <v>V</v>
          </cell>
          <cell r="Q1019" t="str">
            <v>3/4"</v>
          </cell>
          <cell r="R1019">
            <v>2</v>
          </cell>
          <cell r="S1019">
            <v>3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30.016000000000005</v>
          </cell>
          <cell r="AC1019">
            <v>0</v>
          </cell>
          <cell r="AD1019">
            <v>0</v>
          </cell>
        </row>
        <row r="1020">
          <cell r="B1020" t="str">
            <v>Nucleo A</v>
          </cell>
          <cell r="C1020">
            <v>2</v>
          </cell>
          <cell r="D1020">
            <v>1</v>
          </cell>
          <cell r="G1020">
            <v>2.65</v>
          </cell>
          <cell r="P1020" t="str">
            <v>V</v>
          </cell>
          <cell r="Q1020" t="str">
            <v>3/4"</v>
          </cell>
          <cell r="R1020">
            <v>2</v>
          </cell>
          <cell r="S1020">
            <v>3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30.016000000000005</v>
          </cell>
          <cell r="AC1020">
            <v>0</v>
          </cell>
          <cell r="AD1020">
            <v>0</v>
          </cell>
        </row>
        <row r="1021">
          <cell r="B1021" t="str">
            <v>Est</v>
          </cell>
          <cell r="C1021">
            <v>2</v>
          </cell>
          <cell r="D1021">
            <v>1</v>
          </cell>
          <cell r="E1021">
            <v>0.25</v>
          </cell>
          <cell r="F1021">
            <v>0.2</v>
          </cell>
          <cell r="G1021">
            <v>2.65</v>
          </cell>
          <cell r="Q1021" t="str">
            <v>3/8"</v>
          </cell>
          <cell r="R1021">
            <v>10</v>
          </cell>
          <cell r="S1021">
            <v>0.9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10.080000000000002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</row>
        <row r="1022"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</row>
        <row r="1023">
          <cell r="B1023" t="str">
            <v>B2-PL-02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</row>
        <row r="1024">
          <cell r="B1024" t="str">
            <v>Acero Vert</v>
          </cell>
          <cell r="C1024">
            <v>1</v>
          </cell>
          <cell r="D1024">
            <v>1</v>
          </cell>
          <cell r="E1024">
            <v>6</v>
          </cell>
          <cell r="F1024">
            <v>0.2</v>
          </cell>
          <cell r="G1024">
            <v>2.65</v>
          </cell>
          <cell r="H1024">
            <v>210</v>
          </cell>
          <cell r="I1024">
            <v>3.18</v>
          </cell>
          <cell r="J1024">
            <v>0</v>
          </cell>
          <cell r="K1024">
            <v>0</v>
          </cell>
          <cell r="L1024">
            <v>3.18</v>
          </cell>
          <cell r="M1024">
            <v>12.4</v>
          </cell>
          <cell r="N1024">
            <v>2.4499999999999997</v>
          </cell>
          <cell r="O1024">
            <v>30.38</v>
          </cell>
          <cell r="P1024" t="str">
            <v>V</v>
          </cell>
          <cell r="Q1024" t="str">
            <v>3/8"</v>
          </cell>
          <cell r="R1024">
            <v>38</v>
          </cell>
          <cell r="S1024">
            <v>3.15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77.671999999999997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</row>
        <row r="1025">
          <cell r="B1025" t="str">
            <v>Acero Hor</v>
          </cell>
          <cell r="C1025">
            <v>1</v>
          </cell>
          <cell r="D1025">
            <v>1</v>
          </cell>
          <cell r="E1025">
            <v>0.3</v>
          </cell>
          <cell r="F1025">
            <v>0.4</v>
          </cell>
          <cell r="G1025">
            <v>2.65</v>
          </cell>
          <cell r="H1025">
            <v>210</v>
          </cell>
          <cell r="I1025">
            <v>0.318</v>
          </cell>
          <cell r="J1025">
            <v>0</v>
          </cell>
          <cell r="K1025">
            <v>0</v>
          </cell>
          <cell r="L1025">
            <v>0.318</v>
          </cell>
          <cell r="M1025">
            <v>1.4</v>
          </cell>
          <cell r="N1025">
            <v>2.4499999999999997</v>
          </cell>
          <cell r="O1025">
            <v>3.4299999999999993</v>
          </cell>
          <cell r="P1025" t="str">
            <v>H</v>
          </cell>
          <cell r="Q1025" t="str">
            <v>3/8"</v>
          </cell>
          <cell r="R1025">
            <v>20</v>
          </cell>
          <cell r="S1025">
            <v>6.3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70.56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</row>
        <row r="1026">
          <cell r="B1026" t="str">
            <v>Nucleo A</v>
          </cell>
          <cell r="C1026">
            <v>1</v>
          </cell>
          <cell r="D1026">
            <v>1</v>
          </cell>
          <cell r="E1026">
            <v>0.4</v>
          </cell>
          <cell r="F1026">
            <v>0.5</v>
          </cell>
          <cell r="G1026">
            <v>2.65</v>
          </cell>
          <cell r="P1026" t="str">
            <v>V</v>
          </cell>
          <cell r="Q1026" t="str">
            <v>3/4"</v>
          </cell>
          <cell r="R1026">
            <v>8</v>
          </cell>
          <cell r="S1026">
            <v>3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60.032000000000011</v>
          </cell>
          <cell r="AC1026">
            <v>0</v>
          </cell>
          <cell r="AD1026">
            <v>0</v>
          </cell>
        </row>
        <row r="1027">
          <cell r="B1027" t="str">
            <v>Nucleo A</v>
          </cell>
          <cell r="C1027">
            <v>1</v>
          </cell>
          <cell r="D1027">
            <v>1</v>
          </cell>
          <cell r="G1027">
            <v>2.65</v>
          </cell>
          <cell r="P1027" t="str">
            <v>V</v>
          </cell>
          <cell r="Q1027" t="str">
            <v>3/4"</v>
          </cell>
          <cell r="R1027">
            <v>4</v>
          </cell>
          <cell r="S1027">
            <v>3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30.016000000000005</v>
          </cell>
          <cell r="AC1027">
            <v>0</v>
          </cell>
          <cell r="AD1027">
            <v>0</v>
          </cell>
        </row>
        <row r="1028">
          <cell r="B1028" t="str">
            <v>Est</v>
          </cell>
          <cell r="C1028">
            <v>1</v>
          </cell>
          <cell r="D1028">
            <v>1</v>
          </cell>
          <cell r="E1028">
            <v>0.4</v>
          </cell>
          <cell r="F1028">
            <v>0.5</v>
          </cell>
          <cell r="G1028">
            <v>2.65</v>
          </cell>
          <cell r="Q1028" t="str">
            <v>3/8"</v>
          </cell>
          <cell r="R1028">
            <v>10</v>
          </cell>
          <cell r="S1028">
            <v>1.8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10.080000000000002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</row>
        <row r="1029">
          <cell r="B1029" t="str">
            <v>Est</v>
          </cell>
          <cell r="C1029">
            <v>1</v>
          </cell>
          <cell r="D1029">
            <v>1</v>
          </cell>
          <cell r="E1029">
            <v>0.25</v>
          </cell>
          <cell r="F1029">
            <v>0.5</v>
          </cell>
          <cell r="G1029">
            <v>2.65</v>
          </cell>
          <cell r="Q1029" t="str">
            <v>3/8"</v>
          </cell>
          <cell r="R1029">
            <v>10</v>
          </cell>
          <cell r="S1029">
            <v>1.5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8.4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</row>
        <row r="1030">
          <cell r="B1030" t="str">
            <v>Est</v>
          </cell>
          <cell r="C1030">
            <v>1</v>
          </cell>
          <cell r="D1030">
            <v>1</v>
          </cell>
          <cell r="E1030">
            <v>0.4</v>
          </cell>
          <cell r="F1030">
            <v>0.1</v>
          </cell>
          <cell r="G1030">
            <v>2.65</v>
          </cell>
          <cell r="Q1030" t="str">
            <v>3/8"</v>
          </cell>
          <cell r="R1030">
            <v>10</v>
          </cell>
          <cell r="S1030">
            <v>0.5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2.8000000000000003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</row>
        <row r="1031">
          <cell r="B1031" t="str">
            <v>Nucleo A</v>
          </cell>
          <cell r="C1031">
            <v>1</v>
          </cell>
          <cell r="D1031">
            <v>1</v>
          </cell>
          <cell r="E1031">
            <v>0.25</v>
          </cell>
          <cell r="F1031">
            <v>0.2</v>
          </cell>
          <cell r="G1031">
            <v>2.65</v>
          </cell>
          <cell r="P1031" t="str">
            <v>V</v>
          </cell>
          <cell r="Q1031" t="str">
            <v>3/4"</v>
          </cell>
          <cell r="R1031">
            <v>2</v>
          </cell>
          <cell r="S1031">
            <v>3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15.008000000000003</v>
          </cell>
          <cell r="AC1031">
            <v>0</v>
          </cell>
          <cell r="AD1031">
            <v>0</v>
          </cell>
        </row>
        <row r="1032">
          <cell r="B1032" t="str">
            <v>Nucleo A</v>
          </cell>
          <cell r="C1032">
            <v>1</v>
          </cell>
          <cell r="D1032">
            <v>1</v>
          </cell>
          <cell r="G1032">
            <v>2.65</v>
          </cell>
          <cell r="P1032" t="str">
            <v>V</v>
          </cell>
          <cell r="Q1032" t="str">
            <v>3/4"</v>
          </cell>
          <cell r="R1032">
            <v>2</v>
          </cell>
          <cell r="S1032">
            <v>3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15.008000000000003</v>
          </cell>
          <cell r="AC1032">
            <v>0</v>
          </cell>
          <cell r="AD1032">
            <v>0</v>
          </cell>
        </row>
        <row r="1033">
          <cell r="B1033" t="str">
            <v>Est</v>
          </cell>
          <cell r="C1033">
            <v>1</v>
          </cell>
          <cell r="D1033">
            <v>1</v>
          </cell>
          <cell r="E1033">
            <v>0.25</v>
          </cell>
          <cell r="F1033">
            <v>0.2</v>
          </cell>
          <cell r="G1033">
            <v>2.65</v>
          </cell>
          <cell r="Q1033" t="str">
            <v>3/8"</v>
          </cell>
          <cell r="R1033">
            <v>10</v>
          </cell>
          <cell r="S1033">
            <v>0.9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5.0400000000000009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</row>
        <row r="1034"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</row>
        <row r="1035">
          <cell r="B1035" t="str">
            <v>B2-PL-02A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</row>
        <row r="1036">
          <cell r="B1036" t="str">
            <v>Acero Vert</v>
          </cell>
          <cell r="C1036">
            <v>1</v>
          </cell>
          <cell r="D1036">
            <v>1</v>
          </cell>
          <cell r="E1036">
            <v>6</v>
          </cell>
          <cell r="F1036">
            <v>0.2</v>
          </cell>
          <cell r="G1036">
            <v>2.65</v>
          </cell>
          <cell r="H1036">
            <v>210</v>
          </cell>
          <cell r="I1036">
            <v>3.18</v>
          </cell>
          <cell r="J1036">
            <v>0</v>
          </cell>
          <cell r="K1036">
            <v>0</v>
          </cell>
          <cell r="L1036">
            <v>3.18</v>
          </cell>
          <cell r="M1036">
            <v>12.4</v>
          </cell>
          <cell r="N1036">
            <v>2.4499999999999997</v>
          </cell>
          <cell r="O1036">
            <v>30.38</v>
          </cell>
          <cell r="P1036" t="str">
            <v>V</v>
          </cell>
          <cell r="Q1036" t="str">
            <v>3/8"</v>
          </cell>
          <cell r="R1036">
            <v>38</v>
          </cell>
          <cell r="S1036">
            <v>3.15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77.671999999999997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</row>
        <row r="1037">
          <cell r="B1037" t="str">
            <v>Acero Hor</v>
          </cell>
          <cell r="C1037">
            <v>1</v>
          </cell>
          <cell r="D1037">
            <v>1</v>
          </cell>
          <cell r="E1037">
            <v>0.3</v>
          </cell>
          <cell r="F1037">
            <v>0.4</v>
          </cell>
          <cell r="G1037">
            <v>2.65</v>
          </cell>
          <cell r="H1037">
            <v>210</v>
          </cell>
          <cell r="I1037">
            <v>0.318</v>
          </cell>
          <cell r="J1037">
            <v>0</v>
          </cell>
          <cell r="K1037">
            <v>0</v>
          </cell>
          <cell r="L1037">
            <v>0.318</v>
          </cell>
          <cell r="M1037">
            <v>1.4</v>
          </cell>
          <cell r="N1037">
            <v>2.4499999999999997</v>
          </cell>
          <cell r="O1037">
            <v>3.4299999999999993</v>
          </cell>
          <cell r="P1037" t="str">
            <v>H</v>
          </cell>
          <cell r="Q1037" t="str">
            <v>3/8"</v>
          </cell>
          <cell r="R1037">
            <v>20</v>
          </cell>
          <cell r="S1037">
            <v>6.3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70.56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</row>
        <row r="1038">
          <cell r="B1038" t="str">
            <v>Nucleo A</v>
          </cell>
          <cell r="C1038">
            <v>1</v>
          </cell>
          <cell r="D1038">
            <v>1</v>
          </cell>
          <cell r="E1038">
            <v>0.4</v>
          </cell>
          <cell r="F1038">
            <v>0.5</v>
          </cell>
          <cell r="G1038">
            <v>2.65</v>
          </cell>
          <cell r="P1038" t="str">
            <v>V</v>
          </cell>
          <cell r="Q1038" t="str">
            <v>3/4"</v>
          </cell>
          <cell r="R1038">
            <v>8</v>
          </cell>
          <cell r="S1038">
            <v>3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60.032000000000011</v>
          </cell>
          <cell r="AC1038">
            <v>0</v>
          </cell>
          <cell r="AD1038">
            <v>0</v>
          </cell>
        </row>
        <row r="1039">
          <cell r="B1039" t="str">
            <v>Nucleo A</v>
          </cell>
          <cell r="C1039">
            <v>1</v>
          </cell>
          <cell r="D1039">
            <v>1</v>
          </cell>
          <cell r="G1039">
            <v>2.65</v>
          </cell>
          <cell r="P1039" t="str">
            <v>V</v>
          </cell>
          <cell r="Q1039" t="str">
            <v>3/4"</v>
          </cell>
          <cell r="R1039">
            <v>4</v>
          </cell>
          <cell r="S1039">
            <v>3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30.016000000000005</v>
          </cell>
          <cell r="AC1039">
            <v>0</v>
          </cell>
          <cell r="AD1039">
            <v>0</v>
          </cell>
        </row>
        <row r="1040">
          <cell r="B1040" t="str">
            <v>Est</v>
          </cell>
          <cell r="C1040">
            <v>1</v>
          </cell>
          <cell r="D1040">
            <v>1</v>
          </cell>
          <cell r="E1040">
            <v>0.4</v>
          </cell>
          <cell r="F1040">
            <v>0.5</v>
          </cell>
          <cell r="G1040">
            <v>2.65</v>
          </cell>
          <cell r="Q1040" t="str">
            <v>3/8"</v>
          </cell>
          <cell r="R1040">
            <v>10</v>
          </cell>
          <cell r="S1040">
            <v>1.8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10.080000000000002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</row>
        <row r="1041">
          <cell r="B1041" t="str">
            <v>Est</v>
          </cell>
          <cell r="C1041">
            <v>1</v>
          </cell>
          <cell r="D1041">
            <v>1</v>
          </cell>
          <cell r="E1041">
            <v>0.25</v>
          </cell>
          <cell r="F1041">
            <v>0.5</v>
          </cell>
          <cell r="G1041">
            <v>2.65</v>
          </cell>
          <cell r="Q1041" t="str">
            <v>3/8"</v>
          </cell>
          <cell r="R1041">
            <v>10</v>
          </cell>
          <cell r="S1041">
            <v>1.5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8.4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</row>
        <row r="1042">
          <cell r="B1042" t="str">
            <v>Est</v>
          </cell>
          <cell r="C1042">
            <v>1</v>
          </cell>
          <cell r="D1042">
            <v>1</v>
          </cell>
          <cell r="E1042">
            <v>0.4</v>
          </cell>
          <cell r="F1042">
            <v>0.1</v>
          </cell>
          <cell r="G1042">
            <v>2.65</v>
          </cell>
          <cell r="Q1042" t="str">
            <v>3/8"</v>
          </cell>
          <cell r="R1042">
            <v>10</v>
          </cell>
          <cell r="S1042">
            <v>0.5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2.8000000000000003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</row>
        <row r="1043">
          <cell r="B1043" t="str">
            <v>Nucleo A</v>
          </cell>
          <cell r="C1043">
            <v>1</v>
          </cell>
          <cell r="D1043">
            <v>1</v>
          </cell>
          <cell r="E1043">
            <v>0.25</v>
          </cell>
          <cell r="F1043">
            <v>0.2</v>
          </cell>
          <cell r="G1043">
            <v>2.65</v>
          </cell>
          <cell r="P1043" t="str">
            <v>V</v>
          </cell>
          <cell r="Q1043" t="str">
            <v>3/4"</v>
          </cell>
          <cell r="R1043">
            <v>2</v>
          </cell>
          <cell r="S1043">
            <v>3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15.008000000000003</v>
          </cell>
          <cell r="AC1043">
            <v>0</v>
          </cell>
          <cell r="AD1043">
            <v>0</v>
          </cell>
        </row>
        <row r="1044">
          <cell r="B1044" t="str">
            <v>Nucleo A</v>
          </cell>
          <cell r="C1044">
            <v>1</v>
          </cell>
          <cell r="D1044">
            <v>1</v>
          </cell>
          <cell r="G1044">
            <v>2.65</v>
          </cell>
          <cell r="P1044" t="str">
            <v>V</v>
          </cell>
          <cell r="Q1044" t="str">
            <v>3/4"</v>
          </cell>
          <cell r="R1044">
            <v>2</v>
          </cell>
          <cell r="S1044">
            <v>3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15.008000000000003</v>
          </cell>
          <cell r="AC1044">
            <v>0</v>
          </cell>
          <cell r="AD1044">
            <v>0</v>
          </cell>
        </row>
        <row r="1045">
          <cell r="B1045" t="str">
            <v>Est</v>
          </cell>
          <cell r="C1045">
            <v>1</v>
          </cell>
          <cell r="D1045">
            <v>1</v>
          </cell>
          <cell r="E1045">
            <v>0.25</v>
          </cell>
          <cell r="F1045">
            <v>0.2</v>
          </cell>
          <cell r="G1045">
            <v>2.65</v>
          </cell>
          <cell r="Q1045" t="str">
            <v>3/8"</v>
          </cell>
          <cell r="R1045">
            <v>10</v>
          </cell>
          <cell r="S1045">
            <v>0.9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5.0400000000000009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</row>
        <row r="1046">
          <cell r="B1046" t="str">
            <v>B2-PL-03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</row>
        <row r="1047">
          <cell r="B1047" t="str">
            <v>Acero Vert</v>
          </cell>
          <cell r="C1047">
            <v>1</v>
          </cell>
          <cell r="D1047">
            <v>1</v>
          </cell>
          <cell r="E1047">
            <v>4.4000000000000004</v>
          </cell>
          <cell r="F1047">
            <v>0.25</v>
          </cell>
          <cell r="G1047">
            <v>2.65</v>
          </cell>
          <cell r="H1047">
            <v>210</v>
          </cell>
          <cell r="I1047">
            <v>2.915</v>
          </cell>
          <cell r="J1047">
            <v>0</v>
          </cell>
          <cell r="K1047">
            <v>0</v>
          </cell>
          <cell r="L1047">
            <v>2.915</v>
          </cell>
          <cell r="M1047">
            <v>9.3000000000000007</v>
          </cell>
          <cell r="N1047">
            <v>2.4499999999999997</v>
          </cell>
          <cell r="O1047">
            <v>22.785</v>
          </cell>
          <cell r="P1047" t="str">
            <v>V</v>
          </cell>
          <cell r="Q1047" t="str">
            <v>3/8"</v>
          </cell>
          <cell r="R1047">
            <v>32</v>
          </cell>
          <cell r="S1047">
            <v>3.15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65.408000000000001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</row>
        <row r="1048">
          <cell r="B1048" t="str">
            <v>Acero Hor</v>
          </cell>
          <cell r="C1048">
            <v>1</v>
          </cell>
          <cell r="D1048">
            <v>1</v>
          </cell>
          <cell r="G1048">
            <v>2.65</v>
          </cell>
          <cell r="P1048" t="str">
            <v>H</v>
          </cell>
          <cell r="Q1048" t="str">
            <v>3/8"</v>
          </cell>
          <cell r="R1048">
            <v>24</v>
          </cell>
          <cell r="S1048">
            <v>4.7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63.168000000000013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</row>
        <row r="1049">
          <cell r="B1049" t="str">
            <v>Nucleo A</v>
          </cell>
          <cell r="C1049">
            <v>1</v>
          </cell>
          <cell r="D1049">
            <v>1</v>
          </cell>
          <cell r="E1049">
            <v>0.2</v>
          </cell>
          <cell r="F1049">
            <v>0.25</v>
          </cell>
          <cell r="G1049">
            <v>2.65</v>
          </cell>
          <cell r="P1049" t="str">
            <v>V</v>
          </cell>
          <cell r="Q1049" t="str">
            <v>3/4"</v>
          </cell>
          <cell r="R1049">
            <v>2</v>
          </cell>
          <cell r="S1049">
            <v>3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15.008000000000003</v>
          </cell>
          <cell r="AC1049">
            <v>0</v>
          </cell>
          <cell r="AD1049">
            <v>0</v>
          </cell>
        </row>
        <row r="1050">
          <cell r="B1050" t="str">
            <v>Nucleo A</v>
          </cell>
          <cell r="C1050">
            <v>1</v>
          </cell>
          <cell r="D1050">
            <v>1</v>
          </cell>
          <cell r="G1050">
            <v>2.65</v>
          </cell>
          <cell r="P1050" t="str">
            <v>V</v>
          </cell>
          <cell r="Q1050" t="str">
            <v>3/4"</v>
          </cell>
          <cell r="R1050">
            <v>2</v>
          </cell>
          <cell r="S1050">
            <v>3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15.008000000000003</v>
          </cell>
          <cell r="AC1050">
            <v>0</v>
          </cell>
          <cell r="AD1050">
            <v>0</v>
          </cell>
        </row>
        <row r="1051">
          <cell r="B1051" t="str">
            <v>Est</v>
          </cell>
          <cell r="C1051">
            <v>1</v>
          </cell>
          <cell r="D1051">
            <v>1</v>
          </cell>
          <cell r="E1051">
            <v>0.2</v>
          </cell>
          <cell r="F1051">
            <v>0.25</v>
          </cell>
          <cell r="G1051">
            <v>2.65</v>
          </cell>
          <cell r="Q1051" t="str">
            <v>3/8"</v>
          </cell>
          <cell r="R1051">
            <v>11</v>
          </cell>
          <cell r="S1051">
            <v>0.9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5.5440000000000005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</row>
        <row r="1052">
          <cell r="B1052" t="str">
            <v>Nucleo A</v>
          </cell>
          <cell r="C1052">
            <v>1</v>
          </cell>
          <cell r="D1052">
            <v>1</v>
          </cell>
          <cell r="E1052">
            <v>0.4</v>
          </cell>
          <cell r="F1052">
            <v>0.25</v>
          </cell>
          <cell r="G1052">
            <v>2.65</v>
          </cell>
          <cell r="P1052" t="str">
            <v>V</v>
          </cell>
          <cell r="Q1052" t="str">
            <v>3/4"</v>
          </cell>
          <cell r="R1052">
            <v>2</v>
          </cell>
          <cell r="S1052">
            <v>3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15.008000000000003</v>
          </cell>
          <cell r="AC1052">
            <v>0</v>
          </cell>
          <cell r="AD1052">
            <v>0</v>
          </cell>
        </row>
        <row r="1053">
          <cell r="B1053" t="str">
            <v>Nucleo A</v>
          </cell>
          <cell r="C1053">
            <v>1</v>
          </cell>
          <cell r="D1053">
            <v>1</v>
          </cell>
          <cell r="G1053">
            <v>2.65</v>
          </cell>
          <cell r="P1053" t="str">
            <v>V</v>
          </cell>
          <cell r="Q1053" t="str">
            <v>3/4"</v>
          </cell>
          <cell r="R1053">
            <v>2</v>
          </cell>
          <cell r="S1053">
            <v>3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15.008000000000003</v>
          </cell>
          <cell r="AC1053">
            <v>0</v>
          </cell>
          <cell r="AD1053">
            <v>0</v>
          </cell>
        </row>
        <row r="1054">
          <cell r="B1054" t="str">
            <v>Est</v>
          </cell>
          <cell r="C1054">
            <v>1</v>
          </cell>
          <cell r="D1054">
            <v>1</v>
          </cell>
          <cell r="E1054">
            <v>0.4</v>
          </cell>
          <cell r="F1054">
            <v>0.25</v>
          </cell>
          <cell r="G1054">
            <v>2.65</v>
          </cell>
          <cell r="Q1054" t="str">
            <v>3/8"</v>
          </cell>
          <cell r="R1054">
            <v>11</v>
          </cell>
          <cell r="S1054">
            <v>1.3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8.0080000000000009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</row>
        <row r="1055">
          <cell r="B1055" t="str">
            <v>Acero Vert</v>
          </cell>
          <cell r="C1055">
            <v>1</v>
          </cell>
          <cell r="D1055">
            <v>1</v>
          </cell>
          <cell r="E1055">
            <v>2.0699999999999998</v>
          </cell>
          <cell r="F1055">
            <v>0.2</v>
          </cell>
          <cell r="G1055">
            <v>2.65</v>
          </cell>
          <cell r="H1055">
            <v>210</v>
          </cell>
          <cell r="I1055">
            <v>1.0971</v>
          </cell>
          <cell r="J1055">
            <v>0</v>
          </cell>
          <cell r="K1055">
            <v>0</v>
          </cell>
          <cell r="L1055">
            <v>1.0971</v>
          </cell>
          <cell r="M1055">
            <v>4.54</v>
          </cell>
          <cell r="N1055">
            <v>2.4499999999999997</v>
          </cell>
          <cell r="O1055">
            <v>11.122999999999999</v>
          </cell>
          <cell r="P1055" t="str">
            <v>V</v>
          </cell>
          <cell r="Q1055" t="str">
            <v>3/8"</v>
          </cell>
          <cell r="R1055">
            <v>14</v>
          </cell>
          <cell r="S1055">
            <v>3.15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28.616000000000003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</row>
        <row r="1056">
          <cell r="B1056" t="str">
            <v>Acero Hor</v>
          </cell>
          <cell r="C1056">
            <v>1</v>
          </cell>
          <cell r="D1056">
            <v>1</v>
          </cell>
          <cell r="G1056">
            <v>2.65</v>
          </cell>
          <cell r="P1056" t="str">
            <v>H</v>
          </cell>
          <cell r="Q1056" t="str">
            <v>3/8"</v>
          </cell>
          <cell r="R1056">
            <v>20</v>
          </cell>
          <cell r="S1056">
            <v>2.6199999999999997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29.343999999999998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</row>
        <row r="1057">
          <cell r="B1057" t="str">
            <v>Nucleo A</v>
          </cell>
          <cell r="C1057">
            <v>1</v>
          </cell>
          <cell r="D1057">
            <v>1</v>
          </cell>
          <cell r="E1057">
            <v>0.25</v>
          </cell>
          <cell r="F1057">
            <v>0.2</v>
          </cell>
          <cell r="G1057">
            <v>2.65</v>
          </cell>
          <cell r="P1057" t="str">
            <v>V</v>
          </cell>
          <cell r="Q1057" t="str">
            <v>1"</v>
          </cell>
          <cell r="R1057">
            <v>2</v>
          </cell>
          <cell r="S1057">
            <v>3.2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29.775000000000002</v>
          </cell>
          <cell r="AD1057">
            <v>0</v>
          </cell>
        </row>
        <row r="1058">
          <cell r="B1058" t="str">
            <v>Nucleo A</v>
          </cell>
          <cell r="C1058">
            <v>1</v>
          </cell>
          <cell r="D1058">
            <v>1</v>
          </cell>
          <cell r="E1058">
            <v>0.55000000000000004</v>
          </cell>
          <cell r="F1058">
            <v>0</v>
          </cell>
          <cell r="G1058">
            <v>2.65</v>
          </cell>
          <cell r="P1058" t="str">
            <v>V</v>
          </cell>
          <cell r="Q1058" t="str">
            <v>3/4"</v>
          </cell>
          <cell r="R1058">
            <v>2</v>
          </cell>
          <cell r="S1058">
            <v>3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15.008000000000003</v>
          </cell>
          <cell r="AC1058">
            <v>0</v>
          </cell>
          <cell r="AD1058">
            <v>0</v>
          </cell>
        </row>
        <row r="1059">
          <cell r="B1059" t="str">
            <v>Est</v>
          </cell>
          <cell r="C1059">
            <v>1</v>
          </cell>
          <cell r="D1059">
            <v>1</v>
          </cell>
          <cell r="E1059">
            <v>0.25</v>
          </cell>
          <cell r="F1059">
            <v>0.2</v>
          </cell>
          <cell r="G1059">
            <v>2.65</v>
          </cell>
          <cell r="Q1059" t="str">
            <v>3/8"</v>
          </cell>
          <cell r="R1059">
            <v>10</v>
          </cell>
          <cell r="S1059">
            <v>0.9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5.0400000000000009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</row>
        <row r="1060">
          <cell r="B1060" t="str">
            <v>Acero Vert</v>
          </cell>
          <cell r="C1060">
            <v>1</v>
          </cell>
          <cell r="D1060">
            <v>1</v>
          </cell>
          <cell r="E1060">
            <v>2.0699999999999998</v>
          </cell>
          <cell r="F1060">
            <v>0.4</v>
          </cell>
          <cell r="G1060">
            <v>2.65</v>
          </cell>
          <cell r="H1060">
            <v>210</v>
          </cell>
          <cell r="I1060">
            <v>2.1941999999999999</v>
          </cell>
          <cell r="J1060">
            <v>0</v>
          </cell>
          <cell r="K1060">
            <v>0</v>
          </cell>
          <cell r="L1060">
            <v>2.1941999999999999</v>
          </cell>
          <cell r="M1060">
            <v>4.9399999999999995</v>
          </cell>
          <cell r="N1060">
            <v>2.4499999999999997</v>
          </cell>
          <cell r="O1060">
            <v>12.102999999999998</v>
          </cell>
          <cell r="P1060" t="str">
            <v>V</v>
          </cell>
          <cell r="Q1060" t="str">
            <v>1/2"</v>
          </cell>
          <cell r="R1060">
            <v>14</v>
          </cell>
          <cell r="S1060">
            <v>3.15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47.124000000000002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</row>
        <row r="1061">
          <cell r="B1061" t="str">
            <v>Acero Hor</v>
          </cell>
          <cell r="C1061">
            <v>1</v>
          </cell>
          <cell r="D1061">
            <v>1</v>
          </cell>
          <cell r="G1061">
            <v>2.65</v>
          </cell>
          <cell r="P1061" t="str">
            <v>H</v>
          </cell>
          <cell r="Q1061" t="str">
            <v>1/2"</v>
          </cell>
          <cell r="R1061">
            <v>20</v>
          </cell>
          <cell r="S1061">
            <v>2.6199999999999997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51.875999999999991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</row>
        <row r="1062">
          <cell r="B1062" t="str">
            <v>Nucleo A</v>
          </cell>
          <cell r="C1062">
            <v>1</v>
          </cell>
          <cell r="D1062">
            <v>1</v>
          </cell>
          <cell r="E1062">
            <v>0.25</v>
          </cell>
          <cell r="F1062">
            <v>0.4</v>
          </cell>
          <cell r="G1062">
            <v>2.65</v>
          </cell>
          <cell r="P1062" t="str">
            <v>V</v>
          </cell>
          <cell r="Q1062" t="str">
            <v>1"</v>
          </cell>
          <cell r="R1062">
            <v>4</v>
          </cell>
          <cell r="S1062">
            <v>3.2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59.550000000000004</v>
          </cell>
          <cell r="AD1062">
            <v>0</v>
          </cell>
        </row>
        <row r="1063">
          <cell r="B1063" t="str">
            <v>Nucleo A</v>
          </cell>
          <cell r="C1063">
            <v>1</v>
          </cell>
          <cell r="D1063">
            <v>1</v>
          </cell>
          <cell r="F1063">
            <v>0</v>
          </cell>
          <cell r="G1063">
            <v>2.65</v>
          </cell>
          <cell r="P1063" t="str">
            <v>V</v>
          </cell>
          <cell r="Q1063" t="str">
            <v>3/4"</v>
          </cell>
          <cell r="R1063">
            <v>4</v>
          </cell>
          <cell r="S1063">
            <v>3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30.016000000000005</v>
          </cell>
          <cell r="AC1063">
            <v>0</v>
          </cell>
          <cell r="AD1063">
            <v>0</v>
          </cell>
        </row>
        <row r="1064">
          <cell r="B1064" t="str">
            <v>Est</v>
          </cell>
          <cell r="C1064">
            <v>1</v>
          </cell>
          <cell r="D1064">
            <v>1</v>
          </cell>
          <cell r="E1064">
            <v>0.25</v>
          </cell>
          <cell r="F1064">
            <v>0.4</v>
          </cell>
          <cell r="G1064">
            <v>2.65</v>
          </cell>
          <cell r="Q1064" t="str">
            <v>3/8"</v>
          </cell>
          <cell r="R1064">
            <v>10</v>
          </cell>
          <cell r="S1064">
            <v>1.3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7.2800000000000011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</row>
        <row r="1065">
          <cell r="B1065" t="str">
            <v>Est</v>
          </cell>
          <cell r="C1065">
            <v>1</v>
          </cell>
          <cell r="D1065">
            <v>1</v>
          </cell>
          <cell r="E1065">
            <v>0.25</v>
          </cell>
          <cell r="F1065">
            <v>0.25</v>
          </cell>
          <cell r="G1065">
            <v>2.65</v>
          </cell>
          <cell r="Q1065" t="str">
            <v>3/8"</v>
          </cell>
          <cell r="R1065">
            <v>10</v>
          </cell>
          <cell r="S1065">
            <v>1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5.6000000000000005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</row>
        <row r="1066"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</row>
        <row r="1067">
          <cell r="B1067" t="str">
            <v>12 PISO</v>
          </cell>
          <cell r="H1067">
            <v>210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</row>
        <row r="1068"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</row>
        <row r="1069">
          <cell r="B1069" t="str">
            <v>B2-PL-01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</row>
        <row r="1070">
          <cell r="B1070" t="str">
            <v>Acero Vert</v>
          </cell>
          <cell r="C1070">
            <v>2</v>
          </cell>
          <cell r="D1070">
            <v>1</v>
          </cell>
          <cell r="E1070">
            <v>6.05</v>
          </cell>
          <cell r="F1070">
            <v>0.2</v>
          </cell>
          <cell r="G1070">
            <v>2.65</v>
          </cell>
          <cell r="H1070">
            <v>210</v>
          </cell>
          <cell r="I1070">
            <v>6.4129999999999994</v>
          </cell>
          <cell r="J1070">
            <v>0</v>
          </cell>
          <cell r="K1070">
            <v>0</v>
          </cell>
          <cell r="L1070">
            <v>6.4129999999999994</v>
          </cell>
          <cell r="M1070">
            <v>12.5</v>
          </cell>
          <cell r="N1070">
            <v>2.4499999999999997</v>
          </cell>
          <cell r="O1070">
            <v>61.249999999999993</v>
          </cell>
          <cell r="P1070" t="str">
            <v>V</v>
          </cell>
          <cell r="Q1070" t="str">
            <v>3/8"</v>
          </cell>
          <cell r="R1070">
            <v>40</v>
          </cell>
          <cell r="S1070">
            <v>3.15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163.52000000000001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</row>
        <row r="1071">
          <cell r="B1071" t="str">
            <v>Acero Hor</v>
          </cell>
          <cell r="C1071">
            <v>2</v>
          </cell>
          <cell r="D1071">
            <v>1</v>
          </cell>
          <cell r="G1071">
            <v>2.65</v>
          </cell>
          <cell r="P1071" t="str">
            <v>H</v>
          </cell>
          <cell r="Q1071" t="str">
            <v>3/8"</v>
          </cell>
          <cell r="R1071">
            <v>20</v>
          </cell>
          <cell r="S1071">
            <v>6.55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146.72000000000003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</row>
        <row r="1072">
          <cell r="B1072" t="str">
            <v>Nucleo A</v>
          </cell>
          <cell r="C1072">
            <v>2</v>
          </cell>
          <cell r="D1072">
            <v>1</v>
          </cell>
          <cell r="E1072">
            <v>0.25</v>
          </cell>
          <cell r="F1072">
            <v>0.2</v>
          </cell>
          <cell r="G1072">
            <v>2.65</v>
          </cell>
          <cell r="P1072" t="str">
            <v>V</v>
          </cell>
          <cell r="Q1072" t="str">
            <v>3/4"</v>
          </cell>
          <cell r="R1072">
            <v>2</v>
          </cell>
          <cell r="S1072">
            <v>3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30.016000000000005</v>
          </cell>
          <cell r="AC1072">
            <v>0</v>
          </cell>
          <cell r="AD1072">
            <v>0</v>
          </cell>
        </row>
        <row r="1073">
          <cell r="B1073" t="str">
            <v>Nucleo A</v>
          </cell>
          <cell r="C1073">
            <v>2</v>
          </cell>
          <cell r="D1073">
            <v>1</v>
          </cell>
          <cell r="G1073">
            <v>2.65</v>
          </cell>
          <cell r="P1073" t="str">
            <v>V</v>
          </cell>
          <cell r="Q1073" t="str">
            <v>3/4"</v>
          </cell>
          <cell r="R1073">
            <v>2</v>
          </cell>
          <cell r="S1073">
            <v>3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30.016000000000005</v>
          </cell>
          <cell r="AC1073">
            <v>0</v>
          </cell>
          <cell r="AD1073">
            <v>0</v>
          </cell>
        </row>
        <row r="1074">
          <cell r="B1074" t="str">
            <v>Est</v>
          </cell>
          <cell r="C1074">
            <v>2</v>
          </cell>
          <cell r="D1074">
            <v>1</v>
          </cell>
          <cell r="E1074">
            <v>0.25</v>
          </cell>
          <cell r="F1074">
            <v>0.2</v>
          </cell>
          <cell r="G1074">
            <v>2.65</v>
          </cell>
          <cell r="Q1074" t="str">
            <v>3/8"</v>
          </cell>
          <cell r="R1074">
            <v>10</v>
          </cell>
          <cell r="S1074">
            <v>0.9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10.080000000000002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</row>
        <row r="1075">
          <cell r="B1075" t="str">
            <v>Nucleo A</v>
          </cell>
          <cell r="C1075">
            <v>2</v>
          </cell>
          <cell r="D1075">
            <v>1</v>
          </cell>
          <cell r="E1075">
            <v>0.25</v>
          </cell>
          <cell r="F1075">
            <v>0.2</v>
          </cell>
          <cell r="G1075">
            <v>2.65</v>
          </cell>
          <cell r="P1075" t="str">
            <v>V</v>
          </cell>
          <cell r="Q1075" t="str">
            <v>3/4"</v>
          </cell>
          <cell r="R1075">
            <v>2</v>
          </cell>
          <cell r="S1075">
            <v>3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30.016000000000005</v>
          </cell>
          <cell r="AC1075">
            <v>0</v>
          </cell>
          <cell r="AD1075">
            <v>0</v>
          </cell>
        </row>
        <row r="1076">
          <cell r="B1076" t="str">
            <v>Nucleo A</v>
          </cell>
          <cell r="C1076">
            <v>2</v>
          </cell>
          <cell r="D1076">
            <v>1</v>
          </cell>
          <cell r="G1076">
            <v>2.65</v>
          </cell>
          <cell r="P1076" t="str">
            <v>V</v>
          </cell>
          <cell r="Q1076" t="str">
            <v>3/4"</v>
          </cell>
          <cell r="R1076">
            <v>2</v>
          </cell>
          <cell r="S1076">
            <v>3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30.016000000000005</v>
          </cell>
          <cell r="AC1076">
            <v>0</v>
          </cell>
          <cell r="AD1076">
            <v>0</v>
          </cell>
        </row>
        <row r="1077">
          <cell r="B1077" t="str">
            <v>Est</v>
          </cell>
          <cell r="C1077">
            <v>2</v>
          </cell>
          <cell r="D1077">
            <v>1</v>
          </cell>
          <cell r="E1077">
            <v>0.25</v>
          </cell>
          <cell r="F1077">
            <v>0.2</v>
          </cell>
          <cell r="G1077">
            <v>2.65</v>
          </cell>
          <cell r="Q1077" t="str">
            <v>3/8"</v>
          </cell>
          <cell r="R1077">
            <v>10</v>
          </cell>
          <cell r="S1077">
            <v>0.9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10.080000000000002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</row>
        <row r="1078"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</row>
        <row r="1079">
          <cell r="B1079" t="str">
            <v>B2-PL-02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</row>
        <row r="1080">
          <cell r="B1080" t="str">
            <v>Acero Vert</v>
          </cell>
          <cell r="C1080">
            <v>1</v>
          </cell>
          <cell r="D1080">
            <v>1</v>
          </cell>
          <cell r="E1080">
            <v>6</v>
          </cell>
          <cell r="F1080">
            <v>0.2</v>
          </cell>
          <cell r="G1080">
            <v>2.65</v>
          </cell>
          <cell r="H1080">
            <v>210</v>
          </cell>
          <cell r="I1080">
            <v>3.18</v>
          </cell>
          <cell r="J1080">
            <v>0</v>
          </cell>
          <cell r="K1080">
            <v>0</v>
          </cell>
          <cell r="L1080">
            <v>3.18</v>
          </cell>
          <cell r="M1080">
            <v>12.4</v>
          </cell>
          <cell r="N1080">
            <v>2.4499999999999997</v>
          </cell>
          <cell r="O1080">
            <v>30.38</v>
          </cell>
          <cell r="P1080" t="str">
            <v>V</v>
          </cell>
          <cell r="Q1080" t="str">
            <v>3/8"</v>
          </cell>
          <cell r="R1080">
            <v>38</v>
          </cell>
          <cell r="S1080">
            <v>3.15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77.671999999999997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</row>
        <row r="1081">
          <cell r="B1081" t="str">
            <v>Acero Hor</v>
          </cell>
          <cell r="C1081">
            <v>1</v>
          </cell>
          <cell r="D1081">
            <v>1</v>
          </cell>
          <cell r="E1081">
            <v>0.3</v>
          </cell>
          <cell r="F1081">
            <v>0.4</v>
          </cell>
          <cell r="G1081">
            <v>2.65</v>
          </cell>
          <cell r="H1081">
            <v>210</v>
          </cell>
          <cell r="I1081">
            <v>0.318</v>
          </cell>
          <cell r="J1081">
            <v>0</v>
          </cell>
          <cell r="K1081">
            <v>0</v>
          </cell>
          <cell r="L1081">
            <v>0.318</v>
          </cell>
          <cell r="M1081">
            <v>1.4</v>
          </cell>
          <cell r="N1081">
            <v>2.4499999999999997</v>
          </cell>
          <cell r="O1081">
            <v>3.4299999999999993</v>
          </cell>
          <cell r="P1081" t="str">
            <v>H</v>
          </cell>
          <cell r="Q1081" t="str">
            <v>3/8"</v>
          </cell>
          <cell r="R1081">
            <v>20</v>
          </cell>
          <cell r="S1081">
            <v>6.3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70.56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</row>
        <row r="1082">
          <cell r="B1082" t="str">
            <v>Nucleo A</v>
          </cell>
          <cell r="C1082">
            <v>1</v>
          </cell>
          <cell r="D1082">
            <v>1</v>
          </cell>
          <cell r="E1082">
            <v>0.4</v>
          </cell>
          <cell r="F1082">
            <v>0.5</v>
          </cell>
          <cell r="G1082">
            <v>2.65</v>
          </cell>
          <cell r="P1082" t="str">
            <v>V</v>
          </cell>
          <cell r="Q1082" t="str">
            <v>3/4"</v>
          </cell>
          <cell r="R1082">
            <v>8</v>
          </cell>
          <cell r="S1082">
            <v>3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60.032000000000011</v>
          </cell>
          <cell r="AC1082">
            <v>0</v>
          </cell>
          <cell r="AD1082">
            <v>0</v>
          </cell>
        </row>
        <row r="1083">
          <cell r="B1083" t="str">
            <v>Nucleo A</v>
          </cell>
          <cell r="C1083">
            <v>1</v>
          </cell>
          <cell r="D1083">
            <v>1</v>
          </cell>
          <cell r="G1083">
            <v>2.65</v>
          </cell>
          <cell r="P1083" t="str">
            <v>V</v>
          </cell>
          <cell r="Q1083" t="str">
            <v>3/4"</v>
          </cell>
          <cell r="R1083">
            <v>4</v>
          </cell>
          <cell r="S1083">
            <v>3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30.016000000000005</v>
          </cell>
          <cell r="AC1083">
            <v>0</v>
          </cell>
          <cell r="AD1083">
            <v>0</v>
          </cell>
        </row>
        <row r="1084">
          <cell r="B1084" t="str">
            <v>Est</v>
          </cell>
          <cell r="C1084">
            <v>1</v>
          </cell>
          <cell r="D1084">
            <v>1</v>
          </cell>
          <cell r="E1084">
            <v>0.4</v>
          </cell>
          <cell r="F1084">
            <v>0.5</v>
          </cell>
          <cell r="G1084">
            <v>2.65</v>
          </cell>
          <cell r="Q1084" t="str">
            <v>3/8"</v>
          </cell>
          <cell r="R1084">
            <v>10</v>
          </cell>
          <cell r="S1084">
            <v>1.8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10.080000000000002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</row>
        <row r="1085">
          <cell r="B1085" t="str">
            <v>Est</v>
          </cell>
          <cell r="C1085">
            <v>1</v>
          </cell>
          <cell r="D1085">
            <v>1</v>
          </cell>
          <cell r="E1085">
            <v>0.25</v>
          </cell>
          <cell r="F1085">
            <v>0.5</v>
          </cell>
          <cell r="G1085">
            <v>2.65</v>
          </cell>
          <cell r="Q1085" t="str">
            <v>3/8"</v>
          </cell>
          <cell r="R1085">
            <v>10</v>
          </cell>
          <cell r="S1085">
            <v>1.5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8.4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</row>
        <row r="1086">
          <cell r="B1086" t="str">
            <v>Est</v>
          </cell>
          <cell r="C1086">
            <v>1</v>
          </cell>
          <cell r="D1086">
            <v>1</v>
          </cell>
          <cell r="E1086">
            <v>0.4</v>
          </cell>
          <cell r="F1086">
            <v>0.1</v>
          </cell>
          <cell r="G1086">
            <v>2.65</v>
          </cell>
          <cell r="Q1086" t="str">
            <v>3/8"</v>
          </cell>
          <cell r="R1086">
            <v>10</v>
          </cell>
          <cell r="S1086">
            <v>0.5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2.8000000000000003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</row>
        <row r="1087">
          <cell r="B1087" t="str">
            <v>Nucleo A</v>
          </cell>
          <cell r="C1087">
            <v>1</v>
          </cell>
          <cell r="D1087">
            <v>1</v>
          </cell>
          <cell r="E1087">
            <v>0.25</v>
          </cell>
          <cell r="F1087">
            <v>0.2</v>
          </cell>
          <cell r="G1087">
            <v>2.65</v>
          </cell>
          <cell r="P1087" t="str">
            <v>V</v>
          </cell>
          <cell r="Q1087" t="str">
            <v>3/4"</v>
          </cell>
          <cell r="R1087">
            <v>2</v>
          </cell>
          <cell r="S1087">
            <v>3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15.008000000000003</v>
          </cell>
          <cell r="AC1087">
            <v>0</v>
          </cell>
          <cell r="AD1087">
            <v>0</v>
          </cell>
        </row>
        <row r="1088">
          <cell r="B1088" t="str">
            <v>Nucleo A</v>
          </cell>
          <cell r="C1088">
            <v>1</v>
          </cell>
          <cell r="D1088">
            <v>1</v>
          </cell>
          <cell r="G1088">
            <v>2.65</v>
          </cell>
          <cell r="P1088" t="str">
            <v>V</v>
          </cell>
          <cell r="Q1088" t="str">
            <v>3/4"</v>
          </cell>
          <cell r="R1088">
            <v>2</v>
          </cell>
          <cell r="S1088">
            <v>3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15.008000000000003</v>
          </cell>
          <cell r="AC1088">
            <v>0</v>
          </cell>
          <cell r="AD1088">
            <v>0</v>
          </cell>
        </row>
        <row r="1089">
          <cell r="B1089" t="str">
            <v>Est</v>
          </cell>
          <cell r="C1089">
            <v>1</v>
          </cell>
          <cell r="D1089">
            <v>1</v>
          </cell>
          <cell r="E1089">
            <v>0.25</v>
          </cell>
          <cell r="F1089">
            <v>0.2</v>
          </cell>
          <cell r="G1089">
            <v>2.65</v>
          </cell>
          <cell r="Q1089" t="str">
            <v>3/8"</v>
          </cell>
          <cell r="R1089">
            <v>10</v>
          </cell>
          <cell r="S1089">
            <v>0.9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5.0400000000000009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</row>
        <row r="1090"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</row>
        <row r="1091">
          <cell r="B1091" t="str">
            <v>B2-PL-02A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</row>
        <row r="1092">
          <cell r="B1092" t="str">
            <v>Acero Vert</v>
          </cell>
          <cell r="C1092">
            <v>1</v>
          </cell>
          <cell r="D1092">
            <v>1</v>
          </cell>
          <cell r="E1092">
            <v>6</v>
          </cell>
          <cell r="F1092">
            <v>0.2</v>
          </cell>
          <cell r="G1092">
            <v>2.65</v>
          </cell>
          <cell r="H1092">
            <v>210</v>
          </cell>
          <cell r="I1092">
            <v>3.18</v>
          </cell>
          <cell r="J1092">
            <v>0</v>
          </cell>
          <cell r="K1092">
            <v>0</v>
          </cell>
          <cell r="L1092">
            <v>3.18</v>
          </cell>
          <cell r="M1092">
            <v>12.4</v>
          </cell>
          <cell r="N1092">
            <v>2.4499999999999997</v>
          </cell>
          <cell r="O1092">
            <v>30.38</v>
          </cell>
          <cell r="P1092" t="str">
            <v>V</v>
          </cell>
          <cell r="Q1092" t="str">
            <v>3/8"</v>
          </cell>
          <cell r="R1092">
            <v>38</v>
          </cell>
          <cell r="S1092">
            <v>3.15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77.671999999999997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</row>
        <row r="1093">
          <cell r="B1093" t="str">
            <v>Acero Hor</v>
          </cell>
          <cell r="C1093">
            <v>1</v>
          </cell>
          <cell r="D1093">
            <v>1</v>
          </cell>
          <cell r="E1093">
            <v>0.3</v>
          </cell>
          <cell r="F1093">
            <v>0.4</v>
          </cell>
          <cell r="G1093">
            <v>2.65</v>
          </cell>
          <cell r="H1093">
            <v>210</v>
          </cell>
          <cell r="I1093">
            <v>0.318</v>
          </cell>
          <cell r="J1093">
            <v>0</v>
          </cell>
          <cell r="K1093">
            <v>0</v>
          </cell>
          <cell r="L1093">
            <v>0.318</v>
          </cell>
          <cell r="M1093">
            <v>1.4</v>
          </cell>
          <cell r="N1093">
            <v>2.4499999999999997</v>
          </cell>
          <cell r="O1093">
            <v>3.4299999999999993</v>
          </cell>
          <cell r="P1093" t="str">
            <v>H</v>
          </cell>
          <cell r="Q1093" t="str">
            <v>3/8"</v>
          </cell>
          <cell r="R1093">
            <v>20</v>
          </cell>
          <cell r="S1093">
            <v>6.3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70.56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</row>
        <row r="1094">
          <cell r="B1094" t="str">
            <v>Nucleo A</v>
          </cell>
          <cell r="C1094">
            <v>1</v>
          </cell>
          <cell r="D1094">
            <v>1</v>
          </cell>
          <cell r="E1094">
            <v>0.4</v>
          </cell>
          <cell r="F1094">
            <v>0.5</v>
          </cell>
          <cell r="G1094">
            <v>2.65</v>
          </cell>
          <cell r="P1094" t="str">
            <v>V</v>
          </cell>
          <cell r="Q1094" t="str">
            <v>3/4"</v>
          </cell>
          <cell r="R1094">
            <v>8</v>
          </cell>
          <cell r="S1094">
            <v>3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60.032000000000011</v>
          </cell>
          <cell r="AC1094">
            <v>0</v>
          </cell>
          <cell r="AD1094">
            <v>0</v>
          </cell>
        </row>
        <row r="1095">
          <cell r="B1095" t="str">
            <v>Nucleo A</v>
          </cell>
          <cell r="C1095">
            <v>1</v>
          </cell>
          <cell r="D1095">
            <v>1</v>
          </cell>
          <cell r="G1095">
            <v>2.65</v>
          </cell>
          <cell r="P1095" t="str">
            <v>V</v>
          </cell>
          <cell r="Q1095" t="str">
            <v>3/4"</v>
          </cell>
          <cell r="R1095">
            <v>4</v>
          </cell>
          <cell r="S1095">
            <v>3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30.016000000000005</v>
          </cell>
          <cell r="AC1095">
            <v>0</v>
          </cell>
          <cell r="AD1095">
            <v>0</v>
          </cell>
        </row>
        <row r="1096">
          <cell r="B1096" t="str">
            <v>Est</v>
          </cell>
          <cell r="C1096">
            <v>1</v>
          </cell>
          <cell r="D1096">
            <v>1</v>
          </cell>
          <cell r="E1096">
            <v>0.4</v>
          </cell>
          <cell r="F1096">
            <v>0.5</v>
          </cell>
          <cell r="G1096">
            <v>2.65</v>
          </cell>
          <cell r="Q1096" t="str">
            <v>3/8"</v>
          </cell>
          <cell r="R1096">
            <v>10</v>
          </cell>
          <cell r="S1096">
            <v>1.8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10.080000000000002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</row>
        <row r="1097">
          <cell r="B1097" t="str">
            <v>Est</v>
          </cell>
          <cell r="C1097">
            <v>1</v>
          </cell>
          <cell r="D1097">
            <v>1</v>
          </cell>
          <cell r="E1097">
            <v>0.25</v>
          </cell>
          <cell r="F1097">
            <v>0.5</v>
          </cell>
          <cell r="G1097">
            <v>2.65</v>
          </cell>
          <cell r="Q1097" t="str">
            <v>3/8"</v>
          </cell>
          <cell r="R1097">
            <v>10</v>
          </cell>
          <cell r="S1097">
            <v>1.5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8.4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</row>
        <row r="1098">
          <cell r="B1098" t="str">
            <v>Est</v>
          </cell>
          <cell r="C1098">
            <v>1</v>
          </cell>
          <cell r="D1098">
            <v>1</v>
          </cell>
          <cell r="E1098">
            <v>0.4</v>
          </cell>
          <cell r="F1098">
            <v>0.1</v>
          </cell>
          <cell r="G1098">
            <v>2.65</v>
          </cell>
          <cell r="Q1098" t="str">
            <v>3/8"</v>
          </cell>
          <cell r="R1098">
            <v>10</v>
          </cell>
          <cell r="S1098">
            <v>0.5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2.8000000000000003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</row>
        <row r="1099">
          <cell r="B1099" t="str">
            <v>Nucleo A</v>
          </cell>
          <cell r="C1099">
            <v>1</v>
          </cell>
          <cell r="D1099">
            <v>1</v>
          </cell>
          <cell r="E1099">
            <v>0.25</v>
          </cell>
          <cell r="F1099">
            <v>0.2</v>
          </cell>
          <cell r="G1099">
            <v>2.65</v>
          </cell>
          <cell r="P1099" t="str">
            <v>V</v>
          </cell>
          <cell r="Q1099" t="str">
            <v>3/4"</v>
          </cell>
          <cell r="R1099">
            <v>2</v>
          </cell>
          <cell r="S1099">
            <v>3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15.008000000000003</v>
          </cell>
          <cell r="AC1099">
            <v>0</v>
          </cell>
          <cell r="AD1099">
            <v>0</v>
          </cell>
        </row>
        <row r="1100">
          <cell r="B1100" t="str">
            <v>Nucleo A</v>
          </cell>
          <cell r="C1100">
            <v>1</v>
          </cell>
          <cell r="D1100">
            <v>1</v>
          </cell>
          <cell r="G1100">
            <v>2.65</v>
          </cell>
          <cell r="P1100" t="str">
            <v>V</v>
          </cell>
          <cell r="Q1100" t="str">
            <v>3/4"</v>
          </cell>
          <cell r="R1100">
            <v>2</v>
          </cell>
          <cell r="S1100">
            <v>3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15.008000000000003</v>
          </cell>
          <cell r="AC1100">
            <v>0</v>
          </cell>
          <cell r="AD1100">
            <v>0</v>
          </cell>
        </row>
        <row r="1101">
          <cell r="B1101" t="str">
            <v>Est</v>
          </cell>
          <cell r="C1101">
            <v>1</v>
          </cell>
          <cell r="D1101">
            <v>1</v>
          </cell>
          <cell r="E1101">
            <v>0.25</v>
          </cell>
          <cell r="F1101">
            <v>0.2</v>
          </cell>
          <cell r="G1101">
            <v>2.65</v>
          </cell>
          <cell r="Q1101" t="str">
            <v>3/8"</v>
          </cell>
          <cell r="R1101">
            <v>10</v>
          </cell>
          <cell r="S1101">
            <v>0.9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5.0400000000000009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</row>
        <row r="1102">
          <cell r="B1102" t="str">
            <v>B2-PL-03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</row>
        <row r="1103">
          <cell r="B1103" t="str">
            <v>Acero Vert</v>
          </cell>
          <cell r="C1103">
            <v>1</v>
          </cell>
          <cell r="D1103">
            <v>1</v>
          </cell>
          <cell r="E1103">
            <v>4.4000000000000004</v>
          </cell>
          <cell r="F1103">
            <v>0.25</v>
          </cell>
          <cell r="G1103">
            <v>2.65</v>
          </cell>
          <cell r="H1103">
            <v>210</v>
          </cell>
          <cell r="I1103">
            <v>2.915</v>
          </cell>
          <cell r="J1103">
            <v>0</v>
          </cell>
          <cell r="K1103">
            <v>0</v>
          </cell>
          <cell r="L1103">
            <v>2.915</v>
          </cell>
          <cell r="M1103">
            <v>9.3000000000000007</v>
          </cell>
          <cell r="N1103">
            <v>2.4499999999999997</v>
          </cell>
          <cell r="O1103">
            <v>22.785</v>
          </cell>
          <cell r="P1103" t="str">
            <v>V</v>
          </cell>
          <cell r="Q1103" t="str">
            <v>3/8"</v>
          </cell>
          <cell r="R1103">
            <v>32</v>
          </cell>
          <cell r="S1103">
            <v>3.15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65.408000000000001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</row>
        <row r="1104">
          <cell r="B1104" t="str">
            <v>Acero Hor</v>
          </cell>
          <cell r="C1104">
            <v>1</v>
          </cell>
          <cell r="D1104">
            <v>1</v>
          </cell>
          <cell r="G1104">
            <v>2.65</v>
          </cell>
          <cell r="P1104" t="str">
            <v>H</v>
          </cell>
          <cell r="Q1104" t="str">
            <v>3/8"</v>
          </cell>
          <cell r="R1104">
            <v>24</v>
          </cell>
          <cell r="S1104">
            <v>4.7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63.168000000000013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</row>
        <row r="1105">
          <cell r="B1105" t="str">
            <v>Nucleo A</v>
          </cell>
          <cell r="C1105">
            <v>1</v>
          </cell>
          <cell r="D1105">
            <v>1</v>
          </cell>
          <cell r="E1105">
            <v>0.2</v>
          </cell>
          <cell r="F1105">
            <v>0.25</v>
          </cell>
          <cell r="G1105">
            <v>2.65</v>
          </cell>
          <cell r="P1105" t="str">
            <v>V</v>
          </cell>
          <cell r="Q1105" t="str">
            <v>3/4"</v>
          </cell>
          <cell r="R1105">
            <v>2</v>
          </cell>
          <cell r="S1105">
            <v>3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15.008000000000003</v>
          </cell>
          <cell r="AC1105">
            <v>0</v>
          </cell>
          <cell r="AD1105">
            <v>0</v>
          </cell>
        </row>
        <row r="1106">
          <cell r="B1106" t="str">
            <v>Nucleo A</v>
          </cell>
          <cell r="C1106">
            <v>1</v>
          </cell>
          <cell r="D1106">
            <v>1</v>
          </cell>
          <cell r="G1106">
            <v>2.65</v>
          </cell>
          <cell r="P1106" t="str">
            <v>V</v>
          </cell>
          <cell r="Q1106" t="str">
            <v>3/4"</v>
          </cell>
          <cell r="R1106">
            <v>2</v>
          </cell>
          <cell r="S1106">
            <v>3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15.008000000000003</v>
          </cell>
          <cell r="AC1106">
            <v>0</v>
          </cell>
          <cell r="AD1106">
            <v>0</v>
          </cell>
        </row>
        <row r="1107">
          <cell r="B1107" t="str">
            <v>Est</v>
          </cell>
          <cell r="C1107">
            <v>1</v>
          </cell>
          <cell r="D1107">
            <v>1</v>
          </cell>
          <cell r="E1107">
            <v>0.2</v>
          </cell>
          <cell r="F1107">
            <v>0.25</v>
          </cell>
          <cell r="G1107">
            <v>2.65</v>
          </cell>
          <cell r="Q1107" t="str">
            <v>3/8"</v>
          </cell>
          <cell r="R1107">
            <v>11</v>
          </cell>
          <cell r="S1107">
            <v>0.9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5.5440000000000005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</row>
        <row r="1108">
          <cell r="B1108" t="str">
            <v>Nucleo A</v>
          </cell>
          <cell r="C1108">
            <v>1</v>
          </cell>
          <cell r="D1108">
            <v>1</v>
          </cell>
          <cell r="E1108">
            <v>0.4</v>
          </cell>
          <cell r="F1108">
            <v>0.25</v>
          </cell>
          <cell r="G1108">
            <v>2.65</v>
          </cell>
          <cell r="P1108" t="str">
            <v>V</v>
          </cell>
          <cell r="Q1108" t="str">
            <v>3/4"</v>
          </cell>
          <cell r="R1108">
            <v>2</v>
          </cell>
          <cell r="S1108">
            <v>3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15.008000000000003</v>
          </cell>
          <cell r="AC1108">
            <v>0</v>
          </cell>
          <cell r="AD1108">
            <v>0</v>
          </cell>
        </row>
        <row r="1109">
          <cell r="B1109" t="str">
            <v>Nucleo A</v>
          </cell>
          <cell r="C1109">
            <v>1</v>
          </cell>
          <cell r="D1109">
            <v>1</v>
          </cell>
          <cell r="G1109">
            <v>2.65</v>
          </cell>
          <cell r="P1109" t="str">
            <v>V</v>
          </cell>
          <cell r="Q1109" t="str">
            <v>3/4"</v>
          </cell>
          <cell r="R1109">
            <v>2</v>
          </cell>
          <cell r="S1109">
            <v>3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15.008000000000003</v>
          </cell>
          <cell r="AC1109">
            <v>0</v>
          </cell>
          <cell r="AD1109">
            <v>0</v>
          </cell>
        </row>
        <row r="1110">
          <cell r="B1110" t="str">
            <v>Est</v>
          </cell>
          <cell r="C1110">
            <v>1</v>
          </cell>
          <cell r="D1110">
            <v>1</v>
          </cell>
          <cell r="E1110">
            <v>0.4</v>
          </cell>
          <cell r="F1110">
            <v>0.25</v>
          </cell>
          <cell r="G1110">
            <v>2.65</v>
          </cell>
          <cell r="Q1110" t="str">
            <v>3/8"</v>
          </cell>
          <cell r="R1110">
            <v>11</v>
          </cell>
          <cell r="S1110">
            <v>1.3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8.0080000000000009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</row>
        <row r="1111">
          <cell r="B1111" t="str">
            <v>Acero Vert</v>
          </cell>
          <cell r="C1111">
            <v>1</v>
          </cell>
          <cell r="D1111">
            <v>1</v>
          </cell>
          <cell r="E1111">
            <v>2.0699999999999998</v>
          </cell>
          <cell r="F1111">
            <v>0.2</v>
          </cell>
          <cell r="G1111">
            <v>2.65</v>
          </cell>
          <cell r="H1111">
            <v>210</v>
          </cell>
          <cell r="I1111">
            <v>1.0971</v>
          </cell>
          <cell r="J1111">
            <v>0</v>
          </cell>
          <cell r="K1111">
            <v>0</v>
          </cell>
          <cell r="L1111">
            <v>1.0971</v>
          </cell>
          <cell r="M1111">
            <v>4.54</v>
          </cell>
          <cell r="N1111">
            <v>2.4499999999999997</v>
          </cell>
          <cell r="O1111">
            <v>11.122999999999999</v>
          </cell>
          <cell r="P1111" t="str">
            <v>V</v>
          </cell>
          <cell r="Q1111" t="str">
            <v>3/8"</v>
          </cell>
          <cell r="R1111">
            <v>14</v>
          </cell>
          <cell r="S1111">
            <v>3.15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28.616000000000003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</row>
        <row r="1112">
          <cell r="B1112" t="str">
            <v>Acero Hor</v>
          </cell>
          <cell r="C1112">
            <v>1</v>
          </cell>
          <cell r="D1112">
            <v>1</v>
          </cell>
          <cell r="G1112">
            <v>2.65</v>
          </cell>
          <cell r="P1112" t="str">
            <v>H</v>
          </cell>
          <cell r="Q1112" t="str">
            <v>3/8"</v>
          </cell>
          <cell r="R1112">
            <v>20</v>
          </cell>
          <cell r="S1112">
            <v>2.6199999999999997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29.343999999999998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</row>
        <row r="1113">
          <cell r="B1113" t="str">
            <v>Nucleo A</v>
          </cell>
          <cell r="C1113">
            <v>1</v>
          </cell>
          <cell r="D1113">
            <v>1</v>
          </cell>
          <cell r="E1113">
            <v>0.25</v>
          </cell>
          <cell r="F1113">
            <v>0.2</v>
          </cell>
          <cell r="G1113">
            <v>2.65</v>
          </cell>
          <cell r="P1113" t="str">
            <v>V</v>
          </cell>
          <cell r="Q1113" t="str">
            <v>1"</v>
          </cell>
          <cell r="R1113">
            <v>2</v>
          </cell>
          <cell r="S1113">
            <v>3.2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29.775000000000002</v>
          </cell>
          <cell r="AD1113">
            <v>0</v>
          </cell>
        </row>
        <row r="1114">
          <cell r="B1114" t="str">
            <v>Nucleo A</v>
          </cell>
          <cell r="C1114">
            <v>1</v>
          </cell>
          <cell r="D1114">
            <v>1</v>
          </cell>
          <cell r="E1114">
            <v>0.55000000000000004</v>
          </cell>
          <cell r="F1114">
            <v>0</v>
          </cell>
          <cell r="G1114">
            <v>2.65</v>
          </cell>
          <cell r="P1114" t="str">
            <v>V</v>
          </cell>
          <cell r="Q1114" t="str">
            <v>3/4"</v>
          </cell>
          <cell r="R1114">
            <v>2</v>
          </cell>
          <cell r="S1114">
            <v>3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15.008000000000003</v>
          </cell>
          <cell r="AC1114">
            <v>0</v>
          </cell>
          <cell r="AD1114">
            <v>0</v>
          </cell>
        </row>
        <row r="1115">
          <cell r="B1115" t="str">
            <v>Est</v>
          </cell>
          <cell r="C1115">
            <v>1</v>
          </cell>
          <cell r="D1115">
            <v>1</v>
          </cell>
          <cell r="E1115">
            <v>0.25</v>
          </cell>
          <cell r="F1115">
            <v>0.2</v>
          </cell>
          <cell r="G1115">
            <v>2.65</v>
          </cell>
          <cell r="Q1115" t="str">
            <v>3/8"</v>
          </cell>
          <cell r="R1115">
            <v>10</v>
          </cell>
          <cell r="S1115">
            <v>0.9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5.0400000000000009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</row>
        <row r="1116">
          <cell r="B1116" t="str">
            <v>Acero Vert</v>
          </cell>
          <cell r="C1116">
            <v>1</v>
          </cell>
          <cell r="D1116">
            <v>1</v>
          </cell>
          <cell r="E1116">
            <v>2.0699999999999998</v>
          </cell>
          <cell r="F1116">
            <v>0.4</v>
          </cell>
          <cell r="G1116">
            <v>2.65</v>
          </cell>
          <cell r="H1116">
            <v>210</v>
          </cell>
          <cell r="I1116">
            <v>2.1941999999999999</v>
          </cell>
          <cell r="J1116">
            <v>0</v>
          </cell>
          <cell r="K1116">
            <v>0</v>
          </cell>
          <cell r="L1116">
            <v>2.1941999999999999</v>
          </cell>
          <cell r="M1116">
            <v>4.9399999999999995</v>
          </cell>
          <cell r="N1116">
            <v>2.4499999999999997</v>
          </cell>
          <cell r="O1116">
            <v>12.102999999999998</v>
          </cell>
          <cell r="P1116" t="str">
            <v>V</v>
          </cell>
          <cell r="Q1116" t="str">
            <v>1/2"</v>
          </cell>
          <cell r="R1116">
            <v>14</v>
          </cell>
          <cell r="S1116">
            <v>3.15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47.124000000000002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</row>
        <row r="1117">
          <cell r="B1117" t="str">
            <v>Acero Hor</v>
          </cell>
          <cell r="C1117">
            <v>1</v>
          </cell>
          <cell r="D1117">
            <v>1</v>
          </cell>
          <cell r="G1117">
            <v>2.65</v>
          </cell>
          <cell r="P1117" t="str">
            <v>H</v>
          </cell>
          <cell r="Q1117" t="str">
            <v>1/2"</v>
          </cell>
          <cell r="R1117">
            <v>20</v>
          </cell>
          <cell r="S1117">
            <v>2.6199999999999997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51.875999999999991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</row>
        <row r="1118">
          <cell r="B1118" t="str">
            <v>Nucleo A</v>
          </cell>
          <cell r="C1118">
            <v>1</v>
          </cell>
          <cell r="D1118">
            <v>1</v>
          </cell>
          <cell r="E1118">
            <v>0.25</v>
          </cell>
          <cell r="F1118">
            <v>0.4</v>
          </cell>
          <cell r="G1118">
            <v>2.65</v>
          </cell>
          <cell r="P1118" t="str">
            <v>V</v>
          </cell>
          <cell r="Q1118" t="str">
            <v>1"</v>
          </cell>
          <cell r="R1118">
            <v>4</v>
          </cell>
          <cell r="S1118">
            <v>3.2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59.550000000000004</v>
          </cell>
          <cell r="AD1118">
            <v>0</v>
          </cell>
        </row>
        <row r="1119">
          <cell r="B1119" t="str">
            <v>Nucleo A</v>
          </cell>
          <cell r="C1119">
            <v>1</v>
          </cell>
          <cell r="D1119">
            <v>1</v>
          </cell>
          <cell r="F1119">
            <v>0</v>
          </cell>
          <cell r="G1119">
            <v>2.65</v>
          </cell>
          <cell r="P1119" t="str">
            <v>V</v>
          </cell>
          <cell r="Q1119" t="str">
            <v>3/4"</v>
          </cell>
          <cell r="R1119">
            <v>4</v>
          </cell>
          <cell r="S1119">
            <v>3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30.016000000000005</v>
          </cell>
          <cell r="AC1119">
            <v>0</v>
          </cell>
          <cell r="AD1119">
            <v>0</v>
          </cell>
        </row>
        <row r="1120">
          <cell r="B1120" t="str">
            <v>Est</v>
          </cell>
          <cell r="C1120">
            <v>1</v>
          </cell>
          <cell r="D1120">
            <v>1</v>
          </cell>
          <cell r="E1120">
            <v>0.25</v>
          </cell>
          <cell r="F1120">
            <v>0.4</v>
          </cell>
          <cell r="G1120">
            <v>2.65</v>
          </cell>
          <cell r="Q1120" t="str">
            <v>3/8"</v>
          </cell>
          <cell r="R1120">
            <v>10</v>
          </cell>
          <cell r="S1120">
            <v>1.3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7.2800000000000011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</row>
        <row r="1121">
          <cell r="B1121" t="str">
            <v>Est</v>
          </cell>
          <cell r="C1121">
            <v>1</v>
          </cell>
          <cell r="D1121">
            <v>1</v>
          </cell>
          <cell r="E1121">
            <v>0.25</v>
          </cell>
          <cell r="F1121">
            <v>0.25</v>
          </cell>
          <cell r="G1121">
            <v>2.65</v>
          </cell>
          <cell r="Q1121" t="str">
            <v>3/8"</v>
          </cell>
          <cell r="R1121">
            <v>10</v>
          </cell>
          <cell r="S1121">
            <v>1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5.6000000000000005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</row>
        <row r="1122"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</row>
        <row r="1123">
          <cell r="B1123" t="str">
            <v>13 PISO</v>
          </cell>
          <cell r="H1123">
            <v>210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</row>
        <row r="1124"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</row>
        <row r="1125">
          <cell r="B1125" t="str">
            <v>B2-PL-01</v>
          </cell>
          <cell r="C1125">
            <v>2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</row>
        <row r="1126">
          <cell r="B1126" t="str">
            <v>Acero Vert</v>
          </cell>
          <cell r="C1126">
            <v>2</v>
          </cell>
          <cell r="D1126">
            <v>1</v>
          </cell>
          <cell r="E1126">
            <v>6.05</v>
          </cell>
          <cell r="F1126">
            <v>0.2</v>
          </cell>
          <cell r="G1126">
            <v>2.65</v>
          </cell>
          <cell r="H1126">
            <v>210</v>
          </cell>
          <cell r="I1126">
            <v>6.4129999999999994</v>
          </cell>
          <cell r="J1126">
            <v>0</v>
          </cell>
          <cell r="K1126">
            <v>0</v>
          </cell>
          <cell r="L1126">
            <v>6.4129999999999994</v>
          </cell>
          <cell r="M1126">
            <v>12.5</v>
          </cell>
          <cell r="N1126">
            <v>2.4499999999999997</v>
          </cell>
          <cell r="O1126">
            <v>61.249999999999993</v>
          </cell>
          <cell r="P1126" t="str">
            <v>V</v>
          </cell>
          <cell r="Q1126" t="str">
            <v>3/8"</v>
          </cell>
          <cell r="R1126">
            <v>40</v>
          </cell>
          <cell r="S1126">
            <v>3.15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163.52000000000001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</row>
        <row r="1127">
          <cell r="B1127" t="str">
            <v>Acero Hor</v>
          </cell>
          <cell r="C1127">
            <v>2</v>
          </cell>
          <cell r="D1127">
            <v>1</v>
          </cell>
          <cell r="G1127">
            <v>2.65</v>
          </cell>
          <cell r="P1127" t="str">
            <v>H</v>
          </cell>
          <cell r="Q1127" t="str">
            <v>3/8"</v>
          </cell>
          <cell r="R1127">
            <v>20</v>
          </cell>
          <cell r="S1127">
            <v>6.55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146.72000000000003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</row>
        <row r="1128">
          <cell r="B1128" t="str">
            <v>Nucleo A</v>
          </cell>
          <cell r="C1128">
            <v>2</v>
          </cell>
          <cell r="D1128">
            <v>1</v>
          </cell>
          <cell r="E1128">
            <v>0.25</v>
          </cell>
          <cell r="F1128">
            <v>0.2</v>
          </cell>
          <cell r="G1128">
            <v>2.65</v>
          </cell>
          <cell r="P1128" t="str">
            <v>V</v>
          </cell>
          <cell r="Q1128" t="str">
            <v>3/4"</v>
          </cell>
          <cell r="R1128">
            <v>2</v>
          </cell>
          <cell r="S1128">
            <v>3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30.016000000000005</v>
          </cell>
          <cell r="AC1128">
            <v>0</v>
          </cell>
          <cell r="AD1128">
            <v>0</v>
          </cell>
        </row>
        <row r="1129">
          <cell r="B1129" t="str">
            <v>Nucleo A</v>
          </cell>
          <cell r="C1129">
            <v>2</v>
          </cell>
          <cell r="D1129">
            <v>1</v>
          </cell>
          <cell r="G1129">
            <v>2.65</v>
          </cell>
          <cell r="P1129" t="str">
            <v>V</v>
          </cell>
          <cell r="Q1129" t="str">
            <v>3/4"</v>
          </cell>
          <cell r="R1129">
            <v>2</v>
          </cell>
          <cell r="S1129">
            <v>3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30.016000000000005</v>
          </cell>
          <cell r="AC1129">
            <v>0</v>
          </cell>
          <cell r="AD1129">
            <v>0</v>
          </cell>
        </row>
        <row r="1130">
          <cell r="B1130" t="str">
            <v>Est</v>
          </cell>
          <cell r="C1130">
            <v>2</v>
          </cell>
          <cell r="D1130">
            <v>1</v>
          </cell>
          <cell r="E1130">
            <v>0.25</v>
          </cell>
          <cell r="F1130">
            <v>0.2</v>
          </cell>
          <cell r="G1130">
            <v>2.65</v>
          </cell>
          <cell r="Q1130" t="str">
            <v>3/8"</v>
          </cell>
          <cell r="R1130">
            <v>10</v>
          </cell>
          <cell r="S1130">
            <v>0.9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10.080000000000002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</row>
        <row r="1131">
          <cell r="B1131" t="str">
            <v>Nucleo A</v>
          </cell>
          <cell r="C1131">
            <v>2</v>
          </cell>
          <cell r="D1131">
            <v>1</v>
          </cell>
          <cell r="E1131">
            <v>0.25</v>
          </cell>
          <cell r="F1131">
            <v>0.2</v>
          </cell>
          <cell r="G1131">
            <v>2.65</v>
          </cell>
          <cell r="P1131" t="str">
            <v>V</v>
          </cell>
          <cell r="Q1131" t="str">
            <v>3/4"</v>
          </cell>
          <cell r="R1131">
            <v>2</v>
          </cell>
          <cell r="S1131">
            <v>3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30.016000000000005</v>
          </cell>
          <cell r="AC1131">
            <v>0</v>
          </cell>
          <cell r="AD1131">
            <v>0</v>
          </cell>
        </row>
        <row r="1132">
          <cell r="B1132" t="str">
            <v>Nucleo A</v>
          </cell>
          <cell r="C1132">
            <v>2</v>
          </cell>
          <cell r="D1132">
            <v>1</v>
          </cell>
          <cell r="G1132">
            <v>2.65</v>
          </cell>
          <cell r="P1132" t="str">
            <v>V</v>
          </cell>
          <cell r="Q1132" t="str">
            <v>3/4"</v>
          </cell>
          <cell r="R1132">
            <v>2</v>
          </cell>
          <cell r="S1132">
            <v>3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30.016000000000005</v>
          </cell>
          <cell r="AC1132">
            <v>0</v>
          </cell>
          <cell r="AD1132">
            <v>0</v>
          </cell>
        </row>
        <row r="1133">
          <cell r="B1133" t="str">
            <v>Est</v>
          </cell>
          <cell r="C1133">
            <v>2</v>
          </cell>
          <cell r="D1133">
            <v>1</v>
          </cell>
          <cell r="E1133">
            <v>0.25</v>
          </cell>
          <cell r="F1133">
            <v>0.2</v>
          </cell>
          <cell r="G1133">
            <v>2.65</v>
          </cell>
          <cell r="Q1133" t="str">
            <v>3/8"</v>
          </cell>
          <cell r="R1133">
            <v>10</v>
          </cell>
          <cell r="S1133">
            <v>0.9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10.080000000000002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</row>
        <row r="1134"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</row>
        <row r="1135">
          <cell r="B1135" t="str">
            <v>B2-PL-02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</row>
        <row r="1136">
          <cell r="B1136" t="str">
            <v>Acero Vert</v>
          </cell>
          <cell r="C1136">
            <v>1</v>
          </cell>
          <cell r="D1136">
            <v>1</v>
          </cell>
          <cell r="E1136">
            <v>6</v>
          </cell>
          <cell r="F1136">
            <v>0.2</v>
          </cell>
          <cell r="G1136">
            <v>2.65</v>
          </cell>
          <cell r="H1136">
            <v>210</v>
          </cell>
          <cell r="I1136">
            <v>3.18</v>
          </cell>
          <cell r="J1136">
            <v>0</v>
          </cell>
          <cell r="K1136">
            <v>0</v>
          </cell>
          <cell r="L1136">
            <v>3.18</v>
          </cell>
          <cell r="M1136">
            <v>12.4</v>
          </cell>
          <cell r="N1136">
            <v>2.4499999999999997</v>
          </cell>
          <cell r="O1136">
            <v>30.38</v>
          </cell>
          <cell r="P1136" t="str">
            <v>V</v>
          </cell>
          <cell r="Q1136" t="str">
            <v>3/8"</v>
          </cell>
          <cell r="R1136">
            <v>38</v>
          </cell>
          <cell r="S1136">
            <v>3.15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77.671999999999997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</row>
        <row r="1137">
          <cell r="B1137" t="str">
            <v>Acero Hor</v>
          </cell>
          <cell r="C1137">
            <v>1</v>
          </cell>
          <cell r="D1137">
            <v>1</v>
          </cell>
          <cell r="E1137">
            <v>0.3</v>
          </cell>
          <cell r="F1137">
            <v>0.4</v>
          </cell>
          <cell r="G1137">
            <v>2.65</v>
          </cell>
          <cell r="H1137">
            <v>210</v>
          </cell>
          <cell r="I1137">
            <v>0.318</v>
          </cell>
          <cell r="J1137">
            <v>0</v>
          </cell>
          <cell r="K1137">
            <v>0</v>
          </cell>
          <cell r="L1137">
            <v>0.318</v>
          </cell>
          <cell r="M1137">
            <v>1.4</v>
          </cell>
          <cell r="N1137">
            <v>2.4499999999999997</v>
          </cell>
          <cell r="O1137">
            <v>3.4299999999999993</v>
          </cell>
          <cell r="P1137" t="str">
            <v>H</v>
          </cell>
          <cell r="Q1137" t="str">
            <v>3/8"</v>
          </cell>
          <cell r="R1137">
            <v>20</v>
          </cell>
          <cell r="S1137">
            <v>6.3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70.56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</row>
        <row r="1138">
          <cell r="B1138" t="str">
            <v>Nucleo A</v>
          </cell>
          <cell r="C1138">
            <v>1</v>
          </cell>
          <cell r="D1138">
            <v>1</v>
          </cell>
          <cell r="E1138">
            <v>0.4</v>
          </cell>
          <cell r="F1138">
            <v>0.5</v>
          </cell>
          <cell r="G1138">
            <v>2.65</v>
          </cell>
          <cell r="P1138" t="str">
            <v>V</v>
          </cell>
          <cell r="Q1138" t="str">
            <v>3/4"</v>
          </cell>
          <cell r="R1138">
            <v>8</v>
          </cell>
          <cell r="S1138">
            <v>3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60.032000000000011</v>
          </cell>
          <cell r="AC1138">
            <v>0</v>
          </cell>
          <cell r="AD1138">
            <v>0</v>
          </cell>
        </row>
        <row r="1139">
          <cell r="B1139" t="str">
            <v>Nucleo A</v>
          </cell>
          <cell r="C1139">
            <v>1</v>
          </cell>
          <cell r="D1139">
            <v>1</v>
          </cell>
          <cell r="G1139">
            <v>2.65</v>
          </cell>
          <cell r="P1139" t="str">
            <v>V</v>
          </cell>
          <cell r="Q1139" t="str">
            <v>3/4"</v>
          </cell>
          <cell r="R1139">
            <v>4</v>
          </cell>
          <cell r="S1139">
            <v>3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30.016000000000005</v>
          </cell>
          <cell r="AC1139">
            <v>0</v>
          </cell>
          <cell r="AD1139">
            <v>0</v>
          </cell>
        </row>
        <row r="1140">
          <cell r="B1140" t="str">
            <v>Est</v>
          </cell>
          <cell r="C1140">
            <v>1</v>
          </cell>
          <cell r="D1140">
            <v>1</v>
          </cell>
          <cell r="E1140">
            <v>0.4</v>
          </cell>
          <cell r="F1140">
            <v>0.5</v>
          </cell>
          <cell r="G1140">
            <v>2.65</v>
          </cell>
          <cell r="Q1140" t="str">
            <v>3/8"</v>
          </cell>
          <cell r="R1140">
            <v>10</v>
          </cell>
          <cell r="S1140">
            <v>1.8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10.080000000000002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</row>
        <row r="1141">
          <cell r="B1141" t="str">
            <v>Est</v>
          </cell>
          <cell r="C1141">
            <v>1</v>
          </cell>
          <cell r="D1141">
            <v>1</v>
          </cell>
          <cell r="E1141">
            <v>0.25</v>
          </cell>
          <cell r="F1141">
            <v>0.5</v>
          </cell>
          <cell r="G1141">
            <v>2.65</v>
          </cell>
          <cell r="Q1141" t="str">
            <v>3/8"</v>
          </cell>
          <cell r="R1141">
            <v>10</v>
          </cell>
          <cell r="S1141">
            <v>1.5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8.4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</row>
        <row r="1142">
          <cell r="B1142" t="str">
            <v>Est</v>
          </cell>
          <cell r="C1142">
            <v>1</v>
          </cell>
          <cell r="D1142">
            <v>1</v>
          </cell>
          <cell r="E1142">
            <v>0.4</v>
          </cell>
          <cell r="F1142">
            <v>0.1</v>
          </cell>
          <cell r="G1142">
            <v>2.65</v>
          </cell>
          <cell r="Q1142" t="str">
            <v>3/8"</v>
          </cell>
          <cell r="R1142">
            <v>10</v>
          </cell>
          <cell r="S1142">
            <v>0.5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2.8000000000000003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</row>
        <row r="1143">
          <cell r="B1143" t="str">
            <v>Nucleo A</v>
          </cell>
          <cell r="C1143">
            <v>1</v>
          </cell>
          <cell r="D1143">
            <v>1</v>
          </cell>
          <cell r="E1143">
            <v>0.25</v>
          </cell>
          <cell r="F1143">
            <v>0.2</v>
          </cell>
          <cell r="G1143">
            <v>2.65</v>
          </cell>
          <cell r="P1143" t="str">
            <v>V</v>
          </cell>
          <cell r="Q1143" t="str">
            <v>3/4"</v>
          </cell>
          <cell r="R1143">
            <v>2</v>
          </cell>
          <cell r="S1143">
            <v>3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15.008000000000003</v>
          </cell>
          <cell r="AC1143">
            <v>0</v>
          </cell>
          <cell r="AD1143">
            <v>0</v>
          </cell>
        </row>
        <row r="1144">
          <cell r="B1144" t="str">
            <v>Nucleo A</v>
          </cell>
          <cell r="C1144">
            <v>1</v>
          </cell>
          <cell r="D1144">
            <v>1</v>
          </cell>
          <cell r="G1144">
            <v>2.65</v>
          </cell>
          <cell r="P1144" t="str">
            <v>V</v>
          </cell>
          <cell r="Q1144" t="str">
            <v>3/4"</v>
          </cell>
          <cell r="R1144">
            <v>2</v>
          </cell>
          <cell r="S1144">
            <v>3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15.008000000000003</v>
          </cell>
          <cell r="AC1144">
            <v>0</v>
          </cell>
          <cell r="AD1144">
            <v>0</v>
          </cell>
        </row>
        <row r="1145">
          <cell r="B1145" t="str">
            <v>Est</v>
          </cell>
          <cell r="C1145">
            <v>1</v>
          </cell>
          <cell r="D1145">
            <v>1</v>
          </cell>
          <cell r="E1145">
            <v>0.25</v>
          </cell>
          <cell r="F1145">
            <v>0.2</v>
          </cell>
          <cell r="G1145">
            <v>2.65</v>
          </cell>
          <cell r="Q1145" t="str">
            <v>3/8"</v>
          </cell>
          <cell r="R1145">
            <v>10</v>
          </cell>
          <cell r="S1145">
            <v>0.9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5.0400000000000009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</row>
        <row r="1146"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</row>
        <row r="1147">
          <cell r="B1147" t="str">
            <v>B2-PL-02A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</row>
        <row r="1148">
          <cell r="B1148" t="str">
            <v>Acero Vert</v>
          </cell>
          <cell r="C1148">
            <v>1</v>
          </cell>
          <cell r="D1148">
            <v>1</v>
          </cell>
          <cell r="E1148">
            <v>6</v>
          </cell>
          <cell r="F1148">
            <v>0.2</v>
          </cell>
          <cell r="G1148">
            <v>2.65</v>
          </cell>
          <cell r="H1148">
            <v>210</v>
          </cell>
          <cell r="I1148">
            <v>3.18</v>
          </cell>
          <cell r="J1148">
            <v>0</v>
          </cell>
          <cell r="K1148">
            <v>0</v>
          </cell>
          <cell r="L1148">
            <v>3.18</v>
          </cell>
          <cell r="M1148">
            <v>12.4</v>
          </cell>
          <cell r="N1148">
            <v>2.4499999999999997</v>
          </cell>
          <cell r="O1148">
            <v>30.38</v>
          </cell>
          <cell r="P1148" t="str">
            <v>V</v>
          </cell>
          <cell r="Q1148" t="str">
            <v>3/8"</v>
          </cell>
          <cell r="R1148">
            <v>38</v>
          </cell>
          <cell r="S1148">
            <v>3.15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77.671999999999997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</row>
        <row r="1149">
          <cell r="B1149" t="str">
            <v>Acero Hor</v>
          </cell>
          <cell r="C1149">
            <v>1</v>
          </cell>
          <cell r="D1149">
            <v>1</v>
          </cell>
          <cell r="E1149">
            <v>0.3</v>
          </cell>
          <cell r="F1149">
            <v>0.4</v>
          </cell>
          <cell r="G1149">
            <v>2.65</v>
          </cell>
          <cell r="H1149">
            <v>210</v>
          </cell>
          <cell r="I1149">
            <v>0.318</v>
          </cell>
          <cell r="J1149">
            <v>0</v>
          </cell>
          <cell r="K1149">
            <v>0</v>
          </cell>
          <cell r="L1149">
            <v>0.318</v>
          </cell>
          <cell r="M1149">
            <v>1.4</v>
          </cell>
          <cell r="N1149">
            <v>2.4499999999999997</v>
          </cell>
          <cell r="O1149">
            <v>3.4299999999999993</v>
          </cell>
          <cell r="P1149" t="str">
            <v>H</v>
          </cell>
          <cell r="Q1149" t="str">
            <v>3/8"</v>
          </cell>
          <cell r="R1149">
            <v>20</v>
          </cell>
          <cell r="S1149">
            <v>6.3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70.56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</row>
        <row r="1150">
          <cell r="B1150" t="str">
            <v>Nucleo A</v>
          </cell>
          <cell r="C1150">
            <v>1</v>
          </cell>
          <cell r="D1150">
            <v>1</v>
          </cell>
          <cell r="E1150">
            <v>0.4</v>
          </cell>
          <cell r="F1150">
            <v>0.5</v>
          </cell>
          <cell r="G1150">
            <v>2.65</v>
          </cell>
          <cell r="P1150" t="str">
            <v>V</v>
          </cell>
          <cell r="Q1150" t="str">
            <v>3/4"</v>
          </cell>
          <cell r="R1150">
            <v>8</v>
          </cell>
          <cell r="S1150">
            <v>3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60.032000000000011</v>
          </cell>
          <cell r="AC1150">
            <v>0</v>
          </cell>
          <cell r="AD1150">
            <v>0</v>
          </cell>
        </row>
        <row r="1151">
          <cell r="B1151" t="str">
            <v>Nucleo A</v>
          </cell>
          <cell r="C1151">
            <v>1</v>
          </cell>
          <cell r="D1151">
            <v>1</v>
          </cell>
          <cell r="G1151">
            <v>2.65</v>
          </cell>
          <cell r="P1151" t="str">
            <v>V</v>
          </cell>
          <cell r="Q1151" t="str">
            <v>3/4"</v>
          </cell>
          <cell r="R1151">
            <v>4</v>
          </cell>
          <cell r="S1151">
            <v>3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30.016000000000005</v>
          </cell>
          <cell r="AC1151">
            <v>0</v>
          </cell>
          <cell r="AD1151">
            <v>0</v>
          </cell>
        </row>
        <row r="1152">
          <cell r="B1152" t="str">
            <v>Est</v>
          </cell>
          <cell r="C1152">
            <v>1</v>
          </cell>
          <cell r="D1152">
            <v>1</v>
          </cell>
          <cell r="E1152">
            <v>0.4</v>
          </cell>
          <cell r="F1152">
            <v>0.5</v>
          </cell>
          <cell r="G1152">
            <v>2.65</v>
          </cell>
          <cell r="Q1152" t="str">
            <v>3/8"</v>
          </cell>
          <cell r="R1152">
            <v>10</v>
          </cell>
          <cell r="S1152">
            <v>1.8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10.080000000000002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</row>
        <row r="1153">
          <cell r="B1153" t="str">
            <v>Est</v>
          </cell>
          <cell r="C1153">
            <v>1</v>
          </cell>
          <cell r="D1153">
            <v>1</v>
          </cell>
          <cell r="E1153">
            <v>0.25</v>
          </cell>
          <cell r="F1153">
            <v>0.5</v>
          </cell>
          <cell r="G1153">
            <v>2.65</v>
          </cell>
          <cell r="Q1153" t="str">
            <v>3/8"</v>
          </cell>
          <cell r="R1153">
            <v>10</v>
          </cell>
          <cell r="S1153">
            <v>1.5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8.4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</row>
        <row r="1154">
          <cell r="B1154" t="str">
            <v>Est</v>
          </cell>
          <cell r="C1154">
            <v>1</v>
          </cell>
          <cell r="D1154">
            <v>1</v>
          </cell>
          <cell r="E1154">
            <v>0.4</v>
          </cell>
          <cell r="F1154">
            <v>0.1</v>
          </cell>
          <cell r="G1154">
            <v>2.65</v>
          </cell>
          <cell r="Q1154" t="str">
            <v>3/8"</v>
          </cell>
          <cell r="R1154">
            <v>10</v>
          </cell>
          <cell r="S1154">
            <v>0.5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2.8000000000000003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</row>
        <row r="1155">
          <cell r="B1155" t="str">
            <v>Nucleo A</v>
          </cell>
          <cell r="C1155">
            <v>1</v>
          </cell>
          <cell r="D1155">
            <v>1</v>
          </cell>
          <cell r="E1155">
            <v>0.25</v>
          </cell>
          <cell r="F1155">
            <v>0.2</v>
          </cell>
          <cell r="G1155">
            <v>2.65</v>
          </cell>
          <cell r="P1155" t="str">
            <v>V</v>
          </cell>
          <cell r="Q1155" t="str">
            <v>3/4"</v>
          </cell>
          <cell r="R1155">
            <v>2</v>
          </cell>
          <cell r="S1155">
            <v>3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15.008000000000003</v>
          </cell>
          <cell r="AC1155">
            <v>0</v>
          </cell>
          <cell r="AD1155">
            <v>0</v>
          </cell>
        </row>
        <row r="1156">
          <cell r="B1156" t="str">
            <v>Nucleo A</v>
          </cell>
          <cell r="C1156">
            <v>1</v>
          </cell>
          <cell r="D1156">
            <v>1</v>
          </cell>
          <cell r="G1156">
            <v>2.65</v>
          </cell>
          <cell r="P1156" t="str">
            <v>V</v>
          </cell>
          <cell r="Q1156" t="str">
            <v>3/4"</v>
          </cell>
          <cell r="R1156">
            <v>2</v>
          </cell>
          <cell r="S1156">
            <v>3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15.008000000000003</v>
          </cell>
          <cell r="AC1156">
            <v>0</v>
          </cell>
          <cell r="AD1156">
            <v>0</v>
          </cell>
        </row>
        <row r="1157">
          <cell r="B1157" t="str">
            <v>Est</v>
          </cell>
          <cell r="C1157">
            <v>1</v>
          </cell>
          <cell r="D1157">
            <v>1</v>
          </cell>
          <cell r="E1157">
            <v>0.25</v>
          </cell>
          <cell r="F1157">
            <v>0.2</v>
          </cell>
          <cell r="G1157">
            <v>2.65</v>
          </cell>
          <cell r="Q1157" t="str">
            <v>3/8"</v>
          </cell>
          <cell r="R1157">
            <v>10</v>
          </cell>
          <cell r="S1157">
            <v>0.9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5.0400000000000009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</row>
        <row r="1158">
          <cell r="B1158" t="str">
            <v>B2-PL-03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</row>
        <row r="1159">
          <cell r="B1159" t="str">
            <v>Acero Vert</v>
          </cell>
          <cell r="C1159">
            <v>1</v>
          </cell>
          <cell r="D1159">
            <v>1</v>
          </cell>
          <cell r="E1159">
            <v>4.4000000000000004</v>
          </cell>
          <cell r="F1159">
            <v>0.25</v>
          </cell>
          <cell r="G1159">
            <v>2.65</v>
          </cell>
          <cell r="H1159">
            <v>210</v>
          </cell>
          <cell r="I1159">
            <v>2.915</v>
          </cell>
          <cell r="J1159">
            <v>0</v>
          </cell>
          <cell r="K1159">
            <v>0</v>
          </cell>
          <cell r="L1159">
            <v>2.915</v>
          </cell>
          <cell r="M1159">
            <v>9.3000000000000007</v>
          </cell>
          <cell r="N1159">
            <v>2.4499999999999997</v>
          </cell>
          <cell r="O1159">
            <v>22.785</v>
          </cell>
          <cell r="P1159" t="str">
            <v>V</v>
          </cell>
          <cell r="Q1159" t="str">
            <v>3/8"</v>
          </cell>
          <cell r="R1159">
            <v>32</v>
          </cell>
          <cell r="S1159">
            <v>3.15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65.408000000000001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</row>
        <row r="1160">
          <cell r="B1160" t="str">
            <v>Acero Hor</v>
          </cell>
          <cell r="C1160">
            <v>1</v>
          </cell>
          <cell r="D1160">
            <v>1</v>
          </cell>
          <cell r="G1160">
            <v>2.65</v>
          </cell>
          <cell r="P1160" t="str">
            <v>H</v>
          </cell>
          <cell r="Q1160" t="str">
            <v>3/8"</v>
          </cell>
          <cell r="R1160">
            <v>24</v>
          </cell>
          <cell r="S1160">
            <v>4.7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63.168000000000013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</row>
        <row r="1161">
          <cell r="B1161" t="str">
            <v>Nucleo A</v>
          </cell>
          <cell r="C1161">
            <v>1</v>
          </cell>
          <cell r="D1161">
            <v>1</v>
          </cell>
          <cell r="E1161">
            <v>0.2</v>
          </cell>
          <cell r="F1161">
            <v>0.25</v>
          </cell>
          <cell r="G1161">
            <v>2.65</v>
          </cell>
          <cell r="P1161" t="str">
            <v>V</v>
          </cell>
          <cell r="Q1161" t="str">
            <v>3/4"</v>
          </cell>
          <cell r="R1161">
            <v>2</v>
          </cell>
          <cell r="S1161">
            <v>3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15.008000000000003</v>
          </cell>
          <cell r="AC1161">
            <v>0</v>
          </cell>
          <cell r="AD1161">
            <v>0</v>
          </cell>
        </row>
        <row r="1162">
          <cell r="B1162" t="str">
            <v>Nucleo A</v>
          </cell>
          <cell r="C1162">
            <v>1</v>
          </cell>
          <cell r="D1162">
            <v>1</v>
          </cell>
          <cell r="G1162">
            <v>2.65</v>
          </cell>
          <cell r="P1162" t="str">
            <v>V</v>
          </cell>
          <cell r="Q1162" t="str">
            <v>3/4"</v>
          </cell>
          <cell r="R1162">
            <v>2</v>
          </cell>
          <cell r="S1162">
            <v>3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15.008000000000003</v>
          </cell>
          <cell r="AC1162">
            <v>0</v>
          </cell>
          <cell r="AD1162">
            <v>0</v>
          </cell>
        </row>
        <row r="1163">
          <cell r="B1163" t="str">
            <v>Est</v>
          </cell>
          <cell r="C1163">
            <v>1</v>
          </cell>
          <cell r="D1163">
            <v>1</v>
          </cell>
          <cell r="E1163">
            <v>0.2</v>
          </cell>
          <cell r="F1163">
            <v>0.25</v>
          </cell>
          <cell r="G1163">
            <v>2.65</v>
          </cell>
          <cell r="Q1163" t="str">
            <v>3/8"</v>
          </cell>
          <cell r="R1163">
            <v>11</v>
          </cell>
          <cell r="S1163">
            <v>0.9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5.5440000000000005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</row>
        <row r="1164">
          <cell r="B1164" t="str">
            <v>Nucleo A</v>
          </cell>
          <cell r="C1164">
            <v>1</v>
          </cell>
          <cell r="D1164">
            <v>1</v>
          </cell>
          <cell r="E1164">
            <v>0.4</v>
          </cell>
          <cell r="F1164">
            <v>0.25</v>
          </cell>
          <cell r="G1164">
            <v>2.65</v>
          </cell>
          <cell r="P1164" t="str">
            <v>V</v>
          </cell>
          <cell r="Q1164" t="str">
            <v>3/4"</v>
          </cell>
          <cell r="R1164">
            <v>2</v>
          </cell>
          <cell r="S1164">
            <v>3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15.008000000000003</v>
          </cell>
          <cell r="AC1164">
            <v>0</v>
          </cell>
          <cell r="AD1164">
            <v>0</v>
          </cell>
        </row>
        <row r="1165">
          <cell r="B1165" t="str">
            <v>Nucleo A</v>
          </cell>
          <cell r="C1165">
            <v>1</v>
          </cell>
          <cell r="D1165">
            <v>1</v>
          </cell>
          <cell r="G1165">
            <v>2.65</v>
          </cell>
          <cell r="P1165" t="str">
            <v>V</v>
          </cell>
          <cell r="Q1165" t="str">
            <v>3/4"</v>
          </cell>
          <cell r="R1165">
            <v>2</v>
          </cell>
          <cell r="S1165">
            <v>3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15.008000000000003</v>
          </cell>
          <cell r="AC1165">
            <v>0</v>
          </cell>
          <cell r="AD1165">
            <v>0</v>
          </cell>
        </row>
        <row r="1166">
          <cell r="B1166" t="str">
            <v>Est</v>
          </cell>
          <cell r="C1166">
            <v>1</v>
          </cell>
          <cell r="D1166">
            <v>1</v>
          </cell>
          <cell r="E1166">
            <v>0.4</v>
          </cell>
          <cell r="F1166">
            <v>0.25</v>
          </cell>
          <cell r="G1166">
            <v>2.65</v>
          </cell>
          <cell r="Q1166" t="str">
            <v>3/8"</v>
          </cell>
          <cell r="R1166">
            <v>11</v>
          </cell>
          <cell r="S1166">
            <v>1.3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8.0080000000000009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</row>
        <row r="1167">
          <cell r="B1167" t="str">
            <v>Acero Vert</v>
          </cell>
          <cell r="C1167">
            <v>1</v>
          </cell>
          <cell r="D1167">
            <v>1</v>
          </cell>
          <cell r="E1167">
            <v>2.0699999999999998</v>
          </cell>
          <cell r="F1167">
            <v>0.2</v>
          </cell>
          <cell r="G1167">
            <v>2.65</v>
          </cell>
          <cell r="H1167">
            <v>210</v>
          </cell>
          <cell r="I1167">
            <v>1.0971</v>
          </cell>
          <cell r="J1167">
            <v>0</v>
          </cell>
          <cell r="K1167">
            <v>0</v>
          </cell>
          <cell r="L1167">
            <v>1.0971</v>
          </cell>
          <cell r="M1167">
            <v>4.54</v>
          </cell>
          <cell r="N1167">
            <v>2.4499999999999997</v>
          </cell>
          <cell r="O1167">
            <v>11.122999999999999</v>
          </cell>
          <cell r="P1167" t="str">
            <v>V</v>
          </cell>
          <cell r="Q1167" t="str">
            <v>3/8"</v>
          </cell>
          <cell r="R1167">
            <v>14</v>
          </cell>
          <cell r="S1167">
            <v>3.15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28.616000000000003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</row>
        <row r="1168">
          <cell r="B1168" t="str">
            <v>Acero Hor</v>
          </cell>
          <cell r="C1168">
            <v>1</v>
          </cell>
          <cell r="D1168">
            <v>1</v>
          </cell>
          <cell r="G1168">
            <v>2.65</v>
          </cell>
          <cell r="P1168" t="str">
            <v>H</v>
          </cell>
          <cell r="Q1168" t="str">
            <v>3/8"</v>
          </cell>
          <cell r="R1168">
            <v>20</v>
          </cell>
          <cell r="S1168">
            <v>2.6199999999999997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29.343999999999998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</row>
        <row r="1169">
          <cell r="B1169" t="str">
            <v>Nucleo A</v>
          </cell>
          <cell r="C1169">
            <v>1</v>
          </cell>
          <cell r="D1169">
            <v>1</v>
          </cell>
          <cell r="E1169">
            <v>0.25</v>
          </cell>
          <cell r="F1169">
            <v>0.2</v>
          </cell>
          <cell r="G1169">
            <v>2.65</v>
          </cell>
          <cell r="P1169" t="str">
            <v>V</v>
          </cell>
          <cell r="Q1169" t="str">
            <v>1"</v>
          </cell>
          <cell r="R1169">
            <v>2</v>
          </cell>
          <cell r="S1169">
            <v>3.2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29.775000000000002</v>
          </cell>
          <cell r="AD1169">
            <v>0</v>
          </cell>
        </row>
        <row r="1170">
          <cell r="B1170" t="str">
            <v>Nucleo A</v>
          </cell>
          <cell r="C1170">
            <v>1</v>
          </cell>
          <cell r="D1170">
            <v>1</v>
          </cell>
          <cell r="E1170">
            <v>0.55000000000000004</v>
          </cell>
          <cell r="F1170">
            <v>0</v>
          </cell>
          <cell r="G1170">
            <v>2.65</v>
          </cell>
          <cell r="P1170" t="str">
            <v>V</v>
          </cell>
          <cell r="Q1170" t="str">
            <v>3/4"</v>
          </cell>
          <cell r="R1170">
            <v>2</v>
          </cell>
          <cell r="S1170">
            <v>3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15.008000000000003</v>
          </cell>
          <cell r="AC1170">
            <v>0</v>
          </cell>
          <cell r="AD1170">
            <v>0</v>
          </cell>
        </row>
        <row r="1171">
          <cell r="B1171" t="str">
            <v>Est</v>
          </cell>
          <cell r="C1171">
            <v>1</v>
          </cell>
          <cell r="D1171">
            <v>1</v>
          </cell>
          <cell r="E1171">
            <v>0.25</v>
          </cell>
          <cell r="F1171">
            <v>0.2</v>
          </cell>
          <cell r="G1171">
            <v>2.65</v>
          </cell>
          <cell r="Q1171" t="str">
            <v>3/8"</v>
          </cell>
          <cell r="R1171">
            <v>10</v>
          </cell>
          <cell r="S1171">
            <v>0.9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5.0400000000000009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</row>
        <row r="1172">
          <cell r="B1172" t="str">
            <v>Acero Vert</v>
          </cell>
          <cell r="C1172">
            <v>1</v>
          </cell>
          <cell r="D1172">
            <v>1</v>
          </cell>
          <cell r="E1172">
            <v>2.0699999999999998</v>
          </cell>
          <cell r="F1172">
            <v>0.4</v>
          </cell>
          <cell r="G1172">
            <v>2.65</v>
          </cell>
          <cell r="H1172">
            <v>210</v>
          </cell>
          <cell r="I1172">
            <v>2.1941999999999999</v>
          </cell>
          <cell r="J1172">
            <v>0</v>
          </cell>
          <cell r="K1172">
            <v>0</v>
          </cell>
          <cell r="L1172">
            <v>2.1941999999999999</v>
          </cell>
          <cell r="M1172">
            <v>4.9399999999999995</v>
          </cell>
          <cell r="N1172">
            <v>2.4499999999999997</v>
          </cell>
          <cell r="O1172">
            <v>12.102999999999998</v>
          </cell>
          <cell r="P1172" t="str">
            <v>V</v>
          </cell>
          <cell r="Q1172" t="str">
            <v>1/2"</v>
          </cell>
          <cell r="R1172">
            <v>14</v>
          </cell>
          <cell r="S1172">
            <v>3.15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47.124000000000002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</row>
        <row r="1173">
          <cell r="B1173" t="str">
            <v>Acero Hor</v>
          </cell>
          <cell r="C1173">
            <v>1</v>
          </cell>
          <cell r="D1173">
            <v>1</v>
          </cell>
          <cell r="G1173">
            <v>2.65</v>
          </cell>
          <cell r="P1173" t="str">
            <v>H</v>
          </cell>
          <cell r="Q1173" t="str">
            <v>1/2"</v>
          </cell>
          <cell r="R1173">
            <v>20</v>
          </cell>
          <cell r="S1173">
            <v>2.6199999999999997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51.875999999999991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</row>
        <row r="1174">
          <cell r="B1174" t="str">
            <v>Nucleo A</v>
          </cell>
          <cell r="C1174">
            <v>1</v>
          </cell>
          <cell r="D1174">
            <v>1</v>
          </cell>
          <cell r="E1174">
            <v>0.25</v>
          </cell>
          <cell r="F1174">
            <v>0.4</v>
          </cell>
          <cell r="G1174">
            <v>2.65</v>
          </cell>
          <cell r="P1174" t="str">
            <v>V</v>
          </cell>
          <cell r="Q1174" t="str">
            <v>1"</v>
          </cell>
          <cell r="R1174">
            <v>4</v>
          </cell>
          <cell r="S1174">
            <v>3.2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59.550000000000004</v>
          </cell>
          <cell r="AD1174">
            <v>0</v>
          </cell>
        </row>
        <row r="1175">
          <cell r="B1175" t="str">
            <v>Nucleo A</v>
          </cell>
          <cell r="C1175">
            <v>1</v>
          </cell>
          <cell r="D1175">
            <v>1</v>
          </cell>
          <cell r="F1175">
            <v>0</v>
          </cell>
          <cell r="G1175">
            <v>2.65</v>
          </cell>
          <cell r="P1175" t="str">
            <v>V</v>
          </cell>
          <cell r="Q1175" t="str">
            <v>3/4"</v>
          </cell>
          <cell r="R1175">
            <v>4</v>
          </cell>
          <cell r="S1175">
            <v>3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30.016000000000005</v>
          </cell>
          <cell r="AC1175">
            <v>0</v>
          </cell>
          <cell r="AD1175">
            <v>0</v>
          </cell>
        </row>
        <row r="1176">
          <cell r="B1176" t="str">
            <v>Est</v>
          </cell>
          <cell r="C1176">
            <v>1</v>
          </cell>
          <cell r="D1176">
            <v>1</v>
          </cell>
          <cell r="E1176">
            <v>0.25</v>
          </cell>
          <cell r="F1176">
            <v>0.4</v>
          </cell>
          <cell r="G1176">
            <v>2.65</v>
          </cell>
          <cell r="Q1176" t="str">
            <v>3/8"</v>
          </cell>
          <cell r="R1176">
            <v>10</v>
          </cell>
          <cell r="S1176">
            <v>1.3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7.2800000000000011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</row>
        <row r="1177">
          <cell r="B1177" t="str">
            <v>Est</v>
          </cell>
          <cell r="C1177">
            <v>1</v>
          </cell>
          <cell r="D1177">
            <v>1</v>
          </cell>
          <cell r="E1177">
            <v>0.25</v>
          </cell>
          <cell r="F1177">
            <v>0.25</v>
          </cell>
          <cell r="G1177">
            <v>2.65</v>
          </cell>
          <cell r="Q1177" t="str">
            <v>3/8"</v>
          </cell>
          <cell r="R1177">
            <v>10</v>
          </cell>
          <cell r="S1177">
            <v>1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5.6000000000000005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</row>
        <row r="1178"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</row>
        <row r="1179">
          <cell r="B1179" t="str">
            <v>14 PISO</v>
          </cell>
          <cell r="H1179">
            <v>210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</row>
        <row r="1180"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</row>
        <row r="1181">
          <cell r="B1181" t="str">
            <v>B2-PL-01</v>
          </cell>
          <cell r="C1181">
            <v>2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</row>
        <row r="1182">
          <cell r="B1182" t="str">
            <v>Acero Vert</v>
          </cell>
          <cell r="C1182">
            <v>2</v>
          </cell>
          <cell r="D1182">
            <v>1</v>
          </cell>
          <cell r="E1182">
            <v>6.05</v>
          </cell>
          <cell r="F1182">
            <v>0.2</v>
          </cell>
          <cell r="G1182">
            <v>2.65</v>
          </cell>
          <cell r="H1182">
            <v>210</v>
          </cell>
          <cell r="I1182">
            <v>6.4129999999999994</v>
          </cell>
          <cell r="J1182">
            <v>0</v>
          </cell>
          <cell r="K1182">
            <v>0</v>
          </cell>
          <cell r="L1182">
            <v>6.4129999999999994</v>
          </cell>
          <cell r="M1182">
            <v>12.5</v>
          </cell>
          <cell r="N1182">
            <v>2.4499999999999997</v>
          </cell>
          <cell r="O1182">
            <v>61.249999999999993</v>
          </cell>
          <cell r="P1182" t="str">
            <v>V</v>
          </cell>
          <cell r="Q1182" t="str">
            <v>3/8"</v>
          </cell>
          <cell r="R1182">
            <v>34</v>
          </cell>
          <cell r="S1182">
            <v>3.15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138.99200000000002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</row>
        <row r="1183">
          <cell r="B1183" t="str">
            <v>Acero Hor</v>
          </cell>
          <cell r="C1183">
            <v>2</v>
          </cell>
          <cell r="D1183">
            <v>1</v>
          </cell>
          <cell r="G1183">
            <v>2.65</v>
          </cell>
          <cell r="P1183" t="str">
            <v>H</v>
          </cell>
          <cell r="Q1183" t="str">
            <v>3/8"</v>
          </cell>
          <cell r="R1183">
            <v>18</v>
          </cell>
          <cell r="S1183">
            <v>6.55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132.048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</row>
        <row r="1184">
          <cell r="B1184" t="str">
            <v>Nucleo A</v>
          </cell>
          <cell r="C1184">
            <v>2</v>
          </cell>
          <cell r="D1184">
            <v>1</v>
          </cell>
          <cell r="E1184">
            <v>0.25</v>
          </cell>
          <cell r="F1184">
            <v>0.2</v>
          </cell>
          <cell r="G1184">
            <v>2.65</v>
          </cell>
          <cell r="P1184" t="str">
            <v>V</v>
          </cell>
          <cell r="Q1184" t="str">
            <v>3/4"</v>
          </cell>
          <cell r="R1184">
            <v>2</v>
          </cell>
          <cell r="S1184">
            <v>3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30.016000000000005</v>
          </cell>
          <cell r="AC1184">
            <v>0</v>
          </cell>
          <cell r="AD1184">
            <v>0</v>
          </cell>
        </row>
        <row r="1185">
          <cell r="B1185" t="str">
            <v>Nucleo A</v>
          </cell>
          <cell r="C1185">
            <v>2</v>
          </cell>
          <cell r="D1185">
            <v>1</v>
          </cell>
          <cell r="G1185">
            <v>2.65</v>
          </cell>
          <cell r="P1185" t="str">
            <v>V</v>
          </cell>
          <cell r="Q1185" t="str">
            <v>3/4"</v>
          </cell>
          <cell r="R1185">
            <v>2</v>
          </cell>
          <cell r="S1185">
            <v>3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30.016000000000005</v>
          </cell>
          <cell r="AC1185">
            <v>0</v>
          </cell>
          <cell r="AD1185">
            <v>0</v>
          </cell>
        </row>
        <row r="1186">
          <cell r="B1186" t="str">
            <v>Est</v>
          </cell>
          <cell r="C1186">
            <v>2</v>
          </cell>
          <cell r="D1186">
            <v>1</v>
          </cell>
          <cell r="E1186">
            <v>0.25</v>
          </cell>
          <cell r="F1186">
            <v>0.2</v>
          </cell>
          <cell r="G1186">
            <v>2.65</v>
          </cell>
          <cell r="Q1186" t="str">
            <v>3/8"</v>
          </cell>
          <cell r="R1186">
            <v>8</v>
          </cell>
          <cell r="S1186">
            <v>0.9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8.0640000000000018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</row>
        <row r="1187">
          <cell r="B1187" t="str">
            <v>Nucleo A</v>
          </cell>
          <cell r="C1187">
            <v>2</v>
          </cell>
          <cell r="D1187">
            <v>1</v>
          </cell>
          <cell r="E1187">
            <v>0.25</v>
          </cell>
          <cell r="F1187">
            <v>0.2</v>
          </cell>
          <cell r="G1187">
            <v>2.65</v>
          </cell>
          <cell r="P1187" t="str">
            <v>V</v>
          </cell>
          <cell r="Q1187" t="str">
            <v>3/4"</v>
          </cell>
          <cell r="R1187">
            <v>2</v>
          </cell>
          <cell r="S1187">
            <v>3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30.016000000000005</v>
          </cell>
          <cell r="AC1187">
            <v>0</v>
          </cell>
          <cell r="AD1187">
            <v>0</v>
          </cell>
        </row>
        <row r="1188">
          <cell r="B1188" t="str">
            <v>Nucleo A</v>
          </cell>
          <cell r="C1188">
            <v>2</v>
          </cell>
          <cell r="D1188">
            <v>1</v>
          </cell>
          <cell r="G1188">
            <v>2.65</v>
          </cell>
          <cell r="P1188" t="str">
            <v>V</v>
          </cell>
          <cell r="Q1188" t="str">
            <v>3/4"</v>
          </cell>
          <cell r="R1188">
            <v>2</v>
          </cell>
          <cell r="S1188">
            <v>3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30.016000000000005</v>
          </cell>
          <cell r="AC1188">
            <v>0</v>
          </cell>
          <cell r="AD1188">
            <v>0</v>
          </cell>
        </row>
        <row r="1189">
          <cell r="B1189" t="str">
            <v>Est</v>
          </cell>
          <cell r="C1189">
            <v>2</v>
          </cell>
          <cell r="D1189">
            <v>1</v>
          </cell>
          <cell r="E1189">
            <v>0.25</v>
          </cell>
          <cell r="F1189">
            <v>0.2</v>
          </cell>
          <cell r="G1189">
            <v>2.65</v>
          </cell>
          <cell r="Q1189" t="str">
            <v>3/8"</v>
          </cell>
          <cell r="R1189">
            <v>8</v>
          </cell>
          <cell r="S1189">
            <v>0.9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8.0640000000000018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</row>
        <row r="1190"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</row>
        <row r="1191">
          <cell r="B1191" t="str">
            <v>B2-PL-02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</row>
        <row r="1192">
          <cell r="B1192" t="str">
            <v>Acero Vert</v>
          </cell>
          <cell r="C1192">
            <v>1</v>
          </cell>
          <cell r="D1192">
            <v>1</v>
          </cell>
          <cell r="E1192">
            <v>6</v>
          </cell>
          <cell r="F1192">
            <v>0.2</v>
          </cell>
          <cell r="G1192">
            <v>2.65</v>
          </cell>
          <cell r="H1192">
            <v>210</v>
          </cell>
          <cell r="I1192">
            <v>3.18</v>
          </cell>
          <cell r="J1192">
            <v>0</v>
          </cell>
          <cell r="K1192">
            <v>0</v>
          </cell>
          <cell r="L1192">
            <v>3.18</v>
          </cell>
          <cell r="M1192">
            <v>12.4</v>
          </cell>
          <cell r="N1192">
            <v>2.4499999999999997</v>
          </cell>
          <cell r="O1192">
            <v>30.38</v>
          </cell>
          <cell r="P1192" t="str">
            <v>V</v>
          </cell>
          <cell r="Q1192" t="str">
            <v>3/8"</v>
          </cell>
          <cell r="R1192">
            <v>32</v>
          </cell>
          <cell r="S1192">
            <v>3.15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65.408000000000001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</row>
        <row r="1193">
          <cell r="B1193" t="str">
            <v>Acero Hor</v>
          </cell>
          <cell r="C1193">
            <v>1</v>
          </cell>
          <cell r="D1193">
            <v>1</v>
          </cell>
          <cell r="E1193">
            <v>0.3</v>
          </cell>
          <cell r="F1193">
            <v>0.4</v>
          </cell>
          <cell r="G1193">
            <v>2.65</v>
          </cell>
          <cell r="H1193">
            <v>210</v>
          </cell>
          <cell r="I1193">
            <v>0.318</v>
          </cell>
          <cell r="J1193">
            <v>0</v>
          </cell>
          <cell r="K1193">
            <v>0</v>
          </cell>
          <cell r="L1193">
            <v>0.318</v>
          </cell>
          <cell r="M1193">
            <v>1.4</v>
          </cell>
          <cell r="N1193">
            <v>2.4499999999999997</v>
          </cell>
          <cell r="O1193">
            <v>3.4299999999999993</v>
          </cell>
          <cell r="P1193" t="str">
            <v>H</v>
          </cell>
          <cell r="Q1193" t="str">
            <v>3/8"</v>
          </cell>
          <cell r="R1193">
            <v>18</v>
          </cell>
          <cell r="S1193">
            <v>6.3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63.503999999999998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</row>
        <row r="1194">
          <cell r="B1194" t="str">
            <v>Nucleo A</v>
          </cell>
          <cell r="C1194">
            <v>1</v>
          </cell>
          <cell r="D1194">
            <v>1</v>
          </cell>
          <cell r="E1194">
            <v>0.4</v>
          </cell>
          <cell r="F1194">
            <v>0.5</v>
          </cell>
          <cell r="G1194">
            <v>2.65</v>
          </cell>
          <cell r="P1194" t="str">
            <v>V</v>
          </cell>
          <cell r="Q1194" t="str">
            <v>3/4"</v>
          </cell>
          <cell r="R1194">
            <v>8</v>
          </cell>
          <cell r="S1194">
            <v>3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60.032000000000011</v>
          </cell>
          <cell r="AC1194">
            <v>0</v>
          </cell>
          <cell r="AD1194">
            <v>0</v>
          </cell>
        </row>
        <row r="1195">
          <cell r="B1195" t="str">
            <v>Nucleo A</v>
          </cell>
          <cell r="C1195">
            <v>1</v>
          </cell>
          <cell r="D1195">
            <v>1</v>
          </cell>
          <cell r="G1195">
            <v>2.65</v>
          </cell>
          <cell r="P1195" t="str">
            <v>V</v>
          </cell>
          <cell r="Q1195" t="str">
            <v>3/4"</v>
          </cell>
          <cell r="R1195">
            <v>4</v>
          </cell>
          <cell r="S1195">
            <v>3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30.016000000000005</v>
          </cell>
          <cell r="AC1195">
            <v>0</v>
          </cell>
          <cell r="AD1195">
            <v>0</v>
          </cell>
        </row>
        <row r="1196">
          <cell r="B1196" t="str">
            <v>Est</v>
          </cell>
          <cell r="C1196">
            <v>1</v>
          </cell>
          <cell r="D1196">
            <v>1</v>
          </cell>
          <cell r="E1196">
            <v>0.4</v>
          </cell>
          <cell r="F1196">
            <v>0.5</v>
          </cell>
          <cell r="G1196">
            <v>2.65</v>
          </cell>
          <cell r="Q1196" t="str">
            <v>3/8"</v>
          </cell>
          <cell r="R1196">
            <v>8</v>
          </cell>
          <cell r="S1196">
            <v>1.8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8.0640000000000018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</row>
        <row r="1197">
          <cell r="B1197" t="str">
            <v>Est</v>
          </cell>
          <cell r="C1197">
            <v>1</v>
          </cell>
          <cell r="D1197">
            <v>1</v>
          </cell>
          <cell r="E1197">
            <v>0.25</v>
          </cell>
          <cell r="F1197">
            <v>0.5</v>
          </cell>
          <cell r="G1197">
            <v>2.65</v>
          </cell>
          <cell r="Q1197" t="str">
            <v>3/8"</v>
          </cell>
          <cell r="R1197">
            <v>8</v>
          </cell>
          <cell r="S1197">
            <v>1.5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6.7200000000000006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</row>
        <row r="1198">
          <cell r="B1198" t="str">
            <v>Est</v>
          </cell>
          <cell r="C1198">
            <v>1</v>
          </cell>
          <cell r="D1198">
            <v>1</v>
          </cell>
          <cell r="E1198">
            <v>0.4</v>
          </cell>
          <cell r="F1198">
            <v>0.1</v>
          </cell>
          <cell r="G1198">
            <v>2.65</v>
          </cell>
          <cell r="Q1198" t="str">
            <v>3/8"</v>
          </cell>
          <cell r="R1198">
            <v>8</v>
          </cell>
          <cell r="S1198">
            <v>0.5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2.2400000000000002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</row>
        <row r="1199">
          <cell r="B1199" t="str">
            <v>Nucleo A</v>
          </cell>
          <cell r="C1199">
            <v>1</v>
          </cell>
          <cell r="D1199">
            <v>1</v>
          </cell>
          <cell r="E1199">
            <v>0.25</v>
          </cell>
          <cell r="F1199">
            <v>0.2</v>
          </cell>
          <cell r="G1199">
            <v>2.65</v>
          </cell>
          <cell r="P1199" t="str">
            <v>V</v>
          </cell>
          <cell r="Q1199" t="str">
            <v>3/4"</v>
          </cell>
          <cell r="R1199">
            <v>2</v>
          </cell>
          <cell r="S1199">
            <v>3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15.008000000000003</v>
          </cell>
          <cell r="AC1199">
            <v>0</v>
          </cell>
          <cell r="AD1199">
            <v>0</v>
          </cell>
        </row>
        <row r="1200">
          <cell r="B1200" t="str">
            <v>Nucleo A</v>
          </cell>
          <cell r="C1200">
            <v>1</v>
          </cell>
          <cell r="D1200">
            <v>1</v>
          </cell>
          <cell r="G1200">
            <v>2.65</v>
          </cell>
          <cell r="P1200" t="str">
            <v>V</v>
          </cell>
          <cell r="Q1200" t="str">
            <v>3/4"</v>
          </cell>
          <cell r="R1200">
            <v>2</v>
          </cell>
          <cell r="S1200">
            <v>3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15.008000000000003</v>
          </cell>
          <cell r="AC1200">
            <v>0</v>
          </cell>
          <cell r="AD1200">
            <v>0</v>
          </cell>
        </row>
        <row r="1201">
          <cell r="B1201" t="str">
            <v>Est</v>
          </cell>
          <cell r="C1201">
            <v>1</v>
          </cell>
          <cell r="D1201">
            <v>1</v>
          </cell>
          <cell r="E1201">
            <v>0.25</v>
          </cell>
          <cell r="F1201">
            <v>0.2</v>
          </cell>
          <cell r="G1201">
            <v>2.65</v>
          </cell>
          <cell r="Q1201" t="str">
            <v>3/8"</v>
          </cell>
          <cell r="R1201">
            <v>8</v>
          </cell>
          <cell r="S1201">
            <v>0.9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4.0320000000000009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</row>
        <row r="1202"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</row>
        <row r="1203">
          <cell r="B1203" t="str">
            <v>B2-PL-02A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</row>
        <row r="1204">
          <cell r="B1204" t="str">
            <v>Acero Vert</v>
          </cell>
          <cell r="C1204">
            <v>1</v>
          </cell>
          <cell r="D1204">
            <v>1</v>
          </cell>
          <cell r="E1204">
            <v>6</v>
          </cell>
          <cell r="F1204">
            <v>0.2</v>
          </cell>
          <cell r="G1204">
            <v>2.65</v>
          </cell>
          <cell r="H1204">
            <v>210</v>
          </cell>
          <cell r="I1204">
            <v>3.18</v>
          </cell>
          <cell r="J1204">
            <v>0</v>
          </cell>
          <cell r="K1204">
            <v>0</v>
          </cell>
          <cell r="L1204">
            <v>3.18</v>
          </cell>
          <cell r="M1204">
            <v>12.4</v>
          </cell>
          <cell r="N1204">
            <v>2.4499999999999997</v>
          </cell>
          <cell r="O1204">
            <v>30.38</v>
          </cell>
          <cell r="P1204" t="str">
            <v>V</v>
          </cell>
          <cell r="Q1204" t="str">
            <v>3/8"</v>
          </cell>
          <cell r="R1204">
            <v>32</v>
          </cell>
          <cell r="S1204">
            <v>3.15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65.408000000000001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</row>
        <row r="1205">
          <cell r="B1205" t="str">
            <v>Acero Hor</v>
          </cell>
          <cell r="C1205">
            <v>1</v>
          </cell>
          <cell r="D1205">
            <v>1</v>
          </cell>
          <cell r="E1205">
            <v>0.3</v>
          </cell>
          <cell r="F1205">
            <v>0.4</v>
          </cell>
          <cell r="G1205">
            <v>2.65</v>
          </cell>
          <cell r="H1205">
            <v>210</v>
          </cell>
          <cell r="I1205">
            <v>0.318</v>
          </cell>
          <cell r="J1205">
            <v>0</v>
          </cell>
          <cell r="K1205">
            <v>0</v>
          </cell>
          <cell r="L1205">
            <v>0.318</v>
          </cell>
          <cell r="M1205">
            <v>1.4</v>
          </cell>
          <cell r="N1205">
            <v>2.4499999999999997</v>
          </cell>
          <cell r="O1205">
            <v>3.4299999999999993</v>
          </cell>
          <cell r="P1205" t="str">
            <v>H</v>
          </cell>
          <cell r="Q1205" t="str">
            <v>3/8"</v>
          </cell>
          <cell r="R1205">
            <v>18</v>
          </cell>
          <cell r="S1205">
            <v>6.3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63.503999999999998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</row>
        <row r="1206">
          <cell r="B1206" t="str">
            <v>Nucleo A</v>
          </cell>
          <cell r="C1206">
            <v>1</v>
          </cell>
          <cell r="D1206">
            <v>1</v>
          </cell>
          <cell r="E1206">
            <v>0.4</v>
          </cell>
          <cell r="F1206">
            <v>0.5</v>
          </cell>
          <cell r="G1206">
            <v>2.65</v>
          </cell>
          <cell r="P1206" t="str">
            <v>V</v>
          </cell>
          <cell r="Q1206" t="str">
            <v>3/4"</v>
          </cell>
          <cell r="R1206">
            <v>8</v>
          </cell>
          <cell r="S1206">
            <v>3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60.032000000000011</v>
          </cell>
          <cell r="AC1206">
            <v>0</v>
          </cell>
          <cell r="AD1206">
            <v>0</v>
          </cell>
        </row>
        <row r="1207">
          <cell r="B1207" t="str">
            <v>Nucleo A</v>
          </cell>
          <cell r="C1207">
            <v>1</v>
          </cell>
          <cell r="D1207">
            <v>1</v>
          </cell>
          <cell r="G1207">
            <v>2.65</v>
          </cell>
          <cell r="P1207" t="str">
            <v>V</v>
          </cell>
          <cell r="Q1207" t="str">
            <v>3/4"</v>
          </cell>
          <cell r="R1207">
            <v>4</v>
          </cell>
          <cell r="S1207">
            <v>3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30.016000000000005</v>
          </cell>
          <cell r="AC1207">
            <v>0</v>
          </cell>
          <cell r="AD1207">
            <v>0</v>
          </cell>
        </row>
        <row r="1208">
          <cell r="B1208" t="str">
            <v>Est</v>
          </cell>
          <cell r="C1208">
            <v>1</v>
          </cell>
          <cell r="D1208">
            <v>1</v>
          </cell>
          <cell r="E1208">
            <v>0.4</v>
          </cell>
          <cell r="F1208">
            <v>0.5</v>
          </cell>
          <cell r="G1208">
            <v>2.65</v>
          </cell>
          <cell r="Q1208" t="str">
            <v>3/8"</v>
          </cell>
          <cell r="R1208">
            <v>8</v>
          </cell>
          <cell r="S1208">
            <v>1.8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8.0640000000000018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</row>
        <row r="1209">
          <cell r="B1209" t="str">
            <v>Est</v>
          </cell>
          <cell r="C1209">
            <v>1</v>
          </cell>
          <cell r="D1209">
            <v>1</v>
          </cell>
          <cell r="E1209">
            <v>0.25</v>
          </cell>
          <cell r="F1209">
            <v>0.5</v>
          </cell>
          <cell r="G1209">
            <v>2.65</v>
          </cell>
          <cell r="Q1209" t="str">
            <v>3/8"</v>
          </cell>
          <cell r="R1209">
            <v>8</v>
          </cell>
          <cell r="S1209">
            <v>1.5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6.7200000000000006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</row>
        <row r="1210">
          <cell r="B1210" t="str">
            <v>Est</v>
          </cell>
          <cell r="C1210">
            <v>1</v>
          </cell>
          <cell r="D1210">
            <v>1</v>
          </cell>
          <cell r="E1210">
            <v>0.4</v>
          </cell>
          <cell r="F1210">
            <v>0.1</v>
          </cell>
          <cell r="G1210">
            <v>2.65</v>
          </cell>
          <cell r="Q1210" t="str">
            <v>3/8"</v>
          </cell>
          <cell r="R1210">
            <v>8</v>
          </cell>
          <cell r="S1210">
            <v>0.5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2.2400000000000002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</row>
        <row r="1211">
          <cell r="B1211" t="str">
            <v>Nucleo A</v>
          </cell>
          <cell r="C1211">
            <v>1</v>
          </cell>
          <cell r="D1211">
            <v>1</v>
          </cell>
          <cell r="E1211">
            <v>0.25</v>
          </cell>
          <cell r="F1211">
            <v>0.2</v>
          </cell>
          <cell r="G1211">
            <v>2.65</v>
          </cell>
          <cell r="P1211" t="str">
            <v>V</v>
          </cell>
          <cell r="Q1211" t="str">
            <v>3/4"</v>
          </cell>
          <cell r="R1211">
            <v>2</v>
          </cell>
          <cell r="S1211">
            <v>3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15.008000000000003</v>
          </cell>
          <cell r="AC1211">
            <v>0</v>
          </cell>
          <cell r="AD1211">
            <v>0</v>
          </cell>
        </row>
        <row r="1212">
          <cell r="B1212" t="str">
            <v>Nucleo A</v>
          </cell>
          <cell r="C1212">
            <v>1</v>
          </cell>
          <cell r="D1212">
            <v>1</v>
          </cell>
          <cell r="G1212">
            <v>2.65</v>
          </cell>
          <cell r="P1212" t="str">
            <v>V</v>
          </cell>
          <cell r="Q1212" t="str">
            <v>3/4"</v>
          </cell>
          <cell r="R1212">
            <v>2</v>
          </cell>
          <cell r="S1212">
            <v>3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15.008000000000003</v>
          </cell>
          <cell r="AC1212">
            <v>0</v>
          </cell>
          <cell r="AD1212">
            <v>0</v>
          </cell>
        </row>
        <row r="1213">
          <cell r="B1213" t="str">
            <v>Est</v>
          </cell>
          <cell r="C1213">
            <v>1</v>
          </cell>
          <cell r="D1213">
            <v>1</v>
          </cell>
          <cell r="E1213">
            <v>0.25</v>
          </cell>
          <cell r="F1213">
            <v>0.2</v>
          </cell>
          <cell r="G1213">
            <v>2.65</v>
          </cell>
          <cell r="Q1213" t="str">
            <v>3/8"</v>
          </cell>
          <cell r="R1213">
            <v>8</v>
          </cell>
          <cell r="S1213">
            <v>0.9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4.0320000000000009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</row>
        <row r="1214">
          <cell r="B1214" t="str">
            <v>B2-PL-03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</row>
        <row r="1215">
          <cell r="B1215" t="str">
            <v>Acero Vert</v>
          </cell>
          <cell r="C1215">
            <v>1</v>
          </cell>
          <cell r="D1215">
            <v>1</v>
          </cell>
          <cell r="E1215">
            <v>4.4000000000000004</v>
          </cell>
          <cell r="F1215">
            <v>0.25</v>
          </cell>
          <cell r="G1215">
            <v>2.65</v>
          </cell>
          <cell r="H1215">
            <v>210</v>
          </cell>
          <cell r="I1215">
            <v>2.915</v>
          </cell>
          <cell r="J1215">
            <v>0</v>
          </cell>
          <cell r="K1215">
            <v>0</v>
          </cell>
          <cell r="L1215">
            <v>2.915</v>
          </cell>
          <cell r="M1215">
            <v>9.3000000000000007</v>
          </cell>
          <cell r="N1215">
            <v>2.4499999999999997</v>
          </cell>
          <cell r="O1215">
            <v>22.785</v>
          </cell>
          <cell r="P1215" t="str">
            <v>V</v>
          </cell>
          <cell r="Q1215" t="str">
            <v>3/8"</v>
          </cell>
          <cell r="R1215">
            <v>28</v>
          </cell>
          <cell r="S1215">
            <v>3.15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57.232000000000006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</row>
        <row r="1216">
          <cell r="B1216" t="str">
            <v>Acero Hor</v>
          </cell>
          <cell r="C1216">
            <v>1</v>
          </cell>
          <cell r="D1216">
            <v>1</v>
          </cell>
          <cell r="G1216">
            <v>2.65</v>
          </cell>
          <cell r="P1216" t="str">
            <v>H</v>
          </cell>
          <cell r="Q1216" t="str">
            <v>3/8"</v>
          </cell>
          <cell r="R1216">
            <v>20</v>
          </cell>
          <cell r="S1216">
            <v>4.7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52.640000000000008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</row>
        <row r="1217">
          <cell r="B1217" t="str">
            <v>Nucleo A</v>
          </cell>
          <cell r="C1217">
            <v>1</v>
          </cell>
          <cell r="D1217">
            <v>1</v>
          </cell>
          <cell r="E1217">
            <v>0.2</v>
          </cell>
          <cell r="F1217">
            <v>0.25</v>
          </cell>
          <cell r="G1217">
            <v>2.65</v>
          </cell>
          <cell r="P1217" t="str">
            <v>V</v>
          </cell>
          <cell r="Q1217" t="str">
            <v>3/4"</v>
          </cell>
          <cell r="R1217">
            <v>2</v>
          </cell>
          <cell r="S1217">
            <v>3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15.008000000000003</v>
          </cell>
          <cell r="AC1217">
            <v>0</v>
          </cell>
          <cell r="AD1217">
            <v>0</v>
          </cell>
        </row>
        <row r="1218">
          <cell r="B1218" t="str">
            <v>Nucleo A</v>
          </cell>
          <cell r="C1218">
            <v>1</v>
          </cell>
          <cell r="D1218">
            <v>1</v>
          </cell>
          <cell r="G1218">
            <v>2.65</v>
          </cell>
          <cell r="P1218" t="str">
            <v>V</v>
          </cell>
          <cell r="Q1218" t="str">
            <v>3/4"</v>
          </cell>
          <cell r="R1218">
            <v>2</v>
          </cell>
          <cell r="S1218">
            <v>3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15.008000000000003</v>
          </cell>
          <cell r="AC1218">
            <v>0</v>
          </cell>
          <cell r="AD1218">
            <v>0</v>
          </cell>
        </row>
        <row r="1219">
          <cell r="B1219" t="str">
            <v>Est</v>
          </cell>
          <cell r="C1219">
            <v>1</v>
          </cell>
          <cell r="D1219">
            <v>1</v>
          </cell>
          <cell r="E1219">
            <v>0.2</v>
          </cell>
          <cell r="F1219">
            <v>0.25</v>
          </cell>
          <cell r="G1219">
            <v>2.65</v>
          </cell>
          <cell r="Q1219" t="str">
            <v>3/8"</v>
          </cell>
          <cell r="R1219">
            <v>10</v>
          </cell>
          <cell r="S1219">
            <v>0.9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5.0400000000000009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</row>
        <row r="1220">
          <cell r="B1220" t="str">
            <v>Nucleo A</v>
          </cell>
          <cell r="C1220">
            <v>1</v>
          </cell>
          <cell r="D1220">
            <v>1</v>
          </cell>
          <cell r="E1220">
            <v>0.4</v>
          </cell>
          <cell r="F1220">
            <v>0.25</v>
          </cell>
          <cell r="G1220">
            <v>2.65</v>
          </cell>
          <cell r="P1220" t="str">
            <v>V</v>
          </cell>
          <cell r="Q1220" t="str">
            <v>3/4"</v>
          </cell>
          <cell r="R1220">
            <v>2</v>
          </cell>
          <cell r="S1220">
            <v>3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15.008000000000003</v>
          </cell>
          <cell r="AC1220">
            <v>0</v>
          </cell>
          <cell r="AD1220">
            <v>0</v>
          </cell>
        </row>
        <row r="1221">
          <cell r="B1221" t="str">
            <v>Nucleo A</v>
          </cell>
          <cell r="C1221">
            <v>1</v>
          </cell>
          <cell r="D1221">
            <v>1</v>
          </cell>
          <cell r="G1221">
            <v>2.65</v>
          </cell>
          <cell r="P1221" t="str">
            <v>V</v>
          </cell>
          <cell r="Q1221" t="str">
            <v>3/4"</v>
          </cell>
          <cell r="R1221">
            <v>2</v>
          </cell>
          <cell r="S1221">
            <v>3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15.008000000000003</v>
          </cell>
          <cell r="AC1221">
            <v>0</v>
          </cell>
          <cell r="AD1221">
            <v>0</v>
          </cell>
        </row>
        <row r="1222">
          <cell r="B1222" t="str">
            <v>Est</v>
          </cell>
          <cell r="C1222">
            <v>1</v>
          </cell>
          <cell r="D1222">
            <v>1</v>
          </cell>
          <cell r="E1222">
            <v>0.4</v>
          </cell>
          <cell r="F1222">
            <v>0.25</v>
          </cell>
          <cell r="G1222">
            <v>2.65</v>
          </cell>
          <cell r="Q1222" t="str">
            <v>3/8"</v>
          </cell>
          <cell r="R1222">
            <v>10</v>
          </cell>
          <cell r="S1222">
            <v>1.3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7.2800000000000011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</row>
        <row r="1223">
          <cell r="B1223" t="str">
            <v>Acero Vert</v>
          </cell>
          <cell r="C1223">
            <v>1</v>
          </cell>
          <cell r="D1223">
            <v>1</v>
          </cell>
          <cell r="E1223">
            <v>2.0699999999999998</v>
          </cell>
          <cell r="F1223">
            <v>0.2</v>
          </cell>
          <cell r="G1223">
            <v>2.65</v>
          </cell>
          <cell r="H1223">
            <v>210</v>
          </cell>
          <cell r="I1223">
            <v>1.0971</v>
          </cell>
          <cell r="J1223">
            <v>0</v>
          </cell>
          <cell r="K1223">
            <v>0</v>
          </cell>
          <cell r="L1223">
            <v>1.0971</v>
          </cell>
          <cell r="M1223">
            <v>4.54</v>
          </cell>
          <cell r="N1223">
            <v>2.4499999999999997</v>
          </cell>
          <cell r="O1223">
            <v>11.122999999999999</v>
          </cell>
          <cell r="P1223" t="str">
            <v>V</v>
          </cell>
          <cell r="Q1223" t="str">
            <v>3/8"</v>
          </cell>
          <cell r="R1223">
            <v>12</v>
          </cell>
          <cell r="S1223">
            <v>3.15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24.528000000000002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</row>
        <row r="1224">
          <cell r="B1224" t="str">
            <v>Acero Hor</v>
          </cell>
          <cell r="C1224">
            <v>1</v>
          </cell>
          <cell r="D1224">
            <v>1</v>
          </cell>
          <cell r="G1224">
            <v>2.65</v>
          </cell>
          <cell r="P1224" t="str">
            <v>H</v>
          </cell>
          <cell r="Q1224" t="str">
            <v>3/8"</v>
          </cell>
          <cell r="R1224">
            <v>18</v>
          </cell>
          <cell r="S1224">
            <v>2.6199999999999997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26.409600000000001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</row>
        <row r="1225">
          <cell r="B1225" t="str">
            <v>Nucleo A</v>
          </cell>
          <cell r="C1225">
            <v>1</v>
          </cell>
          <cell r="D1225">
            <v>1</v>
          </cell>
          <cell r="E1225">
            <v>0.25</v>
          </cell>
          <cell r="F1225">
            <v>0.2</v>
          </cell>
          <cell r="G1225">
            <v>2.65</v>
          </cell>
          <cell r="P1225" t="str">
            <v>V</v>
          </cell>
          <cell r="Q1225" t="str">
            <v>3/4"</v>
          </cell>
          <cell r="R1225">
            <v>2</v>
          </cell>
          <cell r="S1225">
            <v>3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15.008000000000003</v>
          </cell>
          <cell r="AC1225">
            <v>0</v>
          </cell>
          <cell r="AD1225">
            <v>0</v>
          </cell>
        </row>
        <row r="1226">
          <cell r="B1226" t="str">
            <v>Nucleo A</v>
          </cell>
          <cell r="C1226">
            <v>1</v>
          </cell>
          <cell r="D1226">
            <v>1</v>
          </cell>
          <cell r="E1226">
            <v>0.55000000000000004</v>
          </cell>
          <cell r="F1226">
            <v>0</v>
          </cell>
          <cell r="G1226">
            <v>2.65</v>
          </cell>
          <cell r="P1226" t="str">
            <v>V</v>
          </cell>
          <cell r="Q1226" t="str">
            <v>3/4"</v>
          </cell>
          <cell r="R1226">
            <v>2</v>
          </cell>
          <cell r="S1226">
            <v>3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15.008000000000003</v>
          </cell>
          <cell r="AC1226">
            <v>0</v>
          </cell>
          <cell r="AD1226">
            <v>0</v>
          </cell>
        </row>
        <row r="1227">
          <cell r="B1227" t="str">
            <v>Est</v>
          </cell>
          <cell r="C1227">
            <v>1</v>
          </cell>
          <cell r="D1227">
            <v>1</v>
          </cell>
          <cell r="E1227">
            <v>0.25</v>
          </cell>
          <cell r="F1227">
            <v>0.2</v>
          </cell>
          <cell r="G1227">
            <v>2.65</v>
          </cell>
          <cell r="Q1227" t="str">
            <v>3/8"</v>
          </cell>
          <cell r="R1227">
            <v>10</v>
          </cell>
          <cell r="S1227">
            <v>0.9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5.0400000000000009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</row>
        <row r="1228">
          <cell r="B1228" t="str">
            <v>Acero Vert</v>
          </cell>
          <cell r="C1228">
            <v>1</v>
          </cell>
          <cell r="D1228">
            <v>1</v>
          </cell>
          <cell r="E1228">
            <v>2.0699999999999998</v>
          </cell>
          <cell r="F1228">
            <v>0.4</v>
          </cell>
          <cell r="G1228">
            <v>2.65</v>
          </cell>
          <cell r="H1228">
            <v>210</v>
          </cell>
          <cell r="I1228">
            <v>2.1941999999999999</v>
          </cell>
          <cell r="J1228">
            <v>0</v>
          </cell>
          <cell r="K1228">
            <v>0</v>
          </cell>
          <cell r="L1228">
            <v>2.1941999999999999</v>
          </cell>
          <cell r="M1228">
            <v>4.9399999999999995</v>
          </cell>
          <cell r="N1228">
            <v>2.4499999999999997</v>
          </cell>
          <cell r="O1228">
            <v>12.102999999999998</v>
          </cell>
          <cell r="P1228" t="str">
            <v>V</v>
          </cell>
          <cell r="Q1228" t="str">
            <v>1/2"</v>
          </cell>
          <cell r="R1228">
            <v>12</v>
          </cell>
          <cell r="S1228">
            <v>3.15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40.391999999999996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</row>
        <row r="1229">
          <cell r="B1229" t="str">
            <v>Acero Hor</v>
          </cell>
          <cell r="C1229">
            <v>1</v>
          </cell>
          <cell r="D1229">
            <v>1</v>
          </cell>
          <cell r="G1229">
            <v>2.65</v>
          </cell>
          <cell r="P1229" t="str">
            <v>H</v>
          </cell>
          <cell r="Q1229" t="str">
            <v>1/2"</v>
          </cell>
          <cell r="R1229">
            <v>18</v>
          </cell>
          <cell r="S1229">
            <v>2.6199999999999997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46.688399999999994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</row>
        <row r="1230">
          <cell r="B1230" t="str">
            <v>Nucleo A</v>
          </cell>
          <cell r="C1230">
            <v>1</v>
          </cell>
          <cell r="D1230">
            <v>1</v>
          </cell>
          <cell r="E1230">
            <v>0.25</v>
          </cell>
          <cell r="F1230">
            <v>0.4</v>
          </cell>
          <cell r="G1230">
            <v>2.65</v>
          </cell>
          <cell r="P1230" t="str">
            <v>V</v>
          </cell>
          <cell r="Q1230" t="str">
            <v>3/4"</v>
          </cell>
          <cell r="R1230">
            <v>4</v>
          </cell>
          <cell r="S1230">
            <v>3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30.016000000000005</v>
          </cell>
          <cell r="AC1230">
            <v>0</v>
          </cell>
          <cell r="AD1230">
            <v>0</v>
          </cell>
        </row>
        <row r="1231">
          <cell r="B1231" t="str">
            <v>Nucleo A</v>
          </cell>
          <cell r="C1231">
            <v>1</v>
          </cell>
          <cell r="D1231">
            <v>1</v>
          </cell>
          <cell r="F1231">
            <v>0</v>
          </cell>
          <cell r="G1231">
            <v>2.65</v>
          </cell>
          <cell r="P1231" t="str">
            <v>V</v>
          </cell>
          <cell r="Q1231" t="str">
            <v>3/4"</v>
          </cell>
          <cell r="R1231">
            <v>4</v>
          </cell>
          <cell r="S1231">
            <v>3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30.016000000000005</v>
          </cell>
          <cell r="AC1231">
            <v>0</v>
          </cell>
          <cell r="AD1231">
            <v>0</v>
          </cell>
        </row>
        <row r="1232">
          <cell r="B1232" t="str">
            <v>Est</v>
          </cell>
          <cell r="C1232">
            <v>1</v>
          </cell>
          <cell r="D1232">
            <v>1</v>
          </cell>
          <cell r="E1232">
            <v>0.25</v>
          </cell>
          <cell r="F1232">
            <v>0.4</v>
          </cell>
          <cell r="G1232">
            <v>2.65</v>
          </cell>
          <cell r="Q1232" t="str">
            <v>3/8"</v>
          </cell>
          <cell r="R1232">
            <v>10</v>
          </cell>
          <cell r="S1232">
            <v>1.3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7.2800000000000011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</row>
        <row r="1233">
          <cell r="B1233" t="str">
            <v>Est</v>
          </cell>
          <cell r="C1233">
            <v>1</v>
          </cell>
          <cell r="D1233">
            <v>1</v>
          </cell>
          <cell r="E1233">
            <v>0.25</v>
          </cell>
          <cell r="F1233">
            <v>0.25</v>
          </cell>
          <cell r="G1233">
            <v>2.65</v>
          </cell>
          <cell r="Q1233" t="str">
            <v>3/8"</v>
          </cell>
          <cell r="R1233">
            <v>10</v>
          </cell>
          <cell r="S1233">
            <v>1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5.6000000000000005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</row>
        <row r="1234">
          <cell r="B1234" t="str">
            <v>15 PISO</v>
          </cell>
          <cell r="H1234">
            <v>210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</row>
        <row r="1235"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</row>
        <row r="1236">
          <cell r="B1236" t="str">
            <v>B2-PL-01</v>
          </cell>
          <cell r="C1236">
            <v>2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</row>
        <row r="1237">
          <cell r="B1237" t="str">
            <v>Acero Vert</v>
          </cell>
          <cell r="C1237">
            <v>2</v>
          </cell>
          <cell r="D1237">
            <v>1</v>
          </cell>
          <cell r="E1237">
            <v>6.05</v>
          </cell>
          <cell r="F1237">
            <v>0.2</v>
          </cell>
          <cell r="G1237">
            <v>2.65</v>
          </cell>
          <cell r="H1237">
            <v>210</v>
          </cell>
          <cell r="I1237">
            <v>6.4129999999999994</v>
          </cell>
          <cell r="J1237">
            <v>0</v>
          </cell>
          <cell r="K1237">
            <v>0</v>
          </cell>
          <cell r="L1237">
            <v>6.4129999999999994</v>
          </cell>
          <cell r="M1237">
            <v>12.5</v>
          </cell>
          <cell r="N1237">
            <v>2.4499999999999997</v>
          </cell>
          <cell r="O1237">
            <v>61.249999999999993</v>
          </cell>
          <cell r="P1237" t="str">
            <v>V</v>
          </cell>
          <cell r="Q1237" t="str">
            <v>3/8"</v>
          </cell>
          <cell r="R1237">
            <v>34</v>
          </cell>
          <cell r="S1237">
            <v>3.4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148.512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</row>
        <row r="1238">
          <cell r="B1238" t="str">
            <v>Acero Hor</v>
          </cell>
          <cell r="C1238">
            <v>2</v>
          </cell>
          <cell r="D1238">
            <v>1</v>
          </cell>
          <cell r="G1238">
            <v>2.65</v>
          </cell>
          <cell r="P1238" t="str">
            <v>H</v>
          </cell>
          <cell r="Q1238" t="str">
            <v>3/8"</v>
          </cell>
          <cell r="R1238">
            <v>18</v>
          </cell>
          <cell r="S1238">
            <v>6.55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132.048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</row>
        <row r="1239">
          <cell r="B1239" t="str">
            <v>Nucleo A</v>
          </cell>
          <cell r="C1239">
            <v>2</v>
          </cell>
          <cell r="D1239">
            <v>1</v>
          </cell>
          <cell r="E1239">
            <v>0.25</v>
          </cell>
          <cell r="F1239">
            <v>0.2</v>
          </cell>
          <cell r="G1239">
            <v>2.65</v>
          </cell>
          <cell r="P1239" t="str">
            <v>V</v>
          </cell>
          <cell r="Q1239" t="str">
            <v>3/4"</v>
          </cell>
          <cell r="R1239">
            <v>2</v>
          </cell>
          <cell r="S1239">
            <v>3.25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32.256000000000007</v>
          </cell>
          <cell r="AC1239">
            <v>0</v>
          </cell>
          <cell r="AD1239">
            <v>0</v>
          </cell>
        </row>
        <row r="1240">
          <cell r="B1240" t="str">
            <v>Nucleo A</v>
          </cell>
          <cell r="C1240">
            <v>2</v>
          </cell>
          <cell r="D1240">
            <v>1</v>
          </cell>
          <cell r="G1240">
            <v>2.65</v>
          </cell>
          <cell r="P1240" t="str">
            <v>V</v>
          </cell>
          <cell r="Q1240" t="str">
            <v>3/4"</v>
          </cell>
          <cell r="R1240">
            <v>2</v>
          </cell>
          <cell r="S1240">
            <v>3.25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32.256000000000007</v>
          </cell>
          <cell r="AC1240">
            <v>0</v>
          </cell>
          <cell r="AD1240">
            <v>0</v>
          </cell>
        </row>
        <row r="1241">
          <cell r="B1241" t="str">
            <v>Est</v>
          </cell>
          <cell r="C1241">
            <v>2</v>
          </cell>
          <cell r="D1241">
            <v>1</v>
          </cell>
          <cell r="E1241">
            <v>0.25</v>
          </cell>
          <cell r="F1241">
            <v>0.2</v>
          </cell>
          <cell r="G1241">
            <v>2.65</v>
          </cell>
          <cell r="Q1241" t="str">
            <v>3/8"</v>
          </cell>
          <cell r="R1241">
            <v>8</v>
          </cell>
          <cell r="S1241">
            <v>0.9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8.0640000000000018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</row>
        <row r="1242">
          <cell r="B1242" t="str">
            <v>Nucleo A</v>
          </cell>
          <cell r="C1242">
            <v>2</v>
          </cell>
          <cell r="D1242">
            <v>1</v>
          </cell>
          <cell r="E1242">
            <v>0.25</v>
          </cell>
          <cell r="F1242">
            <v>0.2</v>
          </cell>
          <cell r="G1242">
            <v>2.65</v>
          </cell>
          <cell r="P1242" t="str">
            <v>V</v>
          </cell>
          <cell r="Q1242" t="str">
            <v>3/4"</v>
          </cell>
          <cell r="R1242">
            <v>2</v>
          </cell>
          <cell r="S1242">
            <v>3.25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32.256000000000007</v>
          </cell>
          <cell r="AC1242">
            <v>0</v>
          </cell>
          <cell r="AD1242">
            <v>0</v>
          </cell>
        </row>
        <row r="1243">
          <cell r="B1243" t="str">
            <v>Nucleo A</v>
          </cell>
          <cell r="C1243">
            <v>2</v>
          </cell>
          <cell r="D1243">
            <v>1</v>
          </cell>
          <cell r="G1243">
            <v>2.65</v>
          </cell>
          <cell r="P1243" t="str">
            <v>V</v>
          </cell>
          <cell r="Q1243" t="str">
            <v>3/4"</v>
          </cell>
          <cell r="R1243">
            <v>2</v>
          </cell>
          <cell r="S1243">
            <v>3.25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32.256000000000007</v>
          </cell>
          <cell r="AC1243">
            <v>0</v>
          </cell>
          <cell r="AD1243">
            <v>0</v>
          </cell>
        </row>
        <row r="1244">
          <cell r="B1244" t="str">
            <v>Est</v>
          </cell>
          <cell r="C1244">
            <v>2</v>
          </cell>
          <cell r="D1244">
            <v>1</v>
          </cell>
          <cell r="E1244">
            <v>0.25</v>
          </cell>
          <cell r="F1244">
            <v>0.2</v>
          </cell>
          <cell r="G1244">
            <v>2.65</v>
          </cell>
          <cell r="Q1244" t="str">
            <v>3/8"</v>
          </cell>
          <cell r="R1244">
            <v>8</v>
          </cell>
          <cell r="S1244">
            <v>0.9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8.0640000000000018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</row>
        <row r="1245"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</row>
        <row r="1246">
          <cell r="B1246" t="str">
            <v>B2-PL-02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</row>
        <row r="1247">
          <cell r="B1247" t="str">
            <v>Acero Vert</v>
          </cell>
          <cell r="C1247">
            <v>1</v>
          </cell>
          <cell r="D1247">
            <v>1</v>
          </cell>
          <cell r="E1247">
            <v>6</v>
          </cell>
          <cell r="F1247">
            <v>0.2</v>
          </cell>
          <cell r="G1247">
            <v>2.65</v>
          </cell>
          <cell r="H1247">
            <v>210</v>
          </cell>
          <cell r="I1247">
            <v>3.18</v>
          </cell>
          <cell r="J1247">
            <v>0</v>
          </cell>
          <cell r="K1247">
            <v>0</v>
          </cell>
          <cell r="L1247">
            <v>3.18</v>
          </cell>
          <cell r="M1247">
            <v>12.4</v>
          </cell>
          <cell r="N1247">
            <v>2.4499999999999997</v>
          </cell>
          <cell r="O1247">
            <v>30.38</v>
          </cell>
          <cell r="P1247" t="str">
            <v>V</v>
          </cell>
          <cell r="Q1247" t="str">
            <v>3/8"</v>
          </cell>
          <cell r="R1247">
            <v>32</v>
          </cell>
          <cell r="S1247">
            <v>3.4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69.888000000000005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</row>
        <row r="1248">
          <cell r="B1248" t="str">
            <v>Acero Hor</v>
          </cell>
          <cell r="C1248">
            <v>1</v>
          </cell>
          <cell r="D1248">
            <v>1</v>
          </cell>
          <cell r="E1248">
            <v>0.3</v>
          </cell>
          <cell r="F1248">
            <v>0.4</v>
          </cell>
          <cell r="G1248">
            <v>2.65</v>
          </cell>
          <cell r="H1248">
            <v>210</v>
          </cell>
          <cell r="I1248">
            <v>0.318</v>
          </cell>
          <cell r="J1248">
            <v>0</v>
          </cell>
          <cell r="K1248">
            <v>0</v>
          </cell>
          <cell r="L1248">
            <v>0.318</v>
          </cell>
          <cell r="M1248">
            <v>1.4</v>
          </cell>
          <cell r="N1248">
            <v>2.4499999999999997</v>
          </cell>
          <cell r="O1248">
            <v>3.4299999999999993</v>
          </cell>
          <cell r="P1248" t="str">
            <v>H</v>
          </cell>
          <cell r="Q1248" t="str">
            <v>3/8"</v>
          </cell>
          <cell r="R1248">
            <v>18</v>
          </cell>
          <cell r="S1248">
            <v>6.3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63.503999999999998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</row>
        <row r="1249">
          <cell r="B1249" t="str">
            <v>Nucleo A</v>
          </cell>
          <cell r="C1249">
            <v>1</v>
          </cell>
          <cell r="D1249">
            <v>1</v>
          </cell>
          <cell r="E1249">
            <v>0.4</v>
          </cell>
          <cell r="F1249">
            <v>0.5</v>
          </cell>
          <cell r="G1249">
            <v>2.65</v>
          </cell>
          <cell r="P1249" t="str">
            <v>V</v>
          </cell>
          <cell r="Q1249" t="str">
            <v>3/4"</v>
          </cell>
          <cell r="R1249">
            <v>8</v>
          </cell>
          <cell r="S1249">
            <v>3.25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64.512000000000015</v>
          </cell>
          <cell r="AC1249">
            <v>0</v>
          </cell>
          <cell r="AD1249">
            <v>0</v>
          </cell>
        </row>
        <row r="1250">
          <cell r="B1250" t="str">
            <v>Nucleo A</v>
          </cell>
          <cell r="C1250">
            <v>1</v>
          </cell>
          <cell r="D1250">
            <v>1</v>
          </cell>
          <cell r="G1250">
            <v>2.65</v>
          </cell>
          <cell r="P1250" t="str">
            <v>V</v>
          </cell>
          <cell r="Q1250" t="str">
            <v>3/4"</v>
          </cell>
          <cell r="R1250">
            <v>4</v>
          </cell>
          <cell r="S1250">
            <v>3.25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32.256000000000007</v>
          </cell>
          <cell r="AC1250">
            <v>0</v>
          </cell>
          <cell r="AD1250">
            <v>0</v>
          </cell>
        </row>
        <row r="1251">
          <cell r="B1251" t="str">
            <v>Est</v>
          </cell>
          <cell r="C1251">
            <v>1</v>
          </cell>
          <cell r="D1251">
            <v>1</v>
          </cell>
          <cell r="E1251">
            <v>0.4</v>
          </cell>
          <cell r="F1251">
            <v>0.5</v>
          </cell>
          <cell r="G1251">
            <v>2.65</v>
          </cell>
          <cell r="Q1251" t="str">
            <v>3/8"</v>
          </cell>
          <cell r="R1251">
            <v>8</v>
          </cell>
          <cell r="S1251">
            <v>1.8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8.0640000000000018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</row>
        <row r="1252">
          <cell r="B1252" t="str">
            <v>Est</v>
          </cell>
          <cell r="C1252">
            <v>1</v>
          </cell>
          <cell r="D1252">
            <v>1</v>
          </cell>
          <cell r="E1252">
            <v>0.25</v>
          </cell>
          <cell r="F1252">
            <v>0.5</v>
          </cell>
          <cell r="G1252">
            <v>2.65</v>
          </cell>
          <cell r="Q1252" t="str">
            <v>3/8"</v>
          </cell>
          <cell r="R1252">
            <v>8</v>
          </cell>
          <cell r="S1252">
            <v>1.5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6.7200000000000006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</row>
        <row r="1253">
          <cell r="B1253" t="str">
            <v>Est</v>
          </cell>
          <cell r="C1253">
            <v>1</v>
          </cell>
          <cell r="D1253">
            <v>1</v>
          </cell>
          <cell r="E1253">
            <v>0.4</v>
          </cell>
          <cell r="F1253">
            <v>0.1</v>
          </cell>
          <cell r="G1253">
            <v>2.65</v>
          </cell>
          <cell r="Q1253" t="str">
            <v>3/8"</v>
          </cell>
          <cell r="R1253">
            <v>8</v>
          </cell>
          <cell r="S1253">
            <v>0.5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2.2400000000000002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</row>
        <row r="1254">
          <cell r="B1254" t="str">
            <v>Nucleo A</v>
          </cell>
          <cell r="C1254">
            <v>1</v>
          </cell>
          <cell r="D1254">
            <v>1</v>
          </cell>
          <cell r="E1254">
            <v>0.25</v>
          </cell>
          <cell r="F1254">
            <v>0.2</v>
          </cell>
          <cell r="G1254">
            <v>2.65</v>
          </cell>
          <cell r="P1254" t="str">
            <v>V</v>
          </cell>
          <cell r="Q1254" t="str">
            <v>3/4"</v>
          </cell>
          <cell r="R1254">
            <v>2</v>
          </cell>
          <cell r="S1254">
            <v>3.25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16.128000000000004</v>
          </cell>
          <cell r="AC1254">
            <v>0</v>
          </cell>
          <cell r="AD1254">
            <v>0</v>
          </cell>
        </row>
        <row r="1255">
          <cell r="B1255" t="str">
            <v>Nucleo A</v>
          </cell>
          <cell r="C1255">
            <v>1</v>
          </cell>
          <cell r="D1255">
            <v>1</v>
          </cell>
          <cell r="G1255">
            <v>2.65</v>
          </cell>
          <cell r="P1255" t="str">
            <v>V</v>
          </cell>
          <cell r="Q1255" t="str">
            <v>3/4"</v>
          </cell>
          <cell r="R1255">
            <v>2</v>
          </cell>
          <cell r="S1255">
            <v>3.25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16.128000000000004</v>
          </cell>
          <cell r="AC1255">
            <v>0</v>
          </cell>
          <cell r="AD1255">
            <v>0</v>
          </cell>
        </row>
        <row r="1256">
          <cell r="B1256" t="str">
            <v>Est</v>
          </cell>
          <cell r="C1256">
            <v>1</v>
          </cell>
          <cell r="D1256">
            <v>1</v>
          </cell>
          <cell r="E1256">
            <v>0.25</v>
          </cell>
          <cell r="F1256">
            <v>0.2</v>
          </cell>
          <cell r="G1256">
            <v>2.65</v>
          </cell>
          <cell r="Q1256" t="str">
            <v>3/8"</v>
          </cell>
          <cell r="R1256">
            <v>8</v>
          </cell>
          <cell r="S1256">
            <v>0.9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4.0320000000000009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</row>
        <row r="1257"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</row>
        <row r="1258">
          <cell r="B1258" t="str">
            <v>B2-PL-02A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</row>
        <row r="1259">
          <cell r="B1259" t="str">
            <v>Acero Vert</v>
          </cell>
          <cell r="C1259">
            <v>1</v>
          </cell>
          <cell r="D1259">
            <v>1</v>
          </cell>
          <cell r="E1259">
            <v>6</v>
          </cell>
          <cell r="F1259">
            <v>0.2</v>
          </cell>
          <cell r="G1259">
            <v>2.65</v>
          </cell>
          <cell r="H1259">
            <v>210</v>
          </cell>
          <cell r="I1259">
            <v>3.18</v>
          </cell>
          <cell r="J1259">
            <v>0</v>
          </cell>
          <cell r="K1259">
            <v>0</v>
          </cell>
          <cell r="L1259">
            <v>3.18</v>
          </cell>
          <cell r="M1259">
            <v>12.4</v>
          </cell>
          <cell r="N1259">
            <v>2.4499999999999997</v>
          </cell>
          <cell r="O1259">
            <v>30.38</v>
          </cell>
          <cell r="P1259" t="str">
            <v>V</v>
          </cell>
          <cell r="Q1259" t="str">
            <v>3/8"</v>
          </cell>
          <cell r="R1259">
            <v>32</v>
          </cell>
          <cell r="S1259">
            <v>3.4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69.888000000000005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</row>
        <row r="1260">
          <cell r="B1260" t="str">
            <v>Acero Hor</v>
          </cell>
          <cell r="C1260">
            <v>1</v>
          </cell>
          <cell r="D1260">
            <v>1</v>
          </cell>
          <cell r="E1260">
            <v>0.3</v>
          </cell>
          <cell r="F1260">
            <v>0.4</v>
          </cell>
          <cell r="G1260">
            <v>2.65</v>
          </cell>
          <cell r="H1260">
            <v>210</v>
          </cell>
          <cell r="I1260">
            <v>0.318</v>
          </cell>
          <cell r="J1260">
            <v>0</v>
          </cell>
          <cell r="K1260">
            <v>0</v>
          </cell>
          <cell r="L1260">
            <v>0.318</v>
          </cell>
          <cell r="M1260">
            <v>1.4</v>
          </cell>
          <cell r="N1260">
            <v>2.4499999999999997</v>
          </cell>
          <cell r="O1260">
            <v>3.4299999999999993</v>
          </cell>
          <cell r="P1260" t="str">
            <v>H</v>
          </cell>
          <cell r="Q1260" t="str">
            <v>3/8"</v>
          </cell>
          <cell r="R1260">
            <v>18</v>
          </cell>
          <cell r="S1260">
            <v>6.3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63.503999999999998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</row>
        <row r="1261">
          <cell r="B1261" t="str">
            <v>Nucleo A</v>
          </cell>
          <cell r="C1261">
            <v>1</v>
          </cell>
          <cell r="D1261">
            <v>1</v>
          </cell>
          <cell r="E1261">
            <v>0.4</v>
          </cell>
          <cell r="F1261">
            <v>0.5</v>
          </cell>
          <cell r="G1261">
            <v>2.65</v>
          </cell>
          <cell r="P1261" t="str">
            <v>V</v>
          </cell>
          <cell r="Q1261" t="str">
            <v>3/4"</v>
          </cell>
          <cell r="R1261">
            <v>8</v>
          </cell>
          <cell r="S1261">
            <v>3.25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64.512000000000015</v>
          </cell>
          <cell r="AC1261">
            <v>0</v>
          </cell>
          <cell r="AD1261">
            <v>0</v>
          </cell>
        </row>
        <row r="1262">
          <cell r="B1262" t="str">
            <v>Nucleo A</v>
          </cell>
          <cell r="C1262">
            <v>1</v>
          </cell>
          <cell r="D1262">
            <v>1</v>
          </cell>
          <cell r="G1262">
            <v>2.65</v>
          </cell>
          <cell r="P1262" t="str">
            <v>V</v>
          </cell>
          <cell r="Q1262" t="str">
            <v>3/4"</v>
          </cell>
          <cell r="R1262">
            <v>4</v>
          </cell>
          <cell r="S1262">
            <v>3.25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32.256000000000007</v>
          </cell>
          <cell r="AC1262">
            <v>0</v>
          </cell>
          <cell r="AD1262">
            <v>0</v>
          </cell>
        </row>
        <row r="1263">
          <cell r="B1263" t="str">
            <v>Est</v>
          </cell>
          <cell r="C1263">
            <v>1</v>
          </cell>
          <cell r="D1263">
            <v>1</v>
          </cell>
          <cell r="E1263">
            <v>0.4</v>
          </cell>
          <cell r="F1263">
            <v>0.5</v>
          </cell>
          <cell r="G1263">
            <v>2.65</v>
          </cell>
          <cell r="Q1263" t="str">
            <v>3/8"</v>
          </cell>
          <cell r="R1263">
            <v>8</v>
          </cell>
          <cell r="S1263">
            <v>1.8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8.0640000000000018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</row>
        <row r="1264">
          <cell r="B1264" t="str">
            <v>Est</v>
          </cell>
          <cell r="C1264">
            <v>1</v>
          </cell>
          <cell r="D1264">
            <v>1</v>
          </cell>
          <cell r="E1264">
            <v>0.25</v>
          </cell>
          <cell r="F1264">
            <v>0.5</v>
          </cell>
          <cell r="G1264">
            <v>2.65</v>
          </cell>
          <cell r="Q1264" t="str">
            <v>3/8"</v>
          </cell>
          <cell r="R1264">
            <v>8</v>
          </cell>
          <cell r="S1264">
            <v>1.5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6.7200000000000006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</row>
        <row r="1265">
          <cell r="B1265" t="str">
            <v>Est</v>
          </cell>
          <cell r="C1265">
            <v>1</v>
          </cell>
          <cell r="D1265">
            <v>1</v>
          </cell>
          <cell r="E1265">
            <v>0.4</v>
          </cell>
          <cell r="F1265">
            <v>0.1</v>
          </cell>
          <cell r="G1265">
            <v>2.65</v>
          </cell>
          <cell r="Q1265" t="str">
            <v>3/8"</v>
          </cell>
          <cell r="R1265">
            <v>8</v>
          </cell>
          <cell r="S1265">
            <v>0.5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2.2400000000000002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</row>
        <row r="1266">
          <cell r="B1266" t="str">
            <v>Nucleo A</v>
          </cell>
          <cell r="C1266">
            <v>1</v>
          </cell>
          <cell r="D1266">
            <v>1</v>
          </cell>
          <cell r="E1266">
            <v>0.25</v>
          </cell>
          <cell r="F1266">
            <v>0.2</v>
          </cell>
          <cell r="G1266">
            <v>2.65</v>
          </cell>
          <cell r="P1266" t="str">
            <v>V</v>
          </cell>
          <cell r="Q1266" t="str">
            <v>3/4"</v>
          </cell>
          <cell r="R1266">
            <v>2</v>
          </cell>
          <cell r="S1266">
            <v>3.25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16.128000000000004</v>
          </cell>
          <cell r="AC1266">
            <v>0</v>
          </cell>
          <cell r="AD1266">
            <v>0</v>
          </cell>
        </row>
        <row r="1267">
          <cell r="B1267" t="str">
            <v>Nucleo A</v>
          </cell>
          <cell r="C1267">
            <v>1</v>
          </cell>
          <cell r="D1267">
            <v>1</v>
          </cell>
          <cell r="G1267">
            <v>2.65</v>
          </cell>
          <cell r="P1267" t="str">
            <v>V</v>
          </cell>
          <cell r="Q1267" t="str">
            <v>3/4"</v>
          </cell>
          <cell r="R1267">
            <v>2</v>
          </cell>
          <cell r="S1267">
            <v>3.25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16.128000000000004</v>
          </cell>
          <cell r="AC1267">
            <v>0</v>
          </cell>
          <cell r="AD1267">
            <v>0</v>
          </cell>
        </row>
        <row r="1268">
          <cell r="B1268" t="str">
            <v>Est</v>
          </cell>
          <cell r="C1268">
            <v>1</v>
          </cell>
          <cell r="D1268">
            <v>1</v>
          </cell>
          <cell r="E1268">
            <v>0.25</v>
          </cell>
          <cell r="F1268">
            <v>0.2</v>
          </cell>
          <cell r="G1268">
            <v>2.65</v>
          </cell>
          <cell r="Q1268" t="str">
            <v>3/8"</v>
          </cell>
          <cell r="R1268">
            <v>8</v>
          </cell>
          <cell r="S1268">
            <v>0.9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4.0320000000000009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</row>
        <row r="1269">
          <cell r="B1269" t="str">
            <v>B2-PL-03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</row>
        <row r="1270">
          <cell r="B1270" t="str">
            <v>Acero Vert</v>
          </cell>
          <cell r="C1270">
            <v>1</v>
          </cell>
          <cell r="D1270">
            <v>1</v>
          </cell>
          <cell r="E1270">
            <v>4.4000000000000004</v>
          </cell>
          <cell r="F1270">
            <v>0.25</v>
          </cell>
          <cell r="G1270">
            <v>2.65</v>
          </cell>
          <cell r="H1270">
            <v>210</v>
          </cell>
          <cell r="I1270">
            <v>2.915</v>
          </cell>
          <cell r="J1270">
            <v>0</v>
          </cell>
          <cell r="K1270">
            <v>0</v>
          </cell>
          <cell r="L1270">
            <v>2.915</v>
          </cell>
          <cell r="M1270">
            <v>9.3000000000000007</v>
          </cell>
          <cell r="N1270">
            <v>2.4499999999999997</v>
          </cell>
          <cell r="O1270">
            <v>22.785</v>
          </cell>
          <cell r="P1270" t="str">
            <v>V</v>
          </cell>
          <cell r="Q1270" t="str">
            <v>3/8"</v>
          </cell>
          <cell r="R1270">
            <v>28</v>
          </cell>
          <cell r="S1270">
            <v>3.15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57.232000000000006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</row>
        <row r="1271">
          <cell r="B1271" t="str">
            <v>Acero Hor</v>
          </cell>
          <cell r="C1271">
            <v>1</v>
          </cell>
          <cell r="D1271">
            <v>1</v>
          </cell>
          <cell r="G1271">
            <v>2.65</v>
          </cell>
          <cell r="P1271" t="str">
            <v>H</v>
          </cell>
          <cell r="Q1271" t="str">
            <v>3/8"</v>
          </cell>
          <cell r="R1271">
            <v>20</v>
          </cell>
          <cell r="S1271">
            <v>4.7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52.640000000000008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</row>
        <row r="1272">
          <cell r="B1272" t="str">
            <v>Nucleo A</v>
          </cell>
          <cell r="C1272">
            <v>1</v>
          </cell>
          <cell r="D1272">
            <v>1</v>
          </cell>
          <cell r="E1272">
            <v>0.2</v>
          </cell>
          <cell r="F1272">
            <v>0.25</v>
          </cell>
          <cell r="G1272">
            <v>2.65</v>
          </cell>
          <cell r="P1272" t="str">
            <v>V</v>
          </cell>
          <cell r="Q1272" t="str">
            <v>3/4"</v>
          </cell>
          <cell r="R1272">
            <v>2</v>
          </cell>
          <cell r="S1272">
            <v>3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15.008000000000003</v>
          </cell>
          <cell r="AC1272">
            <v>0</v>
          </cell>
          <cell r="AD1272">
            <v>0</v>
          </cell>
        </row>
        <row r="1273">
          <cell r="B1273" t="str">
            <v>Nucleo A</v>
          </cell>
          <cell r="C1273">
            <v>1</v>
          </cell>
          <cell r="D1273">
            <v>1</v>
          </cell>
          <cell r="G1273">
            <v>2.65</v>
          </cell>
          <cell r="P1273" t="str">
            <v>V</v>
          </cell>
          <cell r="Q1273" t="str">
            <v>3/4"</v>
          </cell>
          <cell r="R1273">
            <v>2</v>
          </cell>
          <cell r="S1273">
            <v>3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15.008000000000003</v>
          </cell>
          <cell r="AC1273">
            <v>0</v>
          </cell>
          <cell r="AD1273">
            <v>0</v>
          </cell>
        </row>
        <row r="1274">
          <cell r="B1274" t="str">
            <v>Est</v>
          </cell>
          <cell r="C1274">
            <v>1</v>
          </cell>
          <cell r="D1274">
            <v>1</v>
          </cell>
          <cell r="E1274">
            <v>0.2</v>
          </cell>
          <cell r="F1274">
            <v>0.25</v>
          </cell>
          <cell r="G1274">
            <v>2.65</v>
          </cell>
          <cell r="Q1274" t="str">
            <v>3/8"</v>
          </cell>
          <cell r="R1274">
            <v>10</v>
          </cell>
          <cell r="S1274">
            <v>0.9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5.0400000000000009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</row>
        <row r="1275">
          <cell r="B1275" t="str">
            <v>Nucleo A</v>
          </cell>
          <cell r="C1275">
            <v>1</v>
          </cell>
          <cell r="D1275">
            <v>1</v>
          </cell>
          <cell r="E1275">
            <v>0.4</v>
          </cell>
          <cell r="F1275">
            <v>0.25</v>
          </cell>
          <cell r="G1275">
            <v>2.65</v>
          </cell>
          <cell r="P1275" t="str">
            <v>V</v>
          </cell>
          <cell r="Q1275" t="str">
            <v>3/4"</v>
          </cell>
          <cell r="R1275">
            <v>2</v>
          </cell>
          <cell r="S1275">
            <v>3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15.008000000000003</v>
          </cell>
          <cell r="AC1275">
            <v>0</v>
          </cell>
          <cell r="AD1275">
            <v>0</v>
          </cell>
        </row>
        <row r="1276">
          <cell r="B1276" t="str">
            <v>Nucleo A</v>
          </cell>
          <cell r="C1276">
            <v>1</v>
          </cell>
          <cell r="D1276">
            <v>1</v>
          </cell>
          <cell r="G1276">
            <v>2.65</v>
          </cell>
          <cell r="P1276" t="str">
            <v>V</v>
          </cell>
          <cell r="Q1276" t="str">
            <v>3/4"</v>
          </cell>
          <cell r="R1276">
            <v>2</v>
          </cell>
          <cell r="S1276">
            <v>3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15.008000000000003</v>
          </cell>
          <cell r="AC1276">
            <v>0</v>
          </cell>
          <cell r="AD1276">
            <v>0</v>
          </cell>
        </row>
        <row r="1277">
          <cell r="B1277" t="str">
            <v>Est</v>
          </cell>
          <cell r="C1277">
            <v>1</v>
          </cell>
          <cell r="D1277">
            <v>1</v>
          </cell>
          <cell r="E1277">
            <v>0.4</v>
          </cell>
          <cell r="F1277">
            <v>0.25</v>
          </cell>
          <cell r="G1277">
            <v>2.65</v>
          </cell>
          <cell r="Q1277" t="str">
            <v>3/8"</v>
          </cell>
          <cell r="R1277">
            <v>10</v>
          </cell>
          <cell r="S1277">
            <v>1.3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7.2800000000000011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</row>
        <row r="1278">
          <cell r="B1278" t="str">
            <v>Acero Vert</v>
          </cell>
          <cell r="C1278">
            <v>1</v>
          </cell>
          <cell r="D1278">
            <v>1</v>
          </cell>
          <cell r="E1278">
            <v>2.0699999999999998</v>
          </cell>
          <cell r="F1278">
            <v>0.2</v>
          </cell>
          <cell r="G1278">
            <v>2.65</v>
          </cell>
          <cell r="H1278">
            <v>210</v>
          </cell>
          <cell r="I1278">
            <v>1.0971</v>
          </cell>
          <cell r="J1278">
            <v>0</v>
          </cell>
          <cell r="K1278">
            <v>0</v>
          </cell>
          <cell r="L1278">
            <v>1.0971</v>
          </cell>
          <cell r="M1278">
            <v>4.54</v>
          </cell>
          <cell r="N1278">
            <v>2.4499999999999997</v>
          </cell>
          <cell r="O1278">
            <v>11.122999999999999</v>
          </cell>
          <cell r="P1278" t="str">
            <v>V</v>
          </cell>
          <cell r="Q1278" t="str">
            <v>3/8"</v>
          </cell>
          <cell r="R1278">
            <v>12</v>
          </cell>
          <cell r="S1278">
            <v>3.15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24.528000000000002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</row>
        <row r="1279">
          <cell r="B1279" t="str">
            <v>Acero Hor</v>
          </cell>
          <cell r="C1279">
            <v>1</v>
          </cell>
          <cell r="D1279">
            <v>1</v>
          </cell>
          <cell r="G1279">
            <v>2.65</v>
          </cell>
          <cell r="P1279" t="str">
            <v>H</v>
          </cell>
          <cell r="Q1279" t="str">
            <v>3/8"</v>
          </cell>
          <cell r="R1279">
            <v>18</v>
          </cell>
          <cell r="S1279">
            <v>2.6199999999999997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26.409600000000001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</row>
        <row r="1280">
          <cell r="B1280" t="str">
            <v>Nucleo A</v>
          </cell>
          <cell r="C1280">
            <v>1</v>
          </cell>
          <cell r="D1280">
            <v>1</v>
          </cell>
          <cell r="E1280">
            <v>0.25</v>
          </cell>
          <cell r="F1280">
            <v>0.2</v>
          </cell>
          <cell r="G1280">
            <v>2.65</v>
          </cell>
          <cell r="P1280" t="str">
            <v>V</v>
          </cell>
          <cell r="Q1280" t="str">
            <v>3/4"</v>
          </cell>
          <cell r="R1280">
            <v>2</v>
          </cell>
          <cell r="S1280">
            <v>3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15.008000000000003</v>
          </cell>
          <cell r="AC1280">
            <v>0</v>
          </cell>
          <cell r="AD1280">
            <v>0</v>
          </cell>
        </row>
        <row r="1281">
          <cell r="B1281" t="str">
            <v>Nucleo A</v>
          </cell>
          <cell r="C1281">
            <v>1</v>
          </cell>
          <cell r="D1281">
            <v>1</v>
          </cell>
          <cell r="E1281">
            <v>0.55000000000000004</v>
          </cell>
          <cell r="F1281">
            <v>0</v>
          </cell>
          <cell r="G1281">
            <v>2.65</v>
          </cell>
          <cell r="P1281" t="str">
            <v>V</v>
          </cell>
          <cell r="Q1281" t="str">
            <v>3/4"</v>
          </cell>
          <cell r="R1281">
            <v>2</v>
          </cell>
          <cell r="S1281">
            <v>3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15.008000000000003</v>
          </cell>
          <cell r="AC1281">
            <v>0</v>
          </cell>
          <cell r="AD1281">
            <v>0</v>
          </cell>
        </row>
        <row r="1282">
          <cell r="B1282" t="str">
            <v>Est</v>
          </cell>
          <cell r="C1282">
            <v>1</v>
          </cell>
          <cell r="D1282">
            <v>1</v>
          </cell>
          <cell r="E1282">
            <v>0.25</v>
          </cell>
          <cell r="F1282">
            <v>0.2</v>
          </cell>
          <cell r="G1282">
            <v>2.65</v>
          </cell>
          <cell r="Q1282" t="str">
            <v>3/8"</v>
          </cell>
          <cell r="R1282">
            <v>10</v>
          </cell>
          <cell r="S1282">
            <v>0.9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5.0400000000000009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</row>
        <row r="1283">
          <cell r="B1283" t="str">
            <v>Acero Vert</v>
          </cell>
          <cell r="C1283">
            <v>1</v>
          </cell>
          <cell r="D1283">
            <v>1</v>
          </cell>
          <cell r="E1283">
            <v>2.0699999999999998</v>
          </cell>
          <cell r="F1283">
            <v>0.4</v>
          </cell>
          <cell r="G1283">
            <v>2.65</v>
          </cell>
          <cell r="H1283">
            <v>210</v>
          </cell>
          <cell r="I1283">
            <v>2.1941999999999999</v>
          </cell>
          <cell r="J1283">
            <v>0</v>
          </cell>
          <cell r="K1283">
            <v>0</v>
          </cell>
          <cell r="L1283">
            <v>2.1941999999999999</v>
          </cell>
          <cell r="M1283">
            <v>4.9399999999999995</v>
          </cell>
          <cell r="N1283">
            <v>2.4499999999999997</v>
          </cell>
          <cell r="O1283">
            <v>12.102999999999998</v>
          </cell>
          <cell r="P1283" t="str">
            <v>V</v>
          </cell>
          <cell r="Q1283" t="str">
            <v>1/2"</v>
          </cell>
          <cell r="R1283">
            <v>12</v>
          </cell>
          <cell r="S1283">
            <v>3.15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40.391999999999996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</row>
        <row r="1284">
          <cell r="B1284" t="str">
            <v>Acero Hor</v>
          </cell>
          <cell r="C1284">
            <v>1</v>
          </cell>
          <cell r="D1284">
            <v>1</v>
          </cell>
          <cell r="G1284">
            <v>2.65</v>
          </cell>
          <cell r="P1284" t="str">
            <v>H</v>
          </cell>
          <cell r="Q1284" t="str">
            <v>1/2"</v>
          </cell>
          <cell r="R1284">
            <v>18</v>
          </cell>
          <cell r="S1284">
            <v>2.6199999999999997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46.688399999999994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</row>
        <row r="1285">
          <cell r="B1285" t="str">
            <v>Nucleo A</v>
          </cell>
          <cell r="C1285">
            <v>1</v>
          </cell>
          <cell r="D1285">
            <v>1</v>
          </cell>
          <cell r="E1285">
            <v>0.25</v>
          </cell>
          <cell r="F1285">
            <v>0.4</v>
          </cell>
          <cell r="G1285">
            <v>2.65</v>
          </cell>
          <cell r="P1285" t="str">
            <v>V</v>
          </cell>
          <cell r="Q1285" t="str">
            <v>3/4"</v>
          </cell>
          <cell r="R1285">
            <v>4</v>
          </cell>
          <cell r="S1285">
            <v>3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30.016000000000005</v>
          </cell>
          <cell r="AC1285">
            <v>0</v>
          </cell>
          <cell r="AD1285">
            <v>0</v>
          </cell>
        </row>
        <row r="1286">
          <cell r="B1286" t="str">
            <v>Nucleo A</v>
          </cell>
          <cell r="C1286">
            <v>1</v>
          </cell>
          <cell r="D1286">
            <v>1</v>
          </cell>
          <cell r="F1286">
            <v>0</v>
          </cell>
          <cell r="G1286">
            <v>2.65</v>
          </cell>
          <cell r="P1286" t="str">
            <v>V</v>
          </cell>
          <cell r="Q1286" t="str">
            <v>3/4"</v>
          </cell>
          <cell r="R1286">
            <v>4</v>
          </cell>
          <cell r="S1286">
            <v>3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30.016000000000005</v>
          </cell>
          <cell r="AC1286">
            <v>0</v>
          </cell>
          <cell r="AD1286">
            <v>0</v>
          </cell>
        </row>
        <row r="1287">
          <cell r="B1287" t="str">
            <v>Est</v>
          </cell>
          <cell r="C1287">
            <v>1</v>
          </cell>
          <cell r="D1287">
            <v>1</v>
          </cell>
          <cell r="E1287">
            <v>0.25</v>
          </cell>
          <cell r="F1287">
            <v>0.4</v>
          </cell>
          <cell r="G1287">
            <v>2.65</v>
          </cell>
          <cell r="Q1287" t="str">
            <v>3/8"</v>
          </cell>
          <cell r="R1287">
            <v>10</v>
          </cell>
          <cell r="S1287">
            <v>1.3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7.2800000000000011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</row>
        <row r="1288">
          <cell r="B1288" t="str">
            <v>Est</v>
          </cell>
          <cell r="C1288">
            <v>1</v>
          </cell>
          <cell r="D1288">
            <v>1</v>
          </cell>
          <cell r="E1288">
            <v>0.25</v>
          </cell>
          <cell r="F1288">
            <v>0.25</v>
          </cell>
          <cell r="G1288">
            <v>2.65</v>
          </cell>
          <cell r="Q1288" t="str">
            <v>3/8"</v>
          </cell>
          <cell r="R1288">
            <v>10</v>
          </cell>
          <cell r="S1288">
            <v>1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5.6000000000000005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</row>
        <row r="1289"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</row>
        <row r="1290">
          <cell r="B1290" t="str">
            <v>AZOTEA</v>
          </cell>
          <cell r="H1290">
            <v>210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</row>
        <row r="1291"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</row>
        <row r="1292">
          <cell r="B1292" t="str">
            <v>B2-PL-02A</v>
          </cell>
          <cell r="C1292">
            <v>1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</row>
        <row r="1293">
          <cell r="B1293" t="str">
            <v>Acero Vert</v>
          </cell>
          <cell r="C1293">
            <v>1</v>
          </cell>
          <cell r="D1293">
            <v>1</v>
          </cell>
          <cell r="E1293">
            <v>2.5499999999999998</v>
          </cell>
          <cell r="F1293">
            <v>0.2</v>
          </cell>
          <cell r="G1293">
            <v>2.65</v>
          </cell>
          <cell r="H1293">
            <v>210</v>
          </cell>
          <cell r="I1293">
            <v>1.3514999999999999</v>
          </cell>
          <cell r="J1293">
            <v>0</v>
          </cell>
          <cell r="K1293">
            <v>0</v>
          </cell>
          <cell r="L1293">
            <v>1.3514999999999999</v>
          </cell>
          <cell r="M1293">
            <v>5.5</v>
          </cell>
          <cell r="N1293">
            <v>2.4499999999999997</v>
          </cell>
          <cell r="O1293">
            <v>13.474999999999998</v>
          </cell>
          <cell r="P1293" t="str">
            <v>V</v>
          </cell>
          <cell r="Q1293" t="str">
            <v>3/8"</v>
          </cell>
          <cell r="R1293">
            <v>14</v>
          </cell>
          <cell r="S1293">
            <v>2.9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26.656000000000002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</row>
        <row r="1294">
          <cell r="B1294" t="str">
            <v>Acero Hor</v>
          </cell>
          <cell r="C1294">
            <v>1</v>
          </cell>
          <cell r="D1294">
            <v>1</v>
          </cell>
          <cell r="G1294">
            <v>2.65</v>
          </cell>
          <cell r="P1294" t="str">
            <v>H</v>
          </cell>
          <cell r="Q1294" t="str">
            <v>3/8"</v>
          </cell>
          <cell r="R1294">
            <v>18</v>
          </cell>
          <cell r="S1294">
            <v>3.05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30.744000000000003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</row>
        <row r="1295">
          <cell r="B1295" t="str">
            <v>Nucleo A</v>
          </cell>
          <cell r="C1295">
            <v>1</v>
          </cell>
          <cell r="D1295">
            <v>1</v>
          </cell>
          <cell r="E1295">
            <v>0.25</v>
          </cell>
          <cell r="F1295">
            <v>0.2</v>
          </cell>
          <cell r="G1295">
            <v>2.65</v>
          </cell>
          <cell r="P1295" t="str">
            <v>V</v>
          </cell>
          <cell r="Q1295" t="str">
            <v>5/8"</v>
          </cell>
          <cell r="R1295">
            <v>2</v>
          </cell>
          <cell r="S1295">
            <v>3.9499999999999997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13.175000000000001</v>
          </cell>
          <cell r="AB1295">
            <v>0</v>
          </cell>
          <cell r="AC1295">
            <v>0</v>
          </cell>
          <cell r="AD1295">
            <v>0</v>
          </cell>
        </row>
        <row r="1296">
          <cell r="C1296">
            <v>1</v>
          </cell>
          <cell r="D1296">
            <v>1</v>
          </cell>
          <cell r="F1296">
            <v>0</v>
          </cell>
          <cell r="G1296">
            <v>2.65</v>
          </cell>
          <cell r="P1296" t="str">
            <v>V</v>
          </cell>
          <cell r="Q1296" t="str">
            <v>5/8"</v>
          </cell>
          <cell r="R1296">
            <v>2</v>
          </cell>
          <cell r="S1296">
            <v>3.9499999999999997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13.175000000000001</v>
          </cell>
          <cell r="AB1296">
            <v>0</v>
          </cell>
          <cell r="AC1296">
            <v>0</v>
          </cell>
          <cell r="AD1296">
            <v>0</v>
          </cell>
        </row>
        <row r="1297">
          <cell r="B1297" t="str">
            <v>Est</v>
          </cell>
          <cell r="C1297">
            <v>1</v>
          </cell>
          <cell r="D1297">
            <v>1</v>
          </cell>
          <cell r="E1297">
            <v>0.25</v>
          </cell>
          <cell r="F1297">
            <v>0.2</v>
          </cell>
          <cell r="G1297">
            <v>2.65</v>
          </cell>
          <cell r="Q1297" t="str">
            <v>3/8"</v>
          </cell>
          <cell r="R1297">
            <v>8</v>
          </cell>
          <cell r="S1297">
            <v>0.9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4.0320000000000009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</row>
        <row r="1298">
          <cell r="B1298" t="str">
            <v>Nucleo A</v>
          </cell>
          <cell r="C1298">
            <v>1</v>
          </cell>
          <cell r="D1298">
            <v>1</v>
          </cell>
          <cell r="E1298">
            <v>0.25</v>
          </cell>
          <cell r="F1298">
            <v>0.2</v>
          </cell>
          <cell r="G1298">
            <v>2.65</v>
          </cell>
          <cell r="P1298" t="str">
            <v>V</v>
          </cell>
          <cell r="Q1298" t="str">
            <v>5/8"</v>
          </cell>
          <cell r="R1298">
            <v>2</v>
          </cell>
          <cell r="S1298">
            <v>3.9499999999999997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13.175000000000001</v>
          </cell>
          <cell r="AB1298">
            <v>0</v>
          </cell>
          <cell r="AC1298">
            <v>0</v>
          </cell>
          <cell r="AD1298">
            <v>0</v>
          </cell>
        </row>
        <row r="1299">
          <cell r="C1299">
            <v>1</v>
          </cell>
          <cell r="D1299">
            <v>1</v>
          </cell>
          <cell r="F1299">
            <v>0.2</v>
          </cell>
          <cell r="G1299">
            <v>2.65</v>
          </cell>
          <cell r="P1299" t="str">
            <v>V</v>
          </cell>
          <cell r="Q1299" t="str">
            <v>5/8"</v>
          </cell>
          <cell r="R1299">
            <v>2</v>
          </cell>
          <cell r="S1299">
            <v>3.9499999999999997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13.175000000000001</v>
          </cell>
          <cell r="AB1299">
            <v>0</v>
          </cell>
          <cell r="AC1299">
            <v>0</v>
          </cell>
          <cell r="AD1299">
            <v>0</v>
          </cell>
        </row>
        <row r="1300">
          <cell r="B1300" t="str">
            <v>Est</v>
          </cell>
          <cell r="C1300">
            <v>1</v>
          </cell>
          <cell r="D1300">
            <v>1</v>
          </cell>
          <cell r="E1300">
            <v>0.25</v>
          </cell>
          <cell r="F1300">
            <v>0.2</v>
          </cell>
          <cell r="G1300">
            <v>2.65</v>
          </cell>
          <cell r="Q1300" t="str">
            <v>3/8"</v>
          </cell>
          <cell r="R1300">
            <v>8</v>
          </cell>
          <cell r="S1300">
            <v>0.9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4.0320000000000009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</row>
        <row r="1301">
          <cell r="B1301" t="str">
            <v>B2-PL-03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</row>
        <row r="1302">
          <cell r="B1302" t="str">
            <v>Acero Vert</v>
          </cell>
          <cell r="C1302">
            <v>1</v>
          </cell>
          <cell r="D1302">
            <v>1</v>
          </cell>
          <cell r="E1302">
            <v>4.4000000000000004</v>
          </cell>
          <cell r="F1302">
            <v>0.25</v>
          </cell>
          <cell r="G1302">
            <v>3.8500000000000014</v>
          </cell>
          <cell r="H1302">
            <v>210</v>
          </cell>
          <cell r="I1302">
            <v>4.2350000000000021</v>
          </cell>
          <cell r="J1302">
            <v>0</v>
          </cell>
          <cell r="K1302">
            <v>0</v>
          </cell>
          <cell r="L1302">
            <v>4.2350000000000021</v>
          </cell>
          <cell r="M1302">
            <v>9.3000000000000007</v>
          </cell>
          <cell r="N1302">
            <v>3.6500000000000012</v>
          </cell>
          <cell r="O1302">
            <v>33.945000000000014</v>
          </cell>
          <cell r="P1302" t="str">
            <v>V</v>
          </cell>
          <cell r="Q1302" t="str">
            <v>3/8"</v>
          </cell>
          <cell r="R1302">
            <v>28</v>
          </cell>
          <cell r="S1302">
            <v>4.6000000000000014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79.968000000000032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</row>
        <row r="1303">
          <cell r="B1303" t="str">
            <v>Acero Hor</v>
          </cell>
          <cell r="C1303">
            <v>1</v>
          </cell>
          <cell r="D1303">
            <v>1</v>
          </cell>
          <cell r="G1303">
            <v>3.8500000000000014</v>
          </cell>
          <cell r="P1303" t="str">
            <v>H</v>
          </cell>
          <cell r="Q1303" t="str">
            <v>3/8"</v>
          </cell>
          <cell r="R1303">
            <v>28</v>
          </cell>
          <cell r="S1303">
            <v>4.7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73.695999999999998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</row>
        <row r="1304">
          <cell r="B1304" t="str">
            <v>Nucleo A</v>
          </cell>
          <cell r="C1304">
            <v>1</v>
          </cell>
          <cell r="D1304">
            <v>1</v>
          </cell>
          <cell r="E1304">
            <v>0.2</v>
          </cell>
          <cell r="F1304">
            <v>0.25</v>
          </cell>
          <cell r="G1304">
            <v>3.8500000000000014</v>
          </cell>
          <cell r="P1304" t="str">
            <v>V</v>
          </cell>
          <cell r="Q1304" t="str">
            <v>3/4"</v>
          </cell>
          <cell r="R1304">
            <v>2</v>
          </cell>
          <cell r="S1304">
            <v>4.4500000000000011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21.504000000000005</v>
          </cell>
          <cell r="AC1304">
            <v>0</v>
          </cell>
          <cell r="AD1304">
            <v>0</v>
          </cell>
        </row>
        <row r="1305">
          <cell r="B1305" t="str">
            <v>Nucleo A</v>
          </cell>
          <cell r="C1305">
            <v>1</v>
          </cell>
          <cell r="D1305">
            <v>1</v>
          </cell>
          <cell r="G1305">
            <v>3.8500000000000014</v>
          </cell>
          <cell r="P1305" t="str">
            <v>V</v>
          </cell>
          <cell r="Q1305" t="str">
            <v>3/4"</v>
          </cell>
          <cell r="R1305">
            <v>2</v>
          </cell>
          <cell r="S1305">
            <v>4.4500000000000011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21.504000000000005</v>
          </cell>
          <cell r="AC1305">
            <v>0</v>
          </cell>
          <cell r="AD1305">
            <v>0</v>
          </cell>
        </row>
        <row r="1306">
          <cell r="B1306" t="str">
            <v>Est</v>
          </cell>
          <cell r="C1306">
            <v>1</v>
          </cell>
          <cell r="D1306">
            <v>1</v>
          </cell>
          <cell r="E1306">
            <v>0.2</v>
          </cell>
          <cell r="F1306">
            <v>0.25</v>
          </cell>
          <cell r="G1306">
            <v>3.8500000000000014</v>
          </cell>
          <cell r="Q1306" t="str">
            <v>3/8"</v>
          </cell>
          <cell r="R1306">
            <v>14</v>
          </cell>
          <cell r="S1306">
            <v>0.9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7.056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</row>
        <row r="1307">
          <cell r="B1307" t="str">
            <v>Nucleo A</v>
          </cell>
          <cell r="C1307">
            <v>1</v>
          </cell>
          <cell r="D1307">
            <v>1</v>
          </cell>
          <cell r="E1307">
            <v>0.4</v>
          </cell>
          <cell r="F1307">
            <v>0.25</v>
          </cell>
          <cell r="G1307">
            <v>3.8500000000000014</v>
          </cell>
          <cell r="P1307" t="str">
            <v>V</v>
          </cell>
          <cell r="Q1307" t="str">
            <v>3/4"</v>
          </cell>
          <cell r="R1307">
            <v>2</v>
          </cell>
          <cell r="S1307">
            <v>4.4500000000000011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21.504000000000005</v>
          </cell>
          <cell r="AC1307">
            <v>0</v>
          </cell>
          <cell r="AD1307">
            <v>0</v>
          </cell>
        </row>
        <row r="1308">
          <cell r="B1308" t="str">
            <v>Nucleo A</v>
          </cell>
          <cell r="C1308">
            <v>1</v>
          </cell>
          <cell r="D1308">
            <v>1</v>
          </cell>
          <cell r="G1308">
            <v>3.8500000000000014</v>
          </cell>
          <cell r="P1308" t="str">
            <v>V</v>
          </cell>
          <cell r="Q1308" t="str">
            <v>3/4"</v>
          </cell>
          <cell r="R1308">
            <v>2</v>
          </cell>
          <cell r="S1308">
            <v>4.4500000000000011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21.504000000000005</v>
          </cell>
          <cell r="AC1308">
            <v>0</v>
          </cell>
          <cell r="AD1308">
            <v>0</v>
          </cell>
        </row>
        <row r="1309">
          <cell r="B1309" t="str">
            <v>Est</v>
          </cell>
          <cell r="C1309">
            <v>1</v>
          </cell>
          <cell r="D1309">
            <v>1</v>
          </cell>
          <cell r="E1309">
            <v>0.4</v>
          </cell>
          <cell r="F1309">
            <v>0.25</v>
          </cell>
          <cell r="G1309">
            <v>3.8500000000000014</v>
          </cell>
          <cell r="Q1309" t="str">
            <v>3/8"</v>
          </cell>
          <cell r="R1309">
            <v>14</v>
          </cell>
          <cell r="S1309">
            <v>1.3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10.192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</row>
        <row r="1310">
          <cell r="B1310" t="str">
            <v>Acero Vert</v>
          </cell>
          <cell r="C1310">
            <v>1</v>
          </cell>
          <cell r="D1310">
            <v>1</v>
          </cell>
          <cell r="E1310">
            <v>2.0699999999999998</v>
          </cell>
          <cell r="F1310">
            <v>0.2</v>
          </cell>
          <cell r="G1310">
            <v>3.8500000000000014</v>
          </cell>
          <cell r="H1310">
            <v>210</v>
          </cell>
          <cell r="I1310">
            <v>1.5939000000000005</v>
          </cell>
          <cell r="J1310">
            <v>0</v>
          </cell>
          <cell r="K1310">
            <v>0</v>
          </cell>
          <cell r="L1310">
            <v>1.5939000000000005</v>
          </cell>
          <cell r="M1310">
            <v>4.54</v>
          </cell>
          <cell r="N1310">
            <v>3.6500000000000012</v>
          </cell>
          <cell r="O1310">
            <v>16.571000000000005</v>
          </cell>
          <cell r="P1310" t="str">
            <v>V</v>
          </cell>
          <cell r="Q1310" t="str">
            <v>3/8"</v>
          </cell>
          <cell r="R1310">
            <v>12</v>
          </cell>
          <cell r="S1310">
            <v>4.6000000000000014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34.272000000000013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</row>
        <row r="1311">
          <cell r="B1311" t="str">
            <v>Acero Hor</v>
          </cell>
          <cell r="C1311">
            <v>1</v>
          </cell>
          <cell r="D1311">
            <v>1</v>
          </cell>
          <cell r="G1311">
            <v>3.8500000000000014</v>
          </cell>
          <cell r="P1311" t="str">
            <v>H</v>
          </cell>
          <cell r="Q1311" t="str">
            <v>3/8"</v>
          </cell>
          <cell r="R1311">
            <v>24</v>
          </cell>
          <cell r="S1311">
            <v>2.6199999999999997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35.212800000000001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</row>
        <row r="1312">
          <cell r="B1312" t="str">
            <v>Nucleo A</v>
          </cell>
          <cell r="C1312">
            <v>1</v>
          </cell>
          <cell r="D1312">
            <v>1</v>
          </cell>
          <cell r="E1312">
            <v>0.25</v>
          </cell>
          <cell r="F1312">
            <v>0.2</v>
          </cell>
          <cell r="G1312">
            <v>3.8500000000000014</v>
          </cell>
          <cell r="P1312" t="str">
            <v>V</v>
          </cell>
          <cell r="Q1312" t="str">
            <v>3/4"</v>
          </cell>
          <cell r="R1312">
            <v>2</v>
          </cell>
          <cell r="S1312">
            <v>4.4500000000000011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21.504000000000005</v>
          </cell>
          <cell r="AC1312">
            <v>0</v>
          </cell>
          <cell r="AD1312">
            <v>0</v>
          </cell>
        </row>
        <row r="1313">
          <cell r="B1313" t="str">
            <v>Nucleo A</v>
          </cell>
          <cell r="C1313">
            <v>1</v>
          </cell>
          <cell r="D1313">
            <v>1</v>
          </cell>
          <cell r="F1313">
            <v>0</v>
          </cell>
          <cell r="G1313">
            <v>3.8500000000000014</v>
          </cell>
          <cell r="P1313" t="str">
            <v>V</v>
          </cell>
          <cell r="Q1313" t="str">
            <v>3/4"</v>
          </cell>
          <cell r="R1313">
            <v>2</v>
          </cell>
          <cell r="S1313">
            <v>4.4500000000000011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21.504000000000005</v>
          </cell>
          <cell r="AC1313">
            <v>0</v>
          </cell>
          <cell r="AD1313">
            <v>0</v>
          </cell>
        </row>
        <row r="1314">
          <cell r="B1314" t="str">
            <v>Est</v>
          </cell>
          <cell r="C1314">
            <v>1</v>
          </cell>
          <cell r="D1314">
            <v>1</v>
          </cell>
          <cell r="E1314">
            <v>0.25</v>
          </cell>
          <cell r="F1314">
            <v>0.2</v>
          </cell>
          <cell r="G1314">
            <v>3.8500000000000014</v>
          </cell>
          <cell r="Q1314" t="str">
            <v>3/8"</v>
          </cell>
          <cell r="R1314">
            <v>14</v>
          </cell>
          <cell r="S1314">
            <v>0.9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7.056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</row>
        <row r="1315">
          <cell r="B1315" t="str">
            <v>Acero Vert</v>
          </cell>
          <cell r="C1315">
            <v>1</v>
          </cell>
          <cell r="D1315">
            <v>1</v>
          </cell>
          <cell r="E1315">
            <v>2.0699999999999998</v>
          </cell>
          <cell r="F1315">
            <v>0.4</v>
          </cell>
          <cell r="G1315">
            <v>3.8500000000000014</v>
          </cell>
          <cell r="H1315">
            <v>210</v>
          </cell>
          <cell r="I1315">
            <v>3.1878000000000011</v>
          </cell>
          <cell r="J1315">
            <v>0</v>
          </cell>
          <cell r="K1315">
            <v>0</v>
          </cell>
          <cell r="L1315">
            <v>3.1878000000000011</v>
          </cell>
          <cell r="M1315">
            <v>4.9399999999999995</v>
          </cell>
          <cell r="N1315">
            <v>3.6500000000000012</v>
          </cell>
          <cell r="O1315">
            <v>18.031000000000006</v>
          </cell>
          <cell r="P1315" t="str">
            <v>V</v>
          </cell>
          <cell r="Q1315" t="str">
            <v>1/2"</v>
          </cell>
          <cell r="R1315">
            <v>12</v>
          </cell>
          <cell r="S1315">
            <v>4.6000000000000014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57.618000000000016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</row>
        <row r="1316">
          <cell r="B1316" t="str">
            <v>Acero Hor</v>
          </cell>
          <cell r="C1316">
            <v>1</v>
          </cell>
          <cell r="D1316">
            <v>1</v>
          </cell>
          <cell r="G1316">
            <v>3.8500000000000014</v>
          </cell>
          <cell r="P1316" t="str">
            <v>H</v>
          </cell>
          <cell r="Q1316" t="str">
            <v>1/2"</v>
          </cell>
          <cell r="R1316">
            <v>24</v>
          </cell>
          <cell r="S1316">
            <v>2.6199999999999997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62.251199999999997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</row>
        <row r="1317">
          <cell r="B1317" t="str">
            <v>Nucleo A</v>
          </cell>
          <cell r="C1317">
            <v>1</v>
          </cell>
          <cell r="D1317">
            <v>1</v>
          </cell>
          <cell r="E1317">
            <v>0.25</v>
          </cell>
          <cell r="F1317">
            <v>0.4</v>
          </cell>
          <cell r="G1317">
            <v>3.8500000000000014</v>
          </cell>
          <cell r="P1317" t="str">
            <v>V</v>
          </cell>
          <cell r="Q1317" t="str">
            <v>3/4"</v>
          </cell>
          <cell r="R1317">
            <v>4</v>
          </cell>
          <cell r="S1317">
            <v>4.4500000000000011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43.00800000000001</v>
          </cell>
          <cell r="AC1317">
            <v>0</v>
          </cell>
          <cell r="AD1317">
            <v>0</v>
          </cell>
        </row>
        <row r="1318">
          <cell r="B1318" t="str">
            <v>Nucleo A</v>
          </cell>
          <cell r="C1318">
            <v>1</v>
          </cell>
          <cell r="D1318">
            <v>1</v>
          </cell>
          <cell r="F1318">
            <v>0</v>
          </cell>
          <cell r="G1318">
            <v>3.8500000000000014</v>
          </cell>
          <cell r="P1318" t="str">
            <v>V</v>
          </cell>
          <cell r="Q1318" t="str">
            <v>3/4"</v>
          </cell>
          <cell r="R1318">
            <v>4</v>
          </cell>
          <cell r="S1318">
            <v>4.4500000000000011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43.00800000000001</v>
          </cell>
          <cell r="AC1318">
            <v>0</v>
          </cell>
          <cell r="AD1318">
            <v>0</v>
          </cell>
        </row>
        <row r="1319">
          <cell r="B1319" t="str">
            <v>Est</v>
          </cell>
          <cell r="C1319">
            <v>1</v>
          </cell>
          <cell r="D1319">
            <v>1</v>
          </cell>
          <cell r="E1319">
            <v>0.25</v>
          </cell>
          <cell r="F1319">
            <v>0.4</v>
          </cell>
          <cell r="G1319">
            <v>3.8500000000000014</v>
          </cell>
          <cell r="Q1319" t="str">
            <v>3/8"</v>
          </cell>
          <cell r="R1319">
            <v>14</v>
          </cell>
          <cell r="S1319">
            <v>1.3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10.192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</row>
        <row r="1320">
          <cell r="B1320" t="str">
            <v>Est</v>
          </cell>
          <cell r="C1320">
            <v>1</v>
          </cell>
          <cell r="D1320">
            <v>1</v>
          </cell>
          <cell r="E1320">
            <v>0.25</v>
          </cell>
          <cell r="F1320">
            <v>0.25</v>
          </cell>
          <cell r="G1320">
            <v>3.8500000000000014</v>
          </cell>
          <cell r="Q1320" t="str">
            <v>3/8"</v>
          </cell>
          <cell r="R1320">
            <v>14</v>
          </cell>
          <cell r="S1320">
            <v>1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7.8400000000000007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</row>
        <row r="1324">
          <cell r="A1324" t="str">
            <v>PLACA-CON280</v>
          </cell>
          <cell r="B1324" t="str">
            <v>Concreto f'c=280 kg/cm2</v>
          </cell>
          <cell r="D1324" t="str">
            <v>M3</v>
          </cell>
          <cell r="E1324">
            <v>128.86882</v>
          </cell>
          <cell r="L1324">
            <v>315.7747200000004</v>
          </cell>
        </row>
        <row r="1325">
          <cell r="A1325" t="str">
            <v>PLACA-CON210</v>
          </cell>
          <cell r="B1325" t="str">
            <v>Concreto f'c=210 kg/cm2</v>
          </cell>
          <cell r="D1325" t="str">
            <v>M3</v>
          </cell>
          <cell r="E1325">
            <v>186.90590000000012</v>
          </cell>
        </row>
        <row r="1326">
          <cell r="A1326" t="str">
            <v>PLACA-ENC</v>
          </cell>
          <cell r="B1326" t="str">
            <v xml:space="preserve">Encofrado y desencofrado </v>
          </cell>
          <cell r="D1326" t="str">
            <v>M2</v>
          </cell>
          <cell r="E1326">
            <v>2813.0208000000021</v>
          </cell>
        </row>
        <row r="1327">
          <cell r="A1327" t="str">
            <v>PLACA-ACE</v>
          </cell>
          <cell r="B1327" t="str">
            <v>Acero de refuerzo</v>
          </cell>
          <cell r="D1327" t="str">
            <v>KG</v>
          </cell>
          <cell r="E1327">
            <v>33375.225200000175</v>
          </cell>
        </row>
        <row r="1334">
          <cell r="B1334" t="str">
            <v>VIGAS</v>
          </cell>
        </row>
        <row r="1336">
          <cell r="B1336" t="str">
            <v>PISO 1</v>
          </cell>
        </row>
        <row r="1338">
          <cell r="B1338" t="str">
            <v xml:space="preserve">B2-VT-01 Tipo T (.30x.55) </v>
          </cell>
        </row>
        <row r="1339">
          <cell r="C1339">
            <v>1</v>
          </cell>
          <cell r="D1339">
            <v>1</v>
          </cell>
          <cell r="E1339">
            <v>5.65</v>
          </cell>
          <cell r="F1339">
            <v>0.3</v>
          </cell>
          <cell r="G1339">
            <v>0.55000000000000004</v>
          </cell>
          <cell r="L1339">
            <v>0.93225000000000013</v>
          </cell>
          <cell r="M1339">
            <v>5.65</v>
          </cell>
          <cell r="N1339">
            <v>1</v>
          </cell>
          <cell r="O1339">
            <v>5.65</v>
          </cell>
        </row>
        <row r="1340">
          <cell r="C1340">
            <v>1</v>
          </cell>
          <cell r="D1340">
            <v>1</v>
          </cell>
          <cell r="E1340">
            <v>5.25</v>
          </cell>
          <cell r="F1340">
            <v>0.3</v>
          </cell>
          <cell r="G1340">
            <v>0.55000000000000004</v>
          </cell>
          <cell r="L1340">
            <v>0.86625000000000008</v>
          </cell>
          <cell r="M1340">
            <v>5.25</v>
          </cell>
          <cell r="N1340">
            <v>1</v>
          </cell>
          <cell r="O1340">
            <v>5.25</v>
          </cell>
        </row>
        <row r="1341">
          <cell r="B1341" t="str">
            <v>Acero Principal</v>
          </cell>
          <cell r="C1341">
            <v>1</v>
          </cell>
          <cell r="D1341">
            <v>1</v>
          </cell>
          <cell r="F1341">
            <v>4</v>
          </cell>
          <cell r="G1341">
            <v>12.05</v>
          </cell>
          <cell r="Q1341" t="str">
            <v>1"</v>
          </cell>
          <cell r="R1341">
            <v>4</v>
          </cell>
          <cell r="S1341">
            <v>12.950000000000001</v>
          </cell>
          <cell r="T1341">
            <v>1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226.29000000000005</v>
          </cell>
          <cell r="AD1341">
            <v>0</v>
          </cell>
        </row>
        <row r="1342">
          <cell r="B1342" t="str">
            <v>Acero Principal</v>
          </cell>
          <cell r="C1342">
            <v>1</v>
          </cell>
          <cell r="D1342">
            <v>1</v>
          </cell>
          <cell r="F1342">
            <v>4</v>
          </cell>
          <cell r="G1342">
            <v>12.05</v>
          </cell>
          <cell r="Q1342" t="str">
            <v>3/4"</v>
          </cell>
          <cell r="R1342">
            <v>4</v>
          </cell>
          <cell r="S1342">
            <v>12.950000000000001</v>
          </cell>
          <cell r="T1342">
            <v>1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123.20000000000003</v>
          </cell>
          <cell r="AC1342">
            <v>0</v>
          </cell>
          <cell r="AD1342">
            <v>0</v>
          </cell>
        </row>
        <row r="1343">
          <cell r="B1343" t="str">
            <v>Ref. Sup</v>
          </cell>
          <cell r="C1343">
            <v>1</v>
          </cell>
          <cell r="D1343">
            <v>1</v>
          </cell>
          <cell r="F1343">
            <v>1</v>
          </cell>
          <cell r="G1343">
            <v>4.05</v>
          </cell>
          <cell r="Q1343" t="str">
            <v>3/4"</v>
          </cell>
          <cell r="R1343">
            <v>1</v>
          </cell>
          <cell r="S1343">
            <v>4.05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9.072000000000001</v>
          </cell>
          <cell r="AC1343">
            <v>0</v>
          </cell>
          <cell r="AD1343">
            <v>0</v>
          </cell>
        </row>
        <row r="1344">
          <cell r="B1344" t="str">
            <v>Ref. Inf</v>
          </cell>
          <cell r="C1344">
            <v>1</v>
          </cell>
          <cell r="D1344">
            <v>1</v>
          </cell>
          <cell r="F1344">
            <v>2</v>
          </cell>
          <cell r="G1344">
            <v>3.75</v>
          </cell>
          <cell r="Q1344" t="str">
            <v>3/4"</v>
          </cell>
          <cell r="R1344">
            <v>2</v>
          </cell>
          <cell r="S1344">
            <v>3.75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16.8</v>
          </cell>
          <cell r="AC1344">
            <v>0</v>
          </cell>
          <cell r="AD1344">
            <v>0</v>
          </cell>
        </row>
        <row r="1345">
          <cell r="B1345" t="str">
            <v>Ref. Inf</v>
          </cell>
          <cell r="C1345">
            <v>1</v>
          </cell>
          <cell r="D1345">
            <v>1</v>
          </cell>
          <cell r="F1345">
            <v>2</v>
          </cell>
          <cell r="G1345">
            <v>5.5</v>
          </cell>
          <cell r="Q1345" t="str">
            <v>3/4"</v>
          </cell>
          <cell r="R1345">
            <v>2</v>
          </cell>
          <cell r="S1345">
            <v>5.5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24.64</v>
          </cell>
          <cell r="AC1345">
            <v>0</v>
          </cell>
          <cell r="AD1345">
            <v>0</v>
          </cell>
        </row>
        <row r="1346">
          <cell r="B1346" t="str">
            <v>Ref. Inf</v>
          </cell>
          <cell r="C1346">
            <v>1</v>
          </cell>
          <cell r="D1346">
            <v>1</v>
          </cell>
          <cell r="F1346">
            <v>2</v>
          </cell>
          <cell r="G1346">
            <v>3.55</v>
          </cell>
          <cell r="Q1346" t="str">
            <v>3/4"</v>
          </cell>
          <cell r="R1346">
            <v>2</v>
          </cell>
          <cell r="S1346">
            <v>3.55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15.904</v>
          </cell>
          <cell r="AC1346">
            <v>0</v>
          </cell>
          <cell r="AD1346">
            <v>0</v>
          </cell>
        </row>
        <row r="1347">
          <cell r="B1347" t="str">
            <v>Est</v>
          </cell>
          <cell r="C1347">
            <v>1</v>
          </cell>
          <cell r="D1347">
            <v>1</v>
          </cell>
          <cell r="E1347">
            <v>5.65</v>
          </cell>
          <cell r="F1347">
            <v>0.3</v>
          </cell>
          <cell r="G1347">
            <v>0.55000000000000004</v>
          </cell>
          <cell r="Q1347" t="str">
            <v>3/8"</v>
          </cell>
          <cell r="R1347">
            <v>40</v>
          </cell>
          <cell r="S1347">
            <v>1.7000000000000002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38.080000000000005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</row>
        <row r="1348">
          <cell r="B1348" t="str">
            <v>Est</v>
          </cell>
          <cell r="C1348">
            <v>1</v>
          </cell>
          <cell r="D1348">
            <v>1</v>
          </cell>
          <cell r="E1348">
            <v>5.25</v>
          </cell>
          <cell r="F1348">
            <v>0.3</v>
          </cell>
          <cell r="G1348">
            <v>0.55000000000000004</v>
          </cell>
          <cell r="Q1348" t="str">
            <v>3/8"</v>
          </cell>
          <cell r="R1348">
            <v>38</v>
          </cell>
          <cell r="S1348">
            <v>1.7000000000000002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36.176000000000009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</row>
        <row r="1349">
          <cell r="C1349">
            <v>1</v>
          </cell>
          <cell r="D1349">
            <v>1</v>
          </cell>
          <cell r="E1349">
            <v>5.65</v>
          </cell>
          <cell r="F1349">
            <v>0.6</v>
          </cell>
          <cell r="G1349">
            <v>0.2</v>
          </cell>
          <cell r="L1349">
            <v>0.67800000000000005</v>
          </cell>
          <cell r="M1349">
            <v>5.65</v>
          </cell>
          <cell r="N1349">
            <v>0.6</v>
          </cell>
          <cell r="O1349">
            <v>3.39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</row>
        <row r="1350">
          <cell r="C1350">
            <v>1</v>
          </cell>
          <cell r="D1350">
            <v>1</v>
          </cell>
          <cell r="E1350">
            <v>5.25</v>
          </cell>
          <cell r="F1350">
            <v>0.6</v>
          </cell>
          <cell r="G1350">
            <v>0.2</v>
          </cell>
          <cell r="L1350">
            <v>0.63</v>
          </cell>
          <cell r="M1350">
            <v>5.25</v>
          </cell>
          <cell r="N1350">
            <v>0.6</v>
          </cell>
          <cell r="O1350">
            <v>3.15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</row>
        <row r="1351">
          <cell r="B1351" t="str">
            <v>Est</v>
          </cell>
          <cell r="C1351">
            <v>1</v>
          </cell>
          <cell r="D1351">
            <v>1</v>
          </cell>
          <cell r="E1351">
            <v>5.65</v>
          </cell>
          <cell r="F1351">
            <v>0.89999999999999991</v>
          </cell>
          <cell r="G1351">
            <v>0.2</v>
          </cell>
          <cell r="Q1351" t="str">
            <v>3/8"</v>
          </cell>
          <cell r="R1351">
            <v>40</v>
          </cell>
          <cell r="S1351">
            <v>2.1999999999999997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49.279999999999994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</row>
        <row r="1352">
          <cell r="B1352" t="str">
            <v>Est</v>
          </cell>
          <cell r="C1352">
            <v>1</v>
          </cell>
          <cell r="D1352">
            <v>1</v>
          </cell>
          <cell r="E1352">
            <v>5.25</v>
          </cell>
          <cell r="F1352">
            <v>0.89999999999999991</v>
          </cell>
          <cell r="G1352">
            <v>0.2</v>
          </cell>
          <cell r="Q1352" t="str">
            <v>3/8"</v>
          </cell>
          <cell r="R1352">
            <v>38</v>
          </cell>
          <cell r="S1352">
            <v>2.1999999999999997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46.816000000000003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</row>
        <row r="1353"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</row>
        <row r="1354">
          <cell r="B1354" t="str">
            <v>B2-VT-02 (.25x.55)</v>
          </cell>
          <cell r="C1354">
            <v>1</v>
          </cell>
          <cell r="D1354">
            <v>1</v>
          </cell>
          <cell r="E1354">
            <v>5.65</v>
          </cell>
          <cell r="F1354">
            <v>0.25</v>
          </cell>
          <cell r="G1354">
            <v>0.55000000000000004</v>
          </cell>
          <cell r="L1354">
            <v>0.77687500000000009</v>
          </cell>
          <cell r="M1354">
            <v>5.65</v>
          </cell>
          <cell r="N1354">
            <v>0.95000000000000007</v>
          </cell>
          <cell r="O1354">
            <v>5.3675000000000006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</row>
        <row r="1355">
          <cell r="C1355">
            <v>1</v>
          </cell>
          <cell r="D1355">
            <v>1</v>
          </cell>
          <cell r="E1355">
            <v>1.7</v>
          </cell>
          <cell r="F1355">
            <v>0.25</v>
          </cell>
          <cell r="G1355">
            <v>0.55000000000000004</v>
          </cell>
          <cell r="L1355">
            <v>0.23375000000000001</v>
          </cell>
          <cell r="M1355">
            <v>1.7</v>
          </cell>
          <cell r="N1355">
            <v>0.95000000000000007</v>
          </cell>
          <cell r="O1355">
            <v>1.615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</row>
        <row r="1356">
          <cell r="B1356" t="str">
            <v>Acero Principal</v>
          </cell>
          <cell r="C1356">
            <v>1</v>
          </cell>
          <cell r="D1356">
            <v>1</v>
          </cell>
          <cell r="F1356">
            <v>4</v>
          </cell>
          <cell r="G1356">
            <v>7.5</v>
          </cell>
          <cell r="Q1356" t="str">
            <v>1"</v>
          </cell>
          <cell r="R1356">
            <v>4</v>
          </cell>
          <cell r="S1356">
            <v>8.4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133.39200000000002</v>
          </cell>
          <cell r="AD1356">
            <v>0</v>
          </cell>
        </row>
        <row r="1357">
          <cell r="B1357" t="str">
            <v>Acero Principal</v>
          </cell>
          <cell r="C1357">
            <v>1</v>
          </cell>
          <cell r="D1357">
            <v>1</v>
          </cell>
          <cell r="F1357">
            <v>4</v>
          </cell>
          <cell r="G1357">
            <v>3.5</v>
          </cell>
          <cell r="Q1357" t="str">
            <v>3/4"</v>
          </cell>
          <cell r="R1357">
            <v>4</v>
          </cell>
          <cell r="S1357">
            <v>4.4000000000000004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39.424000000000007</v>
          </cell>
          <cell r="AC1357">
            <v>0</v>
          </cell>
          <cell r="AD1357">
            <v>0</v>
          </cell>
        </row>
        <row r="1358">
          <cell r="B1358" t="str">
            <v>Ref. Sup</v>
          </cell>
          <cell r="C1358">
            <v>1</v>
          </cell>
          <cell r="D1358">
            <v>1</v>
          </cell>
          <cell r="F1358">
            <v>1</v>
          </cell>
          <cell r="G1358">
            <v>3.1</v>
          </cell>
          <cell r="Q1358" t="str">
            <v>3/4"</v>
          </cell>
          <cell r="R1358">
            <v>1</v>
          </cell>
          <cell r="S1358">
            <v>3.1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6.9440000000000008</v>
          </cell>
          <cell r="AC1358">
            <v>0</v>
          </cell>
          <cell r="AD1358">
            <v>0</v>
          </cell>
        </row>
        <row r="1359">
          <cell r="B1359" t="str">
            <v>Est</v>
          </cell>
          <cell r="C1359">
            <v>1</v>
          </cell>
          <cell r="D1359">
            <v>1</v>
          </cell>
          <cell r="E1359">
            <v>5.65</v>
          </cell>
          <cell r="F1359">
            <v>0.25</v>
          </cell>
          <cell r="G1359">
            <v>0.55000000000000004</v>
          </cell>
          <cell r="Q1359" t="str">
            <v>3/8"</v>
          </cell>
          <cell r="R1359">
            <v>40</v>
          </cell>
          <cell r="S1359">
            <v>1.6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35.840000000000003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</row>
        <row r="1360">
          <cell r="B1360" t="str">
            <v>Est</v>
          </cell>
          <cell r="C1360">
            <v>1</v>
          </cell>
          <cell r="D1360">
            <v>1</v>
          </cell>
          <cell r="E1360">
            <v>1.7</v>
          </cell>
          <cell r="F1360">
            <v>0.25</v>
          </cell>
          <cell r="G1360">
            <v>0.55000000000000004</v>
          </cell>
          <cell r="Q1360" t="str">
            <v>3/8"</v>
          </cell>
          <cell r="R1360">
            <v>14</v>
          </cell>
          <cell r="S1360">
            <v>1.6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12.544000000000002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</row>
        <row r="1361"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</row>
        <row r="1362">
          <cell r="B1362" t="str">
            <v xml:space="preserve">B2-VT-03 (.20x.55) </v>
          </cell>
          <cell r="C1362">
            <v>1</v>
          </cell>
          <cell r="D1362">
            <v>1</v>
          </cell>
          <cell r="E1362">
            <v>3.8</v>
          </cell>
          <cell r="F1362">
            <v>0.2</v>
          </cell>
          <cell r="G1362">
            <v>0.55000000000000004</v>
          </cell>
          <cell r="L1362">
            <v>0.41800000000000004</v>
          </cell>
          <cell r="M1362">
            <v>3.8</v>
          </cell>
          <cell r="N1362">
            <v>0.9</v>
          </cell>
          <cell r="O1362">
            <v>3.42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</row>
        <row r="1363">
          <cell r="C1363">
            <v>1</v>
          </cell>
          <cell r="D1363">
            <v>1</v>
          </cell>
          <cell r="E1363">
            <v>5.65</v>
          </cell>
          <cell r="F1363">
            <v>0.2</v>
          </cell>
          <cell r="G1363">
            <v>0.55000000000000004</v>
          </cell>
          <cell r="L1363">
            <v>0.62150000000000016</v>
          </cell>
          <cell r="M1363">
            <v>5.65</v>
          </cell>
          <cell r="N1363">
            <v>0.9</v>
          </cell>
          <cell r="O1363">
            <v>5.0850000000000009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</row>
        <row r="1364">
          <cell r="B1364" t="str">
            <v>Acero Principal</v>
          </cell>
          <cell r="C1364">
            <v>1</v>
          </cell>
          <cell r="D1364">
            <v>1</v>
          </cell>
          <cell r="F1364">
            <v>4</v>
          </cell>
          <cell r="G1364">
            <v>10.4</v>
          </cell>
          <cell r="Q1364" t="str">
            <v>3/4"</v>
          </cell>
          <cell r="R1364">
            <v>4</v>
          </cell>
          <cell r="S1364">
            <v>11.3</v>
          </cell>
          <cell r="T1364">
            <v>1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108.41600000000003</v>
          </cell>
          <cell r="AC1364">
            <v>0</v>
          </cell>
          <cell r="AD1364">
            <v>0</v>
          </cell>
        </row>
        <row r="1365">
          <cell r="B1365" t="str">
            <v>Ref. Sup</v>
          </cell>
          <cell r="C1365">
            <v>1</v>
          </cell>
          <cell r="D1365">
            <v>1</v>
          </cell>
          <cell r="F1365">
            <v>2</v>
          </cell>
          <cell r="G1365">
            <v>4</v>
          </cell>
          <cell r="Q1365" t="str">
            <v>5/8"</v>
          </cell>
          <cell r="R1365">
            <v>2</v>
          </cell>
          <cell r="S1365">
            <v>4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12.4</v>
          </cell>
          <cell r="AB1365">
            <v>0</v>
          </cell>
          <cell r="AC1365">
            <v>0</v>
          </cell>
          <cell r="AD1365">
            <v>0</v>
          </cell>
        </row>
        <row r="1366">
          <cell r="B1366" t="str">
            <v>Ref. Inf</v>
          </cell>
          <cell r="C1366">
            <v>1</v>
          </cell>
          <cell r="D1366">
            <v>1</v>
          </cell>
          <cell r="F1366">
            <v>2</v>
          </cell>
          <cell r="G1366">
            <v>5.3</v>
          </cell>
          <cell r="Q1366" t="str">
            <v>3/4"</v>
          </cell>
          <cell r="R1366">
            <v>2</v>
          </cell>
          <cell r="S1366">
            <v>5.3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23.744</v>
          </cell>
          <cell r="AC1366">
            <v>0</v>
          </cell>
          <cell r="AD1366">
            <v>0</v>
          </cell>
        </row>
        <row r="1367">
          <cell r="B1367" t="str">
            <v>Est</v>
          </cell>
          <cell r="C1367">
            <v>1</v>
          </cell>
          <cell r="D1367">
            <v>1</v>
          </cell>
          <cell r="E1367">
            <v>3.8</v>
          </cell>
          <cell r="F1367">
            <v>0.2</v>
          </cell>
          <cell r="G1367">
            <v>0.55000000000000004</v>
          </cell>
          <cell r="Q1367" t="str">
            <v>3/8"</v>
          </cell>
          <cell r="R1367">
            <v>31</v>
          </cell>
          <cell r="S1367">
            <v>1.5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26.040000000000003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</row>
        <row r="1368">
          <cell r="B1368" t="str">
            <v>Est</v>
          </cell>
          <cell r="C1368">
            <v>1</v>
          </cell>
          <cell r="D1368">
            <v>1</v>
          </cell>
          <cell r="E1368">
            <v>5.65</v>
          </cell>
          <cell r="F1368">
            <v>0.2</v>
          </cell>
          <cell r="G1368">
            <v>0.55000000000000004</v>
          </cell>
          <cell r="Q1368" t="str">
            <v>3/8"</v>
          </cell>
          <cell r="R1368">
            <v>40</v>
          </cell>
          <cell r="S1368">
            <v>1.5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33.6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</row>
        <row r="1369"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</row>
        <row r="1370">
          <cell r="B1370" t="str">
            <v xml:space="preserve">B2-VT-04 (.25x.55) </v>
          </cell>
          <cell r="C1370">
            <v>1</v>
          </cell>
          <cell r="D1370">
            <v>1</v>
          </cell>
          <cell r="E1370">
            <v>5.65</v>
          </cell>
          <cell r="F1370">
            <v>0.25</v>
          </cell>
          <cell r="G1370">
            <v>0.55000000000000004</v>
          </cell>
          <cell r="L1370">
            <v>0.77687500000000009</v>
          </cell>
          <cell r="M1370">
            <v>5.65</v>
          </cell>
          <cell r="N1370">
            <v>0.95000000000000007</v>
          </cell>
          <cell r="O1370">
            <v>5.3675000000000006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</row>
        <row r="1371">
          <cell r="C1371">
            <v>1</v>
          </cell>
          <cell r="D1371">
            <v>1</v>
          </cell>
          <cell r="E1371">
            <v>3.5</v>
          </cell>
          <cell r="F1371">
            <v>0.25</v>
          </cell>
          <cell r="G1371">
            <v>0.55000000000000004</v>
          </cell>
          <cell r="L1371">
            <v>0.48125000000000007</v>
          </cell>
          <cell r="M1371">
            <v>3.5</v>
          </cell>
          <cell r="N1371">
            <v>0.95000000000000007</v>
          </cell>
          <cell r="O1371">
            <v>3.3250000000000002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</row>
        <row r="1372">
          <cell r="B1372" t="str">
            <v>Acero Principal</v>
          </cell>
          <cell r="C1372">
            <v>1</v>
          </cell>
          <cell r="D1372">
            <v>1</v>
          </cell>
          <cell r="F1372">
            <v>4</v>
          </cell>
          <cell r="G1372">
            <v>12</v>
          </cell>
          <cell r="Q1372" t="str">
            <v>1"</v>
          </cell>
          <cell r="R1372">
            <v>4</v>
          </cell>
          <cell r="S1372">
            <v>12.9</v>
          </cell>
          <cell r="T1372">
            <v>1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225.49600000000004</v>
          </cell>
          <cell r="AD1372">
            <v>0</v>
          </cell>
        </row>
        <row r="1373">
          <cell r="B1373" t="str">
            <v>Ref. Sup</v>
          </cell>
          <cell r="C1373">
            <v>1</v>
          </cell>
          <cell r="D1373">
            <v>1</v>
          </cell>
          <cell r="F1373">
            <v>1</v>
          </cell>
          <cell r="G1373">
            <v>2.65</v>
          </cell>
          <cell r="Q1373" t="str">
            <v>3/4"</v>
          </cell>
          <cell r="R1373">
            <v>1</v>
          </cell>
          <cell r="S1373">
            <v>2.65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5.9359999999999999</v>
          </cell>
          <cell r="AC1373">
            <v>0</v>
          </cell>
          <cell r="AD1373">
            <v>0</v>
          </cell>
        </row>
        <row r="1374">
          <cell r="B1374" t="str">
            <v>Est</v>
          </cell>
          <cell r="C1374">
            <v>1</v>
          </cell>
          <cell r="D1374">
            <v>1</v>
          </cell>
          <cell r="E1374">
            <v>5.65</v>
          </cell>
          <cell r="F1374">
            <v>0.25</v>
          </cell>
          <cell r="G1374">
            <v>0.55000000000000004</v>
          </cell>
          <cell r="Q1374" t="str">
            <v>3/8"</v>
          </cell>
          <cell r="R1374">
            <v>40</v>
          </cell>
          <cell r="S1374">
            <v>1.6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35.840000000000003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</row>
        <row r="1375">
          <cell r="B1375" t="str">
            <v>Est</v>
          </cell>
          <cell r="C1375">
            <v>1</v>
          </cell>
          <cell r="D1375">
            <v>1</v>
          </cell>
          <cell r="E1375">
            <v>3.5</v>
          </cell>
          <cell r="F1375">
            <v>0.25</v>
          </cell>
          <cell r="G1375">
            <v>0.55000000000000004</v>
          </cell>
          <cell r="Q1375" t="str">
            <v>3/8"</v>
          </cell>
          <cell r="R1375">
            <v>35</v>
          </cell>
          <cell r="S1375">
            <v>1.6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31.360000000000003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</row>
        <row r="1376"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</row>
        <row r="1377">
          <cell r="B1377" t="str">
            <v xml:space="preserve">B2-VT-05 Tipo T (.30x.55) 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</row>
        <row r="1378">
          <cell r="C1378">
            <v>1</v>
          </cell>
          <cell r="D1378">
            <v>1</v>
          </cell>
          <cell r="E1378">
            <v>5.65</v>
          </cell>
          <cell r="F1378">
            <v>0.3</v>
          </cell>
          <cell r="G1378">
            <v>0.55000000000000004</v>
          </cell>
          <cell r="L1378">
            <v>0.93225000000000013</v>
          </cell>
          <cell r="M1378">
            <v>5.65</v>
          </cell>
          <cell r="N1378">
            <v>1</v>
          </cell>
          <cell r="O1378">
            <v>5.65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</row>
        <row r="1379">
          <cell r="B1379" t="str">
            <v>Acero Principal</v>
          </cell>
          <cell r="C1379">
            <v>1</v>
          </cell>
          <cell r="D1379">
            <v>1</v>
          </cell>
          <cell r="F1379">
            <v>5</v>
          </cell>
          <cell r="G1379">
            <v>6.4</v>
          </cell>
          <cell r="Q1379" t="str">
            <v>1"</v>
          </cell>
          <cell r="R1379">
            <v>5</v>
          </cell>
          <cell r="S1379">
            <v>7.3000000000000007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144.905</v>
          </cell>
          <cell r="AD1379">
            <v>0</v>
          </cell>
        </row>
        <row r="1380">
          <cell r="B1380" t="str">
            <v>Acero Principal</v>
          </cell>
          <cell r="C1380">
            <v>1</v>
          </cell>
          <cell r="D1380">
            <v>1</v>
          </cell>
          <cell r="F1380">
            <v>4</v>
          </cell>
          <cell r="G1380">
            <v>6.4</v>
          </cell>
          <cell r="Q1380" t="str">
            <v>3/4"</v>
          </cell>
          <cell r="R1380">
            <v>4</v>
          </cell>
          <cell r="S1380">
            <v>7.3000000000000007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65.408000000000015</v>
          </cell>
          <cell r="AC1380">
            <v>0</v>
          </cell>
          <cell r="AD1380">
            <v>0</v>
          </cell>
        </row>
        <row r="1381">
          <cell r="B1381" t="str">
            <v>Ref. Inf</v>
          </cell>
          <cell r="C1381">
            <v>1</v>
          </cell>
          <cell r="D1381">
            <v>1</v>
          </cell>
          <cell r="F1381">
            <v>1</v>
          </cell>
          <cell r="G1381">
            <v>4.05</v>
          </cell>
          <cell r="Q1381" t="str">
            <v>1"</v>
          </cell>
          <cell r="R1381">
            <v>1</v>
          </cell>
          <cell r="S1381">
            <v>4.05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16.078500000000002</v>
          </cell>
          <cell r="AD1381">
            <v>0</v>
          </cell>
        </row>
        <row r="1382">
          <cell r="B1382" t="str">
            <v>Est</v>
          </cell>
          <cell r="C1382">
            <v>1</v>
          </cell>
          <cell r="D1382">
            <v>1</v>
          </cell>
          <cell r="E1382">
            <v>5.65</v>
          </cell>
          <cell r="F1382">
            <v>0.3</v>
          </cell>
          <cell r="G1382">
            <v>0.55000000000000004</v>
          </cell>
          <cell r="Q1382" t="str">
            <v>3/8"</v>
          </cell>
          <cell r="R1382">
            <v>40</v>
          </cell>
          <cell r="S1382">
            <v>1.7000000000000002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38.080000000000005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</row>
        <row r="1383">
          <cell r="C1383">
            <v>1</v>
          </cell>
          <cell r="D1383">
            <v>1</v>
          </cell>
          <cell r="E1383">
            <v>5.65</v>
          </cell>
          <cell r="F1383">
            <v>0.6</v>
          </cell>
          <cell r="G1383">
            <v>0.2</v>
          </cell>
          <cell r="L1383">
            <v>0.67800000000000005</v>
          </cell>
          <cell r="M1383">
            <v>5.65</v>
          </cell>
          <cell r="N1383">
            <v>0.6</v>
          </cell>
          <cell r="O1383">
            <v>3.39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</row>
        <row r="1384">
          <cell r="B1384" t="str">
            <v>Est</v>
          </cell>
          <cell r="C1384">
            <v>1</v>
          </cell>
          <cell r="D1384">
            <v>1</v>
          </cell>
          <cell r="E1384">
            <v>5.65</v>
          </cell>
          <cell r="F1384">
            <v>0.89999999999999991</v>
          </cell>
          <cell r="G1384">
            <v>0.2</v>
          </cell>
          <cell r="Q1384" t="str">
            <v>3/8"</v>
          </cell>
          <cell r="R1384">
            <v>40</v>
          </cell>
          <cell r="S1384">
            <v>2.1999999999999997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49.279999999999994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</row>
        <row r="1385"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</row>
        <row r="1386">
          <cell r="B1386" t="str">
            <v xml:space="preserve">B2-VT-06 Tipo T (.30x.55) 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</row>
        <row r="1387">
          <cell r="C1387">
            <v>1</v>
          </cell>
          <cell r="D1387">
            <v>1</v>
          </cell>
          <cell r="E1387">
            <v>5.25</v>
          </cell>
          <cell r="F1387">
            <v>0.3</v>
          </cell>
          <cell r="G1387">
            <v>0.55000000000000004</v>
          </cell>
          <cell r="L1387">
            <v>0.86625000000000008</v>
          </cell>
          <cell r="M1387">
            <v>5.25</v>
          </cell>
          <cell r="N1387">
            <v>1</v>
          </cell>
          <cell r="O1387">
            <v>5.25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</row>
        <row r="1388">
          <cell r="B1388" t="str">
            <v>Acero Principal</v>
          </cell>
          <cell r="C1388">
            <v>1</v>
          </cell>
          <cell r="D1388">
            <v>1</v>
          </cell>
          <cell r="F1388">
            <v>4</v>
          </cell>
          <cell r="G1388">
            <v>6</v>
          </cell>
          <cell r="Q1388" t="str">
            <v>1"</v>
          </cell>
          <cell r="R1388">
            <v>4</v>
          </cell>
          <cell r="S1388">
            <v>6.9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109.57200000000002</v>
          </cell>
          <cell r="AD1388">
            <v>0</v>
          </cell>
        </row>
        <row r="1389">
          <cell r="B1389" t="str">
            <v>Acero Principal</v>
          </cell>
          <cell r="C1389">
            <v>1</v>
          </cell>
          <cell r="D1389">
            <v>1</v>
          </cell>
          <cell r="F1389">
            <v>4</v>
          </cell>
          <cell r="G1389">
            <v>6</v>
          </cell>
          <cell r="Q1389" t="str">
            <v>3/4"</v>
          </cell>
          <cell r="R1389">
            <v>4</v>
          </cell>
          <cell r="S1389">
            <v>6.9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61.824000000000012</v>
          </cell>
          <cell r="AC1389">
            <v>0</v>
          </cell>
          <cell r="AD1389">
            <v>0</v>
          </cell>
        </row>
        <row r="1390">
          <cell r="B1390" t="str">
            <v>Ref. Inf</v>
          </cell>
          <cell r="C1390">
            <v>1</v>
          </cell>
          <cell r="D1390">
            <v>1</v>
          </cell>
          <cell r="F1390">
            <v>2</v>
          </cell>
          <cell r="G1390">
            <v>3.85</v>
          </cell>
          <cell r="Q1390" t="str">
            <v>3/4"</v>
          </cell>
          <cell r="R1390">
            <v>2</v>
          </cell>
          <cell r="S1390">
            <v>3.85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17.248000000000001</v>
          </cell>
          <cell r="AC1390">
            <v>0</v>
          </cell>
          <cell r="AD1390">
            <v>0</v>
          </cell>
        </row>
        <row r="1391">
          <cell r="B1391" t="str">
            <v>Est</v>
          </cell>
          <cell r="C1391">
            <v>1</v>
          </cell>
          <cell r="D1391">
            <v>1</v>
          </cell>
          <cell r="E1391">
            <v>5.25</v>
          </cell>
          <cell r="F1391">
            <v>0.3</v>
          </cell>
          <cell r="G1391">
            <v>0.55000000000000004</v>
          </cell>
          <cell r="Q1391" t="str">
            <v>3/8"</v>
          </cell>
          <cell r="R1391">
            <v>38</v>
          </cell>
          <cell r="S1391">
            <v>1.7000000000000002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36.176000000000009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</row>
        <row r="1392">
          <cell r="C1392">
            <v>1</v>
          </cell>
          <cell r="D1392">
            <v>1</v>
          </cell>
          <cell r="E1392">
            <v>5.25</v>
          </cell>
          <cell r="F1392">
            <v>0.6</v>
          </cell>
          <cell r="G1392">
            <v>0.2</v>
          </cell>
          <cell r="L1392">
            <v>0.63</v>
          </cell>
          <cell r="M1392">
            <v>5.25</v>
          </cell>
          <cell r="N1392">
            <v>0.6</v>
          </cell>
          <cell r="O1392">
            <v>3.15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</row>
        <row r="1393">
          <cell r="B1393" t="str">
            <v>Est</v>
          </cell>
          <cell r="C1393">
            <v>1</v>
          </cell>
          <cell r="D1393">
            <v>1</v>
          </cell>
          <cell r="E1393">
            <v>5.25</v>
          </cell>
          <cell r="F1393">
            <v>0.89999999999999991</v>
          </cell>
          <cell r="G1393">
            <v>0.2</v>
          </cell>
          <cell r="Q1393" t="str">
            <v>3/8"</v>
          </cell>
          <cell r="R1393">
            <v>38</v>
          </cell>
          <cell r="S1393">
            <v>2.1999999999999997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46.816000000000003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</row>
        <row r="1394"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</row>
        <row r="1395">
          <cell r="B1395" t="str">
            <v xml:space="preserve">B2-VT-07 (.20x.55) </v>
          </cell>
          <cell r="C1395">
            <v>1</v>
          </cell>
          <cell r="D1395">
            <v>1</v>
          </cell>
          <cell r="E1395">
            <v>1.9</v>
          </cell>
          <cell r="F1395">
            <v>0.2</v>
          </cell>
          <cell r="G1395">
            <v>0.55000000000000004</v>
          </cell>
          <cell r="L1395">
            <v>0.20900000000000002</v>
          </cell>
          <cell r="M1395">
            <v>1.9</v>
          </cell>
          <cell r="N1395">
            <v>0.9</v>
          </cell>
          <cell r="O1395">
            <v>1.71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</row>
        <row r="1396">
          <cell r="B1396" t="str">
            <v>Acero Principal</v>
          </cell>
          <cell r="C1396">
            <v>1</v>
          </cell>
          <cell r="D1396">
            <v>1</v>
          </cell>
          <cell r="F1396">
            <v>4</v>
          </cell>
          <cell r="G1396">
            <v>2.85</v>
          </cell>
          <cell r="Q1396" t="str">
            <v>3/4"</v>
          </cell>
          <cell r="R1396">
            <v>4</v>
          </cell>
          <cell r="S1396">
            <v>3.75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33.6</v>
          </cell>
          <cell r="AC1396">
            <v>0</v>
          </cell>
          <cell r="AD1396">
            <v>0</v>
          </cell>
        </row>
        <row r="1397">
          <cell r="B1397" t="str">
            <v>Ref. Sup</v>
          </cell>
          <cell r="C1397">
            <v>1</v>
          </cell>
          <cell r="D1397">
            <v>1</v>
          </cell>
          <cell r="F1397">
            <v>1</v>
          </cell>
          <cell r="G1397">
            <v>2.0499999999999998</v>
          </cell>
          <cell r="Q1397" t="str">
            <v>3/4"</v>
          </cell>
          <cell r="R1397">
            <v>1</v>
          </cell>
          <cell r="S1397">
            <v>2.0499999999999998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4.5919999999999996</v>
          </cell>
          <cell r="AC1397">
            <v>0</v>
          </cell>
          <cell r="AD1397">
            <v>0</v>
          </cell>
        </row>
        <row r="1398">
          <cell r="B1398" t="str">
            <v>Est</v>
          </cell>
          <cell r="C1398">
            <v>1</v>
          </cell>
          <cell r="D1398">
            <v>1</v>
          </cell>
          <cell r="E1398">
            <v>1.9</v>
          </cell>
          <cell r="F1398">
            <v>0.2</v>
          </cell>
          <cell r="G1398">
            <v>0.55000000000000004</v>
          </cell>
          <cell r="Q1398" t="str">
            <v>3/8"</v>
          </cell>
          <cell r="R1398">
            <v>21</v>
          </cell>
          <cell r="S1398">
            <v>1.5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17.64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</row>
        <row r="1399"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</row>
        <row r="1400">
          <cell r="B1400" t="str">
            <v xml:space="preserve">B2-VT-08 (.40x.55) </v>
          </cell>
          <cell r="C1400">
            <v>1</v>
          </cell>
          <cell r="D1400">
            <v>1</v>
          </cell>
          <cell r="E1400">
            <v>6.45</v>
          </cell>
          <cell r="F1400">
            <v>0.4</v>
          </cell>
          <cell r="G1400">
            <v>0.55000000000000004</v>
          </cell>
          <cell r="L1400">
            <v>1.4190000000000003</v>
          </cell>
          <cell r="M1400">
            <v>6.45</v>
          </cell>
          <cell r="N1400">
            <v>1.1000000000000001</v>
          </cell>
          <cell r="O1400">
            <v>7.0950000000000006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</row>
        <row r="1401">
          <cell r="C1401">
            <v>1</v>
          </cell>
          <cell r="D1401">
            <v>1</v>
          </cell>
          <cell r="E1401">
            <v>3.9</v>
          </cell>
          <cell r="F1401">
            <v>0.4</v>
          </cell>
          <cell r="G1401">
            <v>0.55000000000000004</v>
          </cell>
          <cell r="L1401">
            <v>0.8580000000000001</v>
          </cell>
          <cell r="M1401">
            <v>3.9</v>
          </cell>
          <cell r="N1401">
            <v>1.1000000000000001</v>
          </cell>
          <cell r="O1401">
            <v>4.29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</row>
        <row r="1402">
          <cell r="C1402">
            <v>1</v>
          </cell>
          <cell r="D1402">
            <v>1</v>
          </cell>
          <cell r="E1402">
            <v>6.1</v>
          </cell>
          <cell r="F1402">
            <v>0.4</v>
          </cell>
          <cell r="G1402">
            <v>0.55000000000000004</v>
          </cell>
          <cell r="L1402">
            <v>1.3420000000000001</v>
          </cell>
          <cell r="M1402">
            <v>6.1</v>
          </cell>
          <cell r="N1402">
            <v>1.1000000000000001</v>
          </cell>
          <cell r="O1402">
            <v>6.71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</row>
        <row r="1403">
          <cell r="B1403" t="str">
            <v>Acero Principal</v>
          </cell>
          <cell r="C1403">
            <v>1</v>
          </cell>
          <cell r="D1403">
            <v>1</v>
          </cell>
          <cell r="F1403">
            <v>6</v>
          </cell>
          <cell r="G1403">
            <v>20.149999999999999</v>
          </cell>
          <cell r="Q1403" t="str">
            <v>1"</v>
          </cell>
          <cell r="R1403">
            <v>6</v>
          </cell>
          <cell r="S1403">
            <v>21.049999999999997</v>
          </cell>
          <cell r="T1403">
            <v>2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563.34299999999996</v>
          </cell>
          <cell r="AD1403">
            <v>0</v>
          </cell>
        </row>
        <row r="1404">
          <cell r="B1404" t="str">
            <v>Acero Principal</v>
          </cell>
          <cell r="C1404">
            <v>1</v>
          </cell>
          <cell r="D1404">
            <v>1</v>
          </cell>
          <cell r="F1404">
            <v>2</v>
          </cell>
          <cell r="G1404">
            <v>13.5</v>
          </cell>
          <cell r="Q1404" t="str">
            <v>1"</v>
          </cell>
          <cell r="R1404">
            <v>2</v>
          </cell>
          <cell r="S1404">
            <v>14.4</v>
          </cell>
          <cell r="T1404">
            <v>1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124.65800000000002</v>
          </cell>
          <cell r="AD1404">
            <v>0</v>
          </cell>
        </row>
        <row r="1405">
          <cell r="B1405" t="str">
            <v>Ref. Sup</v>
          </cell>
          <cell r="C1405">
            <v>1</v>
          </cell>
          <cell r="D1405">
            <v>1</v>
          </cell>
          <cell r="F1405">
            <v>2</v>
          </cell>
          <cell r="G1405">
            <v>11.9</v>
          </cell>
          <cell r="Q1405" t="str">
            <v>1"</v>
          </cell>
          <cell r="R1405">
            <v>2</v>
          </cell>
          <cell r="S1405">
            <v>11.9</v>
          </cell>
          <cell r="T1405">
            <v>1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104.80800000000001</v>
          </cell>
          <cell r="AD1405">
            <v>0</v>
          </cell>
        </row>
        <row r="1406">
          <cell r="B1406" t="str">
            <v>Ref. Sup</v>
          </cell>
          <cell r="C1406">
            <v>1</v>
          </cell>
          <cell r="D1406">
            <v>1</v>
          </cell>
          <cell r="F1406">
            <v>2</v>
          </cell>
          <cell r="G1406">
            <v>6.15</v>
          </cell>
          <cell r="Q1406" t="str">
            <v>1"</v>
          </cell>
          <cell r="R1406">
            <v>2</v>
          </cell>
          <cell r="S1406">
            <v>6.15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48.831000000000003</v>
          </cell>
          <cell r="AD1406">
            <v>0</v>
          </cell>
        </row>
        <row r="1407">
          <cell r="B1407" t="str">
            <v>Ref. Inf</v>
          </cell>
          <cell r="C1407">
            <v>1</v>
          </cell>
          <cell r="D1407">
            <v>1</v>
          </cell>
          <cell r="F1407">
            <v>2</v>
          </cell>
          <cell r="G1407">
            <v>5.75</v>
          </cell>
          <cell r="Q1407" t="str">
            <v>1"</v>
          </cell>
          <cell r="R1407">
            <v>2</v>
          </cell>
          <cell r="S1407">
            <v>5.75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45.655000000000001</v>
          </cell>
          <cell r="AD1407">
            <v>0</v>
          </cell>
        </row>
        <row r="1408">
          <cell r="B1408" t="str">
            <v>Ref. Inf</v>
          </cell>
          <cell r="C1408">
            <v>1</v>
          </cell>
          <cell r="D1408">
            <v>1</v>
          </cell>
          <cell r="F1408">
            <v>2</v>
          </cell>
          <cell r="G1408">
            <v>4.05</v>
          </cell>
          <cell r="Q1408" t="str">
            <v>3/4"</v>
          </cell>
          <cell r="R1408">
            <v>2</v>
          </cell>
          <cell r="S1408">
            <v>4.05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18.144000000000002</v>
          </cell>
          <cell r="AC1408">
            <v>0</v>
          </cell>
          <cell r="AD1408">
            <v>0</v>
          </cell>
        </row>
        <row r="1409">
          <cell r="B1409" t="str">
            <v>Est</v>
          </cell>
          <cell r="C1409">
            <v>1</v>
          </cell>
          <cell r="D1409">
            <v>1</v>
          </cell>
          <cell r="E1409">
            <v>6.45</v>
          </cell>
          <cell r="F1409">
            <v>0.4</v>
          </cell>
          <cell r="G1409">
            <v>0.55000000000000004</v>
          </cell>
          <cell r="Q1409" t="str">
            <v>3/8"</v>
          </cell>
          <cell r="R1409">
            <v>44</v>
          </cell>
          <cell r="S1409">
            <v>1.9000000000000001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46.81600000000001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</row>
        <row r="1410">
          <cell r="B1410" t="str">
            <v>Est</v>
          </cell>
          <cell r="C1410">
            <v>1</v>
          </cell>
          <cell r="D1410">
            <v>1</v>
          </cell>
          <cell r="E1410">
            <v>3.9</v>
          </cell>
          <cell r="F1410">
            <v>0.4</v>
          </cell>
          <cell r="G1410">
            <v>0.55000000000000004</v>
          </cell>
          <cell r="Q1410" t="str">
            <v>3/8"</v>
          </cell>
          <cell r="R1410">
            <v>31</v>
          </cell>
          <cell r="S1410">
            <v>1.9000000000000001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32.984000000000009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</row>
        <row r="1411">
          <cell r="B1411" t="str">
            <v>Est</v>
          </cell>
          <cell r="C1411">
            <v>1</v>
          </cell>
          <cell r="D1411">
            <v>1</v>
          </cell>
          <cell r="E1411">
            <v>6.1</v>
          </cell>
          <cell r="F1411">
            <v>0.4</v>
          </cell>
          <cell r="G1411">
            <v>0.55000000000000004</v>
          </cell>
          <cell r="Q1411" t="str">
            <v>3/8"</v>
          </cell>
          <cell r="R1411">
            <v>42</v>
          </cell>
          <cell r="S1411">
            <v>1.9000000000000001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44.688000000000009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</row>
        <row r="1412"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</row>
        <row r="1413">
          <cell r="B1413" t="str">
            <v xml:space="preserve">B2-VT-09 (.35x.55) </v>
          </cell>
          <cell r="C1413">
            <v>1</v>
          </cell>
          <cell r="D1413">
            <v>1</v>
          </cell>
          <cell r="E1413">
            <v>7.05</v>
          </cell>
          <cell r="F1413">
            <v>0.35</v>
          </cell>
          <cell r="G1413">
            <v>0.55000000000000004</v>
          </cell>
          <cell r="L1413">
            <v>1.3571249999999999</v>
          </cell>
          <cell r="M1413">
            <v>7.05</v>
          </cell>
          <cell r="N1413">
            <v>1.0500000000000003</v>
          </cell>
          <cell r="O1413">
            <v>7.4025000000000016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</row>
        <row r="1414">
          <cell r="C1414">
            <v>1</v>
          </cell>
          <cell r="D1414">
            <v>1</v>
          </cell>
          <cell r="E1414">
            <v>4.8</v>
          </cell>
          <cell r="F1414">
            <v>0.35</v>
          </cell>
          <cell r="G1414">
            <v>0.55000000000000004</v>
          </cell>
          <cell r="L1414">
            <v>0.92400000000000004</v>
          </cell>
          <cell r="M1414">
            <v>4.8</v>
          </cell>
          <cell r="N1414">
            <v>1.0500000000000003</v>
          </cell>
          <cell r="O1414">
            <v>5.0400000000000009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</row>
        <row r="1415">
          <cell r="C1415">
            <v>1</v>
          </cell>
          <cell r="D1415">
            <v>1</v>
          </cell>
          <cell r="E1415">
            <v>7.15</v>
          </cell>
          <cell r="F1415">
            <v>0.35</v>
          </cell>
          <cell r="G1415">
            <v>0.55000000000000004</v>
          </cell>
          <cell r="L1415">
            <v>1.3763750000000001</v>
          </cell>
          <cell r="M1415">
            <v>7.15</v>
          </cell>
          <cell r="N1415">
            <v>1.0500000000000003</v>
          </cell>
          <cell r="O1415">
            <v>7.5075000000000021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</row>
        <row r="1416">
          <cell r="B1416" t="str">
            <v>Acero Principal</v>
          </cell>
          <cell r="C1416">
            <v>1</v>
          </cell>
          <cell r="D1416">
            <v>1</v>
          </cell>
          <cell r="F1416">
            <v>8</v>
          </cell>
          <cell r="G1416">
            <v>20.149999999999999</v>
          </cell>
          <cell r="Q1416" t="str">
            <v>1"</v>
          </cell>
          <cell r="R1416">
            <v>8</v>
          </cell>
          <cell r="S1416">
            <v>21.049999999999997</v>
          </cell>
          <cell r="T1416">
            <v>2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751.12400000000002</v>
          </cell>
          <cell r="AD1416">
            <v>0</v>
          </cell>
        </row>
        <row r="1417">
          <cell r="B1417" t="str">
            <v>Ref. Sup</v>
          </cell>
          <cell r="C1417">
            <v>1</v>
          </cell>
          <cell r="D1417">
            <v>1</v>
          </cell>
          <cell r="F1417">
            <v>2</v>
          </cell>
          <cell r="G1417">
            <v>10.4</v>
          </cell>
          <cell r="Q1417" t="str">
            <v>1"</v>
          </cell>
          <cell r="R1417">
            <v>2</v>
          </cell>
          <cell r="S1417">
            <v>10.4</v>
          </cell>
          <cell r="T1417">
            <v>1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92.89800000000001</v>
          </cell>
          <cell r="AD1417">
            <v>0</v>
          </cell>
        </row>
        <row r="1418">
          <cell r="B1418" t="str">
            <v>Ref. Sup</v>
          </cell>
          <cell r="C1418">
            <v>1</v>
          </cell>
          <cell r="D1418">
            <v>1</v>
          </cell>
          <cell r="F1418">
            <v>1</v>
          </cell>
          <cell r="G1418">
            <v>4.3499999999999996</v>
          </cell>
          <cell r="Q1418" t="str">
            <v>1"</v>
          </cell>
          <cell r="R1418">
            <v>1</v>
          </cell>
          <cell r="S1418">
            <v>4.3499999999999996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17.269500000000001</v>
          </cell>
          <cell r="AD1418">
            <v>0</v>
          </cell>
        </row>
        <row r="1419">
          <cell r="B1419" t="str">
            <v>Ref. Inf</v>
          </cell>
          <cell r="C1419">
            <v>1</v>
          </cell>
          <cell r="D1419">
            <v>1</v>
          </cell>
          <cell r="F1419">
            <v>2</v>
          </cell>
          <cell r="G1419">
            <v>4.75</v>
          </cell>
          <cell r="Q1419" t="str">
            <v>1"</v>
          </cell>
          <cell r="R1419">
            <v>2</v>
          </cell>
          <cell r="S1419">
            <v>4.75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37.715000000000003</v>
          </cell>
          <cell r="AD1419">
            <v>0</v>
          </cell>
        </row>
        <row r="1420">
          <cell r="B1420" t="str">
            <v>Ref. Inf</v>
          </cell>
          <cell r="C1420">
            <v>1</v>
          </cell>
          <cell r="D1420">
            <v>1</v>
          </cell>
          <cell r="F1420">
            <v>1</v>
          </cell>
          <cell r="G1420">
            <v>4.22</v>
          </cell>
          <cell r="Q1420" t="str">
            <v>1"</v>
          </cell>
          <cell r="R1420">
            <v>1</v>
          </cell>
          <cell r="S1420">
            <v>4.22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16.753399999999999</v>
          </cell>
          <cell r="AD1420">
            <v>0</v>
          </cell>
        </row>
        <row r="1421">
          <cell r="B1421" t="str">
            <v>Ref. Inf</v>
          </cell>
          <cell r="C1421">
            <v>1</v>
          </cell>
          <cell r="D1421">
            <v>1</v>
          </cell>
          <cell r="F1421">
            <v>2</v>
          </cell>
          <cell r="G1421">
            <v>5.05</v>
          </cell>
          <cell r="Q1421" t="str">
            <v>1"</v>
          </cell>
          <cell r="R1421">
            <v>2</v>
          </cell>
          <cell r="S1421">
            <v>5.05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40.097000000000001</v>
          </cell>
          <cell r="AD1421">
            <v>0</v>
          </cell>
        </row>
        <row r="1422">
          <cell r="B1422" t="str">
            <v>Est</v>
          </cell>
          <cell r="C1422">
            <v>1</v>
          </cell>
          <cell r="D1422">
            <v>1</v>
          </cell>
          <cell r="E1422">
            <v>7.05</v>
          </cell>
          <cell r="F1422">
            <v>0.35</v>
          </cell>
          <cell r="G1422">
            <v>0.55000000000000004</v>
          </cell>
          <cell r="Q1422" t="str">
            <v>3/8"</v>
          </cell>
          <cell r="R1422">
            <v>47</v>
          </cell>
          <cell r="S1422">
            <v>1.8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47.376000000000012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</row>
        <row r="1423">
          <cell r="B1423" t="str">
            <v>Est</v>
          </cell>
          <cell r="C1423">
            <v>1</v>
          </cell>
          <cell r="D1423">
            <v>1</v>
          </cell>
          <cell r="E1423">
            <v>4.8</v>
          </cell>
          <cell r="F1423">
            <v>0.35</v>
          </cell>
          <cell r="G1423">
            <v>0.55000000000000004</v>
          </cell>
          <cell r="Q1423" t="str">
            <v>3/8"</v>
          </cell>
          <cell r="R1423">
            <v>36</v>
          </cell>
          <cell r="S1423">
            <v>1.8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36.288000000000004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</row>
        <row r="1424">
          <cell r="B1424" t="str">
            <v>Est</v>
          </cell>
          <cell r="C1424">
            <v>1</v>
          </cell>
          <cell r="D1424">
            <v>1</v>
          </cell>
          <cell r="E1424">
            <v>7.15</v>
          </cell>
          <cell r="F1424">
            <v>0.35</v>
          </cell>
          <cell r="G1424">
            <v>0.55000000000000004</v>
          </cell>
          <cell r="Q1424" t="str">
            <v>3/8"</v>
          </cell>
          <cell r="R1424">
            <v>47</v>
          </cell>
          <cell r="S1424">
            <v>1.8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47.376000000000012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</row>
        <row r="1425"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</row>
        <row r="1426">
          <cell r="B1426" t="str">
            <v>B2-VT-10 (.40x.55</v>
          </cell>
          <cell r="C1426">
            <v>1</v>
          </cell>
          <cell r="D1426">
            <v>1</v>
          </cell>
          <cell r="E1426">
            <v>6.65</v>
          </cell>
          <cell r="F1426">
            <v>0.4</v>
          </cell>
          <cell r="G1426">
            <v>0.55000000000000004</v>
          </cell>
          <cell r="L1426">
            <v>1.4630000000000003</v>
          </cell>
          <cell r="M1426">
            <v>6.65</v>
          </cell>
          <cell r="N1426">
            <v>1.1000000000000001</v>
          </cell>
          <cell r="O1426">
            <v>7.3150000000000013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</row>
        <row r="1427">
          <cell r="C1427">
            <v>1</v>
          </cell>
          <cell r="D1427">
            <v>1</v>
          </cell>
          <cell r="E1427">
            <v>4.8</v>
          </cell>
          <cell r="F1427">
            <v>0.4</v>
          </cell>
          <cell r="G1427">
            <v>0.55000000000000004</v>
          </cell>
          <cell r="L1427">
            <v>1.056</v>
          </cell>
          <cell r="M1427">
            <v>4.8</v>
          </cell>
          <cell r="N1427">
            <v>1.1000000000000001</v>
          </cell>
          <cell r="O1427">
            <v>5.28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</row>
        <row r="1428">
          <cell r="C1428">
            <v>1</v>
          </cell>
          <cell r="D1428">
            <v>1</v>
          </cell>
          <cell r="E1428">
            <v>6.61</v>
          </cell>
          <cell r="F1428">
            <v>0.4</v>
          </cell>
          <cell r="G1428">
            <v>0.55000000000000004</v>
          </cell>
          <cell r="L1428">
            <v>1.4542000000000002</v>
          </cell>
          <cell r="M1428">
            <v>6.61</v>
          </cell>
          <cell r="N1428">
            <v>1.1000000000000001</v>
          </cell>
          <cell r="O1428">
            <v>7.2710000000000008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</row>
        <row r="1429">
          <cell r="B1429" t="str">
            <v>Acero Principal</v>
          </cell>
          <cell r="C1429">
            <v>1</v>
          </cell>
          <cell r="D1429">
            <v>1</v>
          </cell>
          <cell r="F1429">
            <v>10</v>
          </cell>
          <cell r="G1429">
            <v>20.149999999999999</v>
          </cell>
          <cell r="Q1429" t="str">
            <v>3/4"</v>
          </cell>
          <cell r="R1429">
            <v>10</v>
          </cell>
          <cell r="S1429">
            <v>21.049999999999997</v>
          </cell>
          <cell r="T1429">
            <v>2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507.35999999999996</v>
          </cell>
          <cell r="AC1429">
            <v>0</v>
          </cell>
          <cell r="AD1429">
            <v>0</v>
          </cell>
        </row>
        <row r="1430">
          <cell r="B1430" t="str">
            <v>Ref. Sup</v>
          </cell>
          <cell r="C1430">
            <v>1</v>
          </cell>
          <cell r="D1430">
            <v>1</v>
          </cell>
          <cell r="F1430">
            <v>2</v>
          </cell>
          <cell r="G1430">
            <v>2.85</v>
          </cell>
          <cell r="Q1430" t="str">
            <v>3/4"</v>
          </cell>
          <cell r="R1430">
            <v>2</v>
          </cell>
          <cell r="S1430">
            <v>2.85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12.768000000000002</v>
          </cell>
          <cell r="AC1430">
            <v>0</v>
          </cell>
          <cell r="AD1430">
            <v>0</v>
          </cell>
        </row>
        <row r="1431">
          <cell r="B1431" t="str">
            <v>Ref. Sup</v>
          </cell>
          <cell r="C1431">
            <v>1</v>
          </cell>
          <cell r="D1431">
            <v>1</v>
          </cell>
          <cell r="F1431">
            <v>2</v>
          </cell>
          <cell r="G1431">
            <v>2.4</v>
          </cell>
          <cell r="Q1431" t="str">
            <v>3/4"</v>
          </cell>
          <cell r="R1431">
            <v>2</v>
          </cell>
          <cell r="S1431">
            <v>2.4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10.752000000000001</v>
          </cell>
          <cell r="AC1431">
            <v>0</v>
          </cell>
          <cell r="AD1431">
            <v>0</v>
          </cell>
        </row>
        <row r="1432">
          <cell r="B1432" t="str">
            <v>Ref. Sup</v>
          </cell>
          <cell r="C1432">
            <v>1</v>
          </cell>
          <cell r="D1432">
            <v>1</v>
          </cell>
          <cell r="F1432">
            <v>2</v>
          </cell>
          <cell r="G1432">
            <v>10.9</v>
          </cell>
          <cell r="Q1432" t="str">
            <v>1"</v>
          </cell>
          <cell r="R1432">
            <v>2</v>
          </cell>
          <cell r="S1432">
            <v>10.9</v>
          </cell>
          <cell r="T1432">
            <v>1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96.868000000000009</v>
          </cell>
          <cell r="AD1432">
            <v>0</v>
          </cell>
        </row>
        <row r="1433">
          <cell r="B1433" t="str">
            <v>Ref. Sup</v>
          </cell>
          <cell r="C1433">
            <v>1</v>
          </cell>
          <cell r="D1433">
            <v>1</v>
          </cell>
          <cell r="F1433">
            <v>2</v>
          </cell>
          <cell r="G1433">
            <v>4.25</v>
          </cell>
          <cell r="Q1433" t="str">
            <v>1"</v>
          </cell>
          <cell r="R1433">
            <v>2</v>
          </cell>
          <cell r="S1433">
            <v>4.25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33.745000000000005</v>
          </cell>
          <cell r="AD1433">
            <v>0</v>
          </cell>
        </row>
        <row r="1434">
          <cell r="B1434" t="str">
            <v>Ref. Sup</v>
          </cell>
          <cell r="C1434">
            <v>1</v>
          </cell>
          <cell r="D1434">
            <v>1</v>
          </cell>
          <cell r="F1434">
            <v>2</v>
          </cell>
          <cell r="G1434">
            <v>4.25</v>
          </cell>
          <cell r="Q1434" t="str">
            <v>1"</v>
          </cell>
          <cell r="R1434">
            <v>2</v>
          </cell>
          <cell r="S1434">
            <v>4.25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33.745000000000005</v>
          </cell>
          <cell r="AD1434">
            <v>0</v>
          </cell>
        </row>
        <row r="1435">
          <cell r="B1435" t="str">
            <v>Ref. Sup</v>
          </cell>
          <cell r="C1435">
            <v>1</v>
          </cell>
          <cell r="D1435">
            <v>1</v>
          </cell>
          <cell r="F1435">
            <v>2</v>
          </cell>
          <cell r="G1435">
            <v>2.9</v>
          </cell>
          <cell r="Q1435" t="str">
            <v>3/4"</v>
          </cell>
          <cell r="R1435">
            <v>2</v>
          </cell>
          <cell r="S1435">
            <v>2.9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12.992000000000001</v>
          </cell>
          <cell r="AC1435">
            <v>0</v>
          </cell>
          <cell r="AD1435">
            <v>0</v>
          </cell>
        </row>
        <row r="1436">
          <cell r="B1436" t="str">
            <v>Ref. Sup</v>
          </cell>
          <cell r="C1436">
            <v>1</v>
          </cell>
          <cell r="D1436">
            <v>1</v>
          </cell>
          <cell r="F1436">
            <v>2</v>
          </cell>
          <cell r="G1436">
            <v>2.5</v>
          </cell>
          <cell r="Q1436" t="str">
            <v>3/4"</v>
          </cell>
          <cell r="R1436">
            <v>2</v>
          </cell>
          <cell r="S1436">
            <v>2.5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11.200000000000001</v>
          </cell>
          <cell r="AC1436">
            <v>0</v>
          </cell>
          <cell r="AD1436">
            <v>0</v>
          </cell>
        </row>
        <row r="1437">
          <cell r="B1437" t="str">
            <v>Ref. Inf</v>
          </cell>
          <cell r="C1437">
            <v>1</v>
          </cell>
          <cell r="D1437">
            <v>1</v>
          </cell>
          <cell r="F1437">
            <v>2</v>
          </cell>
          <cell r="G1437">
            <v>2.85</v>
          </cell>
          <cell r="Q1437" t="str">
            <v>3/4"</v>
          </cell>
          <cell r="R1437">
            <v>2</v>
          </cell>
          <cell r="S1437">
            <v>2.85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12.768000000000002</v>
          </cell>
          <cell r="AC1437">
            <v>0</v>
          </cell>
          <cell r="AD1437">
            <v>0</v>
          </cell>
        </row>
        <row r="1438">
          <cell r="B1438" t="str">
            <v>Ref. Inf</v>
          </cell>
          <cell r="C1438">
            <v>1</v>
          </cell>
          <cell r="D1438">
            <v>1</v>
          </cell>
          <cell r="F1438">
            <v>4</v>
          </cell>
          <cell r="G1438">
            <v>4.3499999999999996</v>
          </cell>
          <cell r="Q1438" t="str">
            <v>3/4"</v>
          </cell>
          <cell r="R1438">
            <v>4</v>
          </cell>
          <cell r="S1438">
            <v>4.3499999999999996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38.975999999999999</v>
          </cell>
          <cell r="AC1438">
            <v>0</v>
          </cell>
          <cell r="AD1438">
            <v>0</v>
          </cell>
        </row>
        <row r="1439">
          <cell r="B1439" t="str">
            <v>Est</v>
          </cell>
          <cell r="C1439">
            <v>1</v>
          </cell>
          <cell r="D1439">
            <v>1</v>
          </cell>
          <cell r="E1439">
            <v>6.65</v>
          </cell>
          <cell r="F1439">
            <v>0.4</v>
          </cell>
          <cell r="G1439">
            <v>0.55000000000000004</v>
          </cell>
          <cell r="Q1439" t="str">
            <v>3/8"</v>
          </cell>
          <cell r="R1439">
            <v>45</v>
          </cell>
          <cell r="S1439">
            <v>1.9000000000000001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47.88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</row>
        <row r="1440">
          <cell r="B1440" t="str">
            <v>Est</v>
          </cell>
          <cell r="C1440">
            <v>1</v>
          </cell>
          <cell r="D1440">
            <v>1</v>
          </cell>
          <cell r="E1440">
            <v>4.8</v>
          </cell>
          <cell r="F1440">
            <v>0.4</v>
          </cell>
          <cell r="G1440">
            <v>0.55000000000000004</v>
          </cell>
          <cell r="Q1440" t="str">
            <v>3/8"</v>
          </cell>
          <cell r="R1440">
            <v>36</v>
          </cell>
          <cell r="S1440">
            <v>1.9000000000000001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38.304000000000009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</row>
        <row r="1441">
          <cell r="B1441" t="str">
            <v>Est</v>
          </cell>
          <cell r="C1441">
            <v>1</v>
          </cell>
          <cell r="D1441">
            <v>1</v>
          </cell>
          <cell r="E1441">
            <v>6.61</v>
          </cell>
          <cell r="F1441">
            <v>0.4</v>
          </cell>
          <cell r="G1441">
            <v>0.55000000000000004</v>
          </cell>
          <cell r="Q1441" t="str">
            <v>3/8"</v>
          </cell>
          <cell r="R1441">
            <v>45</v>
          </cell>
          <cell r="S1441">
            <v>1.9000000000000001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47.88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</row>
        <row r="1442"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</row>
        <row r="1443">
          <cell r="B1443" t="str">
            <v>PISO 2-14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</row>
        <row r="1444"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</row>
        <row r="1445">
          <cell r="C1445">
            <v>13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</row>
        <row r="1446">
          <cell r="B1446" t="str">
            <v>B2-VT-02 (.25x.55)</v>
          </cell>
          <cell r="C1446">
            <v>13</v>
          </cell>
          <cell r="D1446">
            <v>1</v>
          </cell>
          <cell r="E1446">
            <v>5.65</v>
          </cell>
          <cell r="F1446">
            <v>0.25</v>
          </cell>
          <cell r="G1446">
            <v>0.55000000000000004</v>
          </cell>
          <cell r="L1446">
            <v>10.099375000000002</v>
          </cell>
          <cell r="M1446">
            <v>5.65</v>
          </cell>
          <cell r="N1446">
            <v>0.95000000000000007</v>
          </cell>
          <cell r="O1446">
            <v>69.777500000000003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</row>
        <row r="1447">
          <cell r="C1447">
            <v>13</v>
          </cell>
          <cell r="D1447">
            <v>1</v>
          </cell>
          <cell r="E1447">
            <v>2.6</v>
          </cell>
          <cell r="F1447">
            <v>0.25</v>
          </cell>
          <cell r="G1447">
            <v>0.55000000000000004</v>
          </cell>
          <cell r="L1447">
            <v>4.6475000000000009</v>
          </cell>
          <cell r="M1447">
            <v>2.6</v>
          </cell>
          <cell r="N1447">
            <v>0.95000000000000007</v>
          </cell>
          <cell r="O1447">
            <v>32.11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</row>
        <row r="1448">
          <cell r="B1448" t="str">
            <v>Acero Principal</v>
          </cell>
          <cell r="C1448">
            <v>13</v>
          </cell>
          <cell r="D1448">
            <v>1</v>
          </cell>
          <cell r="F1448">
            <v>4</v>
          </cell>
          <cell r="G1448">
            <v>12.1</v>
          </cell>
          <cell r="Q1448" t="str">
            <v>1"</v>
          </cell>
          <cell r="R1448">
            <v>4</v>
          </cell>
          <cell r="S1448">
            <v>13</v>
          </cell>
          <cell r="T1448">
            <v>1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2952.0920000000006</v>
          </cell>
          <cell r="AD1448">
            <v>0</v>
          </cell>
        </row>
        <row r="1449">
          <cell r="B1449" t="str">
            <v>Ref. Sup</v>
          </cell>
          <cell r="C1449">
            <v>13</v>
          </cell>
          <cell r="D1449">
            <v>1</v>
          </cell>
          <cell r="F1449">
            <v>1</v>
          </cell>
          <cell r="G1449">
            <v>8.35</v>
          </cell>
          <cell r="Q1449" t="str">
            <v>3/4"</v>
          </cell>
          <cell r="R1449">
            <v>1</v>
          </cell>
          <cell r="S1449">
            <v>8.35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243.15200000000002</v>
          </cell>
          <cell r="AC1449">
            <v>0</v>
          </cell>
          <cell r="AD1449">
            <v>0</v>
          </cell>
        </row>
        <row r="1450">
          <cell r="B1450" t="str">
            <v>Ref. Sup</v>
          </cell>
          <cell r="C1450">
            <v>13</v>
          </cell>
          <cell r="D1450">
            <v>1</v>
          </cell>
          <cell r="F1450">
            <v>2</v>
          </cell>
          <cell r="G1450">
            <v>2.5</v>
          </cell>
          <cell r="Q1450" t="str">
            <v>3/4"</v>
          </cell>
          <cell r="R1450">
            <v>2</v>
          </cell>
          <cell r="S1450">
            <v>2.5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145.60000000000002</v>
          </cell>
          <cell r="AC1450">
            <v>0</v>
          </cell>
          <cell r="AD1450">
            <v>0</v>
          </cell>
        </row>
        <row r="1451">
          <cell r="B1451" t="str">
            <v>Ref. Inf</v>
          </cell>
          <cell r="C1451">
            <v>13</v>
          </cell>
          <cell r="D1451">
            <v>1</v>
          </cell>
          <cell r="F1451">
            <v>1</v>
          </cell>
          <cell r="G1451">
            <v>3.75</v>
          </cell>
          <cell r="Q1451" t="str">
            <v>3/4"</v>
          </cell>
          <cell r="R1451">
            <v>1</v>
          </cell>
          <cell r="S1451">
            <v>3.75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109.2</v>
          </cell>
          <cell r="AC1451">
            <v>0</v>
          </cell>
          <cell r="AD1451">
            <v>0</v>
          </cell>
        </row>
        <row r="1452">
          <cell r="B1452" t="str">
            <v>Est</v>
          </cell>
          <cell r="C1452">
            <v>13</v>
          </cell>
          <cell r="D1452">
            <v>1</v>
          </cell>
          <cell r="E1452">
            <v>5.65</v>
          </cell>
          <cell r="F1452">
            <v>0.25</v>
          </cell>
          <cell r="G1452">
            <v>0.55000000000000004</v>
          </cell>
          <cell r="Q1452" t="str">
            <v>3/8"</v>
          </cell>
          <cell r="R1452">
            <v>40</v>
          </cell>
          <cell r="S1452">
            <v>1.6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465.92000000000007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</row>
        <row r="1453">
          <cell r="B1453" t="str">
            <v>Est</v>
          </cell>
          <cell r="C1453">
            <v>13</v>
          </cell>
          <cell r="D1453">
            <v>1</v>
          </cell>
          <cell r="E1453">
            <v>2.6</v>
          </cell>
          <cell r="F1453">
            <v>0.25</v>
          </cell>
          <cell r="G1453">
            <v>0.55000000000000004</v>
          </cell>
          <cell r="Q1453" t="str">
            <v>3/8"</v>
          </cell>
          <cell r="R1453">
            <v>19</v>
          </cell>
          <cell r="S1453">
            <v>1.6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221.31200000000007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</row>
        <row r="1454">
          <cell r="C1454">
            <v>13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</row>
        <row r="1455">
          <cell r="B1455" t="str">
            <v xml:space="preserve">B2-VT-03 (.20x.55) </v>
          </cell>
          <cell r="C1455">
            <v>13</v>
          </cell>
          <cell r="D1455">
            <v>1</v>
          </cell>
          <cell r="E1455">
            <v>3.8</v>
          </cell>
          <cell r="F1455">
            <v>0.2</v>
          </cell>
          <cell r="G1455">
            <v>0.55000000000000004</v>
          </cell>
          <cell r="L1455">
            <v>5.4340000000000011</v>
          </cell>
          <cell r="M1455">
            <v>3.8</v>
          </cell>
          <cell r="N1455">
            <v>0.9</v>
          </cell>
          <cell r="O1455">
            <v>44.46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</row>
        <row r="1456">
          <cell r="C1456">
            <v>13</v>
          </cell>
          <cell r="D1456">
            <v>1</v>
          </cell>
          <cell r="E1456">
            <v>5.65</v>
          </cell>
          <cell r="F1456">
            <v>0.2</v>
          </cell>
          <cell r="G1456">
            <v>0.55000000000000004</v>
          </cell>
          <cell r="L1456">
            <v>8.0795000000000012</v>
          </cell>
          <cell r="M1456">
            <v>5.65</v>
          </cell>
          <cell r="N1456">
            <v>0.9</v>
          </cell>
          <cell r="O1456">
            <v>66.105000000000018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</row>
        <row r="1457">
          <cell r="B1457" t="str">
            <v>Acero Principal</v>
          </cell>
          <cell r="C1457">
            <v>13</v>
          </cell>
          <cell r="D1457">
            <v>1</v>
          </cell>
          <cell r="F1457">
            <v>4</v>
          </cell>
          <cell r="G1457">
            <v>10.4</v>
          </cell>
          <cell r="Q1457" t="str">
            <v>3/4"</v>
          </cell>
          <cell r="R1457">
            <v>4</v>
          </cell>
          <cell r="S1457">
            <v>11.3</v>
          </cell>
          <cell r="T1457">
            <v>1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1409.4080000000004</v>
          </cell>
          <cell r="AC1457">
            <v>0</v>
          </cell>
          <cell r="AD1457">
            <v>0</v>
          </cell>
        </row>
        <row r="1458">
          <cell r="B1458" t="str">
            <v>Ref. Sup</v>
          </cell>
          <cell r="C1458">
            <v>13</v>
          </cell>
          <cell r="D1458">
            <v>1</v>
          </cell>
          <cell r="F1458">
            <v>2</v>
          </cell>
          <cell r="G1458">
            <v>4</v>
          </cell>
          <cell r="Q1458" t="str">
            <v>5/8"</v>
          </cell>
          <cell r="R1458">
            <v>2</v>
          </cell>
          <cell r="S1458">
            <v>4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161.20000000000002</v>
          </cell>
          <cell r="AB1458">
            <v>0</v>
          </cell>
          <cell r="AC1458">
            <v>0</v>
          </cell>
          <cell r="AD1458">
            <v>0</v>
          </cell>
        </row>
        <row r="1459">
          <cell r="B1459" t="str">
            <v>Ref. Inf</v>
          </cell>
          <cell r="C1459">
            <v>13</v>
          </cell>
          <cell r="D1459">
            <v>1</v>
          </cell>
          <cell r="F1459">
            <v>2</v>
          </cell>
          <cell r="G1459">
            <v>5.3</v>
          </cell>
          <cell r="Q1459" t="str">
            <v>3/4"</v>
          </cell>
          <cell r="R1459">
            <v>2</v>
          </cell>
          <cell r="S1459">
            <v>5.3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308.67200000000003</v>
          </cell>
          <cell r="AC1459">
            <v>0</v>
          </cell>
          <cell r="AD1459">
            <v>0</v>
          </cell>
        </row>
        <row r="1460">
          <cell r="B1460" t="str">
            <v>Est</v>
          </cell>
          <cell r="C1460">
            <v>13</v>
          </cell>
          <cell r="D1460">
            <v>1</v>
          </cell>
          <cell r="E1460">
            <v>3.8</v>
          </cell>
          <cell r="F1460">
            <v>0.2</v>
          </cell>
          <cell r="G1460">
            <v>0.55000000000000004</v>
          </cell>
          <cell r="Q1460" t="str">
            <v>3/8"</v>
          </cell>
          <cell r="R1460">
            <v>31</v>
          </cell>
          <cell r="S1460">
            <v>1.5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338.52000000000004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</row>
        <row r="1461">
          <cell r="B1461" t="str">
            <v>Est</v>
          </cell>
          <cell r="C1461">
            <v>13</v>
          </cell>
          <cell r="D1461">
            <v>1</v>
          </cell>
          <cell r="E1461">
            <v>5.65</v>
          </cell>
          <cell r="F1461">
            <v>0.2</v>
          </cell>
          <cell r="G1461">
            <v>0.55000000000000004</v>
          </cell>
          <cell r="Q1461" t="str">
            <v>3/8"</v>
          </cell>
          <cell r="R1461">
            <v>40</v>
          </cell>
          <cell r="S1461">
            <v>1.5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436.8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</row>
        <row r="1462">
          <cell r="C1462">
            <v>13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</row>
        <row r="1463">
          <cell r="B1463" t="str">
            <v xml:space="preserve">B2-VT-04 (.25x.55) </v>
          </cell>
          <cell r="C1463">
            <v>13</v>
          </cell>
          <cell r="D1463">
            <v>1</v>
          </cell>
          <cell r="E1463">
            <v>5.65</v>
          </cell>
          <cell r="F1463">
            <v>0.25</v>
          </cell>
          <cell r="G1463">
            <v>0.55000000000000004</v>
          </cell>
          <cell r="L1463">
            <v>10.099375000000002</v>
          </cell>
          <cell r="M1463">
            <v>5.65</v>
          </cell>
          <cell r="N1463">
            <v>0.95000000000000007</v>
          </cell>
          <cell r="O1463">
            <v>69.777500000000003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</row>
        <row r="1464">
          <cell r="C1464">
            <v>13</v>
          </cell>
          <cell r="D1464">
            <v>1</v>
          </cell>
          <cell r="E1464">
            <v>3.5</v>
          </cell>
          <cell r="F1464">
            <v>0.25</v>
          </cell>
          <cell r="G1464">
            <v>0.55000000000000004</v>
          </cell>
          <cell r="L1464">
            <v>6.2562500000000005</v>
          </cell>
          <cell r="M1464">
            <v>3.5</v>
          </cell>
          <cell r="N1464">
            <v>0.95000000000000007</v>
          </cell>
          <cell r="O1464">
            <v>43.225000000000001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</row>
        <row r="1465">
          <cell r="B1465" t="str">
            <v>Acero Principal</v>
          </cell>
          <cell r="C1465">
            <v>13</v>
          </cell>
          <cell r="D1465">
            <v>1</v>
          </cell>
          <cell r="F1465">
            <v>4</v>
          </cell>
          <cell r="G1465">
            <v>12</v>
          </cell>
          <cell r="Q1465" t="str">
            <v>1"</v>
          </cell>
          <cell r="R1465">
            <v>4</v>
          </cell>
          <cell r="S1465">
            <v>12.9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2931.4480000000003</v>
          </cell>
          <cell r="AD1465">
            <v>0</v>
          </cell>
        </row>
        <row r="1466">
          <cell r="B1466" t="str">
            <v>Ref. Sup</v>
          </cell>
          <cell r="C1466">
            <v>13</v>
          </cell>
          <cell r="D1466">
            <v>1</v>
          </cell>
          <cell r="F1466">
            <v>1</v>
          </cell>
          <cell r="G1466">
            <v>8.35</v>
          </cell>
          <cell r="Q1466" t="str">
            <v>3/4"</v>
          </cell>
          <cell r="R1466">
            <v>1</v>
          </cell>
          <cell r="S1466">
            <v>8.35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243.15200000000002</v>
          </cell>
          <cell r="AC1466">
            <v>0</v>
          </cell>
          <cell r="AD1466">
            <v>0</v>
          </cell>
        </row>
        <row r="1467">
          <cell r="B1467" t="str">
            <v>Ref. Sup</v>
          </cell>
          <cell r="C1467">
            <v>13</v>
          </cell>
          <cell r="D1467">
            <v>1</v>
          </cell>
          <cell r="F1467">
            <v>2</v>
          </cell>
          <cell r="G1467">
            <v>2.4</v>
          </cell>
          <cell r="Q1467" t="str">
            <v>3/4"</v>
          </cell>
          <cell r="R1467">
            <v>2</v>
          </cell>
          <cell r="S1467">
            <v>2.4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139.77600000000001</v>
          </cell>
          <cell r="AC1467">
            <v>0</v>
          </cell>
          <cell r="AD1467">
            <v>0</v>
          </cell>
        </row>
        <row r="1468">
          <cell r="B1468" t="str">
            <v>Ref. Inf</v>
          </cell>
          <cell r="C1468">
            <v>13</v>
          </cell>
          <cell r="D1468">
            <v>1</v>
          </cell>
          <cell r="F1468">
            <v>1</v>
          </cell>
          <cell r="G1468">
            <v>3.75</v>
          </cell>
          <cell r="Q1468" t="str">
            <v>3/4"</v>
          </cell>
          <cell r="R1468">
            <v>1</v>
          </cell>
          <cell r="S1468">
            <v>3.75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109.2</v>
          </cell>
          <cell r="AC1468">
            <v>0</v>
          </cell>
          <cell r="AD1468">
            <v>0</v>
          </cell>
        </row>
        <row r="1469">
          <cell r="B1469" t="str">
            <v>Est</v>
          </cell>
          <cell r="C1469">
            <v>13</v>
          </cell>
          <cell r="D1469">
            <v>1</v>
          </cell>
          <cell r="E1469">
            <v>5.65</v>
          </cell>
          <cell r="F1469">
            <v>0.25</v>
          </cell>
          <cell r="G1469">
            <v>0.55000000000000004</v>
          </cell>
          <cell r="Q1469" t="str">
            <v>3/8"</v>
          </cell>
          <cell r="R1469">
            <v>40</v>
          </cell>
          <cell r="S1469">
            <v>1.6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465.92000000000007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</row>
        <row r="1470">
          <cell r="B1470" t="str">
            <v>Est</v>
          </cell>
          <cell r="C1470">
            <v>13</v>
          </cell>
          <cell r="D1470">
            <v>1</v>
          </cell>
          <cell r="E1470">
            <v>3.5</v>
          </cell>
          <cell r="F1470">
            <v>0.25</v>
          </cell>
          <cell r="G1470">
            <v>0.55000000000000004</v>
          </cell>
          <cell r="Q1470" t="str">
            <v>3/8"</v>
          </cell>
          <cell r="R1470">
            <v>35</v>
          </cell>
          <cell r="S1470">
            <v>1.6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407.68000000000006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</row>
        <row r="1471">
          <cell r="C1471">
            <v>13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</row>
        <row r="1472">
          <cell r="B1472" t="str">
            <v xml:space="preserve">B2-VT-05 Tipo T (.30x.55) </v>
          </cell>
          <cell r="C1472">
            <v>13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</row>
        <row r="1473">
          <cell r="C1473">
            <v>13</v>
          </cell>
          <cell r="D1473">
            <v>1</v>
          </cell>
          <cell r="E1473">
            <v>5.65</v>
          </cell>
          <cell r="F1473">
            <v>0.3</v>
          </cell>
          <cell r="G1473">
            <v>0.55000000000000004</v>
          </cell>
          <cell r="L1473">
            <v>12.119250000000001</v>
          </cell>
          <cell r="M1473">
            <v>5.65</v>
          </cell>
          <cell r="N1473">
            <v>1</v>
          </cell>
          <cell r="O1473">
            <v>73.45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</row>
        <row r="1474">
          <cell r="B1474" t="str">
            <v>Acero Principal</v>
          </cell>
          <cell r="C1474">
            <v>13</v>
          </cell>
          <cell r="D1474">
            <v>1</v>
          </cell>
          <cell r="F1474">
            <v>5</v>
          </cell>
          <cell r="G1474">
            <v>6.4</v>
          </cell>
          <cell r="Q1474" t="str">
            <v>1"</v>
          </cell>
          <cell r="R1474">
            <v>5</v>
          </cell>
          <cell r="S1474">
            <v>7.3000000000000007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1883.7650000000001</v>
          </cell>
          <cell r="AD1474">
            <v>0</v>
          </cell>
        </row>
        <row r="1475">
          <cell r="B1475" t="str">
            <v>Acero Principal</v>
          </cell>
          <cell r="C1475">
            <v>13</v>
          </cell>
          <cell r="D1475">
            <v>1</v>
          </cell>
          <cell r="F1475">
            <v>4</v>
          </cell>
          <cell r="G1475">
            <v>6.4</v>
          </cell>
          <cell r="Q1475" t="str">
            <v>3/4"</v>
          </cell>
          <cell r="R1475">
            <v>4</v>
          </cell>
          <cell r="S1475">
            <v>7.3000000000000007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850.3040000000002</v>
          </cell>
          <cell r="AC1475">
            <v>0</v>
          </cell>
          <cell r="AD1475">
            <v>0</v>
          </cell>
        </row>
        <row r="1476">
          <cell r="B1476" t="str">
            <v>Ref. Inf</v>
          </cell>
          <cell r="C1476">
            <v>13</v>
          </cell>
          <cell r="D1476">
            <v>1</v>
          </cell>
          <cell r="F1476">
            <v>1</v>
          </cell>
          <cell r="G1476">
            <v>4.05</v>
          </cell>
          <cell r="Q1476" t="str">
            <v>1"</v>
          </cell>
          <cell r="R1476">
            <v>1</v>
          </cell>
          <cell r="S1476">
            <v>4.05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209.02050000000003</v>
          </cell>
          <cell r="AD1476">
            <v>0</v>
          </cell>
        </row>
        <row r="1477">
          <cell r="B1477" t="str">
            <v>Est</v>
          </cell>
          <cell r="C1477">
            <v>13</v>
          </cell>
          <cell r="D1477">
            <v>1</v>
          </cell>
          <cell r="E1477">
            <v>5.65</v>
          </cell>
          <cell r="F1477">
            <v>0.3</v>
          </cell>
          <cell r="G1477">
            <v>0.55000000000000004</v>
          </cell>
          <cell r="Q1477" t="str">
            <v>3/8"</v>
          </cell>
          <cell r="R1477">
            <v>40</v>
          </cell>
          <cell r="S1477">
            <v>1.7000000000000002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495.04000000000008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</row>
        <row r="1478">
          <cell r="C1478">
            <v>13</v>
          </cell>
          <cell r="D1478">
            <v>1</v>
          </cell>
          <cell r="E1478">
            <v>5.65</v>
          </cell>
          <cell r="F1478">
            <v>0.6</v>
          </cell>
          <cell r="G1478">
            <v>0.2</v>
          </cell>
          <cell r="L1478">
            <v>8.8140000000000001</v>
          </cell>
          <cell r="M1478">
            <v>5.65</v>
          </cell>
          <cell r="N1478">
            <v>0.6</v>
          </cell>
          <cell r="O1478">
            <v>44.07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</row>
        <row r="1479">
          <cell r="B1479" t="str">
            <v>Est</v>
          </cell>
          <cell r="C1479">
            <v>13</v>
          </cell>
          <cell r="D1479">
            <v>1</v>
          </cell>
          <cell r="E1479">
            <v>5.65</v>
          </cell>
          <cell r="F1479">
            <v>0.89999999999999991</v>
          </cell>
          <cell r="G1479">
            <v>0.2</v>
          </cell>
          <cell r="Q1479" t="str">
            <v>3/8"</v>
          </cell>
          <cell r="R1479">
            <v>40</v>
          </cell>
          <cell r="S1479">
            <v>2.1999999999999997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640.63999999999987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</row>
        <row r="1480">
          <cell r="C1480">
            <v>13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</row>
        <row r="1481">
          <cell r="B1481" t="str">
            <v xml:space="preserve">B2-VT-06 Tipo T (.30x.55) </v>
          </cell>
          <cell r="C1481">
            <v>13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</row>
        <row r="1482">
          <cell r="C1482">
            <v>13</v>
          </cell>
          <cell r="D1482">
            <v>1</v>
          </cell>
          <cell r="E1482">
            <v>5.25</v>
          </cell>
          <cell r="F1482">
            <v>0.3</v>
          </cell>
          <cell r="G1482">
            <v>0.55000000000000004</v>
          </cell>
          <cell r="L1482">
            <v>11.26125</v>
          </cell>
          <cell r="M1482">
            <v>5.25</v>
          </cell>
          <cell r="N1482">
            <v>1</v>
          </cell>
          <cell r="O1482">
            <v>68.25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</row>
        <row r="1483">
          <cell r="B1483" t="str">
            <v>Acero Principal</v>
          </cell>
          <cell r="C1483">
            <v>13</v>
          </cell>
          <cell r="D1483">
            <v>1</v>
          </cell>
          <cell r="F1483">
            <v>4</v>
          </cell>
          <cell r="G1483">
            <v>6</v>
          </cell>
          <cell r="Q1483" t="str">
            <v>1"</v>
          </cell>
          <cell r="R1483">
            <v>4</v>
          </cell>
          <cell r="S1483">
            <v>6.9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1424.4360000000001</v>
          </cell>
          <cell r="AD1483">
            <v>0</v>
          </cell>
        </row>
        <row r="1484">
          <cell r="B1484" t="str">
            <v>Acero Principal</v>
          </cell>
          <cell r="C1484">
            <v>13</v>
          </cell>
          <cell r="D1484">
            <v>1</v>
          </cell>
          <cell r="F1484">
            <v>4</v>
          </cell>
          <cell r="G1484">
            <v>6</v>
          </cell>
          <cell r="Q1484" t="str">
            <v>3/4"</v>
          </cell>
          <cell r="R1484">
            <v>4</v>
          </cell>
          <cell r="S1484">
            <v>6.9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803.71200000000022</v>
          </cell>
          <cell r="AC1484">
            <v>0</v>
          </cell>
          <cell r="AD1484">
            <v>0</v>
          </cell>
        </row>
        <row r="1485">
          <cell r="B1485" t="str">
            <v>Ref. Inf</v>
          </cell>
          <cell r="C1485">
            <v>13</v>
          </cell>
          <cell r="D1485">
            <v>1</v>
          </cell>
          <cell r="F1485">
            <v>2</v>
          </cell>
          <cell r="G1485">
            <v>3.85</v>
          </cell>
          <cell r="Q1485" t="str">
            <v>3/4"</v>
          </cell>
          <cell r="R1485">
            <v>2</v>
          </cell>
          <cell r="S1485">
            <v>3.85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224.22400000000002</v>
          </cell>
          <cell r="AC1485">
            <v>0</v>
          </cell>
          <cell r="AD1485">
            <v>0</v>
          </cell>
        </row>
        <row r="1486">
          <cell r="B1486" t="str">
            <v>Est</v>
          </cell>
          <cell r="C1486">
            <v>13</v>
          </cell>
          <cell r="D1486">
            <v>1</v>
          </cell>
          <cell r="E1486">
            <v>5.25</v>
          </cell>
          <cell r="F1486">
            <v>0.3</v>
          </cell>
          <cell r="G1486">
            <v>0.55000000000000004</v>
          </cell>
          <cell r="Q1486" t="str">
            <v>3/8"</v>
          </cell>
          <cell r="R1486">
            <v>38</v>
          </cell>
          <cell r="S1486">
            <v>1.7000000000000002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470.28800000000012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</row>
        <row r="1487">
          <cell r="C1487">
            <v>13</v>
          </cell>
          <cell r="D1487">
            <v>1</v>
          </cell>
          <cell r="E1487">
            <v>5.25</v>
          </cell>
          <cell r="F1487">
            <v>0.6</v>
          </cell>
          <cell r="G1487">
            <v>0.2</v>
          </cell>
          <cell r="L1487">
            <v>8.19</v>
          </cell>
          <cell r="M1487">
            <v>5.25</v>
          </cell>
          <cell r="N1487">
            <v>0.6</v>
          </cell>
          <cell r="O1487">
            <v>40.949999999999996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</row>
        <row r="1488">
          <cell r="B1488" t="str">
            <v>Est</v>
          </cell>
          <cell r="C1488">
            <v>13</v>
          </cell>
          <cell r="D1488">
            <v>1</v>
          </cell>
          <cell r="E1488">
            <v>5.25</v>
          </cell>
          <cell r="F1488">
            <v>0.89999999999999991</v>
          </cell>
          <cell r="G1488">
            <v>0.2</v>
          </cell>
          <cell r="Q1488" t="str">
            <v>3/8"</v>
          </cell>
          <cell r="R1488">
            <v>38</v>
          </cell>
          <cell r="S1488">
            <v>2.1999999999999997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608.60800000000006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</row>
        <row r="1489">
          <cell r="C1489">
            <v>13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</row>
        <row r="1490">
          <cell r="B1490" t="str">
            <v xml:space="preserve">B2-VT-07 (.20x.55) </v>
          </cell>
          <cell r="C1490">
            <v>13</v>
          </cell>
          <cell r="D1490">
            <v>1</v>
          </cell>
          <cell r="E1490">
            <v>1.9</v>
          </cell>
          <cell r="F1490">
            <v>0.2</v>
          </cell>
          <cell r="G1490">
            <v>0.55000000000000004</v>
          </cell>
          <cell r="L1490">
            <v>2.7170000000000005</v>
          </cell>
          <cell r="M1490">
            <v>1.9</v>
          </cell>
          <cell r="N1490">
            <v>0.9</v>
          </cell>
          <cell r="O1490">
            <v>22.23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</row>
        <row r="1491">
          <cell r="B1491" t="str">
            <v>Acero Principal</v>
          </cell>
          <cell r="C1491">
            <v>13</v>
          </cell>
          <cell r="D1491">
            <v>1</v>
          </cell>
          <cell r="F1491">
            <v>4</v>
          </cell>
          <cell r="G1491">
            <v>2.85</v>
          </cell>
          <cell r="Q1491" t="str">
            <v>3/4"</v>
          </cell>
          <cell r="R1491">
            <v>4</v>
          </cell>
          <cell r="S1491">
            <v>3.75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436.8</v>
          </cell>
          <cell r="AC1491">
            <v>0</v>
          </cell>
          <cell r="AD1491">
            <v>0</v>
          </cell>
        </row>
        <row r="1492">
          <cell r="B1492" t="str">
            <v>Ref. Sup</v>
          </cell>
          <cell r="C1492">
            <v>13</v>
          </cell>
          <cell r="D1492">
            <v>1</v>
          </cell>
          <cell r="F1492">
            <v>1</v>
          </cell>
          <cell r="G1492">
            <v>2.0499999999999998</v>
          </cell>
          <cell r="Q1492" t="str">
            <v>3/4"</v>
          </cell>
          <cell r="R1492">
            <v>1</v>
          </cell>
          <cell r="S1492">
            <v>2.0499999999999998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59.695999999999998</v>
          </cell>
          <cell r="AC1492">
            <v>0</v>
          </cell>
          <cell r="AD1492">
            <v>0</v>
          </cell>
        </row>
        <row r="1493">
          <cell r="B1493" t="str">
            <v>Est</v>
          </cell>
          <cell r="C1493">
            <v>13</v>
          </cell>
          <cell r="D1493">
            <v>1</v>
          </cell>
          <cell r="E1493">
            <v>1.9</v>
          </cell>
          <cell r="F1493">
            <v>0.2</v>
          </cell>
          <cell r="G1493">
            <v>0.55000000000000004</v>
          </cell>
          <cell r="Q1493" t="str">
            <v>3/8"</v>
          </cell>
          <cell r="R1493">
            <v>21</v>
          </cell>
          <cell r="S1493">
            <v>1.5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229.32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</row>
        <row r="1494">
          <cell r="C1494">
            <v>13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</row>
        <row r="1495">
          <cell r="B1495" t="str">
            <v xml:space="preserve">B2-VT-08 (.40x.55) </v>
          </cell>
          <cell r="C1495">
            <v>13</v>
          </cell>
          <cell r="D1495">
            <v>1</v>
          </cell>
          <cell r="E1495">
            <v>6.45</v>
          </cell>
          <cell r="F1495">
            <v>0.4</v>
          </cell>
          <cell r="G1495">
            <v>0.55000000000000004</v>
          </cell>
          <cell r="L1495">
            <v>18.447000000000006</v>
          </cell>
          <cell r="M1495">
            <v>6.45</v>
          </cell>
          <cell r="N1495">
            <v>1.1000000000000001</v>
          </cell>
          <cell r="O1495">
            <v>92.235000000000014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</row>
        <row r="1496">
          <cell r="C1496">
            <v>13</v>
          </cell>
          <cell r="D1496">
            <v>1</v>
          </cell>
          <cell r="E1496">
            <v>3.9</v>
          </cell>
          <cell r="F1496">
            <v>0.4</v>
          </cell>
          <cell r="G1496">
            <v>0.55000000000000004</v>
          </cell>
          <cell r="L1496">
            <v>11.154000000000002</v>
          </cell>
          <cell r="M1496">
            <v>3.9</v>
          </cell>
          <cell r="N1496">
            <v>1.1000000000000001</v>
          </cell>
          <cell r="O1496">
            <v>55.77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</row>
        <row r="1497">
          <cell r="C1497">
            <v>13</v>
          </cell>
          <cell r="D1497">
            <v>1</v>
          </cell>
          <cell r="E1497">
            <v>6.1</v>
          </cell>
          <cell r="F1497">
            <v>0.4</v>
          </cell>
          <cell r="G1497">
            <v>0.55000000000000004</v>
          </cell>
          <cell r="L1497">
            <v>17.446000000000002</v>
          </cell>
          <cell r="M1497">
            <v>6.1</v>
          </cell>
          <cell r="N1497">
            <v>1.1000000000000001</v>
          </cell>
          <cell r="O1497">
            <v>87.23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</row>
        <row r="1498">
          <cell r="B1498" t="str">
            <v>Acero Principal</v>
          </cell>
          <cell r="C1498">
            <v>13</v>
          </cell>
          <cell r="D1498">
            <v>1</v>
          </cell>
          <cell r="F1498">
            <v>6</v>
          </cell>
          <cell r="G1498">
            <v>20.149999999999999</v>
          </cell>
          <cell r="Q1498" t="str">
            <v>1"</v>
          </cell>
          <cell r="R1498">
            <v>6</v>
          </cell>
          <cell r="S1498">
            <v>21.049999999999997</v>
          </cell>
          <cell r="T1498">
            <v>2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7323.4589999999998</v>
          </cell>
          <cell r="AD1498">
            <v>0</v>
          </cell>
        </row>
        <row r="1499">
          <cell r="B1499" t="str">
            <v>Acero Principal</v>
          </cell>
          <cell r="C1499">
            <v>13</v>
          </cell>
          <cell r="D1499">
            <v>1</v>
          </cell>
          <cell r="F1499">
            <v>2</v>
          </cell>
          <cell r="G1499">
            <v>13.5</v>
          </cell>
          <cell r="Q1499" t="str">
            <v>1"</v>
          </cell>
          <cell r="R1499">
            <v>2</v>
          </cell>
          <cell r="S1499">
            <v>14.4</v>
          </cell>
          <cell r="T1499">
            <v>1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1620.5540000000001</v>
          </cell>
          <cell r="AD1499">
            <v>0</v>
          </cell>
        </row>
        <row r="1500">
          <cell r="B1500" t="str">
            <v>Ref. Sup</v>
          </cell>
          <cell r="C1500">
            <v>13</v>
          </cell>
          <cell r="D1500">
            <v>1</v>
          </cell>
          <cell r="F1500">
            <v>2</v>
          </cell>
          <cell r="G1500">
            <v>11.9</v>
          </cell>
          <cell r="Q1500" t="str">
            <v>1"</v>
          </cell>
          <cell r="R1500">
            <v>2</v>
          </cell>
          <cell r="S1500">
            <v>11.9</v>
          </cell>
          <cell r="T1500">
            <v>1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1362.5040000000001</v>
          </cell>
          <cell r="AD1500">
            <v>0</v>
          </cell>
        </row>
        <row r="1501">
          <cell r="B1501" t="str">
            <v>Ref. Sup</v>
          </cell>
          <cell r="C1501">
            <v>13</v>
          </cell>
          <cell r="D1501">
            <v>1</v>
          </cell>
          <cell r="F1501">
            <v>2</v>
          </cell>
          <cell r="G1501">
            <v>6.15</v>
          </cell>
          <cell r="Q1501" t="str">
            <v>1"</v>
          </cell>
          <cell r="R1501">
            <v>2</v>
          </cell>
          <cell r="S1501">
            <v>6.15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634.803</v>
          </cell>
          <cell r="AD1501">
            <v>0</v>
          </cell>
        </row>
        <row r="1502">
          <cell r="B1502" t="str">
            <v>Ref. Inf</v>
          </cell>
          <cell r="C1502">
            <v>13</v>
          </cell>
          <cell r="D1502">
            <v>1</v>
          </cell>
          <cell r="F1502">
            <v>2</v>
          </cell>
          <cell r="G1502">
            <v>5.75</v>
          </cell>
          <cell r="Q1502" t="str">
            <v>1"</v>
          </cell>
          <cell r="R1502">
            <v>2</v>
          </cell>
          <cell r="S1502">
            <v>5.75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593.51499999999999</v>
          </cell>
          <cell r="AD1502">
            <v>0</v>
          </cell>
        </row>
        <row r="1503">
          <cell r="B1503" t="str">
            <v>Ref. Inf</v>
          </cell>
          <cell r="C1503">
            <v>13</v>
          </cell>
          <cell r="D1503">
            <v>1</v>
          </cell>
          <cell r="F1503">
            <v>2</v>
          </cell>
          <cell r="G1503">
            <v>4.05</v>
          </cell>
          <cell r="Q1503" t="str">
            <v>3/4"</v>
          </cell>
          <cell r="R1503">
            <v>2</v>
          </cell>
          <cell r="S1503">
            <v>4.05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235.87200000000001</v>
          </cell>
          <cell r="AC1503">
            <v>0</v>
          </cell>
          <cell r="AD1503">
            <v>0</v>
          </cell>
        </row>
        <row r="1504">
          <cell r="B1504" t="str">
            <v>Est</v>
          </cell>
          <cell r="C1504">
            <v>13</v>
          </cell>
          <cell r="D1504">
            <v>1</v>
          </cell>
          <cell r="E1504">
            <v>6.45</v>
          </cell>
          <cell r="F1504">
            <v>0.4</v>
          </cell>
          <cell r="G1504">
            <v>0.55000000000000004</v>
          </cell>
          <cell r="Q1504" t="str">
            <v>3/8"</v>
          </cell>
          <cell r="R1504">
            <v>44</v>
          </cell>
          <cell r="S1504">
            <v>1.9000000000000001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608.60800000000017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</row>
        <row r="1505">
          <cell r="B1505" t="str">
            <v>Est</v>
          </cell>
          <cell r="C1505">
            <v>13</v>
          </cell>
          <cell r="D1505">
            <v>1</v>
          </cell>
          <cell r="E1505">
            <v>3.9</v>
          </cell>
          <cell r="F1505">
            <v>0.4</v>
          </cell>
          <cell r="G1505">
            <v>0.55000000000000004</v>
          </cell>
          <cell r="Q1505" t="str">
            <v>3/8"</v>
          </cell>
          <cell r="R1505">
            <v>31</v>
          </cell>
          <cell r="S1505">
            <v>1.9000000000000001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428.79200000000014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</row>
        <row r="1506">
          <cell r="B1506" t="str">
            <v>Est</v>
          </cell>
          <cell r="C1506">
            <v>13</v>
          </cell>
          <cell r="D1506">
            <v>1</v>
          </cell>
          <cell r="E1506">
            <v>6.1</v>
          </cell>
          <cell r="F1506">
            <v>0.4</v>
          </cell>
          <cell r="G1506">
            <v>0.55000000000000004</v>
          </cell>
          <cell r="Q1506" t="str">
            <v>3/8"</v>
          </cell>
          <cell r="R1506">
            <v>42</v>
          </cell>
          <cell r="S1506">
            <v>1.9000000000000001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580.94400000000007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</row>
        <row r="1507">
          <cell r="C1507">
            <v>13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</row>
        <row r="1508">
          <cell r="B1508" t="str">
            <v xml:space="preserve">B2-VT-09 (.35x.55) </v>
          </cell>
          <cell r="C1508">
            <v>13</v>
          </cell>
          <cell r="D1508">
            <v>1</v>
          </cell>
          <cell r="E1508">
            <v>7.05</v>
          </cell>
          <cell r="F1508">
            <v>0.35</v>
          </cell>
          <cell r="G1508">
            <v>0.55000000000000004</v>
          </cell>
          <cell r="L1508">
            <v>17.642624999999999</v>
          </cell>
          <cell r="M1508">
            <v>7.05</v>
          </cell>
          <cell r="N1508">
            <v>1.0500000000000003</v>
          </cell>
          <cell r="O1508">
            <v>96.232500000000016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</row>
        <row r="1509">
          <cell r="C1509">
            <v>13</v>
          </cell>
          <cell r="D1509">
            <v>1</v>
          </cell>
          <cell r="E1509">
            <v>4.8</v>
          </cell>
          <cell r="F1509">
            <v>0.35</v>
          </cell>
          <cell r="G1509">
            <v>0.55000000000000004</v>
          </cell>
          <cell r="L1509">
            <v>12.012</v>
          </cell>
          <cell r="M1509">
            <v>4.8</v>
          </cell>
          <cell r="N1509">
            <v>1.0500000000000003</v>
          </cell>
          <cell r="O1509">
            <v>65.52000000000001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</row>
        <row r="1510">
          <cell r="C1510">
            <v>13</v>
          </cell>
          <cell r="D1510">
            <v>1</v>
          </cell>
          <cell r="E1510">
            <v>7.15</v>
          </cell>
          <cell r="F1510">
            <v>0.35</v>
          </cell>
          <cell r="G1510">
            <v>0.55000000000000004</v>
          </cell>
          <cell r="L1510">
            <v>17.892875</v>
          </cell>
          <cell r="M1510">
            <v>7.15</v>
          </cell>
          <cell r="N1510">
            <v>1.0500000000000003</v>
          </cell>
          <cell r="O1510">
            <v>97.597500000000025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</row>
        <row r="1511">
          <cell r="B1511" t="str">
            <v>Acero Principal</v>
          </cell>
          <cell r="C1511">
            <v>13</v>
          </cell>
          <cell r="D1511">
            <v>1</v>
          </cell>
          <cell r="F1511">
            <v>8</v>
          </cell>
          <cell r="G1511">
            <v>20.149999999999999</v>
          </cell>
          <cell r="Q1511" t="str">
            <v>1"</v>
          </cell>
          <cell r="R1511">
            <v>8</v>
          </cell>
          <cell r="S1511">
            <v>21.049999999999997</v>
          </cell>
          <cell r="T1511">
            <v>2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9764.612000000001</v>
          </cell>
          <cell r="AD1511">
            <v>0</v>
          </cell>
        </row>
        <row r="1512">
          <cell r="B1512" t="str">
            <v>Ref. Sup</v>
          </cell>
          <cell r="C1512">
            <v>13</v>
          </cell>
          <cell r="D1512">
            <v>1</v>
          </cell>
          <cell r="F1512">
            <v>2</v>
          </cell>
          <cell r="G1512">
            <v>10.4</v>
          </cell>
          <cell r="Q1512" t="str">
            <v>1"</v>
          </cell>
          <cell r="R1512">
            <v>2</v>
          </cell>
          <cell r="S1512">
            <v>10.4</v>
          </cell>
          <cell r="T1512">
            <v>1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1207.6740000000002</v>
          </cell>
          <cell r="AD1512">
            <v>0</v>
          </cell>
        </row>
        <row r="1513">
          <cell r="B1513" t="str">
            <v>Ref. Sup</v>
          </cell>
          <cell r="C1513">
            <v>13</v>
          </cell>
          <cell r="D1513">
            <v>1</v>
          </cell>
          <cell r="F1513">
            <v>1</v>
          </cell>
          <cell r="G1513">
            <v>4.3499999999999996</v>
          </cell>
          <cell r="Q1513" t="str">
            <v>1"</v>
          </cell>
          <cell r="R1513">
            <v>1</v>
          </cell>
          <cell r="S1513">
            <v>4.3499999999999996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224.5035</v>
          </cell>
          <cell r="AD1513">
            <v>0</v>
          </cell>
        </row>
        <row r="1514">
          <cell r="B1514" t="str">
            <v>Ref. Inf</v>
          </cell>
          <cell r="C1514">
            <v>13</v>
          </cell>
          <cell r="D1514">
            <v>1</v>
          </cell>
          <cell r="F1514">
            <v>2</v>
          </cell>
          <cell r="G1514">
            <v>4.75</v>
          </cell>
          <cell r="Q1514" t="str">
            <v>1"</v>
          </cell>
          <cell r="R1514">
            <v>2</v>
          </cell>
          <cell r="S1514">
            <v>4.75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490.29500000000007</v>
          </cell>
          <cell r="AD1514">
            <v>0</v>
          </cell>
        </row>
        <row r="1515">
          <cell r="B1515" t="str">
            <v>Ref. Inf</v>
          </cell>
          <cell r="C1515">
            <v>13</v>
          </cell>
          <cell r="D1515">
            <v>1</v>
          </cell>
          <cell r="F1515">
            <v>1</v>
          </cell>
          <cell r="G1515">
            <v>4.22</v>
          </cell>
          <cell r="Q1515" t="str">
            <v>1"</v>
          </cell>
          <cell r="R1515">
            <v>1</v>
          </cell>
          <cell r="S1515">
            <v>4.22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217.79419999999999</v>
          </cell>
          <cell r="AD1515">
            <v>0</v>
          </cell>
        </row>
        <row r="1516">
          <cell r="B1516" t="str">
            <v>Ref. Inf</v>
          </cell>
          <cell r="C1516">
            <v>13</v>
          </cell>
          <cell r="D1516">
            <v>1</v>
          </cell>
          <cell r="F1516">
            <v>2</v>
          </cell>
          <cell r="G1516">
            <v>5.05</v>
          </cell>
          <cell r="Q1516" t="str">
            <v>1"</v>
          </cell>
          <cell r="R1516">
            <v>2</v>
          </cell>
          <cell r="S1516">
            <v>5.05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521.26099999999997</v>
          </cell>
          <cell r="AD1516">
            <v>0</v>
          </cell>
        </row>
        <row r="1517">
          <cell r="B1517" t="str">
            <v>Est</v>
          </cell>
          <cell r="C1517">
            <v>13</v>
          </cell>
          <cell r="D1517">
            <v>1</v>
          </cell>
          <cell r="E1517">
            <v>7.05</v>
          </cell>
          <cell r="F1517">
            <v>0.35</v>
          </cell>
          <cell r="G1517">
            <v>0.55000000000000004</v>
          </cell>
          <cell r="Q1517" t="str">
            <v>3/8"</v>
          </cell>
          <cell r="R1517">
            <v>47</v>
          </cell>
          <cell r="S1517">
            <v>1.8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615.88800000000015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</row>
        <row r="1518">
          <cell r="B1518" t="str">
            <v>Est</v>
          </cell>
          <cell r="C1518">
            <v>13</v>
          </cell>
          <cell r="D1518">
            <v>1</v>
          </cell>
          <cell r="E1518">
            <v>4.8</v>
          </cell>
          <cell r="F1518">
            <v>0.35</v>
          </cell>
          <cell r="G1518">
            <v>0.55000000000000004</v>
          </cell>
          <cell r="Q1518" t="str">
            <v>3/8"</v>
          </cell>
          <cell r="R1518">
            <v>36</v>
          </cell>
          <cell r="S1518">
            <v>1.8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471.74400000000003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</row>
        <row r="1519">
          <cell r="B1519" t="str">
            <v>Est</v>
          </cell>
          <cell r="C1519">
            <v>13</v>
          </cell>
          <cell r="D1519">
            <v>1</v>
          </cell>
          <cell r="E1519">
            <v>7.15</v>
          </cell>
          <cell r="F1519">
            <v>0.35</v>
          </cell>
          <cell r="G1519">
            <v>0.55000000000000004</v>
          </cell>
          <cell r="Q1519" t="str">
            <v>3/8"</v>
          </cell>
          <cell r="R1519">
            <v>47</v>
          </cell>
          <cell r="S1519">
            <v>1.8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615.88800000000015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</row>
        <row r="1520">
          <cell r="C1520">
            <v>13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</row>
        <row r="1521">
          <cell r="B1521" t="str">
            <v>B2-VT-10 (.40x.55</v>
          </cell>
          <cell r="C1521">
            <v>13</v>
          </cell>
          <cell r="D1521">
            <v>1</v>
          </cell>
          <cell r="E1521">
            <v>6.65</v>
          </cell>
          <cell r="F1521">
            <v>0.4</v>
          </cell>
          <cell r="G1521">
            <v>0.55000000000000004</v>
          </cell>
          <cell r="L1521">
            <v>19.019000000000005</v>
          </cell>
          <cell r="M1521">
            <v>6.65</v>
          </cell>
          <cell r="N1521">
            <v>1.1000000000000001</v>
          </cell>
          <cell r="O1521">
            <v>95.095000000000013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</row>
        <row r="1522">
          <cell r="C1522">
            <v>13</v>
          </cell>
          <cell r="D1522">
            <v>1</v>
          </cell>
          <cell r="E1522">
            <v>4.8</v>
          </cell>
          <cell r="F1522">
            <v>0.4</v>
          </cell>
          <cell r="G1522">
            <v>0.55000000000000004</v>
          </cell>
          <cell r="L1522">
            <v>13.728000000000002</v>
          </cell>
          <cell r="M1522">
            <v>4.8</v>
          </cell>
          <cell r="N1522">
            <v>1.1000000000000001</v>
          </cell>
          <cell r="O1522">
            <v>68.64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</row>
        <row r="1523">
          <cell r="C1523">
            <v>13</v>
          </cell>
          <cell r="D1523">
            <v>1</v>
          </cell>
          <cell r="E1523">
            <v>6.61</v>
          </cell>
          <cell r="F1523">
            <v>0.4</v>
          </cell>
          <cell r="G1523">
            <v>0.55000000000000004</v>
          </cell>
          <cell r="L1523">
            <v>18.904600000000006</v>
          </cell>
          <cell r="M1523">
            <v>6.61</v>
          </cell>
          <cell r="N1523">
            <v>1.1000000000000001</v>
          </cell>
          <cell r="O1523">
            <v>94.52300000000001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</row>
        <row r="1524">
          <cell r="B1524" t="str">
            <v>Acero Principal</v>
          </cell>
          <cell r="C1524">
            <v>13</v>
          </cell>
          <cell r="D1524">
            <v>1</v>
          </cell>
          <cell r="F1524">
            <v>10</v>
          </cell>
          <cell r="G1524">
            <v>20.149999999999999</v>
          </cell>
          <cell r="Q1524" t="str">
            <v>3/4"</v>
          </cell>
          <cell r="R1524">
            <v>10</v>
          </cell>
          <cell r="S1524">
            <v>21.049999999999997</v>
          </cell>
          <cell r="T1524">
            <v>2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6595.6799999999994</v>
          </cell>
          <cell r="AC1524">
            <v>0</v>
          </cell>
          <cell r="AD1524">
            <v>0</v>
          </cell>
        </row>
        <row r="1525">
          <cell r="B1525" t="str">
            <v>Ref. Sup</v>
          </cell>
          <cell r="C1525">
            <v>13</v>
          </cell>
          <cell r="D1525">
            <v>1</v>
          </cell>
          <cell r="F1525">
            <v>2</v>
          </cell>
          <cell r="G1525">
            <v>2.85</v>
          </cell>
          <cell r="Q1525" t="str">
            <v>3/4"</v>
          </cell>
          <cell r="R1525">
            <v>2</v>
          </cell>
          <cell r="S1525">
            <v>2.85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165.98400000000004</v>
          </cell>
          <cell r="AC1525">
            <v>0</v>
          </cell>
          <cell r="AD1525">
            <v>0</v>
          </cell>
        </row>
        <row r="1526">
          <cell r="B1526" t="str">
            <v>Ref. Sup</v>
          </cell>
          <cell r="C1526">
            <v>13</v>
          </cell>
          <cell r="D1526">
            <v>1</v>
          </cell>
          <cell r="F1526">
            <v>2</v>
          </cell>
          <cell r="G1526">
            <v>2.4</v>
          </cell>
          <cell r="Q1526" t="str">
            <v>3/4"</v>
          </cell>
          <cell r="R1526">
            <v>2</v>
          </cell>
          <cell r="S1526">
            <v>2.4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139.77600000000001</v>
          </cell>
          <cell r="AC1526">
            <v>0</v>
          </cell>
          <cell r="AD1526">
            <v>0</v>
          </cell>
        </row>
        <row r="1527">
          <cell r="B1527" t="str">
            <v>Ref. Sup</v>
          </cell>
          <cell r="C1527">
            <v>13</v>
          </cell>
          <cell r="D1527">
            <v>1</v>
          </cell>
          <cell r="F1527">
            <v>2</v>
          </cell>
          <cell r="G1527">
            <v>10.9</v>
          </cell>
          <cell r="Q1527" t="str">
            <v>1"</v>
          </cell>
          <cell r="R1527">
            <v>2</v>
          </cell>
          <cell r="S1527">
            <v>10.9</v>
          </cell>
          <cell r="T1527">
            <v>1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1259.2840000000001</v>
          </cell>
          <cell r="AD1527">
            <v>0</v>
          </cell>
        </row>
        <row r="1528">
          <cell r="B1528" t="str">
            <v>Ref. Sup</v>
          </cell>
          <cell r="C1528">
            <v>13</v>
          </cell>
          <cell r="D1528">
            <v>1</v>
          </cell>
          <cell r="F1528">
            <v>2</v>
          </cell>
          <cell r="G1528">
            <v>4.25</v>
          </cell>
          <cell r="Q1528" t="str">
            <v>1"</v>
          </cell>
          <cell r="R1528">
            <v>2</v>
          </cell>
          <cell r="S1528">
            <v>4.25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438.68500000000006</v>
          </cell>
          <cell r="AD1528">
            <v>0</v>
          </cell>
        </row>
        <row r="1529">
          <cell r="B1529" t="str">
            <v>Ref. Sup</v>
          </cell>
          <cell r="C1529">
            <v>13</v>
          </cell>
          <cell r="D1529">
            <v>1</v>
          </cell>
          <cell r="F1529">
            <v>2</v>
          </cell>
          <cell r="G1529">
            <v>4.25</v>
          </cell>
          <cell r="Q1529" t="str">
            <v>1"</v>
          </cell>
          <cell r="R1529">
            <v>2</v>
          </cell>
          <cell r="S1529">
            <v>4.25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438.68500000000006</v>
          </cell>
          <cell r="AD1529">
            <v>0</v>
          </cell>
        </row>
        <row r="1530">
          <cell r="B1530" t="str">
            <v>Ref. Sup</v>
          </cell>
          <cell r="C1530">
            <v>13</v>
          </cell>
          <cell r="D1530">
            <v>1</v>
          </cell>
          <cell r="F1530">
            <v>2</v>
          </cell>
          <cell r="G1530">
            <v>2.9</v>
          </cell>
          <cell r="Q1530" t="str">
            <v>3/4"</v>
          </cell>
          <cell r="R1530">
            <v>2</v>
          </cell>
          <cell r="S1530">
            <v>2.9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168.89600000000002</v>
          </cell>
          <cell r="AC1530">
            <v>0</v>
          </cell>
          <cell r="AD1530">
            <v>0</v>
          </cell>
        </row>
        <row r="1531">
          <cell r="B1531" t="str">
            <v>Ref. Sup</v>
          </cell>
          <cell r="C1531">
            <v>13</v>
          </cell>
          <cell r="D1531">
            <v>1</v>
          </cell>
          <cell r="F1531">
            <v>2</v>
          </cell>
          <cell r="G1531">
            <v>2.5</v>
          </cell>
          <cell r="Q1531" t="str">
            <v>3/4"</v>
          </cell>
          <cell r="R1531">
            <v>2</v>
          </cell>
          <cell r="S1531">
            <v>2.5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145.60000000000002</v>
          </cell>
          <cell r="AC1531">
            <v>0</v>
          </cell>
          <cell r="AD1531">
            <v>0</v>
          </cell>
        </row>
        <row r="1532">
          <cell r="B1532" t="str">
            <v>Ref. Inf</v>
          </cell>
          <cell r="C1532">
            <v>13</v>
          </cell>
          <cell r="D1532">
            <v>1</v>
          </cell>
          <cell r="F1532">
            <v>2</v>
          </cell>
          <cell r="G1532">
            <v>2.85</v>
          </cell>
          <cell r="Q1532" t="str">
            <v>3/4"</v>
          </cell>
          <cell r="R1532">
            <v>2</v>
          </cell>
          <cell r="S1532">
            <v>2.85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165.98400000000004</v>
          </cell>
          <cell r="AC1532">
            <v>0</v>
          </cell>
          <cell r="AD1532">
            <v>0</v>
          </cell>
        </row>
        <row r="1533">
          <cell r="B1533" t="str">
            <v>Ref. Inf</v>
          </cell>
          <cell r="C1533">
            <v>13</v>
          </cell>
          <cell r="D1533">
            <v>1</v>
          </cell>
          <cell r="F1533">
            <v>4</v>
          </cell>
          <cell r="G1533">
            <v>4.3499999999999996</v>
          </cell>
          <cell r="Q1533" t="str">
            <v>3/4"</v>
          </cell>
          <cell r="R1533">
            <v>4</v>
          </cell>
          <cell r="S1533">
            <v>4.3499999999999996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506.68799999999999</v>
          </cell>
          <cell r="AC1533">
            <v>0</v>
          </cell>
          <cell r="AD1533">
            <v>0</v>
          </cell>
        </row>
        <row r="1534">
          <cell r="B1534" t="str">
            <v>Est</v>
          </cell>
          <cell r="C1534">
            <v>13</v>
          </cell>
          <cell r="D1534">
            <v>1</v>
          </cell>
          <cell r="E1534">
            <v>6.65</v>
          </cell>
          <cell r="F1534">
            <v>0.4</v>
          </cell>
          <cell r="G1534">
            <v>0.55000000000000004</v>
          </cell>
          <cell r="Q1534" t="str">
            <v>3/8"</v>
          </cell>
          <cell r="R1534">
            <v>45</v>
          </cell>
          <cell r="S1534">
            <v>1.9000000000000001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622.44000000000005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</row>
        <row r="1535">
          <cell r="B1535" t="str">
            <v>Est</v>
          </cell>
          <cell r="C1535">
            <v>13</v>
          </cell>
          <cell r="D1535">
            <v>1</v>
          </cell>
          <cell r="E1535">
            <v>4.8</v>
          </cell>
          <cell r="F1535">
            <v>0.4</v>
          </cell>
          <cell r="G1535">
            <v>0.55000000000000004</v>
          </cell>
          <cell r="Q1535" t="str">
            <v>3/8"</v>
          </cell>
          <cell r="R1535">
            <v>36</v>
          </cell>
          <cell r="S1535">
            <v>1.9000000000000001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497.95200000000011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</row>
        <row r="1536">
          <cell r="B1536" t="str">
            <v>Est</v>
          </cell>
          <cell r="C1536">
            <v>13</v>
          </cell>
          <cell r="D1536">
            <v>1</v>
          </cell>
          <cell r="E1536">
            <v>6.61</v>
          </cell>
          <cell r="F1536">
            <v>0.4</v>
          </cell>
          <cell r="G1536">
            <v>0.55000000000000004</v>
          </cell>
          <cell r="Q1536" t="str">
            <v>3/8"</v>
          </cell>
          <cell r="R1536">
            <v>45</v>
          </cell>
          <cell r="S1536">
            <v>1.9000000000000001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622.44000000000005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</row>
        <row r="1537"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</row>
        <row r="1538">
          <cell r="B1538" t="str">
            <v>PISO 15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</row>
        <row r="1539"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</row>
        <row r="1540">
          <cell r="B1540" t="str">
            <v xml:space="preserve">B2-VT-01 Tipo T (.30x.55) </v>
          </cell>
          <cell r="C1540">
            <v>1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</row>
        <row r="1541">
          <cell r="C1541">
            <v>1</v>
          </cell>
          <cell r="D1541">
            <v>1</v>
          </cell>
          <cell r="E1541">
            <v>5.65</v>
          </cell>
          <cell r="F1541">
            <v>0.3</v>
          </cell>
          <cell r="G1541">
            <v>0.55000000000000004</v>
          </cell>
          <cell r="L1541">
            <v>0.93225000000000013</v>
          </cell>
          <cell r="M1541">
            <v>5.65</v>
          </cell>
          <cell r="N1541">
            <v>1</v>
          </cell>
          <cell r="O1541">
            <v>5.65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</row>
        <row r="1542">
          <cell r="C1542">
            <v>1</v>
          </cell>
          <cell r="D1542">
            <v>1</v>
          </cell>
          <cell r="E1542">
            <v>5.25</v>
          </cell>
          <cell r="F1542">
            <v>0.3</v>
          </cell>
          <cell r="G1542">
            <v>0.55000000000000004</v>
          </cell>
          <cell r="L1542">
            <v>0.86625000000000008</v>
          </cell>
          <cell r="M1542">
            <v>5.25</v>
          </cell>
          <cell r="N1542">
            <v>1</v>
          </cell>
          <cell r="O1542">
            <v>5.25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</row>
        <row r="1543">
          <cell r="B1543" t="str">
            <v>Acero Principal</v>
          </cell>
          <cell r="C1543">
            <v>1</v>
          </cell>
          <cell r="D1543">
            <v>1</v>
          </cell>
          <cell r="F1543">
            <v>4</v>
          </cell>
          <cell r="G1543">
            <v>12.05</v>
          </cell>
          <cell r="Q1543" t="str">
            <v>1"</v>
          </cell>
          <cell r="R1543">
            <v>4</v>
          </cell>
          <cell r="S1543">
            <v>12.950000000000001</v>
          </cell>
          <cell r="T1543">
            <v>1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226.29000000000005</v>
          </cell>
          <cell r="AD1543">
            <v>0</v>
          </cell>
        </row>
        <row r="1544">
          <cell r="B1544" t="str">
            <v>Acero Principal</v>
          </cell>
          <cell r="C1544">
            <v>1</v>
          </cell>
          <cell r="D1544">
            <v>1</v>
          </cell>
          <cell r="F1544">
            <v>4</v>
          </cell>
          <cell r="G1544">
            <v>12.05</v>
          </cell>
          <cell r="Q1544" t="str">
            <v>3/4"</v>
          </cell>
          <cell r="R1544">
            <v>4</v>
          </cell>
          <cell r="S1544">
            <v>12.950000000000001</v>
          </cell>
          <cell r="T1544">
            <v>1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123.20000000000003</v>
          </cell>
          <cell r="AC1544">
            <v>0</v>
          </cell>
          <cell r="AD1544">
            <v>0</v>
          </cell>
        </row>
        <row r="1545">
          <cell r="B1545" t="str">
            <v>Ref. Sup</v>
          </cell>
          <cell r="C1545">
            <v>1</v>
          </cell>
          <cell r="D1545">
            <v>1</v>
          </cell>
          <cell r="F1545">
            <v>1</v>
          </cell>
          <cell r="G1545">
            <v>4.05</v>
          </cell>
          <cell r="Q1545" t="str">
            <v>3/4"</v>
          </cell>
          <cell r="R1545">
            <v>1</v>
          </cell>
          <cell r="S1545">
            <v>4.05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9.072000000000001</v>
          </cell>
          <cell r="AC1545">
            <v>0</v>
          </cell>
          <cell r="AD1545">
            <v>0</v>
          </cell>
        </row>
        <row r="1546">
          <cell r="B1546" t="str">
            <v>Ref. Inf</v>
          </cell>
          <cell r="C1546">
            <v>1</v>
          </cell>
          <cell r="D1546">
            <v>1</v>
          </cell>
          <cell r="F1546">
            <v>2</v>
          </cell>
          <cell r="G1546">
            <v>3.75</v>
          </cell>
          <cell r="Q1546" t="str">
            <v>3/4"</v>
          </cell>
          <cell r="R1546">
            <v>2</v>
          </cell>
          <cell r="S1546">
            <v>3.75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16.8</v>
          </cell>
          <cell r="AC1546">
            <v>0</v>
          </cell>
          <cell r="AD1546">
            <v>0</v>
          </cell>
        </row>
        <row r="1547">
          <cell r="B1547" t="str">
            <v>Ref. Inf</v>
          </cell>
          <cell r="C1547">
            <v>1</v>
          </cell>
          <cell r="D1547">
            <v>1</v>
          </cell>
          <cell r="F1547">
            <v>2</v>
          </cell>
          <cell r="G1547">
            <v>5.5</v>
          </cell>
          <cell r="Q1547" t="str">
            <v>3/4"</v>
          </cell>
          <cell r="R1547">
            <v>2</v>
          </cell>
          <cell r="S1547">
            <v>5.5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24.64</v>
          </cell>
          <cell r="AC1547">
            <v>0</v>
          </cell>
          <cell r="AD1547">
            <v>0</v>
          </cell>
        </row>
        <row r="1548">
          <cell r="B1548" t="str">
            <v>Ref. Inf</v>
          </cell>
          <cell r="C1548">
            <v>1</v>
          </cell>
          <cell r="D1548">
            <v>1</v>
          </cell>
          <cell r="F1548">
            <v>2</v>
          </cell>
          <cell r="G1548">
            <v>3.55</v>
          </cell>
          <cell r="Q1548" t="str">
            <v>3/4"</v>
          </cell>
          <cell r="R1548">
            <v>2</v>
          </cell>
          <cell r="S1548">
            <v>3.55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15.904</v>
          </cell>
          <cell r="AC1548">
            <v>0</v>
          </cell>
          <cell r="AD1548">
            <v>0</v>
          </cell>
        </row>
        <row r="1549">
          <cell r="B1549" t="str">
            <v>Est</v>
          </cell>
          <cell r="C1549">
            <v>1</v>
          </cell>
          <cell r="D1549">
            <v>1</v>
          </cell>
          <cell r="E1549">
            <v>5.65</v>
          </cell>
          <cell r="F1549">
            <v>0.3</v>
          </cell>
          <cell r="G1549">
            <v>0.55000000000000004</v>
          </cell>
          <cell r="Q1549" t="str">
            <v>3/8"</v>
          </cell>
          <cell r="R1549">
            <v>40</v>
          </cell>
          <cell r="S1549">
            <v>1.7000000000000002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38.080000000000005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</row>
        <row r="1550">
          <cell r="B1550" t="str">
            <v>Est</v>
          </cell>
          <cell r="C1550">
            <v>1</v>
          </cell>
          <cell r="D1550">
            <v>1</v>
          </cell>
          <cell r="E1550">
            <v>5.25</v>
          </cell>
          <cell r="F1550">
            <v>0.3</v>
          </cell>
          <cell r="G1550">
            <v>0.55000000000000004</v>
          </cell>
          <cell r="Q1550" t="str">
            <v>3/8"</v>
          </cell>
          <cell r="R1550">
            <v>38</v>
          </cell>
          <cell r="S1550">
            <v>1.7000000000000002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36.176000000000009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</row>
        <row r="1551">
          <cell r="C1551">
            <v>1</v>
          </cell>
          <cell r="D1551">
            <v>1</v>
          </cell>
          <cell r="E1551">
            <v>5.65</v>
          </cell>
          <cell r="F1551">
            <v>0.6</v>
          </cell>
          <cell r="G1551">
            <v>0.2</v>
          </cell>
          <cell r="L1551">
            <v>0.67800000000000005</v>
          </cell>
          <cell r="M1551">
            <v>5.65</v>
          </cell>
          <cell r="N1551">
            <v>0.6</v>
          </cell>
          <cell r="O1551">
            <v>3.39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</row>
        <row r="1552">
          <cell r="C1552">
            <v>1</v>
          </cell>
          <cell r="D1552">
            <v>1</v>
          </cell>
          <cell r="E1552">
            <v>5.25</v>
          </cell>
          <cell r="F1552">
            <v>0.6</v>
          </cell>
          <cell r="G1552">
            <v>0.2</v>
          </cell>
          <cell r="L1552">
            <v>0.63</v>
          </cell>
          <cell r="M1552">
            <v>5.25</v>
          </cell>
          <cell r="N1552">
            <v>0.6</v>
          </cell>
          <cell r="O1552">
            <v>3.15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</row>
        <row r="1553">
          <cell r="B1553" t="str">
            <v>Est</v>
          </cell>
          <cell r="C1553">
            <v>1</v>
          </cell>
          <cell r="D1553">
            <v>1</v>
          </cell>
          <cell r="E1553">
            <v>5.65</v>
          </cell>
          <cell r="F1553">
            <v>0.89999999999999991</v>
          </cell>
          <cell r="G1553">
            <v>0.2</v>
          </cell>
          <cell r="Q1553" t="str">
            <v>3/8"</v>
          </cell>
          <cell r="R1553">
            <v>40</v>
          </cell>
          <cell r="S1553">
            <v>2.1999999999999997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49.279999999999994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</row>
        <row r="1554">
          <cell r="B1554" t="str">
            <v>Est</v>
          </cell>
          <cell r="C1554">
            <v>1</v>
          </cell>
          <cell r="D1554">
            <v>1</v>
          </cell>
          <cell r="E1554">
            <v>5.25</v>
          </cell>
          <cell r="F1554">
            <v>0.89999999999999991</v>
          </cell>
          <cell r="G1554">
            <v>0.2</v>
          </cell>
          <cell r="Q1554" t="str">
            <v>3/8"</v>
          </cell>
          <cell r="R1554">
            <v>38</v>
          </cell>
          <cell r="S1554">
            <v>2.1999999999999997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46.816000000000003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</row>
        <row r="1555">
          <cell r="C1555">
            <v>1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</row>
        <row r="1556">
          <cell r="B1556" t="str">
            <v>B2-VT-02 (.25x.55)</v>
          </cell>
          <cell r="C1556">
            <v>1</v>
          </cell>
          <cell r="D1556">
            <v>1</v>
          </cell>
          <cell r="E1556">
            <v>5.65</v>
          </cell>
          <cell r="F1556">
            <v>0.25</v>
          </cell>
          <cell r="G1556">
            <v>0.55000000000000004</v>
          </cell>
          <cell r="L1556">
            <v>0.77687500000000009</v>
          </cell>
          <cell r="M1556">
            <v>5.65</v>
          </cell>
          <cell r="N1556">
            <v>0.95000000000000007</v>
          </cell>
          <cell r="O1556">
            <v>5.3675000000000006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</row>
        <row r="1557">
          <cell r="C1557">
            <v>1</v>
          </cell>
          <cell r="D1557">
            <v>1</v>
          </cell>
          <cell r="E1557">
            <v>2.6</v>
          </cell>
          <cell r="F1557">
            <v>0.25</v>
          </cell>
          <cell r="G1557">
            <v>0.55000000000000004</v>
          </cell>
          <cell r="L1557">
            <v>0.35750000000000004</v>
          </cell>
          <cell r="M1557">
            <v>2.6</v>
          </cell>
          <cell r="N1557">
            <v>0.95000000000000007</v>
          </cell>
          <cell r="O1557">
            <v>2.4700000000000002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</row>
        <row r="1558">
          <cell r="B1558" t="str">
            <v>Acero Principal</v>
          </cell>
          <cell r="C1558">
            <v>1</v>
          </cell>
          <cell r="D1558">
            <v>1</v>
          </cell>
          <cell r="F1558">
            <v>4</v>
          </cell>
          <cell r="G1558">
            <v>12.1</v>
          </cell>
          <cell r="Q1558" t="str">
            <v>1"</v>
          </cell>
          <cell r="R1558">
            <v>4</v>
          </cell>
          <cell r="S1558">
            <v>13</v>
          </cell>
          <cell r="T1558">
            <v>1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227.08400000000003</v>
          </cell>
          <cell r="AD1558">
            <v>0</v>
          </cell>
        </row>
        <row r="1559">
          <cell r="B1559" t="str">
            <v>Ref. Sup</v>
          </cell>
          <cell r="C1559">
            <v>1</v>
          </cell>
          <cell r="D1559">
            <v>1</v>
          </cell>
          <cell r="F1559">
            <v>1</v>
          </cell>
          <cell r="G1559">
            <v>8.35</v>
          </cell>
          <cell r="Q1559" t="str">
            <v>3/4"</v>
          </cell>
          <cell r="R1559">
            <v>1</v>
          </cell>
          <cell r="S1559">
            <v>8.35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18.704000000000001</v>
          </cell>
          <cell r="AC1559">
            <v>0</v>
          </cell>
          <cell r="AD1559">
            <v>0</v>
          </cell>
        </row>
        <row r="1560">
          <cell r="B1560" t="str">
            <v>Ref. Sup</v>
          </cell>
          <cell r="C1560">
            <v>1</v>
          </cell>
          <cell r="D1560">
            <v>1</v>
          </cell>
          <cell r="F1560">
            <v>2</v>
          </cell>
          <cell r="G1560">
            <v>2.6</v>
          </cell>
          <cell r="Q1560" t="str">
            <v>1"</v>
          </cell>
          <cell r="R1560">
            <v>2</v>
          </cell>
          <cell r="S1560">
            <v>2.6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20.644000000000002</v>
          </cell>
          <cell r="AD1560">
            <v>0</v>
          </cell>
        </row>
        <row r="1561">
          <cell r="B1561" t="str">
            <v>Ref. Inf</v>
          </cell>
          <cell r="C1561">
            <v>1</v>
          </cell>
          <cell r="D1561">
            <v>1</v>
          </cell>
          <cell r="F1561">
            <v>2</v>
          </cell>
          <cell r="G1561">
            <v>3.75</v>
          </cell>
          <cell r="Q1561" t="str">
            <v>3/4"</v>
          </cell>
          <cell r="R1561">
            <v>2</v>
          </cell>
          <cell r="S1561">
            <v>3.75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16.8</v>
          </cell>
          <cell r="AC1561">
            <v>0</v>
          </cell>
          <cell r="AD1561">
            <v>0</v>
          </cell>
        </row>
        <row r="1562">
          <cell r="B1562" t="str">
            <v>Est</v>
          </cell>
          <cell r="C1562">
            <v>1</v>
          </cell>
          <cell r="D1562">
            <v>1</v>
          </cell>
          <cell r="E1562">
            <v>5.65</v>
          </cell>
          <cell r="F1562">
            <v>0.25</v>
          </cell>
          <cell r="G1562">
            <v>0.55000000000000004</v>
          </cell>
          <cell r="Q1562" t="str">
            <v>3/8"</v>
          </cell>
          <cell r="R1562">
            <v>40</v>
          </cell>
          <cell r="S1562">
            <v>1.6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35.840000000000003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</row>
        <row r="1563">
          <cell r="B1563" t="str">
            <v>Est</v>
          </cell>
          <cell r="C1563">
            <v>1</v>
          </cell>
          <cell r="D1563">
            <v>1</v>
          </cell>
          <cell r="E1563">
            <v>2.6</v>
          </cell>
          <cell r="F1563">
            <v>0.25</v>
          </cell>
          <cell r="G1563">
            <v>0.55000000000000004</v>
          </cell>
          <cell r="Q1563" t="str">
            <v>3/8"</v>
          </cell>
          <cell r="R1563">
            <v>19</v>
          </cell>
          <cell r="S1563">
            <v>1.6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17.024000000000004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</row>
        <row r="1564">
          <cell r="C1564">
            <v>1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</row>
        <row r="1565">
          <cell r="B1565" t="str">
            <v xml:space="preserve">B2-VT-03 (.20x.55) </v>
          </cell>
          <cell r="C1565">
            <v>1</v>
          </cell>
          <cell r="D1565">
            <v>1</v>
          </cell>
          <cell r="E1565">
            <v>3.8</v>
          </cell>
          <cell r="F1565">
            <v>0.2</v>
          </cell>
          <cell r="G1565">
            <v>1.75</v>
          </cell>
          <cell r="L1565">
            <v>1.33</v>
          </cell>
          <cell r="M1565">
            <v>3.8</v>
          </cell>
          <cell r="N1565">
            <v>3.3000000000000003</v>
          </cell>
          <cell r="O1565">
            <v>12.540000000000001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</row>
        <row r="1566">
          <cell r="C1566">
            <v>1</v>
          </cell>
          <cell r="D1566">
            <v>1</v>
          </cell>
          <cell r="E1566">
            <v>5.65</v>
          </cell>
          <cell r="F1566">
            <v>0.2</v>
          </cell>
          <cell r="G1566">
            <v>0.55000000000000004</v>
          </cell>
          <cell r="L1566">
            <v>0.62150000000000016</v>
          </cell>
          <cell r="M1566">
            <v>5.65</v>
          </cell>
          <cell r="N1566">
            <v>0.9</v>
          </cell>
          <cell r="O1566">
            <v>5.0850000000000009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</row>
        <row r="1567">
          <cell r="B1567" t="str">
            <v>Acero Principal</v>
          </cell>
          <cell r="C1567">
            <v>1</v>
          </cell>
          <cell r="D1567">
            <v>1</v>
          </cell>
          <cell r="F1567">
            <v>2</v>
          </cell>
          <cell r="G1567">
            <v>4.4000000000000004</v>
          </cell>
          <cell r="Q1567" t="str">
            <v>3/4"</v>
          </cell>
          <cell r="R1567">
            <v>2</v>
          </cell>
          <cell r="S1567">
            <v>7.7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34.496000000000002</v>
          </cell>
          <cell r="AC1567">
            <v>0</v>
          </cell>
          <cell r="AD1567">
            <v>0</v>
          </cell>
        </row>
        <row r="1568">
          <cell r="B1568" t="str">
            <v>Acero Principal</v>
          </cell>
          <cell r="C1568">
            <v>1</v>
          </cell>
          <cell r="D1568">
            <v>1</v>
          </cell>
          <cell r="F1568">
            <v>4</v>
          </cell>
          <cell r="G1568">
            <v>10.85</v>
          </cell>
          <cell r="Q1568" t="str">
            <v>3/4"</v>
          </cell>
          <cell r="R1568">
            <v>4</v>
          </cell>
          <cell r="S1568">
            <v>11.75</v>
          </cell>
          <cell r="T1568">
            <v>1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112.44800000000002</v>
          </cell>
          <cell r="AC1568">
            <v>0</v>
          </cell>
          <cell r="AD1568">
            <v>0</v>
          </cell>
        </row>
        <row r="1569">
          <cell r="B1569" t="str">
            <v>Ref. Sup</v>
          </cell>
          <cell r="C1569">
            <v>1</v>
          </cell>
          <cell r="D1569">
            <v>1</v>
          </cell>
          <cell r="F1569">
            <v>2</v>
          </cell>
          <cell r="G1569">
            <v>3.05</v>
          </cell>
          <cell r="Q1569" t="str">
            <v>5/8"</v>
          </cell>
          <cell r="R1569">
            <v>2</v>
          </cell>
          <cell r="S1569">
            <v>3.05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9.4550000000000001</v>
          </cell>
          <cell r="AB1569">
            <v>0</v>
          </cell>
          <cell r="AC1569">
            <v>0</v>
          </cell>
          <cell r="AD1569">
            <v>0</v>
          </cell>
        </row>
        <row r="1570">
          <cell r="B1570" t="str">
            <v>Ref. Inf</v>
          </cell>
          <cell r="C1570">
            <v>1</v>
          </cell>
          <cell r="D1570">
            <v>1</v>
          </cell>
          <cell r="F1570">
            <v>1</v>
          </cell>
          <cell r="G1570">
            <v>2.8</v>
          </cell>
          <cell r="Q1570" t="str">
            <v>3/4"</v>
          </cell>
          <cell r="R1570">
            <v>1</v>
          </cell>
          <cell r="S1570">
            <v>2.8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6.2720000000000002</v>
          </cell>
          <cell r="AC1570">
            <v>0</v>
          </cell>
          <cell r="AD1570">
            <v>0</v>
          </cell>
        </row>
        <row r="1571">
          <cell r="B1571" t="str">
            <v>Ref. Inf</v>
          </cell>
          <cell r="C1571">
            <v>1</v>
          </cell>
          <cell r="D1571">
            <v>1</v>
          </cell>
          <cell r="F1571">
            <v>2</v>
          </cell>
          <cell r="G1571">
            <v>5.26</v>
          </cell>
          <cell r="Q1571" t="str">
            <v>3/4"</v>
          </cell>
          <cell r="R1571">
            <v>2</v>
          </cell>
          <cell r="S1571">
            <v>5.26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23.564800000000002</v>
          </cell>
          <cell r="AC1571">
            <v>0</v>
          </cell>
          <cell r="AD1571">
            <v>0</v>
          </cell>
        </row>
        <row r="1572">
          <cell r="B1572" t="str">
            <v>Ref. Central</v>
          </cell>
          <cell r="C1572">
            <v>1</v>
          </cell>
          <cell r="D1572">
            <v>1</v>
          </cell>
          <cell r="F1572">
            <v>10</v>
          </cell>
          <cell r="G1572">
            <v>4.55</v>
          </cell>
          <cell r="Q1572" t="str">
            <v>3/8"</v>
          </cell>
          <cell r="R1572">
            <v>10</v>
          </cell>
          <cell r="S1572">
            <v>4.55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25.480000000000004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</row>
        <row r="1573">
          <cell r="B1573" t="str">
            <v>Est</v>
          </cell>
          <cell r="C1573">
            <v>1</v>
          </cell>
          <cell r="D1573">
            <v>1</v>
          </cell>
          <cell r="E1573">
            <v>3.8</v>
          </cell>
          <cell r="F1573">
            <v>0.2</v>
          </cell>
          <cell r="G1573">
            <v>1.75</v>
          </cell>
          <cell r="Q1573" t="str">
            <v>3/8"</v>
          </cell>
          <cell r="R1573">
            <v>31</v>
          </cell>
          <cell r="S1573">
            <v>3.9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67.704000000000008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</row>
        <row r="1574">
          <cell r="B1574" t="str">
            <v>Est</v>
          </cell>
          <cell r="C1574">
            <v>1</v>
          </cell>
          <cell r="D1574">
            <v>1</v>
          </cell>
          <cell r="E1574">
            <v>5.65</v>
          </cell>
          <cell r="F1574">
            <v>0.2</v>
          </cell>
          <cell r="G1574">
            <v>0.55000000000000004</v>
          </cell>
          <cell r="Q1574" t="str">
            <v>3/8"</v>
          </cell>
          <cell r="R1574">
            <v>40</v>
          </cell>
          <cell r="S1574">
            <v>1.5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33.6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</row>
        <row r="1575">
          <cell r="C1575">
            <v>1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</row>
        <row r="1576">
          <cell r="B1576" t="str">
            <v xml:space="preserve">B2-VT-04 (.25x.55) </v>
          </cell>
          <cell r="C1576">
            <v>1</v>
          </cell>
          <cell r="D1576">
            <v>1</v>
          </cell>
          <cell r="E1576">
            <v>5.65</v>
          </cell>
          <cell r="F1576">
            <v>0.25</v>
          </cell>
          <cell r="G1576">
            <v>0.55000000000000004</v>
          </cell>
          <cell r="L1576">
            <v>0.77687500000000009</v>
          </cell>
          <cell r="M1576">
            <v>5.65</v>
          </cell>
          <cell r="N1576">
            <v>0.95000000000000007</v>
          </cell>
          <cell r="O1576">
            <v>5.3675000000000006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</row>
        <row r="1577">
          <cell r="C1577">
            <v>1</v>
          </cell>
          <cell r="D1577">
            <v>1</v>
          </cell>
          <cell r="E1577">
            <v>3.5</v>
          </cell>
          <cell r="F1577">
            <v>0.25</v>
          </cell>
          <cell r="G1577">
            <v>0.55000000000000004</v>
          </cell>
          <cell r="L1577">
            <v>0.48125000000000007</v>
          </cell>
          <cell r="M1577">
            <v>3.5</v>
          </cell>
          <cell r="N1577">
            <v>0.95000000000000007</v>
          </cell>
          <cell r="O1577">
            <v>3.3250000000000002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</row>
        <row r="1578">
          <cell r="B1578" t="str">
            <v>Acero Principal</v>
          </cell>
          <cell r="C1578">
            <v>1</v>
          </cell>
          <cell r="D1578">
            <v>1</v>
          </cell>
          <cell r="F1578">
            <v>4</v>
          </cell>
          <cell r="G1578">
            <v>12</v>
          </cell>
          <cell r="Q1578" t="str">
            <v>1"</v>
          </cell>
          <cell r="R1578">
            <v>4</v>
          </cell>
          <cell r="S1578">
            <v>12.9</v>
          </cell>
          <cell r="T1578">
            <v>1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225.49600000000004</v>
          </cell>
          <cell r="AD1578">
            <v>0</v>
          </cell>
        </row>
        <row r="1579">
          <cell r="B1579" t="str">
            <v>Ref. Sup</v>
          </cell>
          <cell r="C1579">
            <v>1</v>
          </cell>
          <cell r="D1579">
            <v>1</v>
          </cell>
          <cell r="F1579">
            <v>1</v>
          </cell>
          <cell r="G1579">
            <v>8.35</v>
          </cell>
          <cell r="Q1579" t="str">
            <v>3/4"</v>
          </cell>
          <cell r="R1579">
            <v>1</v>
          </cell>
          <cell r="S1579">
            <v>8.35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18.704000000000001</v>
          </cell>
          <cell r="AC1579">
            <v>0</v>
          </cell>
          <cell r="AD1579">
            <v>0</v>
          </cell>
        </row>
        <row r="1580">
          <cell r="B1580" t="str">
            <v>Ref. Sup</v>
          </cell>
          <cell r="C1580">
            <v>1</v>
          </cell>
          <cell r="D1580">
            <v>1</v>
          </cell>
          <cell r="F1580">
            <v>2</v>
          </cell>
          <cell r="G1580">
            <v>2.4</v>
          </cell>
          <cell r="Q1580" t="str">
            <v>3/4"</v>
          </cell>
          <cell r="R1580">
            <v>2</v>
          </cell>
          <cell r="S1580">
            <v>2.4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10.752000000000001</v>
          </cell>
          <cell r="AC1580">
            <v>0</v>
          </cell>
          <cell r="AD1580">
            <v>0</v>
          </cell>
        </row>
        <row r="1581">
          <cell r="B1581" t="str">
            <v>Ref. Inf</v>
          </cell>
          <cell r="C1581">
            <v>1</v>
          </cell>
          <cell r="D1581">
            <v>1</v>
          </cell>
          <cell r="F1581">
            <v>2</v>
          </cell>
          <cell r="G1581">
            <v>3.75</v>
          </cell>
          <cell r="Q1581" t="str">
            <v>3/4"</v>
          </cell>
          <cell r="R1581">
            <v>2</v>
          </cell>
          <cell r="S1581">
            <v>3.75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16.8</v>
          </cell>
          <cell r="AC1581">
            <v>0</v>
          </cell>
          <cell r="AD1581">
            <v>0</v>
          </cell>
        </row>
        <row r="1582">
          <cell r="B1582" t="str">
            <v>Est</v>
          </cell>
          <cell r="C1582">
            <v>1</v>
          </cell>
          <cell r="D1582">
            <v>1</v>
          </cell>
          <cell r="E1582">
            <v>5.65</v>
          </cell>
          <cell r="F1582">
            <v>0.25</v>
          </cell>
          <cell r="G1582">
            <v>0.55000000000000004</v>
          </cell>
          <cell r="Q1582" t="str">
            <v>3/8"</v>
          </cell>
          <cell r="R1582">
            <v>40</v>
          </cell>
          <cell r="S1582">
            <v>1.6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35.840000000000003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</row>
        <row r="1583">
          <cell r="B1583" t="str">
            <v>Est</v>
          </cell>
          <cell r="C1583">
            <v>1</v>
          </cell>
          <cell r="D1583">
            <v>1</v>
          </cell>
          <cell r="E1583">
            <v>3.5</v>
          </cell>
          <cell r="F1583">
            <v>0.25</v>
          </cell>
          <cell r="G1583">
            <v>0.55000000000000004</v>
          </cell>
          <cell r="Q1583" t="str">
            <v>3/8"</v>
          </cell>
          <cell r="R1583">
            <v>35</v>
          </cell>
          <cell r="S1583">
            <v>1.6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31.360000000000003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</row>
        <row r="1584">
          <cell r="C1584">
            <v>1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</row>
        <row r="1585">
          <cell r="B1585" t="str">
            <v xml:space="preserve">B2-VT-05 Tipo T (.30x.55) </v>
          </cell>
          <cell r="C1585">
            <v>1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</row>
        <row r="1586">
          <cell r="C1586">
            <v>1</v>
          </cell>
          <cell r="D1586">
            <v>1</v>
          </cell>
          <cell r="E1586">
            <v>5.65</v>
          </cell>
          <cell r="F1586">
            <v>0.3</v>
          </cell>
          <cell r="G1586">
            <v>0.55000000000000004</v>
          </cell>
          <cell r="L1586">
            <v>0.93225000000000013</v>
          </cell>
          <cell r="M1586">
            <v>5.65</v>
          </cell>
          <cell r="N1586">
            <v>1</v>
          </cell>
          <cell r="O1586">
            <v>5.65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</row>
        <row r="1587">
          <cell r="B1587" t="str">
            <v>Acero Principal</v>
          </cell>
          <cell r="C1587">
            <v>1</v>
          </cell>
          <cell r="D1587">
            <v>1</v>
          </cell>
          <cell r="F1587">
            <v>5</v>
          </cell>
          <cell r="G1587">
            <v>6.4</v>
          </cell>
          <cell r="Q1587" t="str">
            <v>1"</v>
          </cell>
          <cell r="R1587">
            <v>5</v>
          </cell>
          <cell r="S1587">
            <v>7.3000000000000007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144.905</v>
          </cell>
          <cell r="AD1587">
            <v>0</v>
          </cell>
        </row>
        <row r="1588">
          <cell r="B1588" t="str">
            <v>Acero Principal</v>
          </cell>
          <cell r="C1588">
            <v>1</v>
          </cell>
          <cell r="D1588">
            <v>1</v>
          </cell>
          <cell r="F1588">
            <v>4</v>
          </cell>
          <cell r="G1588">
            <v>6.4</v>
          </cell>
          <cell r="Q1588" t="str">
            <v>3/4"</v>
          </cell>
          <cell r="R1588">
            <v>4</v>
          </cell>
          <cell r="S1588">
            <v>7.3000000000000007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65.408000000000015</v>
          </cell>
          <cell r="AC1588">
            <v>0</v>
          </cell>
          <cell r="AD1588">
            <v>0</v>
          </cell>
        </row>
        <row r="1589">
          <cell r="B1589" t="str">
            <v>Ref. Inf</v>
          </cell>
          <cell r="C1589">
            <v>1</v>
          </cell>
          <cell r="D1589">
            <v>1</v>
          </cell>
          <cell r="F1589">
            <v>1</v>
          </cell>
          <cell r="G1589">
            <v>4.05</v>
          </cell>
          <cell r="Q1589" t="str">
            <v>1"</v>
          </cell>
          <cell r="R1589">
            <v>1</v>
          </cell>
          <cell r="S1589">
            <v>4.05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16.078500000000002</v>
          </cell>
          <cell r="AD1589">
            <v>0</v>
          </cell>
        </row>
        <row r="1590">
          <cell r="B1590" t="str">
            <v>Est</v>
          </cell>
          <cell r="C1590">
            <v>1</v>
          </cell>
          <cell r="D1590">
            <v>1</v>
          </cell>
          <cell r="E1590">
            <v>5.65</v>
          </cell>
          <cell r="F1590">
            <v>0.3</v>
          </cell>
          <cell r="G1590">
            <v>0.55000000000000004</v>
          </cell>
          <cell r="Q1590" t="str">
            <v>3/8"</v>
          </cell>
          <cell r="R1590">
            <v>40</v>
          </cell>
          <cell r="S1590">
            <v>1.7000000000000002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38.080000000000005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</row>
        <row r="1591">
          <cell r="C1591">
            <v>1</v>
          </cell>
          <cell r="D1591">
            <v>1</v>
          </cell>
          <cell r="E1591">
            <v>5.65</v>
          </cell>
          <cell r="F1591">
            <v>0.6</v>
          </cell>
          <cell r="G1591">
            <v>0.2</v>
          </cell>
          <cell r="L1591">
            <v>0.67800000000000005</v>
          </cell>
          <cell r="M1591">
            <v>5.65</v>
          </cell>
          <cell r="N1591">
            <v>0.6</v>
          </cell>
          <cell r="O1591">
            <v>3.39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</row>
        <row r="1592">
          <cell r="B1592" t="str">
            <v>Est</v>
          </cell>
          <cell r="C1592">
            <v>1</v>
          </cell>
          <cell r="D1592">
            <v>1</v>
          </cell>
          <cell r="E1592">
            <v>5.65</v>
          </cell>
          <cell r="F1592">
            <v>0.89999999999999991</v>
          </cell>
          <cell r="G1592">
            <v>0.2</v>
          </cell>
          <cell r="Q1592" t="str">
            <v>3/8"</v>
          </cell>
          <cell r="R1592">
            <v>40</v>
          </cell>
          <cell r="S1592">
            <v>2.1999999999999997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49.279999999999994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</row>
        <row r="1593">
          <cell r="C1593">
            <v>1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</row>
        <row r="1594">
          <cell r="B1594" t="str">
            <v xml:space="preserve">B2-VT-06 Tipo T (.30x.55) </v>
          </cell>
          <cell r="C1594">
            <v>1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</row>
        <row r="1595">
          <cell r="C1595">
            <v>1</v>
          </cell>
          <cell r="D1595">
            <v>1</v>
          </cell>
          <cell r="E1595">
            <v>5.25</v>
          </cell>
          <cell r="F1595">
            <v>0.36</v>
          </cell>
          <cell r="G1595">
            <v>0.55000000000000004</v>
          </cell>
          <cell r="L1595">
            <v>1.0395000000000001</v>
          </cell>
          <cell r="M1595">
            <v>5.25</v>
          </cell>
          <cell r="N1595">
            <v>1.06</v>
          </cell>
          <cell r="O1595">
            <v>5.5650000000000004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</row>
        <row r="1596">
          <cell r="B1596" t="str">
            <v>Acero Principal</v>
          </cell>
          <cell r="C1596">
            <v>1</v>
          </cell>
          <cell r="D1596">
            <v>1</v>
          </cell>
          <cell r="F1596">
            <v>4</v>
          </cell>
          <cell r="G1596">
            <v>6</v>
          </cell>
          <cell r="Q1596" t="str">
            <v>1"</v>
          </cell>
          <cell r="R1596">
            <v>4</v>
          </cell>
          <cell r="S1596">
            <v>6.9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109.57200000000002</v>
          </cell>
          <cell r="AD1596">
            <v>0</v>
          </cell>
        </row>
        <row r="1597">
          <cell r="B1597" t="str">
            <v>Acero Principal</v>
          </cell>
          <cell r="C1597">
            <v>1</v>
          </cell>
          <cell r="D1597">
            <v>1</v>
          </cell>
          <cell r="F1597">
            <v>4</v>
          </cell>
          <cell r="G1597">
            <v>6</v>
          </cell>
          <cell r="Q1597" t="str">
            <v>3/4"</v>
          </cell>
          <cell r="R1597">
            <v>4</v>
          </cell>
          <cell r="S1597">
            <v>6.9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61.824000000000012</v>
          </cell>
          <cell r="AC1597">
            <v>0</v>
          </cell>
          <cell r="AD1597">
            <v>0</v>
          </cell>
        </row>
        <row r="1598">
          <cell r="B1598" t="str">
            <v>Ref. Inf</v>
          </cell>
          <cell r="C1598">
            <v>1</v>
          </cell>
          <cell r="D1598">
            <v>1</v>
          </cell>
          <cell r="F1598">
            <v>2</v>
          </cell>
          <cell r="G1598">
            <v>3.85</v>
          </cell>
          <cell r="Q1598" t="str">
            <v>3/4"</v>
          </cell>
          <cell r="R1598">
            <v>2</v>
          </cell>
          <cell r="S1598">
            <v>3.85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17.248000000000001</v>
          </cell>
          <cell r="AC1598">
            <v>0</v>
          </cell>
          <cell r="AD1598">
            <v>0</v>
          </cell>
        </row>
        <row r="1599">
          <cell r="B1599" t="str">
            <v>Est</v>
          </cell>
          <cell r="C1599">
            <v>1</v>
          </cell>
          <cell r="D1599">
            <v>1</v>
          </cell>
          <cell r="E1599">
            <v>5.25</v>
          </cell>
          <cell r="F1599">
            <v>0.36</v>
          </cell>
          <cell r="G1599">
            <v>0.55000000000000004</v>
          </cell>
          <cell r="Q1599" t="str">
            <v>3/8"</v>
          </cell>
          <cell r="R1599">
            <v>38</v>
          </cell>
          <cell r="S1599">
            <v>1.82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38.729600000000005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</row>
        <row r="1600">
          <cell r="C1600">
            <v>1</v>
          </cell>
          <cell r="D1600">
            <v>1</v>
          </cell>
          <cell r="E1600">
            <v>5.25</v>
          </cell>
          <cell r="F1600">
            <v>0.54</v>
          </cell>
          <cell r="G1600">
            <v>0.2</v>
          </cell>
          <cell r="L1600">
            <v>0.56700000000000006</v>
          </cell>
          <cell r="M1600">
            <v>5.25</v>
          </cell>
          <cell r="N1600">
            <v>0.54</v>
          </cell>
          <cell r="O1600">
            <v>2.835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</row>
        <row r="1601">
          <cell r="B1601" t="str">
            <v>Est</v>
          </cell>
          <cell r="C1601">
            <v>1</v>
          </cell>
          <cell r="D1601">
            <v>1</v>
          </cell>
          <cell r="E1601">
            <v>5.25</v>
          </cell>
          <cell r="F1601">
            <v>0.9</v>
          </cell>
          <cell r="G1601">
            <v>0.2</v>
          </cell>
          <cell r="Q1601" t="str">
            <v>3/8"</v>
          </cell>
          <cell r="R1601">
            <v>38</v>
          </cell>
          <cell r="S1601">
            <v>2.2000000000000002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46.81600000000001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</row>
        <row r="1602">
          <cell r="C1602">
            <v>1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</row>
        <row r="1603">
          <cell r="B1603" t="str">
            <v xml:space="preserve">B2-VT-07 (.20x.55) </v>
          </cell>
          <cell r="C1603">
            <v>1</v>
          </cell>
          <cell r="D1603">
            <v>1</v>
          </cell>
          <cell r="E1603">
            <v>1.9</v>
          </cell>
          <cell r="F1603">
            <v>0.2</v>
          </cell>
          <cell r="G1603">
            <v>1.75</v>
          </cell>
          <cell r="L1603">
            <v>0.66500000000000004</v>
          </cell>
          <cell r="M1603">
            <v>1.9</v>
          </cell>
          <cell r="N1603">
            <v>3.3000000000000003</v>
          </cell>
          <cell r="O1603">
            <v>6.2700000000000005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</row>
        <row r="1604">
          <cell r="B1604" t="str">
            <v>Acero Principal</v>
          </cell>
          <cell r="C1604">
            <v>1</v>
          </cell>
          <cell r="D1604">
            <v>1</v>
          </cell>
          <cell r="F1604">
            <v>4</v>
          </cell>
          <cell r="G1604">
            <v>2.85</v>
          </cell>
          <cell r="Q1604" t="str">
            <v>5/8"</v>
          </cell>
          <cell r="R1604">
            <v>4</v>
          </cell>
          <cell r="S1604">
            <v>6.15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38.130000000000003</v>
          </cell>
          <cell r="AB1604">
            <v>0</v>
          </cell>
          <cell r="AC1604">
            <v>0</v>
          </cell>
          <cell r="AD1604">
            <v>0</v>
          </cell>
        </row>
        <row r="1605">
          <cell r="B1605" t="str">
            <v>Ref. Sup</v>
          </cell>
          <cell r="C1605">
            <v>1</v>
          </cell>
          <cell r="D1605">
            <v>1</v>
          </cell>
          <cell r="F1605">
            <v>1</v>
          </cell>
          <cell r="G1605">
            <v>2.0499999999999998</v>
          </cell>
          <cell r="Q1605" t="str">
            <v>5/8"</v>
          </cell>
          <cell r="R1605">
            <v>1</v>
          </cell>
          <cell r="S1605">
            <v>2.0499999999999998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3.1774999999999998</v>
          </cell>
          <cell r="AB1605">
            <v>0</v>
          </cell>
          <cell r="AC1605">
            <v>0</v>
          </cell>
          <cell r="AD1605">
            <v>0</v>
          </cell>
        </row>
        <row r="1606">
          <cell r="B1606" t="str">
            <v>Ref. Central</v>
          </cell>
          <cell r="C1606">
            <v>1</v>
          </cell>
          <cell r="D1606">
            <v>1</v>
          </cell>
          <cell r="F1606">
            <v>12</v>
          </cell>
          <cell r="G1606">
            <v>2.6</v>
          </cell>
          <cell r="Q1606" t="str">
            <v>3/8"</v>
          </cell>
          <cell r="R1606">
            <v>12</v>
          </cell>
          <cell r="S1606">
            <v>2.6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17.472000000000005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</row>
        <row r="1607">
          <cell r="B1607" t="str">
            <v>Est</v>
          </cell>
          <cell r="C1607">
            <v>1</v>
          </cell>
          <cell r="D1607">
            <v>1</v>
          </cell>
          <cell r="E1607">
            <v>1.9</v>
          </cell>
          <cell r="F1607">
            <v>0.2</v>
          </cell>
          <cell r="G1607">
            <v>1.75</v>
          </cell>
          <cell r="Q1607" t="str">
            <v>3/8"</v>
          </cell>
          <cell r="R1607">
            <v>21</v>
          </cell>
          <cell r="S1607">
            <v>3.9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45.863999999999997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</row>
        <row r="1608">
          <cell r="C1608">
            <v>1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</row>
        <row r="1609">
          <cell r="B1609" t="str">
            <v xml:space="preserve">B2-VT-08 (.40x.55) </v>
          </cell>
          <cell r="C1609">
            <v>1</v>
          </cell>
          <cell r="D1609">
            <v>1</v>
          </cell>
          <cell r="E1609">
            <v>6.45</v>
          </cell>
          <cell r="F1609">
            <v>0.4</v>
          </cell>
          <cell r="G1609">
            <v>0.55000000000000004</v>
          </cell>
          <cell r="L1609">
            <v>1.4190000000000003</v>
          </cell>
          <cell r="M1609">
            <v>6.45</v>
          </cell>
          <cell r="N1609">
            <v>1.1000000000000001</v>
          </cell>
          <cell r="O1609">
            <v>7.0950000000000006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</row>
        <row r="1610">
          <cell r="C1610">
            <v>1</v>
          </cell>
          <cell r="D1610">
            <v>1</v>
          </cell>
          <cell r="E1610">
            <v>3.9</v>
          </cell>
          <cell r="F1610">
            <v>0.4</v>
          </cell>
          <cell r="G1610">
            <v>0.55000000000000004</v>
          </cell>
          <cell r="L1610">
            <v>0.8580000000000001</v>
          </cell>
          <cell r="M1610">
            <v>3.9</v>
          </cell>
          <cell r="N1610">
            <v>1.1000000000000001</v>
          </cell>
          <cell r="O1610">
            <v>4.29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</row>
        <row r="1611">
          <cell r="C1611">
            <v>1</v>
          </cell>
          <cell r="D1611">
            <v>1</v>
          </cell>
          <cell r="E1611">
            <v>6.1</v>
          </cell>
          <cell r="F1611">
            <v>0.4</v>
          </cell>
          <cell r="G1611">
            <v>0.55000000000000004</v>
          </cell>
          <cell r="L1611">
            <v>1.3420000000000001</v>
          </cell>
          <cell r="M1611">
            <v>6.1</v>
          </cell>
          <cell r="N1611">
            <v>1.1000000000000001</v>
          </cell>
          <cell r="O1611">
            <v>6.71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</row>
        <row r="1612">
          <cell r="C1612">
            <v>1</v>
          </cell>
          <cell r="D1612">
            <v>1</v>
          </cell>
          <cell r="E1612">
            <v>1.9</v>
          </cell>
          <cell r="F1612">
            <v>0.4</v>
          </cell>
          <cell r="G1612">
            <v>1.2</v>
          </cell>
          <cell r="L1612">
            <v>0.91199999999999992</v>
          </cell>
          <cell r="M1612">
            <v>1.9</v>
          </cell>
          <cell r="N1612">
            <v>2.4</v>
          </cell>
          <cell r="O1612">
            <v>4.5599999999999996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</row>
        <row r="1613">
          <cell r="B1613" t="str">
            <v>Acero Principal</v>
          </cell>
          <cell r="C1613">
            <v>1</v>
          </cell>
          <cell r="D1613">
            <v>1</v>
          </cell>
          <cell r="F1613">
            <v>4</v>
          </cell>
          <cell r="G1613">
            <v>20.149999999999999</v>
          </cell>
          <cell r="Q1613" t="str">
            <v>1"</v>
          </cell>
          <cell r="R1613">
            <v>4</v>
          </cell>
          <cell r="S1613">
            <v>21.049999999999997</v>
          </cell>
          <cell r="T1613">
            <v>2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375.56200000000001</v>
          </cell>
          <cell r="AD1613">
            <v>0</v>
          </cell>
        </row>
        <row r="1614">
          <cell r="B1614" t="str">
            <v>Acero Principal</v>
          </cell>
          <cell r="C1614">
            <v>1</v>
          </cell>
          <cell r="D1614">
            <v>1</v>
          </cell>
          <cell r="F1614">
            <v>4</v>
          </cell>
          <cell r="G1614">
            <v>20.149999999999999</v>
          </cell>
          <cell r="Q1614" t="str">
            <v>1"</v>
          </cell>
          <cell r="R1614">
            <v>4</v>
          </cell>
          <cell r="S1614">
            <v>21.049999999999997</v>
          </cell>
          <cell r="T1614">
            <v>2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375.56200000000001</v>
          </cell>
          <cell r="AD1614">
            <v>0</v>
          </cell>
        </row>
        <row r="1615">
          <cell r="B1615" t="str">
            <v>Acero Principal</v>
          </cell>
          <cell r="C1615">
            <v>1</v>
          </cell>
          <cell r="D1615">
            <v>1</v>
          </cell>
          <cell r="F1615">
            <v>2</v>
          </cell>
          <cell r="G1615">
            <v>3.6</v>
          </cell>
          <cell r="Q1615" t="str">
            <v>1"</v>
          </cell>
          <cell r="R1615">
            <v>2</v>
          </cell>
          <cell r="S1615">
            <v>4.5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35.730000000000004</v>
          </cell>
          <cell r="AD1615">
            <v>0</v>
          </cell>
        </row>
        <row r="1616">
          <cell r="B1616" t="str">
            <v>Acero Principal</v>
          </cell>
          <cell r="C1616">
            <v>1</v>
          </cell>
          <cell r="D1616">
            <v>1</v>
          </cell>
          <cell r="F1616">
            <v>2</v>
          </cell>
          <cell r="G1616">
            <v>3.6</v>
          </cell>
          <cell r="Q1616" t="str">
            <v>3/4"</v>
          </cell>
          <cell r="R1616">
            <v>2</v>
          </cell>
          <cell r="S1616">
            <v>5.8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25.984000000000002</v>
          </cell>
          <cell r="AC1616">
            <v>0</v>
          </cell>
          <cell r="AD1616">
            <v>0</v>
          </cell>
        </row>
        <row r="1617">
          <cell r="B1617" t="str">
            <v>Ref. Sup</v>
          </cell>
          <cell r="C1617">
            <v>1</v>
          </cell>
          <cell r="D1617">
            <v>1</v>
          </cell>
          <cell r="F1617">
            <v>1</v>
          </cell>
          <cell r="G1617">
            <v>11.9</v>
          </cell>
          <cell r="Q1617" t="str">
            <v>3/4"</v>
          </cell>
          <cell r="R1617">
            <v>1</v>
          </cell>
          <cell r="S1617">
            <v>11.9</v>
          </cell>
          <cell r="T1617">
            <v>1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28.448000000000004</v>
          </cell>
          <cell r="AC1617">
            <v>0</v>
          </cell>
          <cell r="AD1617">
            <v>0</v>
          </cell>
        </row>
        <row r="1618">
          <cell r="B1618" t="str">
            <v>Ref. Sup</v>
          </cell>
          <cell r="C1618">
            <v>1</v>
          </cell>
          <cell r="D1618">
            <v>1</v>
          </cell>
          <cell r="F1618">
            <v>1</v>
          </cell>
          <cell r="G1618">
            <v>7.7</v>
          </cell>
          <cell r="Q1618" t="str">
            <v>3/4"</v>
          </cell>
          <cell r="R1618">
            <v>1</v>
          </cell>
          <cell r="S1618">
            <v>7.7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17.248000000000001</v>
          </cell>
          <cell r="AC1618">
            <v>0</v>
          </cell>
          <cell r="AD1618">
            <v>0</v>
          </cell>
        </row>
        <row r="1619">
          <cell r="B1619" t="str">
            <v>Ref. Inf</v>
          </cell>
          <cell r="C1619">
            <v>1</v>
          </cell>
          <cell r="D1619">
            <v>1</v>
          </cell>
          <cell r="F1619">
            <v>1</v>
          </cell>
          <cell r="G1619">
            <v>3.35</v>
          </cell>
          <cell r="Q1619" t="str">
            <v>1"</v>
          </cell>
          <cell r="R1619">
            <v>1</v>
          </cell>
          <cell r="S1619">
            <v>3.35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13.299500000000002</v>
          </cell>
          <cell r="AD1619">
            <v>0</v>
          </cell>
        </row>
        <row r="1620">
          <cell r="B1620" t="str">
            <v>Ref. Inf</v>
          </cell>
          <cell r="C1620">
            <v>1</v>
          </cell>
          <cell r="D1620">
            <v>1</v>
          </cell>
          <cell r="F1620">
            <v>2</v>
          </cell>
          <cell r="G1620">
            <v>4.05</v>
          </cell>
          <cell r="Q1620" t="str">
            <v>3/4"</v>
          </cell>
          <cell r="R1620">
            <v>2</v>
          </cell>
          <cell r="S1620">
            <v>4.05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18.144000000000002</v>
          </cell>
          <cell r="AC1620">
            <v>0</v>
          </cell>
          <cell r="AD1620">
            <v>0</v>
          </cell>
        </row>
        <row r="1621">
          <cell r="B1621" t="str">
            <v>Ref. Central</v>
          </cell>
          <cell r="C1621">
            <v>1</v>
          </cell>
          <cell r="D1621">
            <v>1</v>
          </cell>
          <cell r="F1621">
            <v>8</v>
          </cell>
          <cell r="G1621">
            <v>2.5</v>
          </cell>
          <cell r="Q1621" t="str">
            <v>3/8"</v>
          </cell>
          <cell r="R1621">
            <v>8</v>
          </cell>
          <cell r="S1621">
            <v>2.5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11.200000000000001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</row>
        <row r="1622">
          <cell r="B1622" t="str">
            <v>Est</v>
          </cell>
          <cell r="C1622">
            <v>1</v>
          </cell>
          <cell r="D1622">
            <v>1</v>
          </cell>
          <cell r="E1622">
            <v>6.45</v>
          </cell>
          <cell r="F1622">
            <v>0.4</v>
          </cell>
          <cell r="G1622">
            <v>0.55000000000000004</v>
          </cell>
          <cell r="Q1622" t="str">
            <v>3/8"</v>
          </cell>
          <cell r="R1622">
            <v>44</v>
          </cell>
          <cell r="S1622">
            <v>1.9000000000000001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46.81600000000001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</row>
        <row r="1623">
          <cell r="B1623" t="str">
            <v>Est</v>
          </cell>
          <cell r="C1623">
            <v>1</v>
          </cell>
          <cell r="D1623">
            <v>1</v>
          </cell>
          <cell r="E1623">
            <v>3.9</v>
          </cell>
          <cell r="F1623">
            <v>0.4</v>
          </cell>
          <cell r="G1623">
            <v>0.55000000000000004</v>
          </cell>
          <cell r="Q1623" t="str">
            <v>3/8"</v>
          </cell>
          <cell r="R1623">
            <v>31</v>
          </cell>
          <cell r="S1623">
            <v>1.9000000000000001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32.984000000000009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</row>
        <row r="1624">
          <cell r="B1624" t="str">
            <v>Est</v>
          </cell>
          <cell r="C1624">
            <v>1</v>
          </cell>
          <cell r="D1624">
            <v>1</v>
          </cell>
          <cell r="E1624">
            <v>6.1</v>
          </cell>
          <cell r="F1624">
            <v>0.4</v>
          </cell>
          <cell r="G1624">
            <v>0.55000000000000004</v>
          </cell>
          <cell r="Q1624" t="str">
            <v>3/8"</v>
          </cell>
          <cell r="R1624">
            <v>42</v>
          </cell>
          <cell r="S1624">
            <v>1.9000000000000001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44.688000000000009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</row>
        <row r="1625">
          <cell r="B1625" t="str">
            <v>Est</v>
          </cell>
          <cell r="C1625">
            <v>1</v>
          </cell>
          <cell r="D1625">
            <v>1</v>
          </cell>
          <cell r="E1625">
            <v>1.9</v>
          </cell>
          <cell r="F1625">
            <v>0.4</v>
          </cell>
          <cell r="G1625">
            <v>1.75</v>
          </cell>
          <cell r="Q1625" t="str">
            <v>3/8"</v>
          </cell>
          <cell r="R1625">
            <v>21</v>
          </cell>
          <cell r="S1625">
            <v>4.3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50.568000000000005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</row>
        <row r="1626">
          <cell r="C1626">
            <v>1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</row>
        <row r="1627">
          <cell r="B1627" t="str">
            <v xml:space="preserve">B2-VT-09 (.35x.55) </v>
          </cell>
          <cell r="C1627">
            <v>1</v>
          </cell>
          <cell r="D1627">
            <v>1</v>
          </cell>
          <cell r="E1627">
            <v>7.05</v>
          </cell>
          <cell r="F1627">
            <v>0.35</v>
          </cell>
          <cell r="G1627">
            <v>0.55000000000000004</v>
          </cell>
          <cell r="L1627">
            <v>1.3571249999999999</v>
          </cell>
          <cell r="M1627">
            <v>7.05</v>
          </cell>
          <cell r="N1627">
            <v>1.0500000000000003</v>
          </cell>
          <cell r="O1627">
            <v>7.4025000000000016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</row>
        <row r="1628">
          <cell r="C1628">
            <v>1</v>
          </cell>
          <cell r="D1628">
            <v>1</v>
          </cell>
          <cell r="E1628">
            <v>4.8</v>
          </cell>
          <cell r="F1628">
            <v>0.35</v>
          </cell>
          <cell r="G1628">
            <v>0.55000000000000004</v>
          </cell>
          <cell r="L1628">
            <v>0.92400000000000004</v>
          </cell>
          <cell r="M1628">
            <v>4.8</v>
          </cell>
          <cell r="N1628">
            <v>1.0500000000000003</v>
          </cell>
          <cell r="O1628">
            <v>5.0400000000000009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</row>
        <row r="1629">
          <cell r="C1629">
            <v>1</v>
          </cell>
          <cell r="D1629">
            <v>1</v>
          </cell>
          <cell r="E1629">
            <v>7.15</v>
          </cell>
          <cell r="F1629">
            <v>0.35</v>
          </cell>
          <cell r="G1629">
            <v>0.55000000000000004</v>
          </cell>
          <cell r="L1629">
            <v>1.3763750000000001</v>
          </cell>
          <cell r="M1629">
            <v>7.15</v>
          </cell>
          <cell r="N1629">
            <v>1.0500000000000003</v>
          </cell>
          <cell r="O1629">
            <v>7.5075000000000021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</row>
        <row r="1630">
          <cell r="B1630" t="str">
            <v>Acero Principal</v>
          </cell>
          <cell r="C1630">
            <v>1</v>
          </cell>
          <cell r="D1630">
            <v>1</v>
          </cell>
          <cell r="F1630">
            <v>8</v>
          </cell>
          <cell r="G1630">
            <v>20.149999999999999</v>
          </cell>
          <cell r="Q1630" t="str">
            <v>1"</v>
          </cell>
          <cell r="R1630">
            <v>8</v>
          </cell>
          <cell r="S1630">
            <v>21.049999999999997</v>
          </cell>
          <cell r="T1630">
            <v>2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751.12400000000002</v>
          </cell>
          <cell r="AD1630">
            <v>0</v>
          </cell>
        </row>
        <row r="1631">
          <cell r="B1631" t="str">
            <v>Ref. Sup</v>
          </cell>
          <cell r="C1631">
            <v>1</v>
          </cell>
          <cell r="D1631">
            <v>1</v>
          </cell>
          <cell r="F1631">
            <v>2</v>
          </cell>
          <cell r="G1631">
            <v>3.85</v>
          </cell>
          <cell r="Q1631" t="str">
            <v>1"</v>
          </cell>
          <cell r="R1631">
            <v>2</v>
          </cell>
          <cell r="S1631">
            <v>3.85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30.569000000000003</v>
          </cell>
          <cell r="AD1631">
            <v>0</v>
          </cell>
        </row>
        <row r="1632">
          <cell r="B1632" t="str">
            <v>Ref. Sup</v>
          </cell>
          <cell r="C1632">
            <v>1</v>
          </cell>
          <cell r="D1632">
            <v>1</v>
          </cell>
          <cell r="F1632">
            <v>2</v>
          </cell>
          <cell r="G1632">
            <v>3.75</v>
          </cell>
          <cell r="Q1632" t="str">
            <v>1"</v>
          </cell>
          <cell r="R1632">
            <v>2</v>
          </cell>
          <cell r="S1632">
            <v>3.75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29.775000000000002</v>
          </cell>
          <cell r="AD1632">
            <v>0</v>
          </cell>
        </row>
        <row r="1633">
          <cell r="B1633" t="str">
            <v>Ref. Inf</v>
          </cell>
          <cell r="C1633">
            <v>1</v>
          </cell>
          <cell r="D1633">
            <v>1</v>
          </cell>
          <cell r="F1633">
            <v>2</v>
          </cell>
          <cell r="G1633">
            <v>4.75</v>
          </cell>
          <cell r="Q1633" t="str">
            <v>1"</v>
          </cell>
          <cell r="R1633">
            <v>2</v>
          </cell>
          <cell r="S1633">
            <v>4.75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37.715000000000003</v>
          </cell>
          <cell r="AD1633">
            <v>0</v>
          </cell>
        </row>
        <row r="1634">
          <cell r="B1634" t="str">
            <v>Ref. Inf</v>
          </cell>
          <cell r="C1634">
            <v>1</v>
          </cell>
          <cell r="D1634">
            <v>1</v>
          </cell>
          <cell r="F1634">
            <v>2</v>
          </cell>
          <cell r="G1634">
            <v>5.05</v>
          </cell>
          <cell r="Q1634" t="str">
            <v>1"</v>
          </cell>
          <cell r="R1634">
            <v>2</v>
          </cell>
          <cell r="S1634">
            <v>5.05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40.097000000000001</v>
          </cell>
          <cell r="AD1634">
            <v>0</v>
          </cell>
        </row>
        <row r="1635">
          <cell r="B1635" t="str">
            <v>Est</v>
          </cell>
          <cell r="C1635">
            <v>1</v>
          </cell>
          <cell r="D1635">
            <v>1</v>
          </cell>
          <cell r="E1635">
            <v>7.05</v>
          </cell>
          <cell r="F1635">
            <v>0.35</v>
          </cell>
          <cell r="G1635">
            <v>0.55000000000000004</v>
          </cell>
          <cell r="Q1635" t="str">
            <v>3/8"</v>
          </cell>
          <cell r="R1635">
            <v>47</v>
          </cell>
          <cell r="S1635">
            <v>1.8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47.376000000000012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</row>
        <row r="1636">
          <cell r="B1636" t="str">
            <v>Est</v>
          </cell>
          <cell r="C1636">
            <v>1</v>
          </cell>
          <cell r="D1636">
            <v>1</v>
          </cell>
          <cell r="E1636">
            <v>4.8</v>
          </cell>
          <cell r="F1636">
            <v>0.35</v>
          </cell>
          <cell r="G1636">
            <v>0.55000000000000004</v>
          </cell>
          <cell r="Q1636" t="str">
            <v>3/8"</v>
          </cell>
          <cell r="R1636">
            <v>36</v>
          </cell>
          <cell r="S1636">
            <v>1.8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36.288000000000004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</row>
        <row r="1637">
          <cell r="B1637" t="str">
            <v>Est</v>
          </cell>
          <cell r="C1637">
            <v>1</v>
          </cell>
          <cell r="D1637">
            <v>1</v>
          </cell>
          <cell r="E1637">
            <v>7.15</v>
          </cell>
          <cell r="F1637">
            <v>0.35</v>
          </cell>
          <cell r="G1637">
            <v>0.55000000000000004</v>
          </cell>
          <cell r="Q1637" t="str">
            <v>3/8"</v>
          </cell>
          <cell r="R1637">
            <v>53</v>
          </cell>
          <cell r="S1637">
            <v>1.8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53.424000000000007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</row>
        <row r="1638">
          <cell r="C1638">
            <v>1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</row>
        <row r="1639">
          <cell r="B1639" t="str">
            <v>B2-VT-10 (.40x.55</v>
          </cell>
          <cell r="C1639">
            <v>1</v>
          </cell>
          <cell r="D1639">
            <v>1</v>
          </cell>
          <cell r="E1639">
            <v>6.65</v>
          </cell>
          <cell r="F1639">
            <v>0.4</v>
          </cell>
          <cell r="G1639">
            <v>0.55000000000000004</v>
          </cell>
          <cell r="L1639">
            <v>1.4630000000000003</v>
          </cell>
          <cell r="M1639">
            <v>6.65</v>
          </cell>
          <cell r="N1639">
            <v>1.1000000000000001</v>
          </cell>
          <cell r="O1639">
            <v>7.3150000000000013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</row>
        <row r="1640">
          <cell r="C1640">
            <v>1</v>
          </cell>
          <cell r="D1640">
            <v>1</v>
          </cell>
          <cell r="E1640">
            <v>4.8</v>
          </cell>
          <cell r="F1640">
            <v>0.4</v>
          </cell>
          <cell r="G1640">
            <v>0.55000000000000004</v>
          </cell>
          <cell r="L1640">
            <v>1.056</v>
          </cell>
          <cell r="M1640">
            <v>4.8</v>
          </cell>
          <cell r="N1640">
            <v>1.1000000000000001</v>
          </cell>
          <cell r="O1640">
            <v>5.28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</row>
        <row r="1641">
          <cell r="C1641">
            <v>1</v>
          </cell>
          <cell r="D1641">
            <v>1</v>
          </cell>
          <cell r="E1641">
            <v>6.61</v>
          </cell>
          <cell r="F1641">
            <v>0.4</v>
          </cell>
          <cell r="G1641">
            <v>0.55000000000000004</v>
          </cell>
          <cell r="L1641">
            <v>1.4542000000000002</v>
          </cell>
          <cell r="M1641">
            <v>6.61</v>
          </cell>
          <cell r="N1641">
            <v>1.1000000000000001</v>
          </cell>
          <cell r="O1641">
            <v>7.2710000000000008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</row>
        <row r="1642">
          <cell r="B1642" t="str">
            <v>Acero Principal</v>
          </cell>
          <cell r="C1642">
            <v>1</v>
          </cell>
          <cell r="D1642">
            <v>1</v>
          </cell>
          <cell r="F1642">
            <v>10</v>
          </cell>
          <cell r="G1642">
            <v>20.149999999999999</v>
          </cell>
          <cell r="Q1642" t="str">
            <v>3/4"</v>
          </cell>
          <cell r="R1642">
            <v>10</v>
          </cell>
          <cell r="S1642">
            <v>21.049999999999997</v>
          </cell>
          <cell r="T1642">
            <v>2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507.35999999999996</v>
          </cell>
          <cell r="AC1642">
            <v>0</v>
          </cell>
          <cell r="AD1642">
            <v>0</v>
          </cell>
        </row>
        <row r="1643">
          <cell r="B1643" t="str">
            <v>Ref. Sup</v>
          </cell>
          <cell r="C1643">
            <v>1</v>
          </cell>
          <cell r="D1643">
            <v>1</v>
          </cell>
          <cell r="F1643">
            <v>2</v>
          </cell>
          <cell r="G1643">
            <v>2.85</v>
          </cell>
          <cell r="Q1643" t="str">
            <v>3/4"</v>
          </cell>
          <cell r="R1643">
            <v>2</v>
          </cell>
          <cell r="S1643">
            <v>2.85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12.768000000000002</v>
          </cell>
          <cell r="AC1643">
            <v>0</v>
          </cell>
          <cell r="AD1643">
            <v>0</v>
          </cell>
        </row>
        <row r="1644">
          <cell r="B1644" t="str">
            <v>Ref. Sup</v>
          </cell>
          <cell r="C1644">
            <v>1</v>
          </cell>
          <cell r="D1644">
            <v>1</v>
          </cell>
          <cell r="F1644">
            <v>2</v>
          </cell>
          <cell r="G1644">
            <v>2.9</v>
          </cell>
          <cell r="Q1644" t="str">
            <v>3/4"</v>
          </cell>
          <cell r="R1644">
            <v>2</v>
          </cell>
          <cell r="S1644">
            <v>2.9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12.992000000000001</v>
          </cell>
          <cell r="AC1644">
            <v>0</v>
          </cell>
          <cell r="AD1644">
            <v>0</v>
          </cell>
        </row>
        <row r="1645">
          <cell r="B1645" t="str">
            <v>Ref. Sup</v>
          </cell>
          <cell r="C1645">
            <v>1</v>
          </cell>
          <cell r="D1645">
            <v>1</v>
          </cell>
          <cell r="F1645">
            <v>1</v>
          </cell>
          <cell r="G1645">
            <v>10.9</v>
          </cell>
          <cell r="Q1645" t="str">
            <v>1"</v>
          </cell>
          <cell r="R1645">
            <v>1</v>
          </cell>
          <cell r="S1645">
            <v>10.9</v>
          </cell>
          <cell r="T1645">
            <v>1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48.434000000000005</v>
          </cell>
          <cell r="AD1645">
            <v>0</v>
          </cell>
        </row>
        <row r="1646">
          <cell r="B1646" t="str">
            <v>Est</v>
          </cell>
          <cell r="C1646">
            <v>1</v>
          </cell>
          <cell r="D1646">
            <v>1</v>
          </cell>
          <cell r="E1646">
            <v>6.65</v>
          </cell>
          <cell r="F1646">
            <v>0.4</v>
          </cell>
          <cell r="G1646">
            <v>0.55000000000000004</v>
          </cell>
          <cell r="Q1646" t="str">
            <v>3/8"</v>
          </cell>
          <cell r="R1646">
            <v>45</v>
          </cell>
          <cell r="S1646">
            <v>1.9000000000000001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47.88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</row>
        <row r="1647">
          <cell r="B1647" t="str">
            <v>Est</v>
          </cell>
          <cell r="C1647">
            <v>1</v>
          </cell>
          <cell r="D1647">
            <v>1</v>
          </cell>
          <cell r="E1647">
            <v>4.8</v>
          </cell>
          <cell r="F1647">
            <v>0.4</v>
          </cell>
          <cell r="G1647">
            <v>0.55000000000000004</v>
          </cell>
          <cell r="Q1647" t="str">
            <v>3/8"</v>
          </cell>
          <cell r="R1647">
            <v>36</v>
          </cell>
          <cell r="S1647">
            <v>1.9000000000000001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38.304000000000009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</row>
        <row r="1648">
          <cell r="B1648" t="str">
            <v>Est</v>
          </cell>
          <cell r="C1648">
            <v>1</v>
          </cell>
          <cell r="D1648">
            <v>1</v>
          </cell>
          <cell r="E1648">
            <v>6.61</v>
          </cell>
          <cell r="F1648">
            <v>0.4</v>
          </cell>
          <cell r="G1648">
            <v>0.55000000000000004</v>
          </cell>
          <cell r="Q1648" t="str">
            <v>3/8"</v>
          </cell>
          <cell r="R1648">
            <v>45</v>
          </cell>
          <cell r="S1648">
            <v>1.9000000000000001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47.88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</row>
        <row r="1649"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</row>
        <row r="1650">
          <cell r="B1650" t="str">
            <v>AZOTEA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</row>
        <row r="1651"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</row>
        <row r="1652">
          <cell r="C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</row>
        <row r="1653">
          <cell r="B1653" t="str">
            <v xml:space="preserve">B2-VA-01 (.25x.55)  </v>
          </cell>
          <cell r="C1653">
            <v>1</v>
          </cell>
          <cell r="D1653">
            <v>1</v>
          </cell>
          <cell r="E1653">
            <v>4.9000000000000004</v>
          </cell>
          <cell r="F1653">
            <v>0.25</v>
          </cell>
          <cell r="G1653">
            <v>0.55000000000000004</v>
          </cell>
          <cell r="L1653">
            <v>0.67375000000000007</v>
          </cell>
          <cell r="M1653">
            <v>4.9000000000000004</v>
          </cell>
          <cell r="N1653">
            <v>0.95000000000000007</v>
          </cell>
          <cell r="O1653">
            <v>4.6550000000000002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</row>
        <row r="1654">
          <cell r="C1654">
            <v>1</v>
          </cell>
          <cell r="D1654">
            <v>1</v>
          </cell>
          <cell r="E1654">
            <v>1.65</v>
          </cell>
          <cell r="F1654">
            <v>0.25</v>
          </cell>
          <cell r="G1654">
            <v>0.55000000000000004</v>
          </cell>
          <cell r="L1654">
            <v>0.22687499999999999</v>
          </cell>
          <cell r="M1654">
            <v>1.65</v>
          </cell>
          <cell r="N1654">
            <v>0.95000000000000007</v>
          </cell>
          <cell r="O1654">
            <v>1.5675000000000001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</row>
        <row r="1655">
          <cell r="B1655" t="str">
            <v>Acero Principal</v>
          </cell>
          <cell r="C1655">
            <v>1</v>
          </cell>
          <cell r="D1655">
            <v>1</v>
          </cell>
          <cell r="F1655">
            <v>4</v>
          </cell>
          <cell r="G1655">
            <v>7.3</v>
          </cell>
          <cell r="Q1655" t="str">
            <v>5/8"</v>
          </cell>
          <cell r="R1655">
            <v>4</v>
          </cell>
          <cell r="S1655">
            <v>8.1999999999999993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50.839999999999996</v>
          </cell>
          <cell r="AB1655">
            <v>0</v>
          </cell>
          <cell r="AC1655">
            <v>0</v>
          </cell>
          <cell r="AD1655">
            <v>0</v>
          </cell>
        </row>
        <row r="1656">
          <cell r="B1656" t="str">
            <v>Ref. Inf</v>
          </cell>
          <cell r="C1656">
            <v>1</v>
          </cell>
          <cell r="D1656">
            <v>1</v>
          </cell>
          <cell r="F1656">
            <v>1</v>
          </cell>
          <cell r="G1656">
            <v>3.2</v>
          </cell>
          <cell r="Q1656" t="str">
            <v>5/8"</v>
          </cell>
          <cell r="R1656">
            <v>1</v>
          </cell>
          <cell r="S1656">
            <v>3.2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4.9600000000000009</v>
          </cell>
          <cell r="AB1656">
            <v>0</v>
          </cell>
          <cell r="AC1656">
            <v>0</v>
          </cell>
          <cell r="AD1656">
            <v>0</v>
          </cell>
        </row>
        <row r="1657">
          <cell r="B1657" t="str">
            <v>Est</v>
          </cell>
          <cell r="C1657">
            <v>1</v>
          </cell>
          <cell r="D1657">
            <v>1</v>
          </cell>
          <cell r="E1657">
            <v>4.9000000000000004</v>
          </cell>
          <cell r="F1657">
            <v>0.25</v>
          </cell>
          <cell r="G1657">
            <v>0.55000000000000004</v>
          </cell>
          <cell r="Q1657" t="str">
            <v>3/8"</v>
          </cell>
          <cell r="R1657">
            <v>30</v>
          </cell>
          <cell r="S1657">
            <v>1.6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26.880000000000003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</row>
        <row r="1658">
          <cell r="B1658" t="str">
            <v>Est</v>
          </cell>
          <cell r="C1658">
            <v>1</v>
          </cell>
          <cell r="D1658">
            <v>1</v>
          </cell>
          <cell r="E1658">
            <v>1.65</v>
          </cell>
          <cell r="F1658">
            <v>0.25</v>
          </cell>
          <cell r="G1658">
            <v>0.55000000000000004</v>
          </cell>
          <cell r="Q1658" t="str">
            <v>3/8"</v>
          </cell>
          <cell r="R1658">
            <v>14</v>
          </cell>
          <cell r="S1658">
            <v>1.6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12.544000000000002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</row>
        <row r="1659">
          <cell r="C1659">
            <v>1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</row>
        <row r="1660">
          <cell r="B1660" t="str">
            <v xml:space="preserve">B2-VA-02 (.25x.55)  </v>
          </cell>
          <cell r="C1660">
            <v>1</v>
          </cell>
          <cell r="D1660">
            <v>1</v>
          </cell>
          <cell r="E1660">
            <v>5.65</v>
          </cell>
          <cell r="F1660">
            <v>0.25</v>
          </cell>
          <cell r="G1660">
            <v>0.55000000000000004</v>
          </cell>
          <cell r="L1660">
            <v>0.77687500000000009</v>
          </cell>
          <cell r="M1660">
            <v>5.65</v>
          </cell>
          <cell r="N1660">
            <v>0.95000000000000007</v>
          </cell>
          <cell r="O1660">
            <v>5.3675000000000006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</row>
        <row r="1661">
          <cell r="C1661">
            <v>1</v>
          </cell>
          <cell r="D1661">
            <v>1</v>
          </cell>
          <cell r="E1661">
            <v>1.65</v>
          </cell>
          <cell r="F1661">
            <v>0.25</v>
          </cell>
          <cell r="G1661">
            <v>0.55000000000000004</v>
          </cell>
          <cell r="L1661">
            <v>0.22687499999999999</v>
          </cell>
          <cell r="M1661">
            <v>1.65</v>
          </cell>
          <cell r="N1661">
            <v>0.95000000000000007</v>
          </cell>
          <cell r="O1661">
            <v>1.5675000000000001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</row>
        <row r="1662">
          <cell r="B1662" t="str">
            <v>Acero Principal</v>
          </cell>
          <cell r="C1662">
            <v>1</v>
          </cell>
          <cell r="D1662">
            <v>1</v>
          </cell>
          <cell r="F1662">
            <v>4</v>
          </cell>
          <cell r="G1662">
            <v>8.1999999999999993</v>
          </cell>
          <cell r="Q1662" t="str">
            <v>5/8"</v>
          </cell>
          <cell r="R1662">
            <v>4</v>
          </cell>
          <cell r="S1662">
            <v>9.1</v>
          </cell>
          <cell r="T1662">
            <v>1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60.76</v>
          </cell>
          <cell r="AB1662">
            <v>0</v>
          </cell>
          <cell r="AC1662">
            <v>0</v>
          </cell>
          <cell r="AD1662">
            <v>0</v>
          </cell>
        </row>
        <row r="1663">
          <cell r="B1663" t="str">
            <v>Ref. Sup</v>
          </cell>
          <cell r="C1663">
            <v>1</v>
          </cell>
          <cell r="D1663">
            <v>1</v>
          </cell>
          <cell r="F1663">
            <v>2</v>
          </cell>
          <cell r="G1663">
            <v>4.2</v>
          </cell>
          <cell r="Q1663" t="str">
            <v>5/8"</v>
          </cell>
          <cell r="R1663">
            <v>2</v>
          </cell>
          <cell r="S1663">
            <v>4.2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13.020000000000001</v>
          </cell>
          <cell r="AB1663">
            <v>0</v>
          </cell>
          <cell r="AC1663">
            <v>0</v>
          </cell>
          <cell r="AD1663">
            <v>0</v>
          </cell>
        </row>
        <row r="1664">
          <cell r="B1664" t="str">
            <v>Ref. Inf</v>
          </cell>
          <cell r="C1664">
            <v>1</v>
          </cell>
          <cell r="D1664">
            <v>1</v>
          </cell>
          <cell r="F1664">
            <v>1</v>
          </cell>
          <cell r="G1664">
            <v>7.15</v>
          </cell>
          <cell r="Q1664" t="str">
            <v>3/4"</v>
          </cell>
          <cell r="R1664">
            <v>1</v>
          </cell>
          <cell r="S1664">
            <v>7.15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16.016000000000002</v>
          </cell>
          <cell r="AC1664">
            <v>0</v>
          </cell>
          <cell r="AD1664">
            <v>0</v>
          </cell>
        </row>
        <row r="1665">
          <cell r="B1665" t="str">
            <v>Est</v>
          </cell>
          <cell r="C1665">
            <v>1</v>
          </cell>
          <cell r="D1665">
            <v>1</v>
          </cell>
          <cell r="E1665">
            <v>5.65</v>
          </cell>
          <cell r="F1665">
            <v>0.25</v>
          </cell>
          <cell r="G1665">
            <v>0.55000000000000004</v>
          </cell>
          <cell r="Q1665" t="str">
            <v>3/8"</v>
          </cell>
          <cell r="R1665">
            <v>34</v>
          </cell>
          <cell r="S1665">
            <v>1.6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30.464000000000006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</row>
        <row r="1666">
          <cell r="B1666" t="str">
            <v>Est</v>
          </cell>
          <cell r="C1666">
            <v>1</v>
          </cell>
          <cell r="D1666">
            <v>1</v>
          </cell>
          <cell r="E1666">
            <v>1.65</v>
          </cell>
          <cell r="F1666">
            <v>0.25</v>
          </cell>
          <cell r="G1666">
            <v>0.55000000000000004</v>
          </cell>
          <cell r="Q1666" t="str">
            <v>3/8"</v>
          </cell>
          <cell r="R1666">
            <v>14</v>
          </cell>
          <cell r="S1666">
            <v>1.6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12.544000000000002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</row>
        <row r="1667">
          <cell r="C1667">
            <v>1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</row>
        <row r="1668">
          <cell r="B1668" t="str">
            <v xml:space="preserve">B1-VA-03 (.25x.55) </v>
          </cell>
          <cell r="C1668">
            <v>1</v>
          </cell>
          <cell r="D1668">
            <v>1</v>
          </cell>
          <cell r="E1668">
            <v>5.65</v>
          </cell>
          <cell r="F1668">
            <v>0.25</v>
          </cell>
          <cell r="G1668">
            <v>0.55000000000000004</v>
          </cell>
          <cell r="L1668">
            <v>0.77687500000000009</v>
          </cell>
          <cell r="M1668">
            <v>5.65</v>
          </cell>
          <cell r="N1668">
            <v>0.95000000000000007</v>
          </cell>
          <cell r="O1668">
            <v>5.3675000000000006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</row>
        <row r="1669">
          <cell r="B1669" t="str">
            <v>Acero Principal</v>
          </cell>
          <cell r="C1669">
            <v>1</v>
          </cell>
          <cell r="D1669">
            <v>1</v>
          </cell>
          <cell r="F1669">
            <v>4</v>
          </cell>
          <cell r="G1669">
            <v>6.3</v>
          </cell>
          <cell r="Q1669" t="str">
            <v>5/8"</v>
          </cell>
          <cell r="R1669">
            <v>4</v>
          </cell>
          <cell r="S1669">
            <v>7.2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44.64</v>
          </cell>
          <cell r="AB1669">
            <v>0</v>
          </cell>
          <cell r="AC1669">
            <v>0</v>
          </cell>
          <cell r="AD1669">
            <v>0</v>
          </cell>
        </row>
        <row r="1670">
          <cell r="B1670" t="str">
            <v>Est</v>
          </cell>
          <cell r="C1670">
            <v>1</v>
          </cell>
          <cell r="D1670">
            <v>1</v>
          </cell>
          <cell r="E1670">
            <v>5.65</v>
          </cell>
          <cell r="F1670">
            <v>0.25</v>
          </cell>
          <cell r="G1670">
            <v>0.55000000000000004</v>
          </cell>
          <cell r="Q1670" t="str">
            <v>3/8"</v>
          </cell>
          <cell r="R1670">
            <v>34</v>
          </cell>
          <cell r="S1670">
            <v>1.6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30.464000000000006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</row>
        <row r="1671">
          <cell r="C1671">
            <v>1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</row>
        <row r="1672">
          <cell r="B1672" t="str">
            <v xml:space="preserve">B2-VA-04 (.25x.55) </v>
          </cell>
          <cell r="C1672">
            <v>1</v>
          </cell>
          <cell r="D1672">
            <v>1</v>
          </cell>
          <cell r="E1672">
            <v>4.8499999999999996</v>
          </cell>
          <cell r="F1672">
            <v>0.25</v>
          </cell>
          <cell r="G1672">
            <v>0.55000000000000004</v>
          </cell>
          <cell r="L1672">
            <v>0.666875</v>
          </cell>
          <cell r="M1672">
            <v>4.8499999999999996</v>
          </cell>
          <cell r="N1672">
            <v>0.95000000000000007</v>
          </cell>
          <cell r="O1672">
            <v>4.6074999999999999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</row>
        <row r="1673">
          <cell r="C1673">
            <v>1</v>
          </cell>
          <cell r="D1673">
            <v>1</v>
          </cell>
          <cell r="E1673">
            <v>5.7</v>
          </cell>
          <cell r="F1673">
            <v>0.25</v>
          </cell>
          <cell r="G1673">
            <v>0.55000000000000004</v>
          </cell>
          <cell r="L1673">
            <v>0.78375000000000006</v>
          </cell>
          <cell r="M1673">
            <v>5.7</v>
          </cell>
          <cell r="N1673">
            <v>0.95000000000000007</v>
          </cell>
          <cell r="O1673">
            <v>5.4150000000000009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</row>
        <row r="1674">
          <cell r="B1674" t="str">
            <v>Acero Principal</v>
          </cell>
          <cell r="C1674">
            <v>1</v>
          </cell>
          <cell r="D1674">
            <v>1</v>
          </cell>
          <cell r="F1674">
            <v>4</v>
          </cell>
          <cell r="G1674">
            <v>11.25</v>
          </cell>
          <cell r="Q1674" t="str">
            <v>5/8"</v>
          </cell>
          <cell r="R1674">
            <v>4</v>
          </cell>
          <cell r="S1674">
            <v>12.15</v>
          </cell>
          <cell r="T1674">
            <v>1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79.67</v>
          </cell>
          <cell r="AB1674">
            <v>0</v>
          </cell>
          <cell r="AC1674">
            <v>0</v>
          </cell>
          <cell r="AD1674">
            <v>0</v>
          </cell>
        </row>
        <row r="1675">
          <cell r="B1675" t="str">
            <v>Ref. Sup</v>
          </cell>
          <cell r="C1675">
            <v>1</v>
          </cell>
          <cell r="D1675">
            <v>1</v>
          </cell>
          <cell r="F1675">
            <v>1</v>
          </cell>
          <cell r="G1675">
            <v>3.75</v>
          </cell>
          <cell r="Q1675" t="str">
            <v>5/8"</v>
          </cell>
          <cell r="R1675">
            <v>1</v>
          </cell>
          <cell r="S1675">
            <v>3.75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5.8125</v>
          </cell>
          <cell r="AB1675">
            <v>0</v>
          </cell>
          <cell r="AC1675">
            <v>0</v>
          </cell>
          <cell r="AD1675">
            <v>0</v>
          </cell>
        </row>
        <row r="1676">
          <cell r="B1676" t="str">
            <v>Ref. Inf</v>
          </cell>
          <cell r="C1676">
            <v>1</v>
          </cell>
          <cell r="D1676">
            <v>1</v>
          </cell>
          <cell r="F1676">
            <v>1</v>
          </cell>
          <cell r="G1676">
            <v>3.75</v>
          </cell>
          <cell r="Q1676" t="str">
            <v>5/8"</v>
          </cell>
          <cell r="R1676">
            <v>1</v>
          </cell>
          <cell r="S1676">
            <v>3.75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5.8125</v>
          </cell>
          <cell r="AB1676">
            <v>0</v>
          </cell>
          <cell r="AC1676">
            <v>0</v>
          </cell>
          <cell r="AD1676">
            <v>0</v>
          </cell>
        </row>
        <row r="1677">
          <cell r="B1677" t="str">
            <v>Est</v>
          </cell>
          <cell r="C1677">
            <v>1</v>
          </cell>
          <cell r="D1677">
            <v>1</v>
          </cell>
          <cell r="E1677">
            <v>4.8499999999999996</v>
          </cell>
          <cell r="F1677">
            <v>0.25</v>
          </cell>
          <cell r="G1677">
            <v>0.55000000000000004</v>
          </cell>
          <cell r="Q1677" t="str">
            <v>3/8"</v>
          </cell>
          <cell r="R1677">
            <v>30</v>
          </cell>
          <cell r="S1677">
            <v>1.6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26.880000000000003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</row>
        <row r="1678">
          <cell r="B1678" t="str">
            <v>Est</v>
          </cell>
          <cell r="C1678">
            <v>1</v>
          </cell>
          <cell r="D1678">
            <v>1</v>
          </cell>
          <cell r="E1678">
            <v>5.7</v>
          </cell>
          <cell r="F1678">
            <v>0.25</v>
          </cell>
          <cell r="G1678">
            <v>0.55000000000000004</v>
          </cell>
          <cell r="Q1678" t="str">
            <v>3/8"</v>
          </cell>
          <cell r="R1678">
            <v>34</v>
          </cell>
          <cell r="S1678">
            <v>1.6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30.464000000000006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</row>
        <row r="1679">
          <cell r="C1679">
            <v>1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</row>
        <row r="1680">
          <cell r="B1680" t="str">
            <v xml:space="preserve">B2-VA-05 (.25x.55) </v>
          </cell>
          <cell r="C1680">
            <v>1</v>
          </cell>
          <cell r="D1680">
            <v>1</v>
          </cell>
          <cell r="E1680">
            <v>4.8499999999999996</v>
          </cell>
          <cell r="F1680">
            <v>0.25</v>
          </cell>
          <cell r="G1680">
            <v>0.55000000000000004</v>
          </cell>
          <cell r="L1680">
            <v>0.666875</v>
          </cell>
          <cell r="M1680">
            <v>4.8499999999999996</v>
          </cell>
          <cell r="N1680">
            <v>0.95000000000000007</v>
          </cell>
          <cell r="O1680">
            <v>4.6074999999999999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</row>
        <row r="1681">
          <cell r="C1681">
            <v>1</v>
          </cell>
          <cell r="D1681">
            <v>1</v>
          </cell>
          <cell r="E1681">
            <v>2.8</v>
          </cell>
          <cell r="F1681">
            <v>0.25</v>
          </cell>
          <cell r="G1681">
            <v>0.55000000000000004</v>
          </cell>
          <cell r="L1681">
            <v>0.38500000000000001</v>
          </cell>
          <cell r="M1681">
            <v>2.8</v>
          </cell>
          <cell r="N1681">
            <v>0.95000000000000007</v>
          </cell>
          <cell r="O1681">
            <v>2.66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</row>
        <row r="1682">
          <cell r="B1682" t="str">
            <v>Acero Principal</v>
          </cell>
          <cell r="C1682">
            <v>1</v>
          </cell>
          <cell r="D1682">
            <v>1</v>
          </cell>
          <cell r="F1682">
            <v>4</v>
          </cell>
          <cell r="G1682">
            <v>8.4</v>
          </cell>
          <cell r="Q1682" t="str">
            <v>5/8"</v>
          </cell>
          <cell r="R1682">
            <v>4</v>
          </cell>
          <cell r="S1682">
            <v>9.3000000000000007</v>
          </cell>
          <cell r="T1682">
            <v>1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62</v>
          </cell>
          <cell r="AB1682">
            <v>0</v>
          </cell>
          <cell r="AC1682">
            <v>0</v>
          </cell>
          <cell r="AD1682">
            <v>0</v>
          </cell>
        </row>
        <row r="1683">
          <cell r="B1683" t="str">
            <v>Est</v>
          </cell>
          <cell r="C1683">
            <v>1</v>
          </cell>
          <cell r="D1683">
            <v>1</v>
          </cell>
          <cell r="E1683">
            <v>4.8499999999999996</v>
          </cell>
          <cell r="F1683">
            <v>0.25</v>
          </cell>
          <cell r="G1683">
            <v>0.55000000000000004</v>
          </cell>
          <cell r="Q1683" t="str">
            <v>3/8"</v>
          </cell>
          <cell r="R1683">
            <v>30</v>
          </cell>
          <cell r="S1683">
            <v>1.6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26.880000000000003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</row>
        <row r="1684">
          <cell r="B1684" t="str">
            <v>Est</v>
          </cell>
          <cell r="C1684">
            <v>1</v>
          </cell>
          <cell r="D1684">
            <v>1</v>
          </cell>
          <cell r="E1684">
            <v>2.8</v>
          </cell>
          <cell r="F1684">
            <v>0.25</v>
          </cell>
          <cell r="G1684">
            <v>0.55000000000000004</v>
          </cell>
          <cell r="Q1684" t="str">
            <v>3/8"</v>
          </cell>
          <cell r="R1684">
            <v>20</v>
          </cell>
          <cell r="S1684">
            <v>1.6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17.920000000000002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</row>
        <row r="1685">
          <cell r="C1685">
            <v>1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</row>
        <row r="1686">
          <cell r="B1686" t="str">
            <v xml:space="preserve">B2-VA-06 (.25x.55) </v>
          </cell>
          <cell r="C1686">
            <v>1</v>
          </cell>
          <cell r="D1686">
            <v>1</v>
          </cell>
          <cell r="E1686">
            <v>5.8</v>
          </cell>
          <cell r="F1686">
            <v>0.25</v>
          </cell>
          <cell r="G1686">
            <v>0.55000000000000004</v>
          </cell>
          <cell r="L1686">
            <v>0.79749999999999999</v>
          </cell>
          <cell r="M1686">
            <v>5.8</v>
          </cell>
          <cell r="N1686">
            <v>0.95000000000000007</v>
          </cell>
          <cell r="O1686">
            <v>5.51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</row>
        <row r="1687">
          <cell r="B1687" t="str">
            <v>Acero Principal</v>
          </cell>
          <cell r="C1687">
            <v>1</v>
          </cell>
          <cell r="D1687">
            <v>1</v>
          </cell>
          <cell r="F1687">
            <v>4</v>
          </cell>
          <cell r="G1687">
            <v>6.3</v>
          </cell>
          <cell r="Q1687" t="str">
            <v>5/8"</v>
          </cell>
          <cell r="R1687">
            <v>4</v>
          </cell>
          <cell r="S1687">
            <v>7.2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44.64</v>
          </cell>
          <cell r="AB1687">
            <v>0</v>
          </cell>
          <cell r="AC1687">
            <v>0</v>
          </cell>
          <cell r="AD1687">
            <v>0</v>
          </cell>
        </row>
        <row r="1688">
          <cell r="B1688" t="str">
            <v>Ref. Inf</v>
          </cell>
          <cell r="C1688">
            <v>1</v>
          </cell>
          <cell r="D1688">
            <v>1</v>
          </cell>
          <cell r="F1688">
            <v>1</v>
          </cell>
          <cell r="G1688">
            <v>4.2</v>
          </cell>
          <cell r="Q1688" t="str">
            <v>5/8"</v>
          </cell>
          <cell r="R1688">
            <v>1</v>
          </cell>
          <cell r="S1688">
            <v>4.2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6.5100000000000007</v>
          </cell>
          <cell r="AB1688">
            <v>0</v>
          </cell>
          <cell r="AC1688">
            <v>0</v>
          </cell>
          <cell r="AD1688">
            <v>0</v>
          </cell>
        </row>
        <row r="1689">
          <cell r="B1689" t="str">
            <v>Est</v>
          </cell>
          <cell r="C1689">
            <v>1</v>
          </cell>
          <cell r="D1689">
            <v>1</v>
          </cell>
          <cell r="E1689">
            <v>5.8</v>
          </cell>
          <cell r="F1689">
            <v>0.25</v>
          </cell>
          <cell r="G1689">
            <v>0.55000000000000004</v>
          </cell>
          <cell r="Q1689" t="str">
            <v>3/8"</v>
          </cell>
          <cell r="R1689">
            <v>35</v>
          </cell>
          <cell r="S1689">
            <v>1.6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31.360000000000003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</row>
        <row r="1690">
          <cell r="C1690">
            <v>1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</row>
        <row r="1691">
          <cell r="B1691" t="str">
            <v xml:space="preserve">B2-VA-07 (.25x.55) </v>
          </cell>
          <cell r="C1691">
            <v>1</v>
          </cell>
          <cell r="D1691">
            <v>1</v>
          </cell>
          <cell r="E1691">
            <v>4.1500000000000004</v>
          </cell>
          <cell r="F1691">
            <v>0.25</v>
          </cell>
          <cell r="G1691">
            <v>0.55000000000000004</v>
          </cell>
          <cell r="L1691">
            <v>0.57062500000000005</v>
          </cell>
          <cell r="M1691">
            <v>4.1500000000000004</v>
          </cell>
          <cell r="N1691">
            <v>0.95000000000000007</v>
          </cell>
          <cell r="O1691">
            <v>3.9425000000000008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</row>
        <row r="1692">
          <cell r="C1692">
            <v>1</v>
          </cell>
          <cell r="D1692">
            <v>1</v>
          </cell>
          <cell r="E1692">
            <v>2.9</v>
          </cell>
          <cell r="F1692">
            <v>0.25</v>
          </cell>
          <cell r="G1692">
            <v>0.55000000000000004</v>
          </cell>
          <cell r="L1692">
            <v>0.39874999999999999</v>
          </cell>
          <cell r="M1692">
            <v>2.9</v>
          </cell>
          <cell r="N1692">
            <v>0.95000000000000007</v>
          </cell>
          <cell r="O1692">
            <v>2.7549999999999999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</row>
        <row r="1693">
          <cell r="B1693" t="str">
            <v>Acero Principal</v>
          </cell>
          <cell r="C1693">
            <v>1</v>
          </cell>
          <cell r="D1693">
            <v>1</v>
          </cell>
          <cell r="F1693">
            <v>4</v>
          </cell>
          <cell r="G1693">
            <v>7.7</v>
          </cell>
          <cell r="Q1693" t="str">
            <v>5/8"</v>
          </cell>
          <cell r="R1693">
            <v>4</v>
          </cell>
          <cell r="S1693">
            <v>8.6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53.32</v>
          </cell>
          <cell r="AB1693">
            <v>0</v>
          </cell>
          <cell r="AC1693">
            <v>0</v>
          </cell>
          <cell r="AD1693">
            <v>0</v>
          </cell>
        </row>
        <row r="1694">
          <cell r="B1694" t="str">
            <v>Est</v>
          </cell>
          <cell r="C1694">
            <v>1</v>
          </cell>
          <cell r="D1694">
            <v>1</v>
          </cell>
          <cell r="E1694">
            <v>4.1500000000000004</v>
          </cell>
          <cell r="F1694">
            <v>0.25</v>
          </cell>
          <cell r="G1694">
            <v>0.55000000000000004</v>
          </cell>
          <cell r="Q1694" t="str">
            <v>3/8"</v>
          </cell>
          <cell r="R1694">
            <v>26</v>
          </cell>
          <cell r="S1694">
            <v>1.6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23.296000000000003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</row>
        <row r="1695">
          <cell r="B1695" t="str">
            <v>Est</v>
          </cell>
          <cell r="C1695">
            <v>1</v>
          </cell>
          <cell r="D1695">
            <v>1</v>
          </cell>
          <cell r="E1695">
            <v>2.9</v>
          </cell>
          <cell r="F1695">
            <v>0.25</v>
          </cell>
          <cell r="G1695">
            <v>0.55000000000000004</v>
          </cell>
          <cell r="Q1695" t="str">
            <v>3/8"</v>
          </cell>
          <cell r="R1695">
            <v>20</v>
          </cell>
          <cell r="S1695">
            <v>1.6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17.920000000000002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</row>
        <row r="1696">
          <cell r="C1696">
            <v>1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</row>
        <row r="1697">
          <cell r="B1697" t="str">
            <v xml:space="preserve">B2-VT-07 (.20x.55) </v>
          </cell>
          <cell r="C1697">
            <v>1</v>
          </cell>
          <cell r="D1697">
            <v>1</v>
          </cell>
          <cell r="E1697">
            <v>1.9</v>
          </cell>
          <cell r="F1697">
            <v>0.2</v>
          </cell>
          <cell r="G1697">
            <v>1.75</v>
          </cell>
          <cell r="L1697">
            <v>0.66500000000000004</v>
          </cell>
          <cell r="M1697">
            <v>1.9</v>
          </cell>
          <cell r="N1697">
            <v>3.3000000000000003</v>
          </cell>
          <cell r="O1697">
            <v>6.2700000000000005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</row>
        <row r="1698">
          <cell r="B1698" t="str">
            <v>Acero Principal</v>
          </cell>
          <cell r="C1698">
            <v>1</v>
          </cell>
          <cell r="D1698">
            <v>1</v>
          </cell>
          <cell r="F1698">
            <v>4</v>
          </cell>
          <cell r="G1698">
            <v>2.85</v>
          </cell>
          <cell r="Q1698" t="str">
            <v>5/8"</v>
          </cell>
          <cell r="R1698">
            <v>4</v>
          </cell>
          <cell r="S1698">
            <v>6.15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38.130000000000003</v>
          </cell>
          <cell r="AB1698">
            <v>0</v>
          </cell>
          <cell r="AC1698">
            <v>0</v>
          </cell>
          <cell r="AD1698">
            <v>0</v>
          </cell>
        </row>
        <row r="1699">
          <cell r="B1699" t="str">
            <v>Ref. Sup</v>
          </cell>
          <cell r="C1699">
            <v>1</v>
          </cell>
          <cell r="D1699">
            <v>1</v>
          </cell>
          <cell r="F1699">
            <v>1</v>
          </cell>
          <cell r="G1699">
            <v>2.0499999999999998</v>
          </cell>
          <cell r="Q1699" t="str">
            <v>5/8"</v>
          </cell>
          <cell r="R1699">
            <v>1</v>
          </cell>
          <cell r="S1699">
            <v>2.0499999999999998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3.1774999999999998</v>
          </cell>
          <cell r="AB1699">
            <v>0</v>
          </cell>
          <cell r="AC1699">
            <v>0</v>
          </cell>
          <cell r="AD1699">
            <v>0</v>
          </cell>
        </row>
        <row r="1700">
          <cell r="B1700" t="str">
            <v>Ref. Central</v>
          </cell>
          <cell r="C1700">
            <v>1</v>
          </cell>
          <cell r="D1700">
            <v>1</v>
          </cell>
          <cell r="F1700">
            <v>12</v>
          </cell>
          <cell r="G1700">
            <v>2.6</v>
          </cell>
          <cell r="Q1700" t="str">
            <v>3/8"</v>
          </cell>
          <cell r="R1700">
            <v>12</v>
          </cell>
          <cell r="S1700">
            <v>2.6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17.472000000000005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</row>
        <row r="1701">
          <cell r="B1701" t="str">
            <v>Est</v>
          </cell>
          <cell r="C1701">
            <v>1</v>
          </cell>
          <cell r="D1701">
            <v>1</v>
          </cell>
          <cell r="E1701">
            <v>1.9</v>
          </cell>
          <cell r="F1701">
            <v>0.2</v>
          </cell>
          <cell r="G1701">
            <v>1.75</v>
          </cell>
          <cell r="Q1701" t="str">
            <v>3/8"</v>
          </cell>
          <cell r="R1701">
            <v>21</v>
          </cell>
          <cell r="S1701">
            <v>3.9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45.863999999999997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</row>
        <row r="1702"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</row>
        <row r="1705">
          <cell r="A1705" t="str">
            <v>VIGA-CON</v>
          </cell>
          <cell r="B1705" t="str">
            <v>Concreto f'c= 350 kg/cm2</v>
          </cell>
          <cell r="D1705" t="str">
            <v>M3</v>
          </cell>
          <cell r="E1705">
            <v>286.05312500000014</v>
          </cell>
        </row>
        <row r="1706">
          <cell r="A1706" t="str">
            <v>VIGA-ENC</v>
          </cell>
          <cell r="B1706" t="str">
            <v xml:space="preserve">Encofrado y desencofrado </v>
          </cell>
          <cell r="D1706" t="str">
            <v>M2</v>
          </cell>
          <cell r="E1706">
            <v>1637.9975000000015</v>
          </cell>
        </row>
        <row r="1707">
          <cell r="A1707" t="str">
            <v>VIGA-ACE</v>
          </cell>
          <cell r="B1707" t="str">
            <v>Acero de refuerzo</v>
          </cell>
          <cell r="D1707" t="str">
            <v>KG</v>
          </cell>
          <cell r="E1707">
            <v>69617.616000000038</v>
          </cell>
          <cell r="F1707">
            <v>243.37303079629004</v>
          </cell>
        </row>
        <row r="1711">
          <cell r="B1711" t="str">
            <v>CORTES</v>
          </cell>
        </row>
        <row r="1713">
          <cell r="B1713" t="str">
            <v>1 PISO</v>
          </cell>
        </row>
        <row r="1714"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</row>
        <row r="1715">
          <cell r="B1715" t="str">
            <v>CORTE 1</v>
          </cell>
          <cell r="C1715">
            <v>1</v>
          </cell>
          <cell r="D1715">
            <v>2</v>
          </cell>
          <cell r="E1715">
            <v>0.7</v>
          </cell>
          <cell r="F1715">
            <v>0.1</v>
          </cell>
          <cell r="G1715">
            <v>0.2</v>
          </cell>
          <cell r="L1715">
            <v>2.7999999999999997E-2</v>
          </cell>
          <cell r="M1715">
            <v>0.7</v>
          </cell>
          <cell r="N1715">
            <v>9.9999999999999978E-2</v>
          </cell>
          <cell r="O1715">
            <v>0.13999999999999996</v>
          </cell>
          <cell r="Q1715" t="str">
            <v>3/8"</v>
          </cell>
          <cell r="R1715">
            <v>2</v>
          </cell>
          <cell r="S1715">
            <v>2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4.4800000000000004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</row>
        <row r="1716">
          <cell r="C1716">
            <v>1</v>
          </cell>
          <cell r="D1716">
            <v>2</v>
          </cell>
          <cell r="Q1716" t="str">
            <v>1/4"</v>
          </cell>
          <cell r="R1716">
            <v>3</v>
          </cell>
          <cell r="S1716">
            <v>0.60000000000000009</v>
          </cell>
          <cell r="T1716">
            <v>0</v>
          </cell>
          <cell r="U1716">
            <v>0.90000000000000013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</row>
        <row r="1717">
          <cell r="B1717" t="str">
            <v>CORTE 1</v>
          </cell>
          <cell r="C1717">
            <v>1</v>
          </cell>
          <cell r="D1717">
            <v>1</v>
          </cell>
          <cell r="E1717">
            <v>1.8</v>
          </cell>
          <cell r="F1717">
            <v>0.1</v>
          </cell>
          <cell r="G1717">
            <v>0.2</v>
          </cell>
          <cell r="L1717">
            <v>3.6000000000000004E-2</v>
          </cell>
          <cell r="M1717">
            <v>1.8</v>
          </cell>
          <cell r="N1717">
            <v>9.9999999999999978E-2</v>
          </cell>
          <cell r="O1717">
            <v>0.17999999999999997</v>
          </cell>
          <cell r="Q1717" t="str">
            <v>3/8"</v>
          </cell>
          <cell r="R1717">
            <v>2</v>
          </cell>
          <cell r="S1717">
            <v>3.0999999999999996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3.472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</row>
        <row r="1718">
          <cell r="C1718">
            <v>1</v>
          </cell>
          <cell r="D1718">
            <v>1</v>
          </cell>
          <cell r="Q1718" t="str">
            <v>1/4"</v>
          </cell>
          <cell r="R1718">
            <v>8</v>
          </cell>
          <cell r="S1718">
            <v>0.60000000000000009</v>
          </cell>
          <cell r="T1718">
            <v>0</v>
          </cell>
          <cell r="U1718">
            <v>1.2000000000000002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</row>
        <row r="1719">
          <cell r="B1719" t="str">
            <v>CORTE 1</v>
          </cell>
          <cell r="C1719">
            <v>1</v>
          </cell>
          <cell r="D1719">
            <v>1</v>
          </cell>
          <cell r="E1719">
            <v>2.5</v>
          </cell>
          <cell r="F1719">
            <v>0.1</v>
          </cell>
          <cell r="G1719">
            <v>0.2</v>
          </cell>
          <cell r="L1719">
            <v>0.05</v>
          </cell>
          <cell r="M1719">
            <v>2.5</v>
          </cell>
          <cell r="N1719">
            <v>9.9999999999999978E-2</v>
          </cell>
          <cell r="O1719">
            <v>0.24999999999999994</v>
          </cell>
          <cell r="Q1719" t="str">
            <v>3/8"</v>
          </cell>
          <cell r="R1719">
            <v>2</v>
          </cell>
          <cell r="S1719">
            <v>3.8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4.2560000000000002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</row>
        <row r="1720">
          <cell r="C1720">
            <v>1</v>
          </cell>
          <cell r="D1720">
            <v>1</v>
          </cell>
          <cell r="Q1720" t="str">
            <v>1/4"</v>
          </cell>
          <cell r="R1720">
            <v>11</v>
          </cell>
          <cell r="S1720">
            <v>0.60000000000000009</v>
          </cell>
          <cell r="T1720">
            <v>0</v>
          </cell>
          <cell r="U1720">
            <v>1.6500000000000004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</row>
        <row r="1721">
          <cell r="B1721" t="str">
            <v>CORTE 1</v>
          </cell>
          <cell r="C1721">
            <v>1</v>
          </cell>
          <cell r="D1721">
            <v>1</v>
          </cell>
          <cell r="E1721">
            <v>5.95</v>
          </cell>
          <cell r="F1721">
            <v>0.1</v>
          </cell>
          <cell r="G1721">
            <v>0.2</v>
          </cell>
          <cell r="L1721">
            <v>0.11900000000000002</v>
          </cell>
          <cell r="M1721">
            <v>5.95</v>
          </cell>
          <cell r="N1721">
            <v>9.9999999999999978E-2</v>
          </cell>
          <cell r="O1721">
            <v>0.59499999999999986</v>
          </cell>
          <cell r="Q1721" t="str">
            <v>3/8"</v>
          </cell>
          <cell r="R1721">
            <v>2</v>
          </cell>
          <cell r="S1721">
            <v>7.25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8.120000000000001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</row>
        <row r="1722">
          <cell r="C1722">
            <v>1</v>
          </cell>
          <cell r="D1722">
            <v>1</v>
          </cell>
          <cell r="Q1722" t="str">
            <v>1/4"</v>
          </cell>
          <cell r="R1722">
            <v>24</v>
          </cell>
          <cell r="S1722">
            <v>0.60000000000000009</v>
          </cell>
          <cell r="T1722">
            <v>0</v>
          </cell>
          <cell r="U1722">
            <v>3.6000000000000005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</row>
        <row r="1723">
          <cell r="B1723" t="str">
            <v>CORTE 1</v>
          </cell>
          <cell r="C1723">
            <v>1</v>
          </cell>
          <cell r="D1723">
            <v>1</v>
          </cell>
          <cell r="E1723">
            <v>1.5</v>
          </cell>
          <cell r="F1723">
            <v>0.1</v>
          </cell>
          <cell r="G1723">
            <v>0.2</v>
          </cell>
          <cell r="L1723">
            <v>3.0000000000000006E-2</v>
          </cell>
          <cell r="M1723">
            <v>1.5</v>
          </cell>
          <cell r="N1723">
            <v>9.9999999999999978E-2</v>
          </cell>
          <cell r="O1723">
            <v>0.14999999999999997</v>
          </cell>
          <cell r="Q1723" t="str">
            <v>3/8"</v>
          </cell>
          <cell r="R1723">
            <v>2</v>
          </cell>
          <cell r="S1723">
            <v>2.8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3.1360000000000001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</row>
        <row r="1724">
          <cell r="C1724">
            <v>1</v>
          </cell>
          <cell r="D1724">
            <v>1</v>
          </cell>
          <cell r="Q1724" t="str">
            <v>1/4"</v>
          </cell>
          <cell r="R1724">
            <v>7</v>
          </cell>
          <cell r="S1724">
            <v>0.60000000000000009</v>
          </cell>
          <cell r="T1724">
            <v>0</v>
          </cell>
          <cell r="U1724">
            <v>1.0500000000000003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</row>
        <row r="1725">
          <cell r="B1725" t="str">
            <v>CORTE 1</v>
          </cell>
          <cell r="C1725">
            <v>1</v>
          </cell>
          <cell r="D1725">
            <v>1</v>
          </cell>
          <cell r="E1725">
            <v>1.3</v>
          </cell>
          <cell r="F1725">
            <v>0.1</v>
          </cell>
          <cell r="G1725">
            <v>0.2</v>
          </cell>
          <cell r="L1725">
            <v>2.6000000000000002E-2</v>
          </cell>
          <cell r="M1725">
            <v>1.3</v>
          </cell>
          <cell r="N1725">
            <v>9.9999999999999978E-2</v>
          </cell>
          <cell r="O1725">
            <v>0.12999999999999998</v>
          </cell>
          <cell r="Q1725" t="str">
            <v>3/8"</v>
          </cell>
          <cell r="R1725">
            <v>2</v>
          </cell>
          <cell r="S1725">
            <v>2.5999999999999996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2.9119999999999999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</row>
        <row r="1726">
          <cell r="C1726">
            <v>1</v>
          </cell>
          <cell r="D1726">
            <v>1</v>
          </cell>
          <cell r="Q1726" t="str">
            <v>1/4"</v>
          </cell>
          <cell r="R1726">
            <v>6</v>
          </cell>
          <cell r="S1726">
            <v>0.60000000000000009</v>
          </cell>
          <cell r="T1726">
            <v>0</v>
          </cell>
          <cell r="U1726">
            <v>0.90000000000000013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</row>
        <row r="1727">
          <cell r="B1727" t="str">
            <v>CORTE 1</v>
          </cell>
          <cell r="C1727">
            <v>1</v>
          </cell>
          <cell r="D1727">
            <v>1</v>
          </cell>
          <cell r="E1727">
            <v>3.65</v>
          </cell>
          <cell r="F1727">
            <v>0.1</v>
          </cell>
          <cell r="G1727">
            <v>0.2</v>
          </cell>
          <cell r="L1727">
            <v>7.2999999999999995E-2</v>
          </cell>
          <cell r="M1727">
            <v>3.65</v>
          </cell>
          <cell r="N1727">
            <v>9.9999999999999978E-2</v>
          </cell>
          <cell r="O1727">
            <v>0.36499999999999994</v>
          </cell>
          <cell r="Q1727" t="str">
            <v>3/8"</v>
          </cell>
          <cell r="R1727">
            <v>2</v>
          </cell>
          <cell r="S1727">
            <v>4.95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5.5440000000000005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</row>
        <row r="1728">
          <cell r="C1728">
            <v>1</v>
          </cell>
          <cell r="D1728">
            <v>1</v>
          </cell>
          <cell r="Q1728" t="str">
            <v>1/4"</v>
          </cell>
          <cell r="R1728">
            <v>15</v>
          </cell>
          <cell r="S1728">
            <v>0.60000000000000009</v>
          </cell>
          <cell r="T1728">
            <v>0</v>
          </cell>
          <cell r="U1728">
            <v>2.2500000000000004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</row>
        <row r="1729">
          <cell r="B1729" t="str">
            <v>CORTE 1</v>
          </cell>
          <cell r="C1729">
            <v>1</v>
          </cell>
          <cell r="D1729">
            <v>1</v>
          </cell>
          <cell r="E1729">
            <v>8</v>
          </cell>
          <cell r="F1729">
            <v>0.1</v>
          </cell>
          <cell r="G1729">
            <v>0.2</v>
          </cell>
          <cell r="L1729">
            <v>0.16000000000000003</v>
          </cell>
          <cell r="M1729">
            <v>8</v>
          </cell>
          <cell r="N1729">
            <v>9.9999999999999978E-2</v>
          </cell>
          <cell r="O1729">
            <v>0.79999999999999982</v>
          </cell>
          <cell r="Q1729" t="str">
            <v>3/8"</v>
          </cell>
          <cell r="R1729">
            <v>2</v>
          </cell>
          <cell r="S1729">
            <v>9.3000000000000007</v>
          </cell>
          <cell r="T1729">
            <v>1</v>
          </cell>
          <cell r="U1729">
            <v>0</v>
          </cell>
          <cell r="V1729">
            <v>0</v>
          </cell>
          <cell r="W1729">
            <v>0</v>
          </cell>
          <cell r="X1729">
            <v>10.416000000000002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</row>
        <row r="1730">
          <cell r="C1730">
            <v>1</v>
          </cell>
          <cell r="D1730">
            <v>1</v>
          </cell>
          <cell r="Q1730" t="str">
            <v>1/4"</v>
          </cell>
          <cell r="R1730">
            <v>33</v>
          </cell>
          <cell r="S1730">
            <v>0.60000000000000009</v>
          </cell>
          <cell r="T1730">
            <v>0</v>
          </cell>
          <cell r="U1730">
            <v>4.9500000000000011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</row>
        <row r="1731">
          <cell r="B1731" t="str">
            <v>CORTE 2</v>
          </cell>
          <cell r="C1731">
            <v>1</v>
          </cell>
          <cell r="D1731">
            <v>2</v>
          </cell>
          <cell r="E1731">
            <v>3.35</v>
          </cell>
          <cell r="F1731">
            <v>0.2</v>
          </cell>
          <cell r="G1731">
            <v>0.2</v>
          </cell>
          <cell r="L1731">
            <v>0.26800000000000002</v>
          </cell>
          <cell r="M1731">
            <v>3.35</v>
          </cell>
          <cell r="N1731">
            <v>0.20000000000000007</v>
          </cell>
          <cell r="O1731">
            <v>1.3400000000000005</v>
          </cell>
          <cell r="Q1731" t="str">
            <v>3/8"</v>
          </cell>
          <cell r="R1731">
            <v>4</v>
          </cell>
          <cell r="S1731">
            <v>4.6499999999999995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20.832000000000001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</row>
        <row r="1732">
          <cell r="C1732">
            <v>1</v>
          </cell>
          <cell r="D1732">
            <v>2</v>
          </cell>
          <cell r="Q1732" t="str">
            <v>1/4"</v>
          </cell>
          <cell r="R1732">
            <v>14</v>
          </cell>
          <cell r="S1732">
            <v>0.8</v>
          </cell>
          <cell r="T1732">
            <v>0</v>
          </cell>
          <cell r="U1732">
            <v>5.6000000000000005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</row>
        <row r="1733">
          <cell r="B1733" t="str">
            <v>CORTE 2</v>
          </cell>
          <cell r="C1733">
            <v>1</v>
          </cell>
          <cell r="D1733">
            <v>1</v>
          </cell>
          <cell r="E1733">
            <v>3.15</v>
          </cell>
          <cell r="F1733">
            <v>0.2</v>
          </cell>
          <cell r="G1733">
            <v>0.2</v>
          </cell>
          <cell r="L1733">
            <v>0.126</v>
          </cell>
          <cell r="M1733">
            <v>3.15</v>
          </cell>
          <cell r="N1733">
            <v>0.20000000000000007</v>
          </cell>
          <cell r="O1733">
            <v>0.63000000000000023</v>
          </cell>
          <cell r="Q1733" t="str">
            <v>3/8"</v>
          </cell>
          <cell r="R1733">
            <v>4</v>
          </cell>
          <cell r="S1733">
            <v>4.45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9.9680000000000017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</row>
        <row r="1734">
          <cell r="C1734">
            <v>1</v>
          </cell>
          <cell r="D1734">
            <v>1</v>
          </cell>
          <cell r="Q1734" t="str">
            <v>1/4"</v>
          </cell>
          <cell r="R1734">
            <v>13</v>
          </cell>
          <cell r="S1734">
            <v>0.8</v>
          </cell>
          <cell r="T1734">
            <v>0</v>
          </cell>
          <cell r="U1734">
            <v>2.6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</row>
        <row r="1735">
          <cell r="B1735" t="str">
            <v>CORTE 3</v>
          </cell>
          <cell r="C1735">
            <v>1</v>
          </cell>
          <cell r="D1735">
            <v>1</v>
          </cell>
          <cell r="E1735">
            <v>3.35</v>
          </cell>
          <cell r="F1735">
            <v>0.2</v>
          </cell>
          <cell r="G1735">
            <v>0.2</v>
          </cell>
          <cell r="L1735">
            <v>0.13400000000000001</v>
          </cell>
          <cell r="M1735">
            <v>3.35</v>
          </cell>
          <cell r="N1735">
            <v>0.20000000000000007</v>
          </cell>
          <cell r="O1735">
            <v>0.67000000000000026</v>
          </cell>
          <cell r="Q1735" t="str">
            <v>1/2"</v>
          </cell>
          <cell r="R1735">
            <v>2</v>
          </cell>
          <cell r="S1735">
            <v>4.6499999999999995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9.206999999999999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</row>
        <row r="1736">
          <cell r="C1736">
            <v>1</v>
          </cell>
          <cell r="D1736">
            <v>1</v>
          </cell>
          <cell r="Q1736" t="str">
            <v>3/8"</v>
          </cell>
          <cell r="R1736">
            <v>2</v>
          </cell>
          <cell r="S1736">
            <v>4.6499999999999995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5.2080000000000002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</row>
        <row r="1737">
          <cell r="C1737">
            <v>1</v>
          </cell>
          <cell r="D1737">
            <v>1</v>
          </cell>
          <cell r="Q1737" t="str">
            <v>3/8"</v>
          </cell>
          <cell r="R1737">
            <v>14</v>
          </cell>
          <cell r="S1737">
            <v>0.8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6.2720000000000011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</row>
        <row r="1738">
          <cell r="B1738" t="str">
            <v>CORTE 3</v>
          </cell>
          <cell r="C1738">
            <v>1</v>
          </cell>
          <cell r="D1738">
            <v>2</v>
          </cell>
          <cell r="E1738">
            <v>2.75</v>
          </cell>
          <cell r="F1738">
            <v>0.2</v>
          </cell>
          <cell r="G1738">
            <v>0.2</v>
          </cell>
          <cell r="L1738">
            <v>0.22000000000000003</v>
          </cell>
          <cell r="M1738">
            <v>2.75</v>
          </cell>
          <cell r="N1738">
            <v>0.20000000000000007</v>
          </cell>
          <cell r="O1738">
            <v>1.1000000000000003</v>
          </cell>
          <cell r="Q1738" t="str">
            <v>1/2"</v>
          </cell>
          <cell r="R1738">
            <v>2</v>
          </cell>
          <cell r="S1738">
            <v>4.05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16.038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</row>
        <row r="1739">
          <cell r="C1739">
            <v>1</v>
          </cell>
          <cell r="D1739">
            <v>2</v>
          </cell>
          <cell r="Q1739" t="str">
            <v>3/8"</v>
          </cell>
          <cell r="R1739">
            <v>2</v>
          </cell>
          <cell r="S1739">
            <v>4.05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9.072000000000001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</row>
        <row r="1740">
          <cell r="C1740">
            <v>1</v>
          </cell>
          <cell r="D1740">
            <v>2</v>
          </cell>
          <cell r="Q1740" t="str">
            <v>3/8"</v>
          </cell>
          <cell r="R1740">
            <v>12</v>
          </cell>
          <cell r="S1740">
            <v>0.8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10.752000000000002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</row>
        <row r="1741">
          <cell r="B1741" t="str">
            <v>CORTE 3</v>
          </cell>
          <cell r="C1741">
            <v>1</v>
          </cell>
          <cell r="D1741">
            <v>1</v>
          </cell>
          <cell r="E1741">
            <v>2.8</v>
          </cell>
          <cell r="F1741">
            <v>0.2</v>
          </cell>
          <cell r="G1741">
            <v>0.2</v>
          </cell>
          <cell r="L1741">
            <v>0.11199999999999999</v>
          </cell>
          <cell r="M1741">
            <v>2.8</v>
          </cell>
          <cell r="N1741">
            <v>0.20000000000000007</v>
          </cell>
          <cell r="O1741">
            <v>0.56000000000000016</v>
          </cell>
          <cell r="Q1741" t="str">
            <v>1/2"</v>
          </cell>
          <cell r="R1741">
            <v>2</v>
          </cell>
          <cell r="S1741">
            <v>4.0999999999999996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8.1179999999999986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</row>
        <row r="1742">
          <cell r="C1742">
            <v>1</v>
          </cell>
          <cell r="D1742">
            <v>1</v>
          </cell>
          <cell r="Q1742" t="str">
            <v>3/8"</v>
          </cell>
          <cell r="R1742">
            <v>2</v>
          </cell>
          <cell r="S1742">
            <v>4.0999999999999996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4.5919999999999996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</row>
        <row r="1743">
          <cell r="C1743">
            <v>1</v>
          </cell>
          <cell r="D1743">
            <v>1</v>
          </cell>
          <cell r="Q1743" t="str">
            <v>3/8"</v>
          </cell>
          <cell r="R1743">
            <v>12</v>
          </cell>
          <cell r="S1743">
            <v>0.8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5.3760000000000012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</row>
        <row r="1744">
          <cell r="B1744" t="str">
            <v>CORTE 4</v>
          </cell>
          <cell r="C1744">
            <v>1</v>
          </cell>
          <cell r="D1744">
            <v>2</v>
          </cell>
          <cell r="E1744">
            <v>5.55</v>
          </cell>
          <cell r="F1744">
            <v>0.25</v>
          </cell>
          <cell r="G1744">
            <v>0.2</v>
          </cell>
          <cell r="L1744">
            <v>0.55500000000000005</v>
          </cell>
          <cell r="M1744">
            <v>5.55</v>
          </cell>
          <cell r="N1744">
            <v>0.25</v>
          </cell>
          <cell r="O1744">
            <v>2.7749999999999999</v>
          </cell>
          <cell r="Q1744" t="str">
            <v>1/2"</v>
          </cell>
          <cell r="R1744">
            <v>5</v>
          </cell>
          <cell r="S1744">
            <v>6.85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67.814999999999998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</row>
        <row r="1745">
          <cell r="C1745">
            <v>1</v>
          </cell>
          <cell r="D1745">
            <v>2</v>
          </cell>
          <cell r="Q1745" t="str">
            <v>3/8"</v>
          </cell>
          <cell r="R1745">
            <v>23</v>
          </cell>
          <cell r="S1745">
            <v>0.9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23.184000000000001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</row>
        <row r="1746">
          <cell r="B1746" t="str">
            <v>CORTE 4</v>
          </cell>
          <cell r="C1746">
            <v>1</v>
          </cell>
          <cell r="D1746">
            <v>1</v>
          </cell>
          <cell r="F1746">
            <v>0.25</v>
          </cell>
          <cell r="G1746">
            <v>0.2</v>
          </cell>
          <cell r="L1746">
            <v>0.05</v>
          </cell>
          <cell r="M1746">
            <v>0</v>
          </cell>
          <cell r="N1746">
            <v>0.25</v>
          </cell>
          <cell r="O1746">
            <v>0</v>
          </cell>
          <cell r="Q1746" t="str">
            <v>1/2"</v>
          </cell>
          <cell r="R1746">
            <v>5</v>
          </cell>
          <cell r="S1746">
            <v>1.3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6.4349999999999996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</row>
        <row r="1747">
          <cell r="C1747">
            <v>1</v>
          </cell>
          <cell r="D1747">
            <v>1</v>
          </cell>
          <cell r="Q1747" t="str">
            <v>3/8"</v>
          </cell>
          <cell r="R1747">
            <v>1</v>
          </cell>
          <cell r="S1747">
            <v>0.9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0.50400000000000011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</row>
        <row r="1748">
          <cell r="B1748" t="str">
            <v>CORTE 5</v>
          </cell>
          <cell r="C1748">
            <v>1</v>
          </cell>
          <cell r="D1748">
            <v>2</v>
          </cell>
          <cell r="E1748">
            <v>5.55</v>
          </cell>
          <cell r="F1748">
            <v>0.3</v>
          </cell>
          <cell r="G1748">
            <v>0.2</v>
          </cell>
          <cell r="L1748">
            <v>0.66599999999999993</v>
          </cell>
          <cell r="M1748">
            <v>5.55</v>
          </cell>
          <cell r="N1748">
            <v>0.29999999999999993</v>
          </cell>
          <cell r="O1748">
            <v>3.3299999999999992</v>
          </cell>
          <cell r="Q1748" t="str">
            <v>1/2"</v>
          </cell>
          <cell r="R1748">
            <v>3</v>
          </cell>
          <cell r="S1748">
            <v>6.85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40.688999999999993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</row>
        <row r="1749">
          <cell r="C1749">
            <v>1</v>
          </cell>
          <cell r="D1749">
            <v>2</v>
          </cell>
          <cell r="Q1749" t="str">
            <v>5/8"</v>
          </cell>
          <cell r="R1749">
            <v>2</v>
          </cell>
          <cell r="S1749">
            <v>6.85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42.47</v>
          </cell>
          <cell r="AB1749">
            <v>0</v>
          </cell>
          <cell r="AC1749">
            <v>0</v>
          </cell>
          <cell r="AD1749">
            <v>0</v>
          </cell>
        </row>
        <row r="1750">
          <cell r="C1750">
            <v>1</v>
          </cell>
          <cell r="D1750">
            <v>2</v>
          </cell>
          <cell r="Q1750" t="str">
            <v>3/8"</v>
          </cell>
          <cell r="R1750">
            <v>23</v>
          </cell>
          <cell r="S1750">
            <v>1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25.76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</row>
        <row r="1751">
          <cell r="B1751" t="str">
            <v>CORTE 7</v>
          </cell>
          <cell r="C1751">
            <v>1</v>
          </cell>
          <cell r="D1751">
            <v>1</v>
          </cell>
          <cell r="E1751">
            <v>3.15</v>
          </cell>
          <cell r="F1751">
            <v>0.3</v>
          </cell>
          <cell r="G1751">
            <v>0.2</v>
          </cell>
          <cell r="L1751">
            <v>0.189</v>
          </cell>
          <cell r="M1751">
            <v>3.15</v>
          </cell>
          <cell r="N1751">
            <v>0.29999999999999993</v>
          </cell>
          <cell r="O1751">
            <v>0.94499999999999973</v>
          </cell>
          <cell r="Q1751" t="str">
            <v>1/2"</v>
          </cell>
          <cell r="R1751">
            <v>3</v>
          </cell>
          <cell r="S1751">
            <v>4.45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13.216500000000002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</row>
        <row r="1752">
          <cell r="C1752">
            <v>1</v>
          </cell>
          <cell r="D1752">
            <v>1</v>
          </cell>
          <cell r="Q1752" t="str">
            <v>5/8"</v>
          </cell>
          <cell r="R1752">
            <v>2</v>
          </cell>
          <cell r="S1752">
            <v>4.45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13.795000000000002</v>
          </cell>
          <cell r="AB1752">
            <v>0</v>
          </cell>
          <cell r="AC1752">
            <v>0</v>
          </cell>
          <cell r="AD1752">
            <v>0</v>
          </cell>
        </row>
        <row r="1753">
          <cell r="C1753">
            <v>1</v>
          </cell>
          <cell r="D1753">
            <v>1</v>
          </cell>
          <cell r="Q1753" t="str">
            <v>3/8"</v>
          </cell>
          <cell r="R1753">
            <v>13</v>
          </cell>
          <cell r="S1753">
            <v>1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7.2800000000000011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</row>
        <row r="1754"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</row>
        <row r="1755">
          <cell r="B1755" t="str">
            <v>PISO 2-14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</row>
        <row r="1756"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</row>
        <row r="1757">
          <cell r="B1757" t="str">
            <v>CORTE 1</v>
          </cell>
          <cell r="C1757">
            <v>12</v>
          </cell>
          <cell r="D1757">
            <v>2</v>
          </cell>
          <cell r="E1757">
            <v>0.7</v>
          </cell>
          <cell r="F1757">
            <v>0.1</v>
          </cell>
          <cell r="G1757">
            <v>0.2</v>
          </cell>
          <cell r="L1757">
            <v>0.33599999999999997</v>
          </cell>
          <cell r="M1757">
            <v>0.7</v>
          </cell>
          <cell r="N1757">
            <v>9.9999999999999978E-2</v>
          </cell>
          <cell r="O1757">
            <v>1.6799999999999995</v>
          </cell>
          <cell r="Q1757" t="str">
            <v>3/8"</v>
          </cell>
          <cell r="R1757">
            <v>2</v>
          </cell>
          <cell r="S1757">
            <v>2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53.760000000000005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</row>
        <row r="1758">
          <cell r="C1758">
            <v>12</v>
          </cell>
          <cell r="D1758">
            <v>2</v>
          </cell>
          <cell r="Q1758" t="str">
            <v>1/4"</v>
          </cell>
          <cell r="R1758">
            <v>3</v>
          </cell>
          <cell r="S1758">
            <v>0.60000000000000009</v>
          </cell>
          <cell r="T1758">
            <v>0</v>
          </cell>
          <cell r="U1758">
            <v>10.8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</row>
        <row r="1759">
          <cell r="B1759" t="str">
            <v>CORTE 1</v>
          </cell>
          <cell r="C1759">
            <v>12</v>
          </cell>
          <cell r="D1759">
            <v>1</v>
          </cell>
          <cell r="E1759">
            <v>1.8</v>
          </cell>
          <cell r="F1759">
            <v>0.1</v>
          </cell>
          <cell r="G1759">
            <v>0.2</v>
          </cell>
          <cell r="L1759">
            <v>0.43200000000000005</v>
          </cell>
          <cell r="M1759">
            <v>1.8</v>
          </cell>
          <cell r="N1759">
            <v>9.9999999999999978E-2</v>
          </cell>
          <cell r="O1759">
            <v>2.1599999999999997</v>
          </cell>
          <cell r="Q1759" t="str">
            <v>3/8"</v>
          </cell>
          <cell r="R1759">
            <v>2</v>
          </cell>
          <cell r="S1759">
            <v>3.0999999999999996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41.664000000000001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</row>
        <row r="1760">
          <cell r="C1760">
            <v>12</v>
          </cell>
          <cell r="D1760">
            <v>1</v>
          </cell>
          <cell r="Q1760" t="str">
            <v>1/4"</v>
          </cell>
          <cell r="R1760">
            <v>8</v>
          </cell>
          <cell r="S1760">
            <v>0.60000000000000009</v>
          </cell>
          <cell r="T1760">
            <v>0</v>
          </cell>
          <cell r="U1760">
            <v>14.400000000000002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</row>
        <row r="1761">
          <cell r="B1761" t="str">
            <v>CORTE 1</v>
          </cell>
          <cell r="C1761">
            <v>12</v>
          </cell>
          <cell r="D1761">
            <v>1</v>
          </cell>
          <cell r="E1761">
            <v>2.5</v>
          </cell>
          <cell r="F1761">
            <v>0.1</v>
          </cell>
          <cell r="G1761">
            <v>0.2</v>
          </cell>
          <cell r="L1761">
            <v>0.60000000000000009</v>
          </cell>
          <cell r="M1761">
            <v>2.5</v>
          </cell>
          <cell r="N1761">
            <v>9.9999999999999978E-2</v>
          </cell>
          <cell r="O1761">
            <v>2.9999999999999991</v>
          </cell>
          <cell r="Q1761" t="str">
            <v>3/8"</v>
          </cell>
          <cell r="R1761">
            <v>2</v>
          </cell>
          <cell r="S1761">
            <v>3.8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51.072000000000003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</row>
        <row r="1762">
          <cell r="C1762">
            <v>12</v>
          </cell>
          <cell r="D1762">
            <v>1</v>
          </cell>
          <cell r="Q1762" t="str">
            <v>1/4"</v>
          </cell>
          <cell r="R1762">
            <v>11</v>
          </cell>
          <cell r="S1762">
            <v>0.60000000000000009</v>
          </cell>
          <cell r="T1762">
            <v>0</v>
          </cell>
          <cell r="U1762">
            <v>19.800000000000004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</row>
        <row r="1763">
          <cell r="B1763" t="str">
            <v>CORTE 1</v>
          </cell>
          <cell r="C1763">
            <v>12</v>
          </cell>
          <cell r="D1763">
            <v>1</v>
          </cell>
          <cell r="E1763">
            <v>5.95</v>
          </cell>
          <cell r="F1763">
            <v>0.1</v>
          </cell>
          <cell r="G1763">
            <v>0.2</v>
          </cell>
          <cell r="L1763">
            <v>1.4280000000000002</v>
          </cell>
          <cell r="M1763">
            <v>5.95</v>
          </cell>
          <cell r="N1763">
            <v>9.9999999999999978E-2</v>
          </cell>
          <cell r="O1763">
            <v>7.1399999999999988</v>
          </cell>
          <cell r="Q1763" t="str">
            <v>3/8"</v>
          </cell>
          <cell r="R1763">
            <v>2</v>
          </cell>
          <cell r="S1763">
            <v>7.25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97.440000000000012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</row>
        <row r="1764">
          <cell r="C1764">
            <v>12</v>
          </cell>
          <cell r="D1764">
            <v>1</v>
          </cell>
          <cell r="Q1764" t="str">
            <v>1/4"</v>
          </cell>
          <cell r="R1764">
            <v>24</v>
          </cell>
          <cell r="S1764">
            <v>0.60000000000000009</v>
          </cell>
          <cell r="T1764">
            <v>0</v>
          </cell>
          <cell r="U1764">
            <v>43.2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</row>
        <row r="1765">
          <cell r="B1765" t="str">
            <v>CORTE 1</v>
          </cell>
          <cell r="C1765">
            <v>12</v>
          </cell>
          <cell r="D1765">
            <v>1</v>
          </cell>
          <cell r="E1765">
            <v>1.5</v>
          </cell>
          <cell r="F1765">
            <v>0.1</v>
          </cell>
          <cell r="G1765">
            <v>0.2</v>
          </cell>
          <cell r="L1765">
            <v>0.36000000000000004</v>
          </cell>
          <cell r="M1765">
            <v>1.5</v>
          </cell>
          <cell r="N1765">
            <v>9.9999999999999978E-2</v>
          </cell>
          <cell r="O1765">
            <v>1.7999999999999996</v>
          </cell>
          <cell r="Q1765" t="str">
            <v>3/8"</v>
          </cell>
          <cell r="R1765">
            <v>2</v>
          </cell>
          <cell r="S1765">
            <v>2.8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37.632000000000005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</row>
        <row r="1766">
          <cell r="C1766">
            <v>12</v>
          </cell>
          <cell r="D1766">
            <v>1</v>
          </cell>
          <cell r="Q1766" t="str">
            <v>1/4"</v>
          </cell>
          <cell r="R1766">
            <v>7</v>
          </cell>
          <cell r="S1766">
            <v>0.60000000000000009</v>
          </cell>
          <cell r="T1766">
            <v>0</v>
          </cell>
          <cell r="U1766">
            <v>12.600000000000003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</row>
        <row r="1767">
          <cell r="B1767" t="str">
            <v>CORTE 1</v>
          </cell>
          <cell r="C1767">
            <v>12</v>
          </cell>
          <cell r="D1767">
            <v>1</v>
          </cell>
          <cell r="E1767">
            <v>1.3</v>
          </cell>
          <cell r="F1767">
            <v>0.1</v>
          </cell>
          <cell r="G1767">
            <v>0.2</v>
          </cell>
          <cell r="L1767">
            <v>0.31200000000000006</v>
          </cell>
          <cell r="M1767">
            <v>1.3</v>
          </cell>
          <cell r="N1767">
            <v>9.9999999999999978E-2</v>
          </cell>
          <cell r="O1767">
            <v>1.5599999999999996</v>
          </cell>
          <cell r="Q1767" t="str">
            <v>3/8"</v>
          </cell>
          <cell r="R1767">
            <v>2</v>
          </cell>
          <cell r="S1767">
            <v>2.5999999999999996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34.944000000000003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</row>
        <row r="1768">
          <cell r="C1768">
            <v>12</v>
          </cell>
          <cell r="D1768">
            <v>1</v>
          </cell>
          <cell r="Q1768" t="str">
            <v>1/4"</v>
          </cell>
          <cell r="R1768">
            <v>6</v>
          </cell>
          <cell r="S1768">
            <v>0.60000000000000009</v>
          </cell>
          <cell r="T1768">
            <v>0</v>
          </cell>
          <cell r="U1768">
            <v>10.8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</row>
        <row r="1769">
          <cell r="B1769" t="str">
            <v>CORTE 1</v>
          </cell>
          <cell r="C1769">
            <v>12</v>
          </cell>
          <cell r="D1769">
            <v>1</v>
          </cell>
          <cell r="E1769">
            <v>3.65</v>
          </cell>
          <cell r="F1769">
            <v>0.1</v>
          </cell>
          <cell r="G1769">
            <v>0.2</v>
          </cell>
          <cell r="L1769">
            <v>0.876</v>
          </cell>
          <cell r="M1769">
            <v>3.65</v>
          </cell>
          <cell r="N1769">
            <v>9.9999999999999978E-2</v>
          </cell>
          <cell r="O1769">
            <v>4.379999999999999</v>
          </cell>
          <cell r="Q1769" t="str">
            <v>3/8"</v>
          </cell>
          <cell r="R1769">
            <v>2</v>
          </cell>
          <cell r="S1769">
            <v>4.95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66.528000000000006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</row>
        <row r="1770">
          <cell r="C1770">
            <v>12</v>
          </cell>
          <cell r="D1770">
            <v>1</v>
          </cell>
          <cell r="Q1770" t="str">
            <v>1/4"</v>
          </cell>
          <cell r="R1770">
            <v>15</v>
          </cell>
          <cell r="S1770">
            <v>0.60000000000000009</v>
          </cell>
          <cell r="T1770">
            <v>0</v>
          </cell>
          <cell r="U1770">
            <v>27.000000000000007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</row>
        <row r="1771">
          <cell r="B1771" t="str">
            <v>CORTE 1</v>
          </cell>
          <cell r="C1771">
            <v>12</v>
          </cell>
          <cell r="D1771">
            <v>1</v>
          </cell>
          <cell r="E1771">
            <v>8</v>
          </cell>
          <cell r="F1771">
            <v>0.1</v>
          </cell>
          <cell r="G1771">
            <v>0.2</v>
          </cell>
          <cell r="L1771">
            <v>1.9200000000000004</v>
          </cell>
          <cell r="M1771">
            <v>8</v>
          </cell>
          <cell r="N1771">
            <v>9.9999999999999978E-2</v>
          </cell>
          <cell r="O1771">
            <v>9.5999999999999979</v>
          </cell>
          <cell r="Q1771" t="str">
            <v>3/8"</v>
          </cell>
          <cell r="R1771">
            <v>2</v>
          </cell>
          <cell r="S1771">
            <v>9.3000000000000007</v>
          </cell>
          <cell r="T1771">
            <v>1</v>
          </cell>
          <cell r="U1771">
            <v>0</v>
          </cell>
          <cell r="V1771">
            <v>0</v>
          </cell>
          <cell r="W1771">
            <v>0</v>
          </cell>
          <cell r="X1771">
            <v>124.99200000000002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</row>
        <row r="1772">
          <cell r="C1772">
            <v>12</v>
          </cell>
          <cell r="D1772">
            <v>1</v>
          </cell>
          <cell r="Q1772" t="str">
            <v>1/4"</v>
          </cell>
          <cell r="R1772">
            <v>33</v>
          </cell>
          <cell r="S1772">
            <v>0.60000000000000009</v>
          </cell>
          <cell r="T1772">
            <v>0</v>
          </cell>
          <cell r="U1772">
            <v>59.400000000000013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</row>
        <row r="1773">
          <cell r="B1773" t="str">
            <v>CORTE 2</v>
          </cell>
          <cell r="C1773">
            <v>12</v>
          </cell>
          <cell r="D1773">
            <v>2</v>
          </cell>
          <cell r="E1773">
            <v>3.35</v>
          </cell>
          <cell r="F1773">
            <v>0.2</v>
          </cell>
          <cell r="G1773">
            <v>0.2</v>
          </cell>
          <cell r="L1773">
            <v>3.2160000000000006</v>
          </cell>
          <cell r="M1773">
            <v>3.35</v>
          </cell>
          <cell r="N1773">
            <v>0.20000000000000007</v>
          </cell>
          <cell r="O1773">
            <v>16.080000000000005</v>
          </cell>
          <cell r="Q1773" t="str">
            <v>3/8"</v>
          </cell>
          <cell r="R1773">
            <v>4</v>
          </cell>
          <cell r="S1773">
            <v>4.6499999999999995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249.98400000000001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</row>
        <row r="1774">
          <cell r="C1774">
            <v>12</v>
          </cell>
          <cell r="D1774">
            <v>2</v>
          </cell>
          <cell r="Q1774" t="str">
            <v>1/4"</v>
          </cell>
          <cell r="R1774">
            <v>14</v>
          </cell>
          <cell r="S1774">
            <v>0.8</v>
          </cell>
          <cell r="T1774">
            <v>0</v>
          </cell>
          <cell r="U1774">
            <v>67.2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</row>
        <row r="1775">
          <cell r="B1775" t="str">
            <v>CORTE 2</v>
          </cell>
          <cell r="C1775">
            <v>12</v>
          </cell>
          <cell r="D1775">
            <v>1</v>
          </cell>
          <cell r="E1775">
            <v>2.8</v>
          </cell>
          <cell r="F1775">
            <v>0.2</v>
          </cell>
          <cell r="G1775">
            <v>0.2</v>
          </cell>
          <cell r="L1775">
            <v>1.3439999999999999</v>
          </cell>
          <cell r="M1775">
            <v>2.8</v>
          </cell>
          <cell r="N1775">
            <v>0.20000000000000007</v>
          </cell>
          <cell r="O1775">
            <v>6.7200000000000024</v>
          </cell>
          <cell r="Q1775" t="str">
            <v>3/8"</v>
          </cell>
          <cell r="R1775">
            <v>4</v>
          </cell>
          <cell r="S1775">
            <v>4.0999999999999996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110.208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</row>
        <row r="1776">
          <cell r="C1776">
            <v>12</v>
          </cell>
          <cell r="D1776">
            <v>1</v>
          </cell>
          <cell r="Q1776" t="str">
            <v>1/4"</v>
          </cell>
          <cell r="R1776">
            <v>12</v>
          </cell>
          <cell r="S1776">
            <v>0.8</v>
          </cell>
          <cell r="T1776">
            <v>0</v>
          </cell>
          <cell r="U1776">
            <v>28.800000000000004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</row>
        <row r="1777">
          <cell r="B1777" t="str">
            <v>CORTE 3</v>
          </cell>
          <cell r="C1777">
            <v>12</v>
          </cell>
          <cell r="D1777">
            <v>2</v>
          </cell>
          <cell r="E1777">
            <v>2.75</v>
          </cell>
          <cell r="F1777">
            <v>0.2</v>
          </cell>
          <cell r="G1777">
            <v>0.2</v>
          </cell>
          <cell r="L1777">
            <v>2.6400000000000006</v>
          </cell>
          <cell r="M1777">
            <v>2.75</v>
          </cell>
          <cell r="N1777">
            <v>0.20000000000000007</v>
          </cell>
          <cell r="O1777">
            <v>13.200000000000003</v>
          </cell>
          <cell r="Q1777" t="str">
            <v>1/2"</v>
          </cell>
          <cell r="R1777">
            <v>2</v>
          </cell>
          <cell r="S1777">
            <v>4.05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192.45600000000002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</row>
        <row r="1778">
          <cell r="C1778">
            <v>12</v>
          </cell>
          <cell r="D1778">
            <v>2</v>
          </cell>
          <cell r="Q1778" t="str">
            <v>3/8"</v>
          </cell>
          <cell r="R1778">
            <v>2</v>
          </cell>
          <cell r="S1778">
            <v>4.05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108.864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</row>
        <row r="1779">
          <cell r="C1779">
            <v>12</v>
          </cell>
          <cell r="D1779">
            <v>2</v>
          </cell>
          <cell r="Q1779" t="str">
            <v>3/8"</v>
          </cell>
          <cell r="R1779">
            <v>12</v>
          </cell>
          <cell r="S1779">
            <v>0.8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129.02400000000003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</row>
        <row r="1780">
          <cell r="B1780" t="str">
            <v>CORTE 4</v>
          </cell>
          <cell r="C1780">
            <v>12</v>
          </cell>
          <cell r="D1780">
            <v>2</v>
          </cell>
          <cell r="E1780">
            <v>5.55</v>
          </cell>
          <cell r="F1780">
            <v>0.25</v>
          </cell>
          <cell r="G1780">
            <v>0.2</v>
          </cell>
          <cell r="L1780">
            <v>6.66</v>
          </cell>
          <cell r="M1780">
            <v>5.55</v>
          </cell>
          <cell r="N1780">
            <v>0.25</v>
          </cell>
          <cell r="O1780">
            <v>33.299999999999997</v>
          </cell>
          <cell r="Q1780" t="str">
            <v>1/2"</v>
          </cell>
          <cell r="R1780">
            <v>5</v>
          </cell>
          <cell r="S1780">
            <v>6.85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813.78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</row>
        <row r="1781">
          <cell r="C1781">
            <v>12</v>
          </cell>
          <cell r="D1781">
            <v>2</v>
          </cell>
          <cell r="Q1781" t="str">
            <v>3/8"</v>
          </cell>
          <cell r="R1781">
            <v>23</v>
          </cell>
          <cell r="S1781">
            <v>0.9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278.20800000000003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</row>
        <row r="1782">
          <cell r="B1782" t="str">
            <v>CORTE 4</v>
          </cell>
          <cell r="C1782">
            <v>12</v>
          </cell>
          <cell r="D1782">
            <v>1</v>
          </cell>
          <cell r="F1782">
            <v>0.25</v>
          </cell>
          <cell r="G1782">
            <v>0.2</v>
          </cell>
          <cell r="L1782">
            <v>0.60000000000000009</v>
          </cell>
          <cell r="M1782">
            <v>0</v>
          </cell>
          <cell r="N1782">
            <v>0.25</v>
          </cell>
          <cell r="O1782">
            <v>0</v>
          </cell>
          <cell r="Q1782" t="str">
            <v>1/2"</v>
          </cell>
          <cell r="R1782">
            <v>5</v>
          </cell>
          <cell r="S1782">
            <v>1.3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77.22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</row>
        <row r="1783">
          <cell r="C1783">
            <v>12</v>
          </cell>
          <cell r="D1783">
            <v>1</v>
          </cell>
          <cell r="Q1783" t="str">
            <v>3/8"</v>
          </cell>
          <cell r="R1783">
            <v>1</v>
          </cell>
          <cell r="S1783">
            <v>0.9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6.0480000000000018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</row>
        <row r="1784">
          <cell r="B1784" t="str">
            <v>CORTE 5</v>
          </cell>
          <cell r="C1784">
            <v>12</v>
          </cell>
          <cell r="D1784">
            <v>2</v>
          </cell>
          <cell r="E1784">
            <v>5.55</v>
          </cell>
          <cell r="F1784">
            <v>0.3</v>
          </cell>
          <cell r="G1784">
            <v>0.2</v>
          </cell>
          <cell r="L1784">
            <v>7.9919999999999991</v>
          </cell>
          <cell r="M1784">
            <v>5.55</v>
          </cell>
          <cell r="N1784">
            <v>0.29999999999999993</v>
          </cell>
          <cell r="O1784">
            <v>39.959999999999994</v>
          </cell>
          <cell r="Q1784" t="str">
            <v>1/2"</v>
          </cell>
          <cell r="R1784">
            <v>3</v>
          </cell>
          <cell r="S1784">
            <v>6.85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488.26799999999992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</row>
        <row r="1785">
          <cell r="C1785">
            <v>12</v>
          </cell>
          <cell r="D1785">
            <v>2</v>
          </cell>
          <cell r="Q1785" t="str">
            <v>5/8"</v>
          </cell>
          <cell r="R1785">
            <v>2</v>
          </cell>
          <cell r="S1785">
            <v>6.85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509.64</v>
          </cell>
          <cell r="AB1785">
            <v>0</v>
          </cell>
          <cell r="AC1785">
            <v>0</v>
          </cell>
          <cell r="AD1785">
            <v>0</v>
          </cell>
        </row>
        <row r="1786">
          <cell r="C1786">
            <v>12</v>
          </cell>
          <cell r="D1786">
            <v>2</v>
          </cell>
          <cell r="Q1786" t="str">
            <v>3/8"</v>
          </cell>
          <cell r="R1786">
            <v>23</v>
          </cell>
          <cell r="S1786">
            <v>1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309.12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</row>
        <row r="1787">
          <cell r="B1787" t="str">
            <v>CORTE 7</v>
          </cell>
          <cell r="C1787">
            <v>12</v>
          </cell>
          <cell r="D1787">
            <v>1</v>
          </cell>
          <cell r="E1787">
            <v>3.15</v>
          </cell>
          <cell r="F1787">
            <v>0.3</v>
          </cell>
          <cell r="G1787">
            <v>0.2</v>
          </cell>
          <cell r="L1787">
            <v>2.2679999999999998</v>
          </cell>
          <cell r="M1787">
            <v>3.15</v>
          </cell>
          <cell r="N1787">
            <v>0.29999999999999993</v>
          </cell>
          <cell r="O1787">
            <v>11.339999999999996</v>
          </cell>
          <cell r="Q1787" t="str">
            <v>1/2"</v>
          </cell>
          <cell r="R1787">
            <v>3</v>
          </cell>
          <cell r="S1787">
            <v>4.45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158.59800000000001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</row>
        <row r="1788">
          <cell r="C1788">
            <v>12</v>
          </cell>
          <cell r="D1788">
            <v>1</v>
          </cell>
          <cell r="Q1788" t="str">
            <v>5/8"</v>
          </cell>
          <cell r="R1788">
            <v>2</v>
          </cell>
          <cell r="S1788">
            <v>4.45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165.54000000000002</v>
          </cell>
          <cell r="AB1788">
            <v>0</v>
          </cell>
          <cell r="AC1788">
            <v>0</v>
          </cell>
          <cell r="AD1788">
            <v>0</v>
          </cell>
        </row>
        <row r="1789">
          <cell r="C1789">
            <v>12</v>
          </cell>
          <cell r="D1789">
            <v>1</v>
          </cell>
          <cell r="Q1789" t="str">
            <v>3/8"</v>
          </cell>
          <cell r="R1789">
            <v>13</v>
          </cell>
          <cell r="S1789">
            <v>1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87.360000000000014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</row>
        <row r="1790"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</row>
        <row r="1791">
          <cell r="B1791" t="str">
            <v>PISO 14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</row>
        <row r="1792"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</row>
        <row r="1793">
          <cell r="B1793" t="str">
            <v>CORTE 1</v>
          </cell>
          <cell r="C1793">
            <v>1</v>
          </cell>
          <cell r="D1793">
            <v>2</v>
          </cell>
          <cell r="E1793">
            <v>0.7</v>
          </cell>
          <cell r="F1793">
            <v>0.1</v>
          </cell>
          <cell r="G1793">
            <v>0.2</v>
          </cell>
          <cell r="L1793">
            <v>2.7999999999999997E-2</v>
          </cell>
          <cell r="M1793">
            <v>0.7</v>
          </cell>
          <cell r="N1793">
            <v>9.9999999999999978E-2</v>
          </cell>
          <cell r="O1793">
            <v>0.13999999999999996</v>
          </cell>
          <cell r="Q1793" t="str">
            <v>3/8"</v>
          </cell>
          <cell r="R1793">
            <v>2</v>
          </cell>
          <cell r="S1793">
            <v>2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4.4800000000000004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</row>
        <row r="1794">
          <cell r="C1794">
            <v>1</v>
          </cell>
          <cell r="D1794">
            <v>2</v>
          </cell>
          <cell r="Q1794" t="str">
            <v>1/4"</v>
          </cell>
          <cell r="R1794">
            <v>3</v>
          </cell>
          <cell r="S1794">
            <v>0.60000000000000009</v>
          </cell>
          <cell r="T1794">
            <v>0</v>
          </cell>
          <cell r="U1794">
            <v>0.90000000000000013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</row>
        <row r="1795">
          <cell r="B1795" t="str">
            <v>CORTE 1</v>
          </cell>
          <cell r="C1795">
            <v>1</v>
          </cell>
          <cell r="D1795">
            <v>1</v>
          </cell>
          <cell r="E1795">
            <v>1.8</v>
          </cell>
          <cell r="F1795">
            <v>0.1</v>
          </cell>
          <cell r="G1795">
            <v>0.2</v>
          </cell>
          <cell r="L1795">
            <v>3.6000000000000004E-2</v>
          </cell>
          <cell r="M1795">
            <v>1.8</v>
          </cell>
          <cell r="N1795">
            <v>9.9999999999999978E-2</v>
          </cell>
          <cell r="O1795">
            <v>0.17999999999999997</v>
          </cell>
          <cell r="Q1795" t="str">
            <v>3/8"</v>
          </cell>
          <cell r="R1795">
            <v>2</v>
          </cell>
          <cell r="S1795">
            <v>3.0999999999999996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3.472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</row>
        <row r="1796">
          <cell r="C1796">
            <v>1</v>
          </cell>
          <cell r="D1796">
            <v>1</v>
          </cell>
          <cell r="Q1796" t="str">
            <v>1/4"</v>
          </cell>
          <cell r="R1796">
            <v>8</v>
          </cell>
          <cell r="S1796">
            <v>0.60000000000000009</v>
          </cell>
          <cell r="T1796">
            <v>0</v>
          </cell>
          <cell r="U1796">
            <v>1.2000000000000002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</row>
        <row r="1797">
          <cell r="B1797" t="str">
            <v>CORTE 1</v>
          </cell>
          <cell r="C1797">
            <v>1</v>
          </cell>
          <cell r="D1797">
            <v>1</v>
          </cell>
          <cell r="E1797">
            <v>2.5</v>
          </cell>
          <cell r="F1797">
            <v>0.1</v>
          </cell>
          <cell r="G1797">
            <v>0.2</v>
          </cell>
          <cell r="L1797">
            <v>0.05</v>
          </cell>
          <cell r="M1797">
            <v>2.5</v>
          </cell>
          <cell r="N1797">
            <v>9.9999999999999978E-2</v>
          </cell>
          <cell r="O1797">
            <v>0.24999999999999994</v>
          </cell>
          <cell r="Q1797" t="str">
            <v>3/8"</v>
          </cell>
          <cell r="R1797">
            <v>2</v>
          </cell>
          <cell r="S1797">
            <v>3.8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4.2560000000000002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</row>
        <row r="1798">
          <cell r="C1798">
            <v>1</v>
          </cell>
          <cell r="D1798">
            <v>1</v>
          </cell>
          <cell r="Q1798" t="str">
            <v>1/4"</v>
          </cell>
          <cell r="R1798">
            <v>11</v>
          </cell>
          <cell r="S1798">
            <v>0.60000000000000009</v>
          </cell>
          <cell r="T1798">
            <v>0</v>
          </cell>
          <cell r="U1798">
            <v>1.6500000000000004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</row>
        <row r="1799">
          <cell r="B1799" t="str">
            <v>CORTE 1</v>
          </cell>
          <cell r="C1799">
            <v>1</v>
          </cell>
          <cell r="D1799">
            <v>1</v>
          </cell>
          <cell r="E1799">
            <v>5.95</v>
          </cell>
          <cell r="F1799">
            <v>0.1</v>
          </cell>
          <cell r="G1799">
            <v>0.2</v>
          </cell>
          <cell r="L1799">
            <v>0.11900000000000002</v>
          </cell>
          <cell r="M1799">
            <v>5.95</v>
          </cell>
          <cell r="N1799">
            <v>9.9999999999999978E-2</v>
          </cell>
          <cell r="O1799">
            <v>0.59499999999999986</v>
          </cell>
          <cell r="Q1799" t="str">
            <v>3/8"</v>
          </cell>
          <cell r="R1799">
            <v>2</v>
          </cell>
          <cell r="S1799">
            <v>7.25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8.120000000000001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</row>
        <row r="1800">
          <cell r="C1800">
            <v>1</v>
          </cell>
          <cell r="D1800">
            <v>1</v>
          </cell>
          <cell r="Q1800" t="str">
            <v>1/4"</v>
          </cell>
          <cell r="R1800">
            <v>24</v>
          </cell>
          <cell r="S1800">
            <v>0.60000000000000009</v>
          </cell>
          <cell r="T1800">
            <v>0</v>
          </cell>
          <cell r="U1800">
            <v>3.6000000000000005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</row>
        <row r="1801">
          <cell r="B1801" t="str">
            <v>CORTE 1</v>
          </cell>
          <cell r="C1801">
            <v>1</v>
          </cell>
          <cell r="D1801">
            <v>1</v>
          </cell>
          <cell r="E1801">
            <v>1.5</v>
          </cell>
          <cell r="F1801">
            <v>0.1</v>
          </cell>
          <cell r="G1801">
            <v>0.2</v>
          </cell>
          <cell r="L1801">
            <v>3.0000000000000006E-2</v>
          </cell>
          <cell r="M1801">
            <v>1.5</v>
          </cell>
          <cell r="N1801">
            <v>9.9999999999999978E-2</v>
          </cell>
          <cell r="O1801">
            <v>0.14999999999999997</v>
          </cell>
          <cell r="Q1801" t="str">
            <v>3/8"</v>
          </cell>
          <cell r="R1801">
            <v>2</v>
          </cell>
          <cell r="S1801">
            <v>2.8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3.1360000000000001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</row>
        <row r="1802">
          <cell r="C1802">
            <v>1</v>
          </cell>
          <cell r="D1802">
            <v>1</v>
          </cell>
          <cell r="Q1802" t="str">
            <v>1/4"</v>
          </cell>
          <cell r="R1802">
            <v>7</v>
          </cell>
          <cell r="S1802">
            <v>0.60000000000000009</v>
          </cell>
          <cell r="T1802">
            <v>0</v>
          </cell>
          <cell r="U1802">
            <v>1.0500000000000003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</row>
        <row r="1803">
          <cell r="B1803" t="str">
            <v>CORTE 1</v>
          </cell>
          <cell r="C1803">
            <v>1</v>
          </cell>
          <cell r="D1803">
            <v>1</v>
          </cell>
          <cell r="E1803">
            <v>1.3</v>
          </cell>
          <cell r="F1803">
            <v>0.1</v>
          </cell>
          <cell r="G1803">
            <v>0.2</v>
          </cell>
          <cell r="L1803">
            <v>2.6000000000000002E-2</v>
          </cell>
          <cell r="M1803">
            <v>1.3</v>
          </cell>
          <cell r="N1803">
            <v>9.9999999999999978E-2</v>
          </cell>
          <cell r="O1803">
            <v>0.12999999999999998</v>
          </cell>
          <cell r="Q1803" t="str">
            <v>3/8"</v>
          </cell>
          <cell r="R1803">
            <v>2</v>
          </cell>
          <cell r="S1803">
            <v>2.5999999999999996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2.9119999999999999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</row>
        <row r="1804">
          <cell r="C1804">
            <v>1</v>
          </cell>
          <cell r="D1804">
            <v>1</v>
          </cell>
          <cell r="Q1804" t="str">
            <v>1/4"</v>
          </cell>
          <cell r="R1804">
            <v>6</v>
          </cell>
          <cell r="S1804">
            <v>0.60000000000000009</v>
          </cell>
          <cell r="T1804">
            <v>0</v>
          </cell>
          <cell r="U1804">
            <v>0.90000000000000013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</row>
        <row r="1805">
          <cell r="B1805" t="str">
            <v>CORTE 1</v>
          </cell>
          <cell r="C1805">
            <v>1</v>
          </cell>
          <cell r="D1805">
            <v>1</v>
          </cell>
          <cell r="E1805">
            <v>3.65</v>
          </cell>
          <cell r="F1805">
            <v>0.1</v>
          </cell>
          <cell r="G1805">
            <v>0.2</v>
          </cell>
          <cell r="L1805">
            <v>7.2999999999999995E-2</v>
          </cell>
          <cell r="M1805">
            <v>3.65</v>
          </cell>
          <cell r="N1805">
            <v>9.9999999999999978E-2</v>
          </cell>
          <cell r="O1805">
            <v>0.36499999999999994</v>
          </cell>
          <cell r="Q1805" t="str">
            <v>3/8"</v>
          </cell>
          <cell r="R1805">
            <v>2</v>
          </cell>
          <cell r="S1805">
            <v>4.95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5.5440000000000005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</row>
        <row r="1806">
          <cell r="C1806">
            <v>1</v>
          </cell>
          <cell r="D1806">
            <v>1</v>
          </cell>
          <cell r="Q1806" t="str">
            <v>1/4"</v>
          </cell>
          <cell r="R1806">
            <v>15</v>
          </cell>
          <cell r="S1806">
            <v>0.60000000000000009</v>
          </cell>
          <cell r="T1806">
            <v>0</v>
          </cell>
          <cell r="U1806">
            <v>2.2500000000000004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</row>
        <row r="1807">
          <cell r="B1807" t="str">
            <v>CORTE 1</v>
          </cell>
          <cell r="C1807">
            <v>1</v>
          </cell>
          <cell r="D1807">
            <v>1</v>
          </cell>
          <cell r="E1807">
            <v>8</v>
          </cell>
          <cell r="F1807">
            <v>0.1</v>
          </cell>
          <cell r="G1807">
            <v>0.2</v>
          </cell>
          <cell r="L1807">
            <v>0.16000000000000003</v>
          </cell>
          <cell r="M1807">
            <v>8</v>
          </cell>
          <cell r="N1807">
            <v>9.9999999999999978E-2</v>
          </cell>
          <cell r="O1807">
            <v>0.79999999999999982</v>
          </cell>
          <cell r="Q1807" t="str">
            <v>3/8"</v>
          </cell>
          <cell r="R1807">
            <v>2</v>
          </cell>
          <cell r="S1807">
            <v>9.3000000000000007</v>
          </cell>
          <cell r="T1807">
            <v>1</v>
          </cell>
          <cell r="U1807">
            <v>0</v>
          </cell>
          <cell r="V1807">
            <v>0</v>
          </cell>
          <cell r="W1807">
            <v>0</v>
          </cell>
          <cell r="X1807">
            <v>10.416000000000002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</row>
        <row r="1808">
          <cell r="C1808">
            <v>1</v>
          </cell>
          <cell r="D1808">
            <v>1</v>
          </cell>
          <cell r="Q1808" t="str">
            <v>1/4"</v>
          </cell>
          <cell r="R1808">
            <v>33</v>
          </cell>
          <cell r="S1808">
            <v>0.60000000000000009</v>
          </cell>
          <cell r="T1808">
            <v>0</v>
          </cell>
          <cell r="U1808">
            <v>4.9500000000000011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</row>
        <row r="1809">
          <cell r="B1809" t="str">
            <v>CORTE 2</v>
          </cell>
          <cell r="C1809">
            <v>1</v>
          </cell>
          <cell r="D1809">
            <v>2</v>
          </cell>
          <cell r="E1809">
            <v>3.35</v>
          </cell>
          <cell r="F1809">
            <v>0.2</v>
          </cell>
          <cell r="G1809">
            <v>0.2</v>
          </cell>
          <cell r="L1809">
            <v>0.26800000000000002</v>
          </cell>
          <cell r="M1809">
            <v>3.35</v>
          </cell>
          <cell r="N1809">
            <v>0.20000000000000007</v>
          </cell>
          <cell r="O1809">
            <v>1.3400000000000005</v>
          </cell>
          <cell r="Q1809" t="str">
            <v>3/8"</v>
          </cell>
          <cell r="R1809">
            <v>4</v>
          </cell>
          <cell r="S1809">
            <v>4.6499999999999995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20.832000000000001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</row>
        <row r="1810">
          <cell r="C1810">
            <v>1</v>
          </cell>
          <cell r="D1810">
            <v>2</v>
          </cell>
          <cell r="Q1810" t="str">
            <v>1/4"</v>
          </cell>
          <cell r="R1810">
            <v>14</v>
          </cell>
          <cell r="S1810">
            <v>0.8</v>
          </cell>
          <cell r="T1810">
            <v>0</v>
          </cell>
          <cell r="U1810">
            <v>5.6000000000000005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</row>
        <row r="1811">
          <cell r="B1811" t="str">
            <v>CORTE 2</v>
          </cell>
          <cell r="C1811">
            <v>1</v>
          </cell>
          <cell r="D1811">
            <v>1</v>
          </cell>
          <cell r="E1811">
            <v>2.8</v>
          </cell>
          <cell r="F1811">
            <v>0.2</v>
          </cell>
          <cell r="G1811">
            <v>0.2</v>
          </cell>
          <cell r="L1811">
            <v>0.11199999999999999</v>
          </cell>
          <cell r="M1811">
            <v>2.8</v>
          </cell>
          <cell r="N1811">
            <v>0.20000000000000007</v>
          </cell>
          <cell r="O1811">
            <v>0.56000000000000016</v>
          </cell>
          <cell r="Q1811" t="str">
            <v>3/8"</v>
          </cell>
          <cell r="R1811">
            <v>4</v>
          </cell>
          <cell r="S1811">
            <v>4.0999999999999996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9.1839999999999993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</row>
        <row r="1812">
          <cell r="C1812">
            <v>1</v>
          </cell>
          <cell r="D1812">
            <v>1</v>
          </cell>
          <cell r="Q1812" t="str">
            <v>1/4"</v>
          </cell>
          <cell r="R1812">
            <v>12</v>
          </cell>
          <cell r="S1812">
            <v>0.8</v>
          </cell>
          <cell r="T1812">
            <v>0</v>
          </cell>
          <cell r="U1812">
            <v>2.4000000000000004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</row>
        <row r="1813">
          <cell r="B1813" t="str">
            <v>CORTE 3</v>
          </cell>
          <cell r="C1813">
            <v>1</v>
          </cell>
          <cell r="D1813">
            <v>2</v>
          </cell>
          <cell r="E1813">
            <v>2.75</v>
          </cell>
          <cell r="F1813">
            <v>0.2</v>
          </cell>
          <cell r="G1813">
            <v>0.2</v>
          </cell>
          <cell r="L1813">
            <v>0.22000000000000003</v>
          </cell>
          <cell r="M1813">
            <v>2.75</v>
          </cell>
          <cell r="N1813">
            <v>0.20000000000000007</v>
          </cell>
          <cell r="O1813">
            <v>1.1000000000000003</v>
          </cell>
          <cell r="Q1813" t="str">
            <v>1/2"</v>
          </cell>
          <cell r="R1813">
            <v>2</v>
          </cell>
          <cell r="S1813">
            <v>4.05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16.038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</row>
        <row r="1814">
          <cell r="C1814">
            <v>1</v>
          </cell>
          <cell r="D1814">
            <v>2</v>
          </cell>
          <cell r="Q1814" t="str">
            <v>3/8"</v>
          </cell>
          <cell r="R1814">
            <v>2</v>
          </cell>
          <cell r="S1814">
            <v>4.05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9.072000000000001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</row>
        <row r="1815">
          <cell r="C1815">
            <v>1</v>
          </cell>
          <cell r="D1815">
            <v>2</v>
          </cell>
          <cell r="Q1815" t="str">
            <v>3/8"</v>
          </cell>
          <cell r="R1815">
            <v>12</v>
          </cell>
          <cell r="S1815">
            <v>0.8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10.752000000000002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</row>
        <row r="1816">
          <cell r="B1816" t="str">
            <v>CORTE 4</v>
          </cell>
          <cell r="C1816">
            <v>1</v>
          </cell>
          <cell r="D1816">
            <v>2</v>
          </cell>
          <cell r="E1816">
            <v>5.55</v>
          </cell>
          <cell r="F1816">
            <v>0.25</v>
          </cell>
          <cell r="G1816">
            <v>0.2</v>
          </cell>
          <cell r="L1816">
            <v>0.55500000000000005</v>
          </cell>
          <cell r="M1816">
            <v>5.55</v>
          </cell>
          <cell r="N1816">
            <v>0.25</v>
          </cell>
          <cell r="O1816">
            <v>2.7749999999999999</v>
          </cell>
          <cell r="Q1816" t="str">
            <v>1/2"</v>
          </cell>
          <cell r="R1816">
            <v>5</v>
          </cell>
          <cell r="S1816">
            <v>6.85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67.814999999999998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</row>
        <row r="1817">
          <cell r="C1817">
            <v>1</v>
          </cell>
          <cell r="D1817">
            <v>2</v>
          </cell>
          <cell r="Q1817" t="str">
            <v>3/8"</v>
          </cell>
          <cell r="R1817">
            <v>23</v>
          </cell>
          <cell r="S1817">
            <v>0.9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23.184000000000001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</row>
        <row r="1818">
          <cell r="B1818" t="str">
            <v>CORTE 4</v>
          </cell>
          <cell r="C1818">
            <v>1</v>
          </cell>
          <cell r="D1818">
            <v>1</v>
          </cell>
          <cell r="F1818">
            <v>0.25</v>
          </cell>
          <cell r="G1818">
            <v>0.2</v>
          </cell>
          <cell r="L1818">
            <v>0.05</v>
          </cell>
          <cell r="M1818">
            <v>0</v>
          </cell>
          <cell r="N1818">
            <v>0.25</v>
          </cell>
          <cell r="O1818">
            <v>0</v>
          </cell>
          <cell r="Q1818" t="str">
            <v>1/2"</v>
          </cell>
          <cell r="R1818">
            <v>5</v>
          </cell>
          <cell r="S1818">
            <v>1.3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6.4349999999999996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</row>
        <row r="1819">
          <cell r="C1819">
            <v>1</v>
          </cell>
          <cell r="D1819">
            <v>1</v>
          </cell>
          <cell r="Q1819" t="str">
            <v>3/8"</v>
          </cell>
          <cell r="R1819">
            <v>1</v>
          </cell>
          <cell r="S1819">
            <v>0.9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0.50400000000000011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</row>
        <row r="1820">
          <cell r="B1820" t="str">
            <v>CORTE 5</v>
          </cell>
          <cell r="C1820">
            <v>1</v>
          </cell>
          <cell r="D1820">
            <v>2</v>
          </cell>
          <cell r="E1820">
            <v>5.55</v>
          </cell>
          <cell r="F1820">
            <v>0.3</v>
          </cell>
          <cell r="G1820">
            <v>0.2</v>
          </cell>
          <cell r="L1820">
            <v>0.66599999999999993</v>
          </cell>
          <cell r="M1820">
            <v>5.55</v>
          </cell>
          <cell r="N1820">
            <v>0.29999999999999993</v>
          </cell>
          <cell r="O1820">
            <v>3.3299999999999992</v>
          </cell>
          <cell r="Q1820" t="str">
            <v>1/2"</v>
          </cell>
          <cell r="R1820">
            <v>3</v>
          </cell>
          <cell r="S1820">
            <v>6.85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40.688999999999993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</row>
        <row r="1821">
          <cell r="C1821">
            <v>1</v>
          </cell>
          <cell r="D1821">
            <v>2</v>
          </cell>
          <cell r="Q1821" t="str">
            <v>5/8"</v>
          </cell>
          <cell r="R1821">
            <v>2</v>
          </cell>
          <cell r="S1821">
            <v>6.85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42.47</v>
          </cell>
          <cell r="AB1821">
            <v>0</v>
          </cell>
          <cell r="AC1821">
            <v>0</v>
          </cell>
          <cell r="AD1821">
            <v>0</v>
          </cell>
        </row>
        <row r="1822">
          <cell r="C1822">
            <v>1</v>
          </cell>
          <cell r="D1822">
            <v>2</v>
          </cell>
          <cell r="Q1822" t="str">
            <v>3/8"</v>
          </cell>
          <cell r="R1822">
            <v>23</v>
          </cell>
          <cell r="S1822">
            <v>1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25.76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</row>
        <row r="1823">
          <cell r="B1823" t="str">
            <v>CORTE 7</v>
          </cell>
          <cell r="C1823">
            <v>1</v>
          </cell>
          <cell r="D1823">
            <v>1</v>
          </cell>
          <cell r="E1823">
            <v>3.15</v>
          </cell>
          <cell r="F1823">
            <v>0.3</v>
          </cell>
          <cell r="G1823">
            <v>0.2</v>
          </cell>
          <cell r="L1823">
            <v>0.189</v>
          </cell>
          <cell r="M1823">
            <v>3.15</v>
          </cell>
          <cell r="N1823">
            <v>0.29999999999999993</v>
          </cell>
          <cell r="O1823">
            <v>0.94499999999999973</v>
          </cell>
          <cell r="Q1823" t="str">
            <v>1/2"</v>
          </cell>
          <cell r="R1823">
            <v>3</v>
          </cell>
          <cell r="S1823">
            <v>4.45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13.216500000000002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</row>
        <row r="1824">
          <cell r="C1824">
            <v>1</v>
          </cell>
          <cell r="D1824">
            <v>1</v>
          </cell>
          <cell r="Q1824" t="str">
            <v>5/8"</v>
          </cell>
          <cell r="R1824">
            <v>2</v>
          </cell>
          <cell r="S1824">
            <v>4.45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13.795000000000002</v>
          </cell>
          <cell r="AB1824">
            <v>0</v>
          </cell>
          <cell r="AC1824">
            <v>0</v>
          </cell>
          <cell r="AD1824">
            <v>0</v>
          </cell>
        </row>
        <row r="1825">
          <cell r="C1825">
            <v>1</v>
          </cell>
          <cell r="D1825">
            <v>1</v>
          </cell>
          <cell r="Q1825" t="str">
            <v>3/8"</v>
          </cell>
          <cell r="R1825">
            <v>13</v>
          </cell>
          <cell r="S1825">
            <v>1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7.2800000000000011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</row>
        <row r="1826"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</row>
        <row r="1827">
          <cell r="B1827" t="str">
            <v>PISO 15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</row>
        <row r="1828"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</row>
        <row r="1829">
          <cell r="B1829" t="str">
            <v>CORTE 1</v>
          </cell>
          <cell r="C1829">
            <v>1</v>
          </cell>
          <cell r="D1829">
            <v>1</v>
          </cell>
          <cell r="E1829">
            <v>0.6</v>
          </cell>
          <cell r="F1829">
            <v>0.1</v>
          </cell>
          <cell r="G1829">
            <v>0.2</v>
          </cell>
          <cell r="L1829">
            <v>1.2E-2</v>
          </cell>
          <cell r="M1829">
            <v>0.6</v>
          </cell>
          <cell r="N1829">
            <v>9.9999999999999978E-2</v>
          </cell>
          <cell r="O1829">
            <v>5.9999999999999984E-2</v>
          </cell>
          <cell r="Q1829" t="str">
            <v>3/8"</v>
          </cell>
          <cell r="R1829">
            <v>2</v>
          </cell>
          <cell r="S1829">
            <v>1.9000000000000001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2.1280000000000006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</row>
        <row r="1830">
          <cell r="C1830">
            <v>1</v>
          </cell>
          <cell r="D1830">
            <v>1</v>
          </cell>
          <cell r="Q1830" t="str">
            <v>1/4"</v>
          </cell>
          <cell r="R1830">
            <v>3</v>
          </cell>
          <cell r="S1830">
            <v>0.60000000000000009</v>
          </cell>
          <cell r="T1830">
            <v>0</v>
          </cell>
          <cell r="U1830">
            <v>0.45000000000000007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</row>
        <row r="1831">
          <cell r="B1831" t="str">
            <v>CORTE 1</v>
          </cell>
          <cell r="C1831">
            <v>1</v>
          </cell>
          <cell r="D1831">
            <v>1</v>
          </cell>
          <cell r="E1831">
            <v>0.6</v>
          </cell>
          <cell r="F1831">
            <v>0.1</v>
          </cell>
          <cell r="G1831">
            <v>0.2</v>
          </cell>
          <cell r="L1831">
            <v>1.2E-2</v>
          </cell>
          <cell r="M1831">
            <v>0.6</v>
          </cell>
          <cell r="N1831">
            <v>9.9999999999999978E-2</v>
          </cell>
          <cell r="O1831">
            <v>5.9999999999999984E-2</v>
          </cell>
          <cell r="Q1831" t="str">
            <v>3/8"</v>
          </cell>
          <cell r="R1831">
            <v>2</v>
          </cell>
          <cell r="S1831">
            <v>1.9000000000000001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2.1280000000000006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</row>
        <row r="1832">
          <cell r="C1832">
            <v>1</v>
          </cell>
          <cell r="D1832">
            <v>1</v>
          </cell>
          <cell r="Q1832" t="str">
            <v>1/4"</v>
          </cell>
          <cell r="R1832">
            <v>3</v>
          </cell>
          <cell r="S1832">
            <v>0.60000000000000009</v>
          </cell>
          <cell r="T1832">
            <v>0</v>
          </cell>
          <cell r="U1832">
            <v>0.45000000000000007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</row>
        <row r="1833">
          <cell r="B1833" t="str">
            <v>CORTE 1</v>
          </cell>
          <cell r="C1833">
            <v>1</v>
          </cell>
          <cell r="D1833">
            <v>1</v>
          </cell>
          <cell r="E1833">
            <v>3.8</v>
          </cell>
          <cell r="F1833">
            <v>0.1</v>
          </cell>
          <cell r="G1833">
            <v>0.2</v>
          </cell>
          <cell r="L1833">
            <v>7.6000000000000012E-2</v>
          </cell>
          <cell r="M1833">
            <v>3.8</v>
          </cell>
          <cell r="N1833">
            <v>9.9999999999999978E-2</v>
          </cell>
          <cell r="O1833">
            <v>0.37999999999999989</v>
          </cell>
          <cell r="Q1833" t="str">
            <v>3/8"</v>
          </cell>
          <cell r="R1833">
            <v>2</v>
          </cell>
          <cell r="S1833">
            <v>5.0999999999999996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5.7119999999999997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</row>
        <row r="1834">
          <cell r="C1834">
            <v>1</v>
          </cell>
          <cell r="D1834">
            <v>1</v>
          </cell>
          <cell r="Q1834" t="str">
            <v>1/4"</v>
          </cell>
          <cell r="R1834">
            <v>16</v>
          </cell>
          <cell r="S1834">
            <v>0.60000000000000009</v>
          </cell>
          <cell r="T1834">
            <v>0</v>
          </cell>
          <cell r="U1834">
            <v>2.4000000000000004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</row>
        <row r="1835">
          <cell r="B1835" t="str">
            <v>CORTE 1</v>
          </cell>
          <cell r="C1835">
            <v>1</v>
          </cell>
          <cell r="D1835">
            <v>1</v>
          </cell>
          <cell r="E1835">
            <v>5.95</v>
          </cell>
          <cell r="F1835">
            <v>0.1</v>
          </cell>
          <cell r="G1835">
            <v>0.2</v>
          </cell>
          <cell r="L1835">
            <v>0.11900000000000002</v>
          </cell>
          <cell r="M1835">
            <v>5.95</v>
          </cell>
          <cell r="N1835">
            <v>9.9999999999999978E-2</v>
          </cell>
          <cell r="O1835">
            <v>0.59499999999999986</v>
          </cell>
          <cell r="Q1835" t="str">
            <v>3/8"</v>
          </cell>
          <cell r="R1835">
            <v>2</v>
          </cell>
          <cell r="S1835">
            <v>7.25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8.120000000000001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</row>
        <row r="1836">
          <cell r="C1836">
            <v>1</v>
          </cell>
          <cell r="D1836">
            <v>1</v>
          </cell>
          <cell r="Q1836" t="str">
            <v>1/4"</v>
          </cell>
          <cell r="R1836">
            <v>24</v>
          </cell>
          <cell r="S1836">
            <v>0.60000000000000009</v>
          </cell>
          <cell r="T1836">
            <v>0</v>
          </cell>
          <cell r="U1836">
            <v>3.6000000000000005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</row>
        <row r="1837">
          <cell r="B1837" t="str">
            <v>CORTE 1</v>
          </cell>
          <cell r="C1837">
            <v>1</v>
          </cell>
          <cell r="D1837">
            <v>1</v>
          </cell>
          <cell r="E1837">
            <v>6.1</v>
          </cell>
          <cell r="F1837">
            <v>0.1</v>
          </cell>
          <cell r="G1837">
            <v>0.2</v>
          </cell>
          <cell r="L1837">
            <v>0.122</v>
          </cell>
          <cell r="M1837">
            <v>6.1</v>
          </cell>
          <cell r="N1837">
            <v>9.9999999999999978E-2</v>
          </cell>
          <cell r="O1837">
            <v>0.60999999999999988</v>
          </cell>
          <cell r="Q1837" t="str">
            <v>3/8"</v>
          </cell>
          <cell r="R1837">
            <v>2</v>
          </cell>
          <cell r="S1837">
            <v>7.3999999999999995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8.2880000000000003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</row>
        <row r="1838">
          <cell r="C1838">
            <v>1</v>
          </cell>
          <cell r="D1838">
            <v>1</v>
          </cell>
          <cell r="Q1838" t="str">
            <v>1/4"</v>
          </cell>
          <cell r="R1838">
            <v>25</v>
          </cell>
          <cell r="S1838">
            <v>0.60000000000000009</v>
          </cell>
          <cell r="T1838">
            <v>0</v>
          </cell>
          <cell r="U1838">
            <v>3.7500000000000004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</row>
        <row r="1839">
          <cell r="B1839" t="str">
            <v>CORTE 1</v>
          </cell>
          <cell r="C1839">
            <v>1</v>
          </cell>
          <cell r="D1839">
            <v>1</v>
          </cell>
          <cell r="E1839">
            <v>5.95</v>
          </cell>
          <cell r="F1839">
            <v>0.1</v>
          </cell>
          <cell r="G1839">
            <v>0.2</v>
          </cell>
          <cell r="L1839">
            <v>0.11900000000000002</v>
          </cell>
          <cell r="M1839">
            <v>5.95</v>
          </cell>
          <cell r="N1839">
            <v>9.9999999999999978E-2</v>
          </cell>
          <cell r="O1839">
            <v>0.59499999999999986</v>
          </cell>
          <cell r="Q1839" t="str">
            <v>3/8"</v>
          </cell>
          <cell r="R1839">
            <v>2</v>
          </cell>
          <cell r="S1839">
            <v>7.25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8.120000000000001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</row>
        <row r="1840">
          <cell r="C1840">
            <v>1</v>
          </cell>
          <cell r="D1840">
            <v>1</v>
          </cell>
          <cell r="Q1840" t="str">
            <v>1/4"</v>
          </cell>
          <cell r="R1840">
            <v>24</v>
          </cell>
          <cell r="S1840">
            <v>0.60000000000000009</v>
          </cell>
          <cell r="T1840">
            <v>0</v>
          </cell>
          <cell r="U1840">
            <v>3.6000000000000005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</row>
        <row r="1841">
          <cell r="B1841" t="str">
            <v>CORTE 1</v>
          </cell>
          <cell r="C1841">
            <v>1</v>
          </cell>
          <cell r="D1841">
            <v>1</v>
          </cell>
          <cell r="E1841">
            <v>1.25</v>
          </cell>
          <cell r="F1841">
            <v>0.1</v>
          </cell>
          <cell r="G1841">
            <v>0.2</v>
          </cell>
          <cell r="L1841">
            <v>2.5000000000000001E-2</v>
          </cell>
          <cell r="M1841">
            <v>1.25</v>
          </cell>
          <cell r="N1841">
            <v>9.9999999999999978E-2</v>
          </cell>
          <cell r="O1841">
            <v>0.12499999999999997</v>
          </cell>
          <cell r="Q1841" t="str">
            <v>3/8"</v>
          </cell>
          <cell r="R1841">
            <v>2</v>
          </cell>
          <cell r="S1841">
            <v>2.5499999999999998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2.8559999999999999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</row>
        <row r="1842">
          <cell r="C1842">
            <v>1</v>
          </cell>
          <cell r="D1842">
            <v>1</v>
          </cell>
          <cell r="Q1842" t="str">
            <v>1/4"</v>
          </cell>
          <cell r="R1842">
            <v>6</v>
          </cell>
          <cell r="S1842">
            <v>0.60000000000000009</v>
          </cell>
          <cell r="T1842">
            <v>0</v>
          </cell>
          <cell r="U1842">
            <v>0.90000000000000013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</row>
        <row r="1843">
          <cell r="B1843" t="str">
            <v>CORTE 1</v>
          </cell>
          <cell r="C1843">
            <v>1</v>
          </cell>
          <cell r="D1843">
            <v>1</v>
          </cell>
          <cell r="E1843">
            <v>1.5</v>
          </cell>
          <cell r="F1843">
            <v>0.1</v>
          </cell>
          <cell r="G1843">
            <v>0.2</v>
          </cell>
          <cell r="L1843">
            <v>3.0000000000000006E-2</v>
          </cell>
          <cell r="M1843">
            <v>1.5</v>
          </cell>
          <cell r="N1843">
            <v>9.9999999999999978E-2</v>
          </cell>
          <cell r="O1843">
            <v>0.14999999999999997</v>
          </cell>
          <cell r="Q1843" t="str">
            <v>3/8"</v>
          </cell>
          <cell r="R1843">
            <v>2</v>
          </cell>
          <cell r="S1843">
            <v>2.8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3.1360000000000001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</row>
        <row r="1844">
          <cell r="C1844">
            <v>1</v>
          </cell>
          <cell r="D1844">
            <v>1</v>
          </cell>
          <cell r="Q1844" t="str">
            <v>1/4"</v>
          </cell>
          <cell r="R1844">
            <v>7</v>
          </cell>
          <cell r="S1844">
            <v>0.60000000000000009</v>
          </cell>
          <cell r="T1844">
            <v>0</v>
          </cell>
          <cell r="U1844">
            <v>1.0500000000000003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</row>
        <row r="1845">
          <cell r="B1845" t="str">
            <v>CORTE 1</v>
          </cell>
          <cell r="C1845">
            <v>1</v>
          </cell>
          <cell r="D1845">
            <v>1</v>
          </cell>
          <cell r="E1845">
            <v>1.4</v>
          </cell>
          <cell r="F1845">
            <v>0.1</v>
          </cell>
          <cell r="G1845">
            <v>0.2</v>
          </cell>
          <cell r="L1845">
            <v>2.7999999999999997E-2</v>
          </cell>
          <cell r="M1845">
            <v>1.4</v>
          </cell>
          <cell r="N1845">
            <v>9.9999999999999978E-2</v>
          </cell>
          <cell r="O1845">
            <v>0.13999999999999996</v>
          </cell>
          <cell r="Q1845" t="str">
            <v>3/8"</v>
          </cell>
          <cell r="R1845">
            <v>2</v>
          </cell>
          <cell r="S1845">
            <v>2.6999999999999997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3.024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</row>
        <row r="1846">
          <cell r="C1846">
            <v>1</v>
          </cell>
          <cell r="D1846">
            <v>1</v>
          </cell>
          <cell r="Q1846" t="str">
            <v>1/4"</v>
          </cell>
          <cell r="R1846">
            <v>6</v>
          </cell>
          <cell r="S1846">
            <v>0.60000000000000009</v>
          </cell>
          <cell r="T1846">
            <v>0</v>
          </cell>
          <cell r="U1846">
            <v>0.90000000000000013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</row>
        <row r="1847">
          <cell r="B1847" t="str">
            <v>CORTE 1</v>
          </cell>
          <cell r="C1847">
            <v>1</v>
          </cell>
          <cell r="D1847">
            <v>1</v>
          </cell>
          <cell r="E1847">
            <v>1.6</v>
          </cell>
          <cell r="F1847">
            <v>0.1</v>
          </cell>
          <cell r="G1847">
            <v>0.2</v>
          </cell>
          <cell r="L1847">
            <v>3.2000000000000008E-2</v>
          </cell>
          <cell r="M1847">
            <v>1.6</v>
          </cell>
          <cell r="N1847">
            <v>9.9999999999999978E-2</v>
          </cell>
          <cell r="O1847">
            <v>0.15999999999999998</v>
          </cell>
          <cell r="Q1847" t="str">
            <v>3/8"</v>
          </cell>
          <cell r="R1847">
            <v>2</v>
          </cell>
          <cell r="S1847">
            <v>2.9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3.2480000000000002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</row>
        <row r="1848">
          <cell r="C1848">
            <v>1</v>
          </cell>
          <cell r="D1848">
            <v>1</v>
          </cell>
          <cell r="Q1848" t="str">
            <v>1/4"</v>
          </cell>
          <cell r="R1848">
            <v>7</v>
          </cell>
          <cell r="S1848">
            <v>0.60000000000000009</v>
          </cell>
          <cell r="T1848">
            <v>0</v>
          </cell>
          <cell r="U1848">
            <v>1.0500000000000003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</row>
        <row r="1849">
          <cell r="B1849" t="str">
            <v>CORTE 1</v>
          </cell>
          <cell r="C1849">
            <v>1</v>
          </cell>
          <cell r="D1849">
            <v>1</v>
          </cell>
          <cell r="E1849">
            <v>3.65</v>
          </cell>
          <cell r="F1849">
            <v>0.1</v>
          </cell>
          <cell r="G1849">
            <v>0.2</v>
          </cell>
          <cell r="L1849">
            <v>7.2999999999999995E-2</v>
          </cell>
          <cell r="M1849">
            <v>3.65</v>
          </cell>
          <cell r="N1849">
            <v>9.9999999999999978E-2</v>
          </cell>
          <cell r="O1849">
            <v>0.36499999999999994</v>
          </cell>
          <cell r="Q1849" t="str">
            <v>3/8"</v>
          </cell>
          <cell r="R1849">
            <v>2</v>
          </cell>
          <cell r="S1849">
            <v>4.95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5.5440000000000005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</row>
        <row r="1850">
          <cell r="C1850">
            <v>1</v>
          </cell>
          <cell r="D1850">
            <v>1</v>
          </cell>
          <cell r="Q1850" t="str">
            <v>1/4"</v>
          </cell>
          <cell r="R1850">
            <v>15</v>
          </cell>
          <cell r="S1850">
            <v>0.60000000000000009</v>
          </cell>
          <cell r="T1850">
            <v>0</v>
          </cell>
          <cell r="U1850">
            <v>2.2500000000000004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</row>
        <row r="1851">
          <cell r="B1851" t="str">
            <v>CORTE 1</v>
          </cell>
          <cell r="C1851">
            <v>1</v>
          </cell>
          <cell r="D1851">
            <v>1</v>
          </cell>
          <cell r="E1851">
            <v>8</v>
          </cell>
          <cell r="F1851">
            <v>0.1</v>
          </cell>
          <cell r="G1851">
            <v>0.2</v>
          </cell>
          <cell r="L1851">
            <v>0.16000000000000003</v>
          </cell>
          <cell r="M1851">
            <v>8</v>
          </cell>
          <cell r="N1851">
            <v>9.9999999999999978E-2</v>
          </cell>
          <cell r="O1851">
            <v>0.79999999999999982</v>
          </cell>
          <cell r="Q1851" t="str">
            <v>3/8"</v>
          </cell>
          <cell r="R1851">
            <v>2</v>
          </cell>
          <cell r="S1851">
            <v>9.3000000000000007</v>
          </cell>
          <cell r="T1851">
            <v>1</v>
          </cell>
          <cell r="U1851">
            <v>0</v>
          </cell>
          <cell r="V1851">
            <v>0</v>
          </cell>
          <cell r="W1851">
            <v>0</v>
          </cell>
          <cell r="X1851">
            <v>10.416000000000002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</row>
        <row r="1852">
          <cell r="C1852">
            <v>1</v>
          </cell>
          <cell r="D1852">
            <v>1</v>
          </cell>
          <cell r="Q1852" t="str">
            <v>1/4"</v>
          </cell>
          <cell r="R1852">
            <v>33</v>
          </cell>
          <cell r="S1852">
            <v>0.60000000000000009</v>
          </cell>
          <cell r="T1852">
            <v>0</v>
          </cell>
          <cell r="U1852">
            <v>4.9500000000000011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</row>
        <row r="1853">
          <cell r="B1853" t="str">
            <v>CORTE 3</v>
          </cell>
          <cell r="C1853">
            <v>1</v>
          </cell>
          <cell r="D1853">
            <v>1</v>
          </cell>
          <cell r="E1853">
            <v>5.55</v>
          </cell>
          <cell r="F1853">
            <v>0.35</v>
          </cell>
          <cell r="G1853">
            <v>0.2</v>
          </cell>
          <cell r="L1853">
            <v>0.38850000000000001</v>
          </cell>
          <cell r="M1853">
            <v>5.55</v>
          </cell>
          <cell r="N1853">
            <v>0.35</v>
          </cell>
          <cell r="O1853">
            <v>1.9424999999999999</v>
          </cell>
          <cell r="Q1853" t="str">
            <v>1/2"</v>
          </cell>
          <cell r="R1853">
            <v>2</v>
          </cell>
          <cell r="S1853">
            <v>6.85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13.562999999999999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</row>
        <row r="1854">
          <cell r="C1854">
            <v>1</v>
          </cell>
          <cell r="D1854">
            <v>1</v>
          </cell>
          <cell r="Q1854" t="str">
            <v>5/8"</v>
          </cell>
          <cell r="R1854">
            <v>4</v>
          </cell>
          <cell r="S1854">
            <v>6.85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42.47</v>
          </cell>
          <cell r="AB1854">
            <v>0</v>
          </cell>
          <cell r="AC1854">
            <v>0</v>
          </cell>
          <cell r="AD1854">
            <v>0</v>
          </cell>
        </row>
        <row r="1855">
          <cell r="C1855">
            <v>1</v>
          </cell>
          <cell r="D1855">
            <v>1</v>
          </cell>
          <cell r="Q1855" t="str">
            <v>3/8"</v>
          </cell>
          <cell r="R1855">
            <v>23</v>
          </cell>
          <cell r="S1855">
            <v>1.1000000000000001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14.168000000000001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</row>
        <row r="1856">
          <cell r="B1856" t="str">
            <v>CORTE 4</v>
          </cell>
          <cell r="C1856">
            <v>1</v>
          </cell>
          <cell r="D1856">
            <v>1</v>
          </cell>
          <cell r="E1856">
            <v>5.55</v>
          </cell>
          <cell r="F1856">
            <v>0.25</v>
          </cell>
          <cell r="G1856">
            <v>0.2</v>
          </cell>
          <cell r="L1856">
            <v>0.27750000000000002</v>
          </cell>
          <cell r="M1856">
            <v>5.55</v>
          </cell>
          <cell r="N1856">
            <v>0.25</v>
          </cell>
          <cell r="O1856">
            <v>1.3875</v>
          </cell>
          <cell r="Q1856" t="str">
            <v>3/8"</v>
          </cell>
          <cell r="R1856">
            <v>6</v>
          </cell>
          <cell r="S1856">
            <v>6.85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23.015999999999998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</row>
        <row r="1857">
          <cell r="C1857">
            <v>1</v>
          </cell>
          <cell r="D1857">
            <v>1</v>
          </cell>
          <cell r="Q1857" t="str">
            <v>3/8"</v>
          </cell>
          <cell r="R1857">
            <v>23</v>
          </cell>
          <cell r="S1857">
            <v>0.9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11.592000000000001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</row>
        <row r="1858">
          <cell r="B1858" t="str">
            <v>CORTE 4</v>
          </cell>
          <cell r="C1858">
            <v>1</v>
          </cell>
          <cell r="D1858">
            <v>1</v>
          </cell>
          <cell r="E1858">
            <v>5.55</v>
          </cell>
          <cell r="F1858">
            <v>0.25</v>
          </cell>
          <cell r="G1858">
            <v>0.2</v>
          </cell>
          <cell r="L1858">
            <v>0.27750000000000002</v>
          </cell>
          <cell r="M1858">
            <v>5.55</v>
          </cell>
          <cell r="N1858">
            <v>0.25</v>
          </cell>
          <cell r="O1858">
            <v>1.3875</v>
          </cell>
          <cell r="Q1858" t="str">
            <v>3/8"</v>
          </cell>
          <cell r="R1858">
            <v>6</v>
          </cell>
          <cell r="S1858">
            <v>6.85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23.015999999999998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</row>
        <row r="1859">
          <cell r="C1859">
            <v>1</v>
          </cell>
          <cell r="D1859">
            <v>1</v>
          </cell>
          <cell r="Q1859" t="str">
            <v>3/8"</v>
          </cell>
          <cell r="R1859">
            <v>23</v>
          </cell>
          <cell r="S1859">
            <v>0.9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11.592000000000001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</row>
        <row r="1860">
          <cell r="B1860" t="str">
            <v>CORTE 4</v>
          </cell>
          <cell r="C1860">
            <v>1</v>
          </cell>
          <cell r="D1860">
            <v>1</v>
          </cell>
          <cell r="E1860">
            <v>4.3499999999999996</v>
          </cell>
          <cell r="F1860">
            <v>0.25</v>
          </cell>
          <cell r="G1860">
            <v>0.2</v>
          </cell>
          <cell r="L1860">
            <v>0.2175</v>
          </cell>
          <cell r="M1860">
            <v>4.3499999999999996</v>
          </cell>
          <cell r="N1860">
            <v>0.25</v>
          </cell>
          <cell r="O1860">
            <v>1.0874999999999999</v>
          </cell>
          <cell r="Q1860" t="str">
            <v>3/8"</v>
          </cell>
          <cell r="R1860">
            <v>6</v>
          </cell>
          <cell r="S1860">
            <v>5.6499999999999995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18.984000000000002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</row>
        <row r="1861">
          <cell r="C1861">
            <v>1</v>
          </cell>
          <cell r="D1861">
            <v>1</v>
          </cell>
          <cell r="Q1861" t="str">
            <v>3/8"</v>
          </cell>
          <cell r="R1861">
            <v>18</v>
          </cell>
          <cell r="S1861">
            <v>0.9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9.072000000000001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</row>
        <row r="1862">
          <cell r="B1862" t="str">
            <v>CORTE 4</v>
          </cell>
          <cell r="C1862">
            <v>1</v>
          </cell>
          <cell r="D1862">
            <v>1</v>
          </cell>
          <cell r="E1862">
            <v>4.3499999999999996</v>
          </cell>
          <cell r="F1862">
            <v>0.25</v>
          </cell>
          <cell r="G1862">
            <v>0.2</v>
          </cell>
          <cell r="L1862">
            <v>0.2175</v>
          </cell>
          <cell r="M1862">
            <v>4.3499999999999996</v>
          </cell>
          <cell r="N1862">
            <v>0.25</v>
          </cell>
          <cell r="O1862">
            <v>1.0874999999999999</v>
          </cell>
          <cell r="Q1862" t="str">
            <v>3/8"</v>
          </cell>
          <cell r="R1862">
            <v>6</v>
          </cell>
          <cell r="S1862">
            <v>5.6499999999999995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18.984000000000002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</row>
        <row r="1863">
          <cell r="C1863">
            <v>1</v>
          </cell>
          <cell r="D1863">
            <v>1</v>
          </cell>
          <cell r="Q1863" t="str">
            <v>3/8"</v>
          </cell>
          <cell r="R1863">
            <v>18</v>
          </cell>
          <cell r="S1863">
            <v>0.9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9.072000000000001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</row>
        <row r="1864">
          <cell r="B1864" t="str">
            <v>CORTE 9</v>
          </cell>
          <cell r="C1864">
            <v>1</v>
          </cell>
          <cell r="D1864">
            <v>1</v>
          </cell>
          <cell r="E1864">
            <v>3.85</v>
          </cell>
          <cell r="F1864">
            <v>0.2</v>
          </cell>
          <cell r="G1864">
            <v>0.2</v>
          </cell>
          <cell r="L1864">
            <v>0.15400000000000003</v>
          </cell>
          <cell r="M1864">
            <v>3.85</v>
          </cell>
          <cell r="N1864">
            <v>0.20000000000000007</v>
          </cell>
          <cell r="O1864">
            <v>0.77000000000000024</v>
          </cell>
          <cell r="Q1864" t="str">
            <v>1/2"</v>
          </cell>
          <cell r="R1864">
            <v>4</v>
          </cell>
          <cell r="S1864">
            <v>5.1499999999999995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20.393999999999998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</row>
        <row r="1865">
          <cell r="C1865">
            <v>1</v>
          </cell>
          <cell r="D1865">
            <v>1</v>
          </cell>
          <cell r="Q1865" t="str">
            <v>3/8"</v>
          </cell>
          <cell r="R1865">
            <v>16</v>
          </cell>
          <cell r="S1865">
            <v>0.8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7.168000000000001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</row>
        <row r="1866">
          <cell r="B1866" t="str">
            <v>CORTE 11</v>
          </cell>
          <cell r="C1866">
            <v>1</v>
          </cell>
          <cell r="D1866">
            <v>1</v>
          </cell>
          <cell r="E1866">
            <v>4.3499999999999996</v>
          </cell>
          <cell r="F1866">
            <v>0.3</v>
          </cell>
          <cell r="G1866">
            <v>0.55000000000000004</v>
          </cell>
          <cell r="L1866">
            <v>0.71775</v>
          </cell>
          <cell r="M1866">
            <v>4.3499999999999996</v>
          </cell>
          <cell r="N1866">
            <v>1</v>
          </cell>
          <cell r="O1866">
            <v>4.3499999999999996</v>
          </cell>
          <cell r="Q1866" t="str">
            <v>3/4"</v>
          </cell>
          <cell r="R1866">
            <v>5</v>
          </cell>
          <cell r="S1866">
            <v>5.6499999999999995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63.28</v>
          </cell>
          <cell r="AC1866">
            <v>0</v>
          </cell>
          <cell r="AD1866">
            <v>0</v>
          </cell>
        </row>
        <row r="1867">
          <cell r="C1867">
            <v>1</v>
          </cell>
          <cell r="D1867">
            <v>1</v>
          </cell>
          <cell r="Q1867" t="str">
            <v>3/8"</v>
          </cell>
          <cell r="R1867">
            <v>33</v>
          </cell>
          <cell r="S1867">
            <v>1.7000000000000002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31.416000000000007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</row>
        <row r="1868"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</row>
        <row r="1869">
          <cell r="B1869" t="str">
            <v>AZOTEA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</row>
        <row r="1870"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</row>
        <row r="1871">
          <cell r="B1871" t="str">
            <v>CORTE 1</v>
          </cell>
          <cell r="C1871">
            <v>1</v>
          </cell>
          <cell r="D1871">
            <v>1</v>
          </cell>
          <cell r="E1871">
            <v>0.5</v>
          </cell>
          <cell r="F1871">
            <v>0.1</v>
          </cell>
          <cell r="G1871">
            <v>0.2</v>
          </cell>
          <cell r="L1871">
            <v>1.0000000000000002E-2</v>
          </cell>
          <cell r="M1871">
            <v>0.5</v>
          </cell>
          <cell r="N1871">
            <v>9.9999999999999978E-2</v>
          </cell>
          <cell r="O1871">
            <v>4.9999999999999989E-2</v>
          </cell>
          <cell r="Q1871" t="str">
            <v>3/8"</v>
          </cell>
          <cell r="R1871">
            <v>2</v>
          </cell>
          <cell r="S1871">
            <v>1.8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2.0160000000000005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</row>
        <row r="1872">
          <cell r="C1872">
            <v>1</v>
          </cell>
          <cell r="D1872">
            <v>1</v>
          </cell>
          <cell r="Q1872" t="str">
            <v>1/4"</v>
          </cell>
          <cell r="R1872">
            <v>3</v>
          </cell>
          <cell r="S1872">
            <v>0.60000000000000009</v>
          </cell>
          <cell r="T1872">
            <v>0</v>
          </cell>
          <cell r="U1872">
            <v>0.45000000000000007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</row>
        <row r="1873">
          <cell r="B1873" t="str">
            <v>CORTE 1</v>
          </cell>
          <cell r="C1873">
            <v>1</v>
          </cell>
          <cell r="D1873">
            <v>1</v>
          </cell>
          <cell r="E1873">
            <v>0.9</v>
          </cell>
          <cell r="F1873">
            <v>0.1</v>
          </cell>
          <cell r="G1873">
            <v>0.2</v>
          </cell>
          <cell r="L1873">
            <v>1.8000000000000002E-2</v>
          </cell>
          <cell r="M1873">
            <v>0.9</v>
          </cell>
          <cell r="N1873">
            <v>9.9999999999999978E-2</v>
          </cell>
          <cell r="O1873">
            <v>8.9999999999999983E-2</v>
          </cell>
          <cell r="Q1873" t="str">
            <v>3/8"</v>
          </cell>
          <cell r="R1873">
            <v>2</v>
          </cell>
          <cell r="S1873">
            <v>2.1999999999999997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2.464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</row>
        <row r="1874">
          <cell r="C1874">
            <v>1</v>
          </cell>
          <cell r="D1874">
            <v>1</v>
          </cell>
          <cell r="Q1874" t="str">
            <v>1/4"</v>
          </cell>
          <cell r="R1874">
            <v>4</v>
          </cell>
          <cell r="S1874">
            <v>0.60000000000000009</v>
          </cell>
          <cell r="T1874">
            <v>0</v>
          </cell>
          <cell r="U1874">
            <v>0.60000000000000009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</row>
        <row r="1875">
          <cell r="B1875" t="str">
            <v>CORTE 1</v>
          </cell>
          <cell r="C1875">
            <v>1</v>
          </cell>
          <cell r="D1875">
            <v>1</v>
          </cell>
          <cell r="E1875">
            <v>1.25</v>
          </cell>
          <cell r="F1875">
            <v>0.1</v>
          </cell>
          <cell r="G1875">
            <v>0.2</v>
          </cell>
          <cell r="L1875">
            <v>2.5000000000000001E-2</v>
          </cell>
          <cell r="M1875">
            <v>1.25</v>
          </cell>
          <cell r="N1875">
            <v>9.9999999999999978E-2</v>
          </cell>
          <cell r="O1875">
            <v>0.12499999999999997</v>
          </cell>
          <cell r="Q1875" t="str">
            <v>3/8"</v>
          </cell>
          <cell r="R1875">
            <v>2</v>
          </cell>
          <cell r="S1875">
            <v>2.5499999999999998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2.8559999999999999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</row>
        <row r="1876">
          <cell r="C1876">
            <v>1</v>
          </cell>
          <cell r="D1876">
            <v>1</v>
          </cell>
          <cell r="Q1876" t="str">
            <v>1/4"</v>
          </cell>
          <cell r="R1876">
            <v>6</v>
          </cell>
          <cell r="S1876">
            <v>0.60000000000000009</v>
          </cell>
          <cell r="T1876">
            <v>0</v>
          </cell>
          <cell r="U1876">
            <v>0.90000000000000013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</row>
        <row r="1877">
          <cell r="B1877" t="str">
            <v>CORTE 1</v>
          </cell>
          <cell r="C1877">
            <v>1</v>
          </cell>
          <cell r="D1877">
            <v>1</v>
          </cell>
          <cell r="E1877">
            <v>3.6</v>
          </cell>
          <cell r="F1877">
            <v>0.1</v>
          </cell>
          <cell r="G1877">
            <v>0.2</v>
          </cell>
          <cell r="L1877">
            <v>7.2000000000000008E-2</v>
          </cell>
          <cell r="M1877">
            <v>3.6</v>
          </cell>
          <cell r="N1877">
            <v>9.9999999999999978E-2</v>
          </cell>
          <cell r="O1877">
            <v>0.35999999999999993</v>
          </cell>
          <cell r="Q1877" t="str">
            <v>3/8"</v>
          </cell>
          <cell r="R1877">
            <v>2</v>
          </cell>
          <cell r="S1877">
            <v>4.8999999999999995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5.4879999999999995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</row>
        <row r="1878">
          <cell r="C1878">
            <v>1</v>
          </cell>
          <cell r="D1878">
            <v>1</v>
          </cell>
          <cell r="Q1878" t="str">
            <v>1/4"</v>
          </cell>
          <cell r="R1878">
            <v>15</v>
          </cell>
          <cell r="S1878">
            <v>0.60000000000000009</v>
          </cell>
          <cell r="T1878">
            <v>0</v>
          </cell>
          <cell r="U1878">
            <v>2.2500000000000004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</row>
        <row r="1879">
          <cell r="B1879" t="str">
            <v>CORTE 1</v>
          </cell>
          <cell r="C1879">
            <v>1</v>
          </cell>
          <cell r="D1879">
            <v>1</v>
          </cell>
          <cell r="E1879">
            <v>2.85</v>
          </cell>
          <cell r="F1879">
            <v>0.1</v>
          </cell>
          <cell r="G1879">
            <v>0.2</v>
          </cell>
          <cell r="L1879">
            <v>5.7000000000000009E-2</v>
          </cell>
          <cell r="M1879">
            <v>2.85</v>
          </cell>
          <cell r="N1879">
            <v>9.9999999999999978E-2</v>
          </cell>
          <cell r="O1879">
            <v>0.28499999999999992</v>
          </cell>
          <cell r="Q1879" t="str">
            <v>3/8"</v>
          </cell>
          <cell r="R1879">
            <v>2</v>
          </cell>
          <cell r="S1879">
            <v>4.1500000000000004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4.6480000000000006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</row>
        <row r="1880">
          <cell r="C1880">
            <v>1</v>
          </cell>
          <cell r="D1880">
            <v>1</v>
          </cell>
          <cell r="Q1880" t="str">
            <v>1/4"</v>
          </cell>
          <cell r="R1880">
            <v>12</v>
          </cell>
          <cell r="S1880">
            <v>0.60000000000000009</v>
          </cell>
          <cell r="T1880">
            <v>0</v>
          </cell>
          <cell r="U1880">
            <v>1.8000000000000003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</row>
        <row r="1881">
          <cell r="B1881" t="str">
            <v>CORTE 1</v>
          </cell>
          <cell r="C1881">
            <v>1</v>
          </cell>
          <cell r="D1881">
            <v>1</v>
          </cell>
          <cell r="E1881">
            <v>3.75</v>
          </cell>
          <cell r="F1881">
            <v>0.1</v>
          </cell>
          <cell r="G1881">
            <v>0.2</v>
          </cell>
          <cell r="L1881">
            <v>7.5000000000000011E-2</v>
          </cell>
          <cell r="M1881">
            <v>3.75</v>
          </cell>
          <cell r="N1881">
            <v>9.9999999999999978E-2</v>
          </cell>
          <cell r="O1881">
            <v>0.37499999999999989</v>
          </cell>
          <cell r="Q1881" t="str">
            <v>3/8"</v>
          </cell>
          <cell r="R1881">
            <v>2</v>
          </cell>
          <cell r="S1881">
            <v>5.05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5.6560000000000006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</row>
        <row r="1882">
          <cell r="C1882">
            <v>1</v>
          </cell>
          <cell r="D1882">
            <v>1</v>
          </cell>
          <cell r="Q1882" t="str">
            <v>1/4"</v>
          </cell>
          <cell r="R1882">
            <v>16</v>
          </cell>
          <cell r="S1882">
            <v>0.60000000000000009</v>
          </cell>
          <cell r="T1882">
            <v>0</v>
          </cell>
          <cell r="U1882">
            <v>2.4000000000000004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</row>
        <row r="1883">
          <cell r="B1883" t="str">
            <v>CORTE 2</v>
          </cell>
          <cell r="C1883">
            <v>1</v>
          </cell>
          <cell r="D1883">
            <v>2</v>
          </cell>
          <cell r="E1883">
            <v>3.4</v>
          </cell>
          <cell r="F1883">
            <v>0.2</v>
          </cell>
          <cell r="G1883">
            <v>0.2</v>
          </cell>
          <cell r="L1883">
            <v>0.27200000000000002</v>
          </cell>
          <cell r="M1883">
            <v>3.4</v>
          </cell>
          <cell r="N1883">
            <v>0.20000000000000007</v>
          </cell>
          <cell r="O1883">
            <v>1.3600000000000003</v>
          </cell>
          <cell r="Q1883" t="str">
            <v>3/8"</v>
          </cell>
          <cell r="R1883">
            <v>4</v>
          </cell>
          <cell r="S1883">
            <v>4.7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21.056000000000004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</row>
        <row r="1884">
          <cell r="C1884">
            <v>1</v>
          </cell>
          <cell r="D1884">
            <v>2</v>
          </cell>
          <cell r="Q1884" t="str">
            <v>1/4"</v>
          </cell>
          <cell r="R1884">
            <v>14</v>
          </cell>
          <cell r="S1884">
            <v>0.8</v>
          </cell>
          <cell r="T1884">
            <v>0</v>
          </cell>
          <cell r="U1884">
            <v>5.6000000000000005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</row>
        <row r="1885">
          <cell r="B1885" t="str">
            <v>CORTE 3</v>
          </cell>
          <cell r="C1885">
            <v>1</v>
          </cell>
          <cell r="D1885">
            <v>1</v>
          </cell>
          <cell r="E1885">
            <v>3.15</v>
          </cell>
          <cell r="F1885">
            <v>0.25</v>
          </cell>
          <cell r="G1885">
            <v>0.55000000000000004</v>
          </cell>
          <cell r="L1885">
            <v>0.43312500000000004</v>
          </cell>
          <cell r="M1885">
            <v>3.15</v>
          </cell>
          <cell r="N1885">
            <v>0.95000000000000007</v>
          </cell>
          <cell r="O1885">
            <v>2.9925000000000002</v>
          </cell>
          <cell r="Q1885" t="str">
            <v>3/4"</v>
          </cell>
          <cell r="R1885">
            <v>4</v>
          </cell>
          <cell r="S1885">
            <v>4.45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39.872000000000007</v>
          </cell>
          <cell r="AC1885">
            <v>0</v>
          </cell>
          <cell r="AD1885">
            <v>0</v>
          </cell>
        </row>
        <row r="1886">
          <cell r="C1886">
            <v>1</v>
          </cell>
          <cell r="D1886">
            <v>1</v>
          </cell>
          <cell r="Q1886" t="str">
            <v>3/8"</v>
          </cell>
          <cell r="R1886">
            <v>21</v>
          </cell>
          <cell r="S1886">
            <v>1.6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18.816000000000003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</row>
        <row r="1887">
          <cell r="B1887" t="str">
            <v>CORTE 3</v>
          </cell>
          <cell r="C1887">
            <v>1</v>
          </cell>
          <cell r="D1887">
            <v>1</v>
          </cell>
          <cell r="E1887">
            <v>2.8</v>
          </cell>
          <cell r="F1887">
            <v>0.25</v>
          </cell>
          <cell r="G1887">
            <v>0.55000000000000004</v>
          </cell>
          <cell r="L1887">
            <v>0.38500000000000001</v>
          </cell>
          <cell r="M1887">
            <v>2.8</v>
          </cell>
          <cell r="N1887">
            <v>0.95000000000000007</v>
          </cell>
          <cell r="O1887">
            <v>2.66</v>
          </cell>
          <cell r="Q1887" t="str">
            <v>3/4"</v>
          </cell>
          <cell r="R1887">
            <v>4</v>
          </cell>
          <cell r="S1887">
            <v>4.0999999999999996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36.735999999999997</v>
          </cell>
          <cell r="AC1887">
            <v>0</v>
          </cell>
          <cell r="AD1887">
            <v>0</v>
          </cell>
        </row>
        <row r="1888">
          <cell r="C1888">
            <v>1</v>
          </cell>
          <cell r="D1888">
            <v>1</v>
          </cell>
          <cell r="Q1888" t="str">
            <v>3/8"</v>
          </cell>
          <cell r="R1888">
            <v>20</v>
          </cell>
          <cell r="S1888">
            <v>1.6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17.920000000000002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</row>
        <row r="1889">
          <cell r="B1889" t="str">
            <v>CORTE 3</v>
          </cell>
          <cell r="C1889">
            <v>1</v>
          </cell>
          <cell r="D1889">
            <v>1</v>
          </cell>
          <cell r="E1889">
            <v>3</v>
          </cell>
          <cell r="F1889">
            <v>0.25</v>
          </cell>
          <cell r="G1889">
            <v>0.55000000000000004</v>
          </cell>
          <cell r="L1889">
            <v>0.41250000000000003</v>
          </cell>
          <cell r="M1889">
            <v>3</v>
          </cell>
          <cell r="N1889">
            <v>0.95000000000000007</v>
          </cell>
          <cell r="O1889">
            <v>2.85</v>
          </cell>
          <cell r="Q1889" t="str">
            <v>3/4"</v>
          </cell>
          <cell r="R1889">
            <v>4</v>
          </cell>
          <cell r="S1889">
            <v>4.3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38.527999999999999</v>
          </cell>
          <cell r="AC1889">
            <v>0</v>
          </cell>
          <cell r="AD1889">
            <v>0</v>
          </cell>
        </row>
        <row r="1890">
          <cell r="C1890">
            <v>1</v>
          </cell>
          <cell r="D1890">
            <v>1</v>
          </cell>
          <cell r="Q1890" t="str">
            <v>3/8"</v>
          </cell>
          <cell r="R1890">
            <v>21</v>
          </cell>
          <cell r="S1890">
            <v>1.6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18.816000000000003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</row>
        <row r="1891">
          <cell r="B1891" t="str">
            <v>CORTE 5</v>
          </cell>
          <cell r="C1891">
            <v>1</v>
          </cell>
          <cell r="D1891">
            <v>1</v>
          </cell>
          <cell r="E1891">
            <v>3.35</v>
          </cell>
          <cell r="F1891">
            <v>0.15</v>
          </cell>
          <cell r="G1891">
            <v>0.55000000000000004</v>
          </cell>
          <cell r="L1891">
            <v>0.27637499999999998</v>
          </cell>
          <cell r="M1891">
            <v>3.35</v>
          </cell>
          <cell r="N1891">
            <v>0.85</v>
          </cell>
          <cell r="O1891">
            <v>2.8475000000000001</v>
          </cell>
          <cell r="Q1891" t="str">
            <v>5/8"</v>
          </cell>
          <cell r="R1891">
            <v>4</v>
          </cell>
          <cell r="S1891">
            <v>4.6499999999999995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28.83</v>
          </cell>
          <cell r="AB1891">
            <v>0</v>
          </cell>
          <cell r="AC1891">
            <v>0</v>
          </cell>
          <cell r="AD1891">
            <v>0</v>
          </cell>
        </row>
        <row r="1892">
          <cell r="C1892">
            <v>1</v>
          </cell>
          <cell r="D1892">
            <v>1</v>
          </cell>
          <cell r="Q1892" t="str">
            <v>3/8"</v>
          </cell>
          <cell r="R1892">
            <v>22</v>
          </cell>
          <cell r="S1892">
            <v>1.4000000000000001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17.248000000000005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</row>
        <row r="1893">
          <cell r="B1893" t="str">
            <v>CORTE 7</v>
          </cell>
          <cell r="C1893">
            <v>1</v>
          </cell>
          <cell r="D1893">
            <v>1</v>
          </cell>
          <cell r="E1893">
            <v>0.4</v>
          </cell>
          <cell r="F1893">
            <v>0.15</v>
          </cell>
          <cell r="G1893">
            <v>0.55000000000000004</v>
          </cell>
          <cell r="L1893">
            <v>3.3000000000000002E-2</v>
          </cell>
          <cell r="M1893">
            <v>0.4</v>
          </cell>
          <cell r="N1893">
            <v>0.85</v>
          </cell>
          <cell r="O1893">
            <v>0.34</v>
          </cell>
          <cell r="Q1893" t="str">
            <v>5/8"</v>
          </cell>
          <cell r="R1893">
            <v>5</v>
          </cell>
          <cell r="S1893">
            <v>1.7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13.175000000000001</v>
          </cell>
          <cell r="AB1893">
            <v>0</v>
          </cell>
          <cell r="AC1893">
            <v>0</v>
          </cell>
          <cell r="AD1893">
            <v>0</v>
          </cell>
        </row>
        <row r="1894">
          <cell r="C1894">
            <v>1</v>
          </cell>
          <cell r="D1894">
            <v>1</v>
          </cell>
          <cell r="Q1894" t="str">
            <v>3/8"</v>
          </cell>
          <cell r="R1894">
            <v>8</v>
          </cell>
          <cell r="S1894">
            <v>1.4000000000000001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6.2720000000000011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</row>
        <row r="1895">
          <cell r="B1895" t="str">
            <v>CORTE 7</v>
          </cell>
          <cell r="C1895">
            <v>1</v>
          </cell>
          <cell r="D1895">
            <v>1</v>
          </cell>
          <cell r="E1895">
            <v>1.5</v>
          </cell>
          <cell r="F1895">
            <v>0.15</v>
          </cell>
          <cell r="G1895">
            <v>0.55000000000000004</v>
          </cell>
          <cell r="L1895">
            <v>0.12375</v>
          </cell>
          <cell r="M1895">
            <v>1.5</v>
          </cell>
          <cell r="N1895">
            <v>0.85</v>
          </cell>
          <cell r="O1895">
            <v>1.2749999999999999</v>
          </cell>
          <cell r="Q1895" t="str">
            <v>5/8"</v>
          </cell>
          <cell r="R1895">
            <v>5</v>
          </cell>
          <cell r="S1895">
            <v>2.8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21.7</v>
          </cell>
          <cell r="AB1895">
            <v>0</v>
          </cell>
          <cell r="AC1895">
            <v>0</v>
          </cell>
          <cell r="AD1895">
            <v>0</v>
          </cell>
        </row>
        <row r="1896">
          <cell r="C1896">
            <v>1</v>
          </cell>
          <cell r="D1896">
            <v>1</v>
          </cell>
          <cell r="Q1896" t="str">
            <v>3/8"</v>
          </cell>
          <cell r="R1896">
            <v>13</v>
          </cell>
          <cell r="S1896">
            <v>1.4000000000000001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10.192000000000002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</row>
        <row r="1897">
          <cell r="B1897" t="str">
            <v>CORTE 8</v>
          </cell>
          <cell r="C1897">
            <v>1</v>
          </cell>
          <cell r="D1897">
            <v>1</v>
          </cell>
          <cell r="E1897">
            <v>3.4</v>
          </cell>
          <cell r="F1897">
            <v>0.1</v>
          </cell>
          <cell r="G1897">
            <v>0.2</v>
          </cell>
          <cell r="L1897">
            <v>6.8000000000000005E-2</v>
          </cell>
          <cell r="M1897">
            <v>3.4</v>
          </cell>
          <cell r="N1897">
            <v>9.9999999999999978E-2</v>
          </cell>
          <cell r="O1897">
            <v>0.33999999999999991</v>
          </cell>
          <cell r="Q1897" t="str">
            <v>3/8"</v>
          </cell>
          <cell r="R1897">
            <v>2</v>
          </cell>
          <cell r="S1897">
            <v>4.7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5.2640000000000011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</row>
        <row r="1898">
          <cell r="C1898">
            <v>1</v>
          </cell>
          <cell r="D1898">
            <v>1</v>
          </cell>
          <cell r="Q1898" t="str">
            <v>1/4"</v>
          </cell>
          <cell r="R1898">
            <v>14</v>
          </cell>
          <cell r="S1898">
            <v>0.60000000000000009</v>
          </cell>
          <cell r="T1898">
            <v>0</v>
          </cell>
          <cell r="U1898">
            <v>2.1000000000000005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</row>
        <row r="1899">
          <cell r="B1899" t="str">
            <v>CORTE 8</v>
          </cell>
          <cell r="C1899">
            <v>1</v>
          </cell>
          <cell r="D1899">
            <v>1</v>
          </cell>
          <cell r="E1899">
            <v>2.6</v>
          </cell>
          <cell r="F1899">
            <v>0.1</v>
          </cell>
          <cell r="G1899">
            <v>0.2</v>
          </cell>
          <cell r="L1899">
            <v>5.2000000000000005E-2</v>
          </cell>
          <cell r="M1899">
            <v>2.6</v>
          </cell>
          <cell r="N1899">
            <v>9.9999999999999978E-2</v>
          </cell>
          <cell r="O1899">
            <v>0.25999999999999995</v>
          </cell>
          <cell r="Q1899" t="str">
            <v>3/8"</v>
          </cell>
          <cell r="R1899">
            <v>2</v>
          </cell>
          <cell r="S1899">
            <v>3.9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4.3680000000000003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</row>
        <row r="1900">
          <cell r="C1900">
            <v>1</v>
          </cell>
          <cell r="D1900">
            <v>1</v>
          </cell>
          <cell r="Q1900" t="str">
            <v>1/4"</v>
          </cell>
          <cell r="R1900">
            <v>11</v>
          </cell>
          <cell r="S1900">
            <v>0.60000000000000009</v>
          </cell>
          <cell r="T1900">
            <v>0</v>
          </cell>
          <cell r="U1900">
            <v>1.6500000000000004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</row>
        <row r="1902">
          <cell r="A1902" t="str">
            <v>CORTE-CON</v>
          </cell>
          <cell r="B1902" t="str">
            <v>Concreto f'c= 210 kg/cm2</v>
          </cell>
          <cell r="D1902" t="str">
            <v>M3</v>
          </cell>
          <cell r="E1902">
            <v>41.779000000000011</v>
          </cell>
        </row>
        <row r="1903">
          <cell r="A1903" t="str">
            <v>CORTE-ENC</v>
          </cell>
          <cell r="B1903" t="str">
            <v xml:space="preserve">Encofrado y desencofrado </v>
          </cell>
          <cell r="D1903" t="str">
            <v>M2</v>
          </cell>
          <cell r="E1903">
            <v>210.80250000000007</v>
          </cell>
        </row>
        <row r="1904">
          <cell r="A1904" t="str">
            <v>CORTE-ACE</v>
          </cell>
          <cell r="B1904" t="str">
            <v>Acero de refuerzo</v>
          </cell>
          <cell r="D1904" t="str">
            <v>KG</v>
          </cell>
          <cell r="E1904">
            <v>6019.3599999999988</v>
          </cell>
        </row>
        <row r="1908">
          <cell r="B1908" t="str">
            <v>LOSA MACIZA H=20CM</v>
          </cell>
        </row>
        <row r="1910">
          <cell r="B1910" t="str">
            <v>PISO 1</v>
          </cell>
        </row>
        <row r="1912">
          <cell r="C1912">
            <v>1</v>
          </cell>
          <cell r="D1912">
            <v>1</v>
          </cell>
          <cell r="E1912">
            <v>79</v>
          </cell>
          <cell r="F1912">
            <v>1</v>
          </cell>
          <cell r="G1912">
            <v>0.2</v>
          </cell>
          <cell r="L1912">
            <v>15.8</v>
          </cell>
          <cell r="M1912">
            <v>79</v>
          </cell>
          <cell r="N1912">
            <v>1</v>
          </cell>
          <cell r="O1912">
            <v>79</v>
          </cell>
        </row>
        <row r="1913">
          <cell r="B1913" t="str">
            <v>Acero Longitudinal</v>
          </cell>
          <cell r="C1913">
            <v>1</v>
          </cell>
          <cell r="D1913">
            <v>1</v>
          </cell>
        </row>
        <row r="1914">
          <cell r="B1914" t="str">
            <v>Acero Inferior</v>
          </cell>
          <cell r="C1914">
            <v>1</v>
          </cell>
          <cell r="D1914">
            <v>1</v>
          </cell>
          <cell r="E1914">
            <v>1.75</v>
          </cell>
          <cell r="F1914">
            <v>0.2</v>
          </cell>
          <cell r="G1914">
            <v>13.3</v>
          </cell>
          <cell r="Q1914" t="str">
            <v>3/8"</v>
          </cell>
          <cell r="R1914">
            <v>9</v>
          </cell>
          <cell r="S1914">
            <v>13.600000000000001</v>
          </cell>
          <cell r="T1914">
            <v>1</v>
          </cell>
          <cell r="U1914">
            <v>0</v>
          </cell>
          <cell r="V1914">
            <v>0</v>
          </cell>
          <cell r="W1914">
            <v>0</v>
          </cell>
          <cell r="X1914">
            <v>68.544000000000011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</row>
        <row r="1915">
          <cell r="B1915" t="str">
            <v>Acero Superior</v>
          </cell>
          <cell r="C1915">
            <v>1</v>
          </cell>
          <cell r="D1915">
            <v>1</v>
          </cell>
          <cell r="E1915">
            <v>1.75</v>
          </cell>
          <cell r="F1915">
            <v>0.4</v>
          </cell>
          <cell r="G1915">
            <v>13.3</v>
          </cell>
          <cell r="Q1915" t="str">
            <v>3/8"</v>
          </cell>
          <cell r="R1915">
            <v>4</v>
          </cell>
          <cell r="S1915">
            <v>13.600000000000001</v>
          </cell>
          <cell r="T1915">
            <v>1</v>
          </cell>
          <cell r="U1915">
            <v>0</v>
          </cell>
          <cell r="V1915">
            <v>0</v>
          </cell>
          <cell r="W1915">
            <v>0</v>
          </cell>
          <cell r="X1915">
            <v>30.464000000000006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</row>
        <row r="1916">
          <cell r="B1916" t="str">
            <v>Acero Inferior</v>
          </cell>
          <cell r="C1916">
            <v>1</v>
          </cell>
          <cell r="D1916">
            <v>1</v>
          </cell>
          <cell r="E1916">
            <v>0.9</v>
          </cell>
          <cell r="F1916">
            <v>0.2</v>
          </cell>
          <cell r="G1916">
            <v>8.5</v>
          </cell>
          <cell r="Q1916" t="str">
            <v>3/8"</v>
          </cell>
          <cell r="R1916">
            <v>5</v>
          </cell>
          <cell r="S1916">
            <v>8.8000000000000007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24.64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</row>
        <row r="1917">
          <cell r="B1917" t="str">
            <v>Acero Superior</v>
          </cell>
          <cell r="C1917">
            <v>1</v>
          </cell>
          <cell r="D1917">
            <v>1</v>
          </cell>
          <cell r="E1917">
            <v>0.9</v>
          </cell>
          <cell r="F1917">
            <v>0.4</v>
          </cell>
          <cell r="G1917">
            <v>8.5</v>
          </cell>
          <cell r="Q1917" t="str">
            <v>3/8"</v>
          </cell>
          <cell r="R1917">
            <v>2</v>
          </cell>
          <cell r="S1917">
            <v>8.8000000000000007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9.8560000000000016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</row>
        <row r="1918">
          <cell r="B1918" t="str">
            <v>Acero Inferior</v>
          </cell>
          <cell r="C1918">
            <v>1</v>
          </cell>
          <cell r="D1918">
            <v>1</v>
          </cell>
          <cell r="E1918">
            <v>0.6</v>
          </cell>
          <cell r="F1918">
            <v>0.2</v>
          </cell>
          <cell r="G1918">
            <v>4.55</v>
          </cell>
          <cell r="Q1918" t="str">
            <v>3/8"</v>
          </cell>
          <cell r="R1918">
            <v>3</v>
          </cell>
          <cell r="S1918">
            <v>4.8499999999999996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8.1479999999999997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</row>
        <row r="1919">
          <cell r="B1919" t="str">
            <v>Acero Superior</v>
          </cell>
          <cell r="C1919">
            <v>1</v>
          </cell>
          <cell r="D1919">
            <v>1</v>
          </cell>
          <cell r="E1919">
            <v>0.6</v>
          </cell>
          <cell r="F1919">
            <v>0.4</v>
          </cell>
          <cell r="G1919">
            <v>4.55</v>
          </cell>
          <cell r="Q1919" t="str">
            <v>3/8"</v>
          </cell>
          <cell r="R1919">
            <v>2</v>
          </cell>
          <cell r="S1919">
            <v>4.8499999999999996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5.4320000000000004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</row>
        <row r="1920">
          <cell r="B1920" t="str">
            <v>Acero Inferior</v>
          </cell>
          <cell r="C1920">
            <v>1</v>
          </cell>
          <cell r="D1920">
            <v>1</v>
          </cell>
          <cell r="E1920">
            <v>1.65</v>
          </cell>
          <cell r="F1920">
            <v>0.2</v>
          </cell>
          <cell r="G1920">
            <v>9.3000000000000007</v>
          </cell>
          <cell r="Q1920" t="str">
            <v>3/8"</v>
          </cell>
          <cell r="R1920">
            <v>8</v>
          </cell>
          <cell r="S1920">
            <v>9.6000000000000014</v>
          </cell>
          <cell r="T1920">
            <v>1</v>
          </cell>
          <cell r="U1920">
            <v>0</v>
          </cell>
          <cell r="V1920">
            <v>0</v>
          </cell>
          <cell r="W1920">
            <v>0</v>
          </cell>
          <cell r="X1920">
            <v>43.00800000000001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</row>
        <row r="1921">
          <cell r="B1921" t="str">
            <v>Acero Superior</v>
          </cell>
          <cell r="C1921">
            <v>1</v>
          </cell>
          <cell r="D1921">
            <v>1</v>
          </cell>
          <cell r="E1921">
            <v>1.65</v>
          </cell>
          <cell r="F1921">
            <v>0.4</v>
          </cell>
          <cell r="G1921">
            <v>9.3000000000000007</v>
          </cell>
          <cell r="Q1921" t="str">
            <v>3/8"</v>
          </cell>
          <cell r="R1921">
            <v>4</v>
          </cell>
          <cell r="S1921">
            <v>9.6000000000000014</v>
          </cell>
          <cell r="T1921">
            <v>1</v>
          </cell>
          <cell r="U1921">
            <v>0</v>
          </cell>
          <cell r="V1921">
            <v>0</v>
          </cell>
          <cell r="W1921">
            <v>0</v>
          </cell>
          <cell r="X1921">
            <v>21.504000000000005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</row>
        <row r="1922">
          <cell r="B1922" t="str">
            <v>Acero Inferior</v>
          </cell>
          <cell r="C1922">
            <v>1</v>
          </cell>
          <cell r="D1922">
            <v>1</v>
          </cell>
          <cell r="E1922">
            <v>5.05</v>
          </cell>
          <cell r="F1922">
            <v>0.2</v>
          </cell>
          <cell r="G1922">
            <v>2.95</v>
          </cell>
          <cell r="Q1922" t="str">
            <v>3/8"</v>
          </cell>
          <cell r="R1922">
            <v>25</v>
          </cell>
          <cell r="S1922">
            <v>3.25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45.500000000000007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</row>
        <row r="1923">
          <cell r="B1923" t="str">
            <v>Acero Superior</v>
          </cell>
          <cell r="C1923">
            <v>1</v>
          </cell>
          <cell r="D1923">
            <v>1</v>
          </cell>
          <cell r="E1923">
            <v>5.05</v>
          </cell>
          <cell r="F1923">
            <v>0.4</v>
          </cell>
          <cell r="G1923">
            <v>2.95</v>
          </cell>
          <cell r="Q1923" t="str">
            <v>3/8"</v>
          </cell>
          <cell r="R1923">
            <v>13</v>
          </cell>
          <cell r="S1923">
            <v>3.25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23.660000000000004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</row>
        <row r="1924">
          <cell r="B1924" t="str">
            <v>Acero Inferior</v>
          </cell>
          <cell r="C1924">
            <v>1</v>
          </cell>
          <cell r="D1924">
            <v>1</v>
          </cell>
          <cell r="E1924">
            <v>20.100000000000001</v>
          </cell>
          <cell r="F1924">
            <v>0.2</v>
          </cell>
          <cell r="G1924">
            <v>1.55</v>
          </cell>
          <cell r="Q1924" t="str">
            <v>3/8"</v>
          </cell>
          <cell r="R1924">
            <v>101</v>
          </cell>
          <cell r="S1924">
            <v>1.85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104.63600000000002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</row>
        <row r="1925">
          <cell r="B1925" t="str">
            <v>Acero Superior</v>
          </cell>
          <cell r="C1925">
            <v>1</v>
          </cell>
          <cell r="D1925">
            <v>1</v>
          </cell>
          <cell r="E1925">
            <v>20.100000000000001</v>
          </cell>
          <cell r="F1925">
            <v>0.4</v>
          </cell>
          <cell r="G1925">
            <v>1.55</v>
          </cell>
          <cell r="Q1925" t="str">
            <v>3/8"</v>
          </cell>
          <cell r="R1925">
            <v>50</v>
          </cell>
          <cell r="S1925">
            <v>1.85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51.800000000000004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</row>
        <row r="1926">
          <cell r="B1926" t="str">
            <v>Acero Inferior</v>
          </cell>
          <cell r="C1926">
            <v>1</v>
          </cell>
          <cell r="D1926">
            <v>1</v>
          </cell>
          <cell r="E1926">
            <v>4.3499999999999996</v>
          </cell>
          <cell r="F1926">
            <v>0.2</v>
          </cell>
          <cell r="G1926">
            <v>2.95</v>
          </cell>
          <cell r="Q1926" t="str">
            <v>3/8"</v>
          </cell>
          <cell r="R1926">
            <v>22</v>
          </cell>
          <cell r="S1926">
            <v>3.25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40.040000000000006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</row>
        <row r="1927">
          <cell r="B1927" t="str">
            <v>Acero Superior</v>
          </cell>
          <cell r="C1927">
            <v>1</v>
          </cell>
          <cell r="D1927">
            <v>1</v>
          </cell>
          <cell r="E1927">
            <v>4.3499999999999996</v>
          </cell>
          <cell r="F1927">
            <v>0.4</v>
          </cell>
          <cell r="G1927">
            <v>2.95</v>
          </cell>
          <cell r="Q1927" t="str">
            <v>3/8"</v>
          </cell>
          <cell r="R1927">
            <v>11</v>
          </cell>
          <cell r="S1927">
            <v>3.25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20.020000000000003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</row>
        <row r="1928">
          <cell r="B1928" t="str">
            <v>Acero Transversal</v>
          </cell>
          <cell r="C1928">
            <v>1</v>
          </cell>
          <cell r="D1928">
            <v>1</v>
          </cell>
        </row>
        <row r="1929">
          <cell r="B1929" t="str">
            <v>Acero Inferior</v>
          </cell>
          <cell r="C1929">
            <v>1</v>
          </cell>
          <cell r="D1929">
            <v>1</v>
          </cell>
          <cell r="E1929">
            <v>3.8</v>
          </cell>
          <cell r="F1929">
            <v>0.2</v>
          </cell>
          <cell r="G1929">
            <v>2.1</v>
          </cell>
          <cell r="Q1929" t="str">
            <v>3/8"</v>
          </cell>
          <cell r="R1929">
            <v>19</v>
          </cell>
          <cell r="S1929">
            <v>2.4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25.536000000000005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</row>
        <row r="1930">
          <cell r="B1930" t="str">
            <v>Acero Superior</v>
          </cell>
          <cell r="C1930">
            <v>1</v>
          </cell>
          <cell r="D1930">
            <v>1</v>
          </cell>
          <cell r="E1930">
            <v>3.8</v>
          </cell>
          <cell r="F1930">
            <v>0.4</v>
          </cell>
          <cell r="G1930">
            <v>2.1</v>
          </cell>
          <cell r="Q1930" t="str">
            <v>3/8"</v>
          </cell>
          <cell r="R1930">
            <v>10</v>
          </cell>
          <cell r="S1930">
            <v>2.4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13.440000000000001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</row>
        <row r="1931">
          <cell r="B1931" t="str">
            <v>Acero Inferior</v>
          </cell>
          <cell r="C1931">
            <v>1</v>
          </cell>
          <cell r="D1931">
            <v>1</v>
          </cell>
          <cell r="E1931">
            <v>3.65</v>
          </cell>
          <cell r="F1931">
            <v>0.2</v>
          </cell>
          <cell r="G1931">
            <v>5.3</v>
          </cell>
          <cell r="Q1931" t="str">
            <v>3/8"</v>
          </cell>
          <cell r="R1931">
            <v>18</v>
          </cell>
          <cell r="S1931">
            <v>5.6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56.448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</row>
        <row r="1932">
          <cell r="B1932" t="str">
            <v>Acero Superior</v>
          </cell>
          <cell r="C1932">
            <v>1</v>
          </cell>
          <cell r="D1932">
            <v>1</v>
          </cell>
          <cell r="E1932">
            <v>3.65</v>
          </cell>
          <cell r="F1932">
            <v>0.4</v>
          </cell>
          <cell r="G1932">
            <v>5.3</v>
          </cell>
          <cell r="Q1932" t="str">
            <v>3/8"</v>
          </cell>
          <cell r="R1932">
            <v>9</v>
          </cell>
          <cell r="S1932">
            <v>5.6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28.224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</row>
        <row r="1933">
          <cell r="B1933" t="str">
            <v>Acero Inferior</v>
          </cell>
          <cell r="C1933">
            <v>1</v>
          </cell>
          <cell r="D1933">
            <v>1</v>
          </cell>
          <cell r="E1933">
            <v>2.7</v>
          </cell>
          <cell r="F1933">
            <v>0.2</v>
          </cell>
          <cell r="G1933">
            <v>5.6</v>
          </cell>
          <cell r="Q1933" t="str">
            <v>3/8"</v>
          </cell>
          <cell r="R1933">
            <v>14</v>
          </cell>
          <cell r="S1933">
            <v>5.8999999999999995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46.256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</row>
        <row r="1934">
          <cell r="B1934" t="str">
            <v>Acero Superior</v>
          </cell>
          <cell r="C1934">
            <v>1</v>
          </cell>
          <cell r="D1934">
            <v>1</v>
          </cell>
          <cell r="E1934">
            <v>2.7</v>
          </cell>
          <cell r="F1934">
            <v>0.4</v>
          </cell>
          <cell r="G1934">
            <v>5.6</v>
          </cell>
          <cell r="Q1934" t="str">
            <v>3/8"</v>
          </cell>
          <cell r="R1934">
            <v>7</v>
          </cell>
          <cell r="S1934">
            <v>5.8999999999999995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23.128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</row>
        <row r="1935">
          <cell r="B1935" t="str">
            <v>Acero Inferior</v>
          </cell>
          <cell r="C1935">
            <v>1</v>
          </cell>
          <cell r="D1935">
            <v>1</v>
          </cell>
          <cell r="E1935">
            <v>2.2000000000000002</v>
          </cell>
          <cell r="F1935">
            <v>0.2</v>
          </cell>
          <cell r="G1935">
            <v>4.7</v>
          </cell>
          <cell r="Q1935" t="str">
            <v>3/8"</v>
          </cell>
          <cell r="R1935">
            <v>11</v>
          </cell>
          <cell r="S1935">
            <v>5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30.800000000000004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</row>
        <row r="1936">
          <cell r="B1936" t="str">
            <v>Acero Superior</v>
          </cell>
          <cell r="C1936">
            <v>1</v>
          </cell>
          <cell r="D1936">
            <v>1</v>
          </cell>
          <cell r="E1936">
            <v>2.2000000000000002</v>
          </cell>
          <cell r="F1936">
            <v>0.4</v>
          </cell>
          <cell r="G1936">
            <v>4.7</v>
          </cell>
          <cell r="Q1936" t="str">
            <v>3/8"</v>
          </cell>
          <cell r="R1936">
            <v>6</v>
          </cell>
          <cell r="S1936">
            <v>5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16.8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</row>
        <row r="1937">
          <cell r="B1937" t="str">
            <v>Acero Inferior</v>
          </cell>
          <cell r="C1937">
            <v>1</v>
          </cell>
          <cell r="D1937">
            <v>1</v>
          </cell>
          <cell r="E1937">
            <v>2.2000000000000002</v>
          </cell>
          <cell r="F1937">
            <v>0.2</v>
          </cell>
          <cell r="G1937">
            <v>5.85</v>
          </cell>
          <cell r="Q1937" t="str">
            <v>3/8"</v>
          </cell>
          <cell r="R1937">
            <v>11</v>
          </cell>
          <cell r="S1937">
            <v>6.1499999999999995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37.884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</row>
        <row r="1938">
          <cell r="B1938" t="str">
            <v>Acero Superior</v>
          </cell>
          <cell r="C1938">
            <v>1</v>
          </cell>
          <cell r="D1938">
            <v>1</v>
          </cell>
          <cell r="E1938">
            <v>2.2000000000000002</v>
          </cell>
          <cell r="F1938">
            <v>0.4</v>
          </cell>
          <cell r="G1938">
            <v>5.85</v>
          </cell>
          <cell r="Q1938" t="str">
            <v>3/8"</v>
          </cell>
          <cell r="R1938">
            <v>6</v>
          </cell>
          <cell r="S1938">
            <v>6.1499999999999995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20.664000000000001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</row>
        <row r="1939">
          <cell r="B1939" t="str">
            <v>Acero Inferior</v>
          </cell>
          <cell r="C1939">
            <v>1</v>
          </cell>
          <cell r="D1939">
            <v>1</v>
          </cell>
          <cell r="E1939">
            <v>1.3</v>
          </cell>
          <cell r="F1939">
            <v>0.2</v>
          </cell>
          <cell r="G1939">
            <v>20.2</v>
          </cell>
          <cell r="Q1939" t="str">
            <v>3/8"</v>
          </cell>
          <cell r="R1939">
            <v>7</v>
          </cell>
          <cell r="S1939">
            <v>20.5</v>
          </cell>
          <cell r="T1939">
            <v>2</v>
          </cell>
          <cell r="U1939">
            <v>0</v>
          </cell>
          <cell r="V1939">
            <v>0</v>
          </cell>
          <cell r="W1939">
            <v>0</v>
          </cell>
          <cell r="X1939">
            <v>80.360000000000014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</row>
        <row r="1940">
          <cell r="B1940" t="str">
            <v>Acero Superior</v>
          </cell>
          <cell r="C1940">
            <v>1</v>
          </cell>
          <cell r="D1940">
            <v>1</v>
          </cell>
          <cell r="E1940">
            <v>1.3</v>
          </cell>
          <cell r="F1940">
            <v>0.4</v>
          </cell>
          <cell r="G1940">
            <v>20.2</v>
          </cell>
          <cell r="Q1940" t="str">
            <v>3/8"</v>
          </cell>
          <cell r="R1940">
            <v>3</v>
          </cell>
          <cell r="S1940">
            <v>20.5</v>
          </cell>
          <cell r="T1940">
            <v>2</v>
          </cell>
          <cell r="U1940">
            <v>0</v>
          </cell>
          <cell r="V1940">
            <v>0</v>
          </cell>
          <cell r="W1940">
            <v>0</v>
          </cell>
          <cell r="X1940">
            <v>34.440000000000005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</row>
        <row r="1941">
          <cell r="B1941" t="str">
            <v>Ensanche alternados</v>
          </cell>
          <cell r="C1941">
            <v>1</v>
          </cell>
          <cell r="D1941">
            <v>1</v>
          </cell>
          <cell r="E1941">
            <v>2.4000000000000004</v>
          </cell>
          <cell r="F1941">
            <v>1</v>
          </cell>
          <cell r="G1941">
            <v>0.2</v>
          </cell>
          <cell r="L1941">
            <v>0.48000000000000009</v>
          </cell>
          <cell r="M1941">
            <v>2.4000000000000004</v>
          </cell>
          <cell r="N1941">
            <v>1</v>
          </cell>
          <cell r="O1941">
            <v>2.4000000000000004</v>
          </cell>
        </row>
        <row r="1942">
          <cell r="B1942" t="str">
            <v>PISO 2-13</v>
          </cell>
        </row>
        <row r="1944">
          <cell r="C1944">
            <v>12</v>
          </cell>
          <cell r="D1944">
            <v>1</v>
          </cell>
          <cell r="E1944">
            <v>78.400000000000006</v>
          </cell>
          <cell r="F1944">
            <v>1</v>
          </cell>
          <cell r="G1944">
            <v>0.2</v>
          </cell>
          <cell r="L1944">
            <v>188.16000000000003</v>
          </cell>
          <cell r="M1944">
            <v>78.400000000000006</v>
          </cell>
          <cell r="N1944">
            <v>1</v>
          </cell>
          <cell r="O1944">
            <v>940.80000000000007</v>
          </cell>
        </row>
        <row r="1945">
          <cell r="B1945" t="str">
            <v>Acero Longitudinal</v>
          </cell>
          <cell r="C1945">
            <v>12</v>
          </cell>
          <cell r="D1945">
            <v>1</v>
          </cell>
        </row>
        <row r="1946">
          <cell r="B1946" t="str">
            <v>Acero Inferior</v>
          </cell>
          <cell r="C1946">
            <v>12</v>
          </cell>
          <cell r="D1946">
            <v>1</v>
          </cell>
          <cell r="E1946">
            <v>1.75</v>
          </cell>
          <cell r="F1946">
            <v>0.2</v>
          </cell>
          <cell r="G1946">
            <v>13.3</v>
          </cell>
          <cell r="Q1946" t="str">
            <v>3/8"</v>
          </cell>
          <cell r="R1946">
            <v>9</v>
          </cell>
          <cell r="S1946">
            <v>13.600000000000001</v>
          </cell>
          <cell r="T1946">
            <v>1</v>
          </cell>
          <cell r="U1946">
            <v>0</v>
          </cell>
          <cell r="V1946">
            <v>0</v>
          </cell>
          <cell r="W1946">
            <v>0</v>
          </cell>
          <cell r="X1946">
            <v>822.52800000000013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</row>
        <row r="1947">
          <cell r="B1947" t="str">
            <v>Acero Superior</v>
          </cell>
          <cell r="C1947">
            <v>12</v>
          </cell>
          <cell r="D1947">
            <v>1</v>
          </cell>
          <cell r="E1947">
            <v>1.75</v>
          </cell>
          <cell r="F1947">
            <v>0.4</v>
          </cell>
          <cell r="G1947">
            <v>13.3</v>
          </cell>
          <cell r="Q1947" t="str">
            <v>3/8"</v>
          </cell>
          <cell r="R1947">
            <v>4</v>
          </cell>
          <cell r="S1947">
            <v>13.600000000000001</v>
          </cell>
          <cell r="T1947">
            <v>1</v>
          </cell>
          <cell r="U1947">
            <v>0</v>
          </cell>
          <cell r="V1947">
            <v>0</v>
          </cell>
          <cell r="W1947">
            <v>0</v>
          </cell>
          <cell r="X1947">
            <v>365.5680000000001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</row>
        <row r="1948">
          <cell r="B1948" t="str">
            <v>Acero Inferior</v>
          </cell>
          <cell r="C1948">
            <v>12</v>
          </cell>
          <cell r="D1948">
            <v>1</v>
          </cell>
          <cell r="E1948">
            <v>0.9</v>
          </cell>
          <cell r="F1948">
            <v>0.2</v>
          </cell>
          <cell r="G1948">
            <v>8.5</v>
          </cell>
          <cell r="Q1948" t="str">
            <v>3/8"</v>
          </cell>
          <cell r="R1948">
            <v>5</v>
          </cell>
          <cell r="S1948">
            <v>8.8000000000000007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295.68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</row>
        <row r="1949">
          <cell r="B1949" t="str">
            <v>Acero Superior</v>
          </cell>
          <cell r="C1949">
            <v>12</v>
          </cell>
          <cell r="D1949">
            <v>1</v>
          </cell>
          <cell r="E1949">
            <v>0.9</v>
          </cell>
          <cell r="F1949">
            <v>0.4</v>
          </cell>
          <cell r="G1949">
            <v>8.5</v>
          </cell>
          <cell r="Q1949" t="str">
            <v>3/8"</v>
          </cell>
          <cell r="R1949">
            <v>2</v>
          </cell>
          <cell r="S1949">
            <v>8.8000000000000007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118.27200000000002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</row>
        <row r="1950">
          <cell r="B1950" t="str">
            <v>Acero Inferior</v>
          </cell>
          <cell r="C1950">
            <v>12</v>
          </cell>
          <cell r="D1950">
            <v>1</v>
          </cell>
          <cell r="E1950">
            <v>0.6</v>
          </cell>
          <cell r="F1950">
            <v>0.2</v>
          </cell>
          <cell r="G1950">
            <v>4.55</v>
          </cell>
          <cell r="Q1950" t="str">
            <v>3/8"</v>
          </cell>
          <cell r="R1950">
            <v>3</v>
          </cell>
          <cell r="S1950">
            <v>4.8499999999999996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97.775999999999996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</row>
        <row r="1951">
          <cell r="B1951" t="str">
            <v>Acero Superior</v>
          </cell>
          <cell r="C1951">
            <v>12</v>
          </cell>
          <cell r="D1951">
            <v>1</v>
          </cell>
          <cell r="E1951">
            <v>0.6</v>
          </cell>
          <cell r="F1951">
            <v>0.4</v>
          </cell>
          <cell r="G1951">
            <v>4.55</v>
          </cell>
          <cell r="Q1951" t="str">
            <v>3/8"</v>
          </cell>
          <cell r="R1951">
            <v>2</v>
          </cell>
          <cell r="S1951">
            <v>4.8499999999999996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65.183999999999997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</row>
        <row r="1952">
          <cell r="B1952" t="str">
            <v>Acero Inferior</v>
          </cell>
          <cell r="C1952">
            <v>12</v>
          </cell>
          <cell r="D1952">
            <v>1</v>
          </cell>
          <cell r="E1952">
            <v>1.65</v>
          </cell>
          <cell r="F1952">
            <v>0.2</v>
          </cell>
          <cell r="G1952">
            <v>9.3000000000000007</v>
          </cell>
          <cell r="Q1952" t="str">
            <v>3/8"</v>
          </cell>
          <cell r="R1952">
            <v>8</v>
          </cell>
          <cell r="S1952">
            <v>9.6000000000000014</v>
          </cell>
          <cell r="T1952">
            <v>1</v>
          </cell>
          <cell r="U1952">
            <v>0</v>
          </cell>
          <cell r="V1952">
            <v>0</v>
          </cell>
          <cell r="W1952">
            <v>0</v>
          </cell>
          <cell r="X1952">
            <v>516.09600000000012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</row>
        <row r="1953">
          <cell r="B1953" t="str">
            <v>Acero Superior</v>
          </cell>
          <cell r="C1953">
            <v>12</v>
          </cell>
          <cell r="D1953">
            <v>1</v>
          </cell>
          <cell r="E1953">
            <v>1.65</v>
          </cell>
          <cell r="F1953">
            <v>0.4</v>
          </cell>
          <cell r="G1953">
            <v>9.3000000000000007</v>
          </cell>
          <cell r="Q1953" t="str">
            <v>3/8"</v>
          </cell>
          <cell r="R1953">
            <v>4</v>
          </cell>
          <cell r="S1953">
            <v>9.6000000000000014</v>
          </cell>
          <cell r="T1953">
            <v>1</v>
          </cell>
          <cell r="U1953">
            <v>0</v>
          </cell>
          <cell r="V1953">
            <v>0</v>
          </cell>
          <cell r="W1953">
            <v>0</v>
          </cell>
          <cell r="X1953">
            <v>258.04800000000006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</row>
        <row r="1954">
          <cell r="B1954" t="str">
            <v>Acero Inferior</v>
          </cell>
          <cell r="C1954">
            <v>12</v>
          </cell>
          <cell r="D1954">
            <v>1</v>
          </cell>
          <cell r="E1954">
            <v>5.05</v>
          </cell>
          <cell r="F1954">
            <v>0.2</v>
          </cell>
          <cell r="G1954">
            <v>2.95</v>
          </cell>
          <cell r="Q1954" t="str">
            <v>3/8"</v>
          </cell>
          <cell r="R1954">
            <v>25</v>
          </cell>
          <cell r="S1954">
            <v>3.25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546.00000000000011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</row>
        <row r="1955">
          <cell r="B1955" t="str">
            <v>Acero Superior</v>
          </cell>
          <cell r="C1955">
            <v>12</v>
          </cell>
          <cell r="D1955">
            <v>1</v>
          </cell>
          <cell r="E1955">
            <v>5.05</v>
          </cell>
          <cell r="F1955">
            <v>0.4</v>
          </cell>
          <cell r="G1955">
            <v>2.95</v>
          </cell>
          <cell r="Q1955" t="str">
            <v>3/8"</v>
          </cell>
          <cell r="R1955">
            <v>13</v>
          </cell>
          <cell r="S1955">
            <v>3.25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283.92000000000007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</row>
        <row r="1956">
          <cell r="B1956" t="str">
            <v>Acero Inferior</v>
          </cell>
          <cell r="C1956">
            <v>12</v>
          </cell>
          <cell r="D1956">
            <v>1</v>
          </cell>
          <cell r="E1956">
            <v>20.100000000000001</v>
          </cell>
          <cell r="F1956">
            <v>0.2</v>
          </cell>
          <cell r="G1956">
            <v>1.55</v>
          </cell>
          <cell r="Q1956" t="str">
            <v>3/8"</v>
          </cell>
          <cell r="R1956">
            <v>101</v>
          </cell>
          <cell r="S1956">
            <v>1.85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1255.6320000000003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</row>
        <row r="1957">
          <cell r="B1957" t="str">
            <v>Acero Superior</v>
          </cell>
          <cell r="C1957">
            <v>12</v>
          </cell>
          <cell r="D1957">
            <v>1</v>
          </cell>
          <cell r="E1957">
            <v>20.100000000000001</v>
          </cell>
          <cell r="F1957">
            <v>0.4</v>
          </cell>
          <cell r="G1957">
            <v>1.55</v>
          </cell>
          <cell r="Q1957" t="str">
            <v>3/8"</v>
          </cell>
          <cell r="R1957">
            <v>50</v>
          </cell>
          <cell r="S1957">
            <v>1.85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621.6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</row>
        <row r="1958">
          <cell r="B1958" t="str">
            <v>Acero Inferior</v>
          </cell>
          <cell r="C1958">
            <v>12</v>
          </cell>
          <cell r="D1958">
            <v>1</v>
          </cell>
          <cell r="E1958">
            <v>4.3499999999999996</v>
          </cell>
          <cell r="F1958">
            <v>0.2</v>
          </cell>
          <cell r="G1958">
            <v>2.95</v>
          </cell>
          <cell r="Q1958" t="str">
            <v>3/8"</v>
          </cell>
          <cell r="R1958">
            <v>22</v>
          </cell>
          <cell r="S1958">
            <v>3.25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480.48000000000008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</row>
        <row r="1959">
          <cell r="B1959" t="str">
            <v>Acero Superior</v>
          </cell>
          <cell r="C1959">
            <v>12</v>
          </cell>
          <cell r="D1959">
            <v>1</v>
          </cell>
          <cell r="E1959">
            <v>4.3499999999999996</v>
          </cell>
          <cell r="F1959">
            <v>0.4</v>
          </cell>
          <cell r="G1959">
            <v>2.95</v>
          </cell>
          <cell r="Q1959" t="str">
            <v>3/8"</v>
          </cell>
          <cell r="R1959">
            <v>11</v>
          </cell>
          <cell r="S1959">
            <v>3.25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240.24000000000004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</row>
        <row r="1960">
          <cell r="B1960" t="str">
            <v>Acero Transversal</v>
          </cell>
          <cell r="C1960">
            <v>12</v>
          </cell>
          <cell r="D1960">
            <v>1</v>
          </cell>
        </row>
        <row r="1961">
          <cell r="B1961" t="str">
            <v>Acero Inferior</v>
          </cell>
          <cell r="C1961">
            <v>12</v>
          </cell>
          <cell r="D1961">
            <v>1</v>
          </cell>
          <cell r="E1961">
            <v>3.8</v>
          </cell>
          <cell r="F1961">
            <v>0.2</v>
          </cell>
          <cell r="G1961">
            <v>2.1</v>
          </cell>
          <cell r="Q1961" t="str">
            <v>3/8"</v>
          </cell>
          <cell r="R1961">
            <v>19</v>
          </cell>
          <cell r="S1961">
            <v>2.4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306.43200000000007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</row>
        <row r="1962">
          <cell r="B1962" t="str">
            <v>Acero Superior</v>
          </cell>
          <cell r="C1962">
            <v>12</v>
          </cell>
          <cell r="D1962">
            <v>1</v>
          </cell>
          <cell r="E1962">
            <v>3.8</v>
          </cell>
          <cell r="F1962">
            <v>0.4</v>
          </cell>
          <cell r="G1962">
            <v>2.1</v>
          </cell>
          <cell r="Q1962" t="str">
            <v>3/8"</v>
          </cell>
          <cell r="R1962">
            <v>10</v>
          </cell>
          <cell r="S1962">
            <v>2.4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161.28000000000003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</row>
        <row r="1963">
          <cell r="B1963" t="str">
            <v>Acero Inferior</v>
          </cell>
          <cell r="C1963">
            <v>12</v>
          </cell>
          <cell r="D1963">
            <v>1</v>
          </cell>
          <cell r="E1963">
            <v>3.65</v>
          </cell>
          <cell r="F1963">
            <v>0.2</v>
          </cell>
          <cell r="G1963">
            <v>5.3</v>
          </cell>
          <cell r="Q1963" t="str">
            <v>3/8"</v>
          </cell>
          <cell r="R1963">
            <v>18</v>
          </cell>
          <cell r="S1963">
            <v>5.6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677.37599999999998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</row>
        <row r="1964">
          <cell r="B1964" t="str">
            <v>Acero Superior</v>
          </cell>
          <cell r="C1964">
            <v>12</v>
          </cell>
          <cell r="D1964">
            <v>1</v>
          </cell>
          <cell r="E1964">
            <v>3.65</v>
          </cell>
          <cell r="F1964">
            <v>0.4</v>
          </cell>
          <cell r="G1964">
            <v>5.3</v>
          </cell>
          <cell r="Q1964" t="str">
            <v>3/8"</v>
          </cell>
          <cell r="R1964">
            <v>9</v>
          </cell>
          <cell r="S1964">
            <v>5.6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338.68799999999999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</row>
        <row r="1965">
          <cell r="B1965" t="str">
            <v>Acero Inferior</v>
          </cell>
          <cell r="C1965">
            <v>12</v>
          </cell>
          <cell r="D1965">
            <v>1</v>
          </cell>
          <cell r="E1965">
            <v>2.7</v>
          </cell>
          <cell r="F1965">
            <v>0.2</v>
          </cell>
          <cell r="G1965">
            <v>5.6</v>
          </cell>
          <cell r="Q1965" t="str">
            <v>3/8"</v>
          </cell>
          <cell r="R1965">
            <v>14</v>
          </cell>
          <cell r="S1965">
            <v>5.8999999999999995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555.072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</row>
        <row r="1966">
          <cell r="B1966" t="str">
            <v>Acero Superior</v>
          </cell>
          <cell r="C1966">
            <v>12</v>
          </cell>
          <cell r="D1966">
            <v>1</v>
          </cell>
          <cell r="E1966">
            <v>2.7</v>
          </cell>
          <cell r="F1966">
            <v>0.4</v>
          </cell>
          <cell r="G1966">
            <v>5.6</v>
          </cell>
          <cell r="Q1966" t="str">
            <v>3/8"</v>
          </cell>
          <cell r="R1966">
            <v>7</v>
          </cell>
          <cell r="S1966">
            <v>5.8999999999999995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277.536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</row>
        <row r="1967">
          <cell r="B1967" t="str">
            <v>Acero Inferior</v>
          </cell>
          <cell r="C1967">
            <v>12</v>
          </cell>
          <cell r="D1967">
            <v>1</v>
          </cell>
          <cell r="E1967">
            <v>2.2000000000000002</v>
          </cell>
          <cell r="F1967">
            <v>0.2</v>
          </cell>
          <cell r="G1967">
            <v>4.7</v>
          </cell>
          <cell r="Q1967" t="str">
            <v>3/8"</v>
          </cell>
          <cell r="R1967">
            <v>11</v>
          </cell>
          <cell r="S1967">
            <v>5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369.6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</row>
        <row r="1968">
          <cell r="B1968" t="str">
            <v>Acero Superior</v>
          </cell>
          <cell r="C1968">
            <v>12</v>
          </cell>
          <cell r="D1968">
            <v>1</v>
          </cell>
          <cell r="E1968">
            <v>2.2000000000000002</v>
          </cell>
          <cell r="F1968">
            <v>0.4</v>
          </cell>
          <cell r="G1968">
            <v>4.7</v>
          </cell>
          <cell r="Q1968" t="str">
            <v>3/8"</v>
          </cell>
          <cell r="R1968">
            <v>6</v>
          </cell>
          <cell r="S1968">
            <v>5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201.60000000000002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</row>
        <row r="1969">
          <cell r="B1969" t="str">
            <v>Acero Inferior</v>
          </cell>
          <cell r="C1969">
            <v>12</v>
          </cell>
          <cell r="D1969">
            <v>1</v>
          </cell>
          <cell r="E1969">
            <v>2.2000000000000002</v>
          </cell>
          <cell r="F1969">
            <v>0.2</v>
          </cell>
          <cell r="G1969">
            <v>5.85</v>
          </cell>
          <cell r="Q1969" t="str">
            <v>3/8"</v>
          </cell>
          <cell r="R1969">
            <v>11</v>
          </cell>
          <cell r="S1969">
            <v>6.1499999999999995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454.608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</row>
        <row r="1970">
          <cell r="B1970" t="str">
            <v>Acero Superior</v>
          </cell>
          <cell r="C1970">
            <v>12</v>
          </cell>
          <cell r="D1970">
            <v>1</v>
          </cell>
          <cell r="E1970">
            <v>2.2000000000000002</v>
          </cell>
          <cell r="F1970">
            <v>0.4</v>
          </cell>
          <cell r="G1970">
            <v>5.85</v>
          </cell>
          <cell r="Q1970" t="str">
            <v>3/8"</v>
          </cell>
          <cell r="R1970">
            <v>6</v>
          </cell>
          <cell r="S1970">
            <v>6.1499999999999995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247.96800000000002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</row>
        <row r="1971">
          <cell r="B1971" t="str">
            <v>Acero Inferior</v>
          </cell>
          <cell r="C1971">
            <v>12</v>
          </cell>
          <cell r="D1971">
            <v>1</v>
          </cell>
          <cell r="E1971">
            <v>1.3</v>
          </cell>
          <cell r="F1971">
            <v>0.2</v>
          </cell>
          <cell r="G1971">
            <v>20.2</v>
          </cell>
          <cell r="Q1971" t="str">
            <v>3/8"</v>
          </cell>
          <cell r="R1971">
            <v>7</v>
          </cell>
          <cell r="S1971">
            <v>20.5</v>
          </cell>
          <cell r="T1971">
            <v>2</v>
          </cell>
          <cell r="U1971">
            <v>0</v>
          </cell>
          <cell r="V1971">
            <v>0</v>
          </cell>
          <cell r="W1971">
            <v>0</v>
          </cell>
          <cell r="X1971">
            <v>964.32000000000016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</row>
        <row r="1972">
          <cell r="B1972" t="str">
            <v>Acero Superior</v>
          </cell>
          <cell r="C1972">
            <v>12</v>
          </cell>
          <cell r="D1972">
            <v>1</v>
          </cell>
          <cell r="E1972">
            <v>1.3</v>
          </cell>
          <cell r="F1972">
            <v>0.4</v>
          </cell>
          <cell r="G1972">
            <v>20.2</v>
          </cell>
          <cell r="Q1972" t="str">
            <v>3/8"</v>
          </cell>
          <cell r="R1972">
            <v>3</v>
          </cell>
          <cell r="S1972">
            <v>20.5</v>
          </cell>
          <cell r="T1972">
            <v>2</v>
          </cell>
          <cell r="U1972">
            <v>0</v>
          </cell>
          <cell r="V1972">
            <v>0</v>
          </cell>
          <cell r="W1972">
            <v>0</v>
          </cell>
          <cell r="X1972">
            <v>413.28000000000009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</row>
        <row r="1973">
          <cell r="B1973" t="str">
            <v>Ensanche alternados</v>
          </cell>
          <cell r="C1973">
            <v>12</v>
          </cell>
          <cell r="D1973">
            <v>1</v>
          </cell>
          <cell r="E1973">
            <v>2.35</v>
          </cell>
          <cell r="F1973">
            <v>1</v>
          </cell>
          <cell r="G1973">
            <v>0.2</v>
          </cell>
          <cell r="L1973">
            <v>5.6400000000000006</v>
          </cell>
          <cell r="M1973">
            <v>2.35</v>
          </cell>
          <cell r="N1973">
            <v>1</v>
          </cell>
          <cell r="O1973">
            <v>28.200000000000003</v>
          </cell>
        </row>
        <row r="1974">
          <cell r="B1974" t="str">
            <v>PISO 14</v>
          </cell>
        </row>
        <row r="1976">
          <cell r="C1976">
            <v>1</v>
          </cell>
          <cell r="D1976">
            <v>1</v>
          </cell>
          <cell r="E1976">
            <v>82</v>
          </cell>
          <cell r="F1976">
            <v>1</v>
          </cell>
          <cell r="G1976">
            <v>0.2</v>
          </cell>
          <cell r="L1976">
            <v>16.400000000000002</v>
          </cell>
          <cell r="M1976">
            <v>82</v>
          </cell>
          <cell r="N1976">
            <v>1</v>
          </cell>
          <cell r="O1976">
            <v>82</v>
          </cell>
        </row>
        <row r="1977">
          <cell r="B1977" t="str">
            <v>Acero Longitudinal</v>
          </cell>
          <cell r="C1977">
            <v>1</v>
          </cell>
          <cell r="D1977">
            <v>1</v>
          </cell>
        </row>
        <row r="1978">
          <cell r="B1978" t="str">
            <v>Acero Inferior</v>
          </cell>
          <cell r="C1978">
            <v>1</v>
          </cell>
          <cell r="D1978">
            <v>1</v>
          </cell>
          <cell r="E1978">
            <v>3.15</v>
          </cell>
          <cell r="F1978">
            <v>0.2</v>
          </cell>
          <cell r="G1978">
            <v>3.75</v>
          </cell>
          <cell r="Q1978" t="str">
            <v>3/8"</v>
          </cell>
          <cell r="R1978">
            <v>16</v>
          </cell>
          <cell r="S1978">
            <v>4.05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36.288000000000004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</row>
        <row r="1979">
          <cell r="B1979" t="str">
            <v>Acero Superior</v>
          </cell>
          <cell r="C1979">
            <v>1</v>
          </cell>
          <cell r="D1979">
            <v>1</v>
          </cell>
          <cell r="E1979">
            <v>3.15</v>
          </cell>
          <cell r="F1979">
            <v>0.4</v>
          </cell>
          <cell r="G1979">
            <v>3.75</v>
          </cell>
          <cell r="Q1979" t="str">
            <v>3/8"</v>
          </cell>
          <cell r="R1979">
            <v>8</v>
          </cell>
          <cell r="S1979">
            <v>4.05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18.144000000000002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</row>
        <row r="1980">
          <cell r="B1980" t="str">
            <v>Acero Inferior</v>
          </cell>
          <cell r="C1980">
            <v>1</v>
          </cell>
          <cell r="D1980">
            <v>1</v>
          </cell>
          <cell r="E1980">
            <v>1.75</v>
          </cell>
          <cell r="F1980">
            <v>0.2</v>
          </cell>
          <cell r="G1980">
            <v>13.3</v>
          </cell>
          <cell r="Q1980" t="str">
            <v>3/8"</v>
          </cell>
          <cell r="R1980">
            <v>9</v>
          </cell>
          <cell r="S1980">
            <v>13.600000000000001</v>
          </cell>
          <cell r="T1980">
            <v>1</v>
          </cell>
          <cell r="U1980">
            <v>0</v>
          </cell>
          <cell r="V1980">
            <v>0</v>
          </cell>
          <cell r="W1980">
            <v>0</v>
          </cell>
          <cell r="X1980">
            <v>68.544000000000011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</row>
        <row r="1981">
          <cell r="B1981" t="str">
            <v>Acero Superior</v>
          </cell>
          <cell r="C1981">
            <v>1</v>
          </cell>
          <cell r="D1981">
            <v>1</v>
          </cell>
          <cell r="E1981">
            <v>1.75</v>
          </cell>
          <cell r="F1981">
            <v>0.4</v>
          </cell>
          <cell r="G1981">
            <v>13.3</v>
          </cell>
          <cell r="Q1981" t="str">
            <v>3/8"</v>
          </cell>
          <cell r="R1981">
            <v>4</v>
          </cell>
          <cell r="S1981">
            <v>13.600000000000001</v>
          </cell>
          <cell r="T1981">
            <v>1</v>
          </cell>
          <cell r="U1981">
            <v>0</v>
          </cell>
          <cell r="V1981">
            <v>0</v>
          </cell>
          <cell r="W1981">
            <v>0</v>
          </cell>
          <cell r="X1981">
            <v>30.464000000000006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</row>
        <row r="1982">
          <cell r="B1982" t="str">
            <v>Acero Inferior</v>
          </cell>
          <cell r="C1982">
            <v>1</v>
          </cell>
          <cell r="D1982">
            <v>1</v>
          </cell>
          <cell r="E1982">
            <v>0.9</v>
          </cell>
          <cell r="F1982">
            <v>0.2</v>
          </cell>
          <cell r="G1982">
            <v>8.5</v>
          </cell>
          <cell r="Q1982" t="str">
            <v>3/8"</v>
          </cell>
          <cell r="R1982">
            <v>5</v>
          </cell>
          <cell r="S1982">
            <v>8.8000000000000007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24.64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</row>
        <row r="1983">
          <cell r="B1983" t="str">
            <v>Acero Superior</v>
          </cell>
          <cell r="C1983">
            <v>1</v>
          </cell>
          <cell r="D1983">
            <v>1</v>
          </cell>
          <cell r="E1983">
            <v>0.9</v>
          </cell>
          <cell r="F1983">
            <v>0.4</v>
          </cell>
          <cell r="G1983">
            <v>8.5</v>
          </cell>
          <cell r="Q1983" t="str">
            <v>3/8"</v>
          </cell>
          <cell r="R1983">
            <v>2</v>
          </cell>
          <cell r="S1983">
            <v>8.8000000000000007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9.8560000000000016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</row>
        <row r="1984">
          <cell r="B1984" t="str">
            <v>Acero Inferior</v>
          </cell>
          <cell r="C1984">
            <v>1</v>
          </cell>
          <cell r="D1984">
            <v>1</v>
          </cell>
          <cell r="E1984">
            <v>0.6</v>
          </cell>
          <cell r="F1984">
            <v>0.2</v>
          </cell>
          <cell r="G1984">
            <v>4.55</v>
          </cell>
          <cell r="Q1984" t="str">
            <v>3/8"</v>
          </cell>
          <cell r="R1984">
            <v>3</v>
          </cell>
          <cell r="S1984">
            <v>4.8499999999999996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8.1479999999999997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</row>
        <row r="1985">
          <cell r="B1985" t="str">
            <v>Acero Superior</v>
          </cell>
          <cell r="C1985">
            <v>1</v>
          </cell>
          <cell r="D1985">
            <v>1</v>
          </cell>
          <cell r="E1985">
            <v>0.6</v>
          </cell>
          <cell r="F1985">
            <v>0.4</v>
          </cell>
          <cell r="G1985">
            <v>4.55</v>
          </cell>
          <cell r="Q1985" t="str">
            <v>3/8"</v>
          </cell>
          <cell r="R1985">
            <v>2</v>
          </cell>
          <cell r="S1985">
            <v>4.8499999999999996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5.4320000000000004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</row>
        <row r="1986">
          <cell r="B1986" t="str">
            <v>Acero Inferior</v>
          </cell>
          <cell r="C1986">
            <v>1</v>
          </cell>
          <cell r="D1986">
            <v>1</v>
          </cell>
          <cell r="E1986">
            <v>1.65</v>
          </cell>
          <cell r="F1986">
            <v>0.2</v>
          </cell>
          <cell r="G1986">
            <v>9.3000000000000007</v>
          </cell>
          <cell r="Q1986" t="str">
            <v>3/8"</v>
          </cell>
          <cell r="R1986">
            <v>8</v>
          </cell>
          <cell r="S1986">
            <v>9.6000000000000014</v>
          </cell>
          <cell r="T1986">
            <v>1</v>
          </cell>
          <cell r="U1986">
            <v>0</v>
          </cell>
          <cell r="V1986">
            <v>0</v>
          </cell>
          <cell r="W1986">
            <v>0</v>
          </cell>
          <cell r="X1986">
            <v>43.00800000000001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</row>
        <row r="1987">
          <cell r="B1987" t="str">
            <v>Acero Superior</v>
          </cell>
          <cell r="C1987">
            <v>1</v>
          </cell>
          <cell r="D1987">
            <v>1</v>
          </cell>
          <cell r="E1987">
            <v>1.65</v>
          </cell>
          <cell r="F1987">
            <v>0.4</v>
          </cell>
          <cell r="G1987">
            <v>9.3000000000000007</v>
          </cell>
          <cell r="Q1987" t="str">
            <v>3/8"</v>
          </cell>
          <cell r="R1987">
            <v>4</v>
          </cell>
          <cell r="S1987">
            <v>9.6000000000000014</v>
          </cell>
          <cell r="T1987">
            <v>1</v>
          </cell>
          <cell r="U1987">
            <v>0</v>
          </cell>
          <cell r="V1987">
            <v>0</v>
          </cell>
          <cell r="W1987">
            <v>0</v>
          </cell>
          <cell r="X1987">
            <v>21.504000000000005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</row>
        <row r="1988">
          <cell r="B1988" t="str">
            <v>Acero Inferior</v>
          </cell>
          <cell r="C1988">
            <v>1</v>
          </cell>
          <cell r="D1988">
            <v>1</v>
          </cell>
          <cell r="E1988">
            <v>5.05</v>
          </cell>
          <cell r="F1988">
            <v>0.2</v>
          </cell>
          <cell r="G1988">
            <v>3.3</v>
          </cell>
          <cell r="Q1988" t="str">
            <v>3/8"</v>
          </cell>
          <cell r="R1988">
            <v>25</v>
          </cell>
          <cell r="S1988">
            <v>3.5999999999999996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50.4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</row>
        <row r="1989">
          <cell r="B1989" t="str">
            <v>Acero Superior</v>
          </cell>
          <cell r="C1989">
            <v>1</v>
          </cell>
          <cell r="D1989">
            <v>1</v>
          </cell>
          <cell r="E1989">
            <v>5.05</v>
          </cell>
          <cell r="F1989">
            <v>0.4</v>
          </cell>
          <cell r="G1989">
            <v>3.3</v>
          </cell>
          <cell r="Q1989" t="str">
            <v>3/8"</v>
          </cell>
          <cell r="R1989">
            <v>13</v>
          </cell>
          <cell r="S1989">
            <v>3.5999999999999996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26.208000000000002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</row>
        <row r="1990">
          <cell r="B1990" t="str">
            <v>Acero Inferior</v>
          </cell>
          <cell r="C1990">
            <v>1</v>
          </cell>
          <cell r="D1990">
            <v>1</v>
          </cell>
          <cell r="E1990">
            <v>20.100000000000001</v>
          </cell>
          <cell r="F1990">
            <v>0.2</v>
          </cell>
          <cell r="G1990">
            <v>1.55</v>
          </cell>
          <cell r="Q1990" t="str">
            <v>3/8"</v>
          </cell>
          <cell r="R1990">
            <v>101</v>
          </cell>
          <cell r="S1990">
            <v>1.85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104.63600000000002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</row>
        <row r="1991">
          <cell r="B1991" t="str">
            <v>Acero Superior</v>
          </cell>
          <cell r="C1991">
            <v>1</v>
          </cell>
          <cell r="D1991">
            <v>1</v>
          </cell>
          <cell r="E1991">
            <v>20.100000000000001</v>
          </cell>
          <cell r="F1991">
            <v>0.4</v>
          </cell>
          <cell r="G1991">
            <v>1.55</v>
          </cell>
          <cell r="Q1991" t="str">
            <v>3/8"</v>
          </cell>
          <cell r="R1991">
            <v>50</v>
          </cell>
          <cell r="S1991">
            <v>1.85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51.800000000000004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</row>
        <row r="1992">
          <cell r="B1992" t="str">
            <v>Acero Inferior</v>
          </cell>
          <cell r="C1992">
            <v>1</v>
          </cell>
          <cell r="D1992">
            <v>1</v>
          </cell>
          <cell r="E1992">
            <v>4.3499999999999996</v>
          </cell>
          <cell r="F1992">
            <v>0.2</v>
          </cell>
          <cell r="G1992">
            <v>3.3</v>
          </cell>
          <cell r="Q1992" t="str">
            <v>3/8"</v>
          </cell>
          <cell r="R1992">
            <v>22</v>
          </cell>
          <cell r="S1992">
            <v>3.5999999999999996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44.351999999999997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</row>
        <row r="1993">
          <cell r="B1993" t="str">
            <v>Acero Superior</v>
          </cell>
          <cell r="C1993">
            <v>1</v>
          </cell>
          <cell r="D1993">
            <v>1</v>
          </cell>
          <cell r="E1993">
            <v>4.3499999999999996</v>
          </cell>
          <cell r="F1993">
            <v>0.4</v>
          </cell>
          <cell r="G1993">
            <v>3.3</v>
          </cell>
          <cell r="Q1993" t="str">
            <v>3/8"</v>
          </cell>
          <cell r="R1993">
            <v>11</v>
          </cell>
          <cell r="S1993">
            <v>3.5999999999999996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22.175999999999998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</row>
        <row r="1994">
          <cell r="B1994" t="str">
            <v>Acero Inferior</v>
          </cell>
          <cell r="C1994">
            <v>1</v>
          </cell>
          <cell r="D1994">
            <v>1</v>
          </cell>
          <cell r="E1994">
            <v>4.2699999999999996</v>
          </cell>
          <cell r="F1994">
            <v>0.2</v>
          </cell>
          <cell r="G1994">
            <v>1</v>
          </cell>
          <cell r="Q1994" t="str">
            <v>3/8"</v>
          </cell>
          <cell r="R1994">
            <v>21</v>
          </cell>
          <cell r="S1994">
            <v>1.3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15.288000000000002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</row>
        <row r="1995">
          <cell r="B1995" t="str">
            <v>Acero Superior</v>
          </cell>
          <cell r="C1995">
            <v>1</v>
          </cell>
          <cell r="D1995">
            <v>1</v>
          </cell>
          <cell r="E1995">
            <v>4.2699999999999996</v>
          </cell>
          <cell r="F1995">
            <v>0.4</v>
          </cell>
          <cell r="G1995">
            <v>1</v>
          </cell>
          <cell r="Q1995" t="str">
            <v>3/8"</v>
          </cell>
          <cell r="R1995">
            <v>11</v>
          </cell>
          <cell r="S1995">
            <v>1.3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8.0080000000000009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</row>
        <row r="1996">
          <cell r="B1996" t="str">
            <v>Acero Inferior</v>
          </cell>
          <cell r="C1996">
            <v>1</v>
          </cell>
          <cell r="D1996">
            <v>1</v>
          </cell>
          <cell r="E1996">
            <v>3.35</v>
          </cell>
          <cell r="F1996">
            <v>0.2</v>
          </cell>
          <cell r="G1996">
            <v>1.1000000000000001</v>
          </cell>
          <cell r="Q1996" t="str">
            <v>3/8"</v>
          </cell>
          <cell r="R1996">
            <v>17</v>
          </cell>
          <cell r="S1996">
            <v>1.4000000000000001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13.328000000000001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</row>
        <row r="1997">
          <cell r="B1997" t="str">
            <v>Acero Superior</v>
          </cell>
          <cell r="C1997">
            <v>1</v>
          </cell>
          <cell r="D1997">
            <v>1</v>
          </cell>
          <cell r="E1997">
            <v>3.35</v>
          </cell>
          <cell r="F1997">
            <v>0.4</v>
          </cell>
          <cell r="G1997">
            <v>1.1000000000000001</v>
          </cell>
          <cell r="Q1997" t="str">
            <v>3/8"</v>
          </cell>
          <cell r="R1997">
            <v>8</v>
          </cell>
          <cell r="S1997">
            <v>1.4000000000000001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6.2720000000000011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</row>
        <row r="1998">
          <cell r="B1998" t="str">
            <v>Acero Transversal</v>
          </cell>
          <cell r="C1998">
            <v>1</v>
          </cell>
          <cell r="D1998">
            <v>1</v>
          </cell>
        </row>
        <row r="1999">
          <cell r="B1999" t="str">
            <v>Acero Inferior</v>
          </cell>
          <cell r="C1999">
            <v>1</v>
          </cell>
          <cell r="D1999">
            <v>1</v>
          </cell>
          <cell r="E1999">
            <v>3.65</v>
          </cell>
          <cell r="F1999">
            <v>0.2</v>
          </cell>
          <cell r="G1999">
            <v>5.3</v>
          </cell>
          <cell r="Q1999" t="str">
            <v>3/8"</v>
          </cell>
          <cell r="R1999">
            <v>18</v>
          </cell>
          <cell r="S1999">
            <v>5.6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56.448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</row>
        <row r="2000">
          <cell r="B2000" t="str">
            <v>Acero Superior</v>
          </cell>
          <cell r="C2000">
            <v>1</v>
          </cell>
          <cell r="D2000">
            <v>1</v>
          </cell>
          <cell r="E2000">
            <v>3.65</v>
          </cell>
          <cell r="F2000">
            <v>0.4</v>
          </cell>
          <cell r="G2000">
            <v>5.3</v>
          </cell>
          <cell r="Q2000" t="str">
            <v>3/8"</v>
          </cell>
          <cell r="R2000">
            <v>9</v>
          </cell>
          <cell r="S2000">
            <v>5.6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28.224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</row>
        <row r="2001">
          <cell r="B2001" t="str">
            <v>Acero Inferior</v>
          </cell>
          <cell r="C2001">
            <v>1</v>
          </cell>
          <cell r="D2001">
            <v>1</v>
          </cell>
          <cell r="E2001">
            <v>2.7</v>
          </cell>
          <cell r="F2001">
            <v>0.2</v>
          </cell>
          <cell r="G2001">
            <v>5.6</v>
          </cell>
          <cell r="Q2001" t="str">
            <v>3/8"</v>
          </cell>
          <cell r="R2001">
            <v>14</v>
          </cell>
          <cell r="S2001">
            <v>5.8999999999999995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46.256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</row>
        <row r="2002">
          <cell r="B2002" t="str">
            <v>Acero Superior</v>
          </cell>
          <cell r="C2002">
            <v>1</v>
          </cell>
          <cell r="D2002">
            <v>1</v>
          </cell>
          <cell r="E2002">
            <v>2.7</v>
          </cell>
          <cell r="F2002">
            <v>0.4</v>
          </cell>
          <cell r="G2002">
            <v>5.6</v>
          </cell>
          <cell r="Q2002" t="str">
            <v>3/8"</v>
          </cell>
          <cell r="R2002">
            <v>7</v>
          </cell>
          <cell r="S2002">
            <v>5.8999999999999995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23.128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</row>
        <row r="2003">
          <cell r="B2003" t="str">
            <v>Acero Inferior</v>
          </cell>
          <cell r="C2003">
            <v>1</v>
          </cell>
          <cell r="D2003">
            <v>1</v>
          </cell>
          <cell r="E2003">
            <v>2.75</v>
          </cell>
          <cell r="F2003">
            <v>0.2</v>
          </cell>
          <cell r="G2003">
            <v>4.7</v>
          </cell>
          <cell r="Q2003" t="str">
            <v>3/8"</v>
          </cell>
          <cell r="R2003">
            <v>14</v>
          </cell>
          <cell r="S2003">
            <v>5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39.200000000000003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</row>
        <row r="2004">
          <cell r="B2004" t="str">
            <v>Acero Superior</v>
          </cell>
          <cell r="C2004">
            <v>1</v>
          </cell>
          <cell r="D2004">
            <v>1</v>
          </cell>
          <cell r="E2004">
            <v>2.75</v>
          </cell>
          <cell r="F2004">
            <v>0.4</v>
          </cell>
          <cell r="G2004">
            <v>4.7</v>
          </cell>
          <cell r="Q2004" t="str">
            <v>3/8"</v>
          </cell>
          <cell r="R2004">
            <v>7</v>
          </cell>
          <cell r="S2004">
            <v>5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19.600000000000001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</row>
        <row r="2005">
          <cell r="B2005" t="str">
            <v>Acero Inferior</v>
          </cell>
          <cell r="C2005">
            <v>1</v>
          </cell>
          <cell r="D2005">
            <v>1</v>
          </cell>
          <cell r="E2005">
            <v>2.2000000000000002</v>
          </cell>
          <cell r="F2005">
            <v>0.2</v>
          </cell>
          <cell r="G2005">
            <v>5.85</v>
          </cell>
          <cell r="Q2005" t="str">
            <v>3/8"</v>
          </cell>
          <cell r="R2005">
            <v>11</v>
          </cell>
          <cell r="S2005">
            <v>6.1499999999999995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37.884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</row>
        <row r="2006">
          <cell r="B2006" t="str">
            <v>Acero Superior</v>
          </cell>
          <cell r="C2006">
            <v>1</v>
          </cell>
          <cell r="D2006">
            <v>1</v>
          </cell>
          <cell r="E2006">
            <v>2.2000000000000002</v>
          </cell>
          <cell r="F2006">
            <v>0.4</v>
          </cell>
          <cell r="G2006">
            <v>5.85</v>
          </cell>
          <cell r="Q2006" t="str">
            <v>3/8"</v>
          </cell>
          <cell r="R2006">
            <v>6</v>
          </cell>
          <cell r="S2006">
            <v>6.1499999999999995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20.664000000000001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</row>
        <row r="2007">
          <cell r="B2007" t="str">
            <v>Acero Inferior</v>
          </cell>
          <cell r="C2007">
            <v>1</v>
          </cell>
          <cell r="D2007">
            <v>1</v>
          </cell>
          <cell r="E2007">
            <v>1.3</v>
          </cell>
          <cell r="F2007">
            <v>0.2</v>
          </cell>
          <cell r="G2007">
            <v>20.2</v>
          </cell>
          <cell r="Q2007" t="str">
            <v>3/8"</v>
          </cell>
          <cell r="R2007">
            <v>7</v>
          </cell>
          <cell r="S2007">
            <v>20.5</v>
          </cell>
          <cell r="T2007">
            <v>2</v>
          </cell>
          <cell r="U2007">
            <v>0</v>
          </cell>
          <cell r="V2007">
            <v>0</v>
          </cell>
          <cell r="W2007">
            <v>0</v>
          </cell>
          <cell r="X2007">
            <v>80.360000000000014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</row>
        <row r="2008">
          <cell r="B2008" t="str">
            <v>Acero Superior</v>
          </cell>
          <cell r="C2008">
            <v>1</v>
          </cell>
          <cell r="D2008">
            <v>1</v>
          </cell>
          <cell r="E2008">
            <v>1.3</v>
          </cell>
          <cell r="F2008">
            <v>0.4</v>
          </cell>
          <cell r="G2008">
            <v>20.2</v>
          </cell>
          <cell r="Q2008" t="str">
            <v>3/8"</v>
          </cell>
          <cell r="R2008">
            <v>3</v>
          </cell>
          <cell r="S2008">
            <v>20.5</v>
          </cell>
          <cell r="T2008">
            <v>2</v>
          </cell>
          <cell r="U2008">
            <v>0</v>
          </cell>
          <cell r="V2008">
            <v>0</v>
          </cell>
          <cell r="W2008">
            <v>0</v>
          </cell>
          <cell r="X2008">
            <v>34.440000000000005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</row>
        <row r="2009">
          <cell r="B2009" t="str">
            <v>Acero Inferior</v>
          </cell>
          <cell r="C2009">
            <v>1</v>
          </cell>
          <cell r="D2009">
            <v>1</v>
          </cell>
          <cell r="E2009">
            <v>0.4</v>
          </cell>
          <cell r="F2009">
            <v>0.2</v>
          </cell>
          <cell r="G2009">
            <v>5</v>
          </cell>
          <cell r="Q2009" t="str">
            <v>3/8"</v>
          </cell>
          <cell r="R2009">
            <v>2</v>
          </cell>
          <cell r="S2009">
            <v>5.3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5.9359999999999999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</row>
        <row r="2010">
          <cell r="B2010" t="str">
            <v>Acero Superior</v>
          </cell>
          <cell r="C2010">
            <v>1</v>
          </cell>
          <cell r="D2010">
            <v>1</v>
          </cell>
          <cell r="E2010">
            <v>0.4</v>
          </cell>
          <cell r="F2010">
            <v>0.4</v>
          </cell>
          <cell r="G2010">
            <v>5</v>
          </cell>
          <cell r="Q2010" t="str">
            <v>3/8"</v>
          </cell>
          <cell r="R2010">
            <v>1</v>
          </cell>
          <cell r="S2010">
            <v>5.3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2.968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</row>
        <row r="2011">
          <cell r="B2011" t="str">
            <v>Acero Inferior</v>
          </cell>
          <cell r="C2011">
            <v>1</v>
          </cell>
          <cell r="D2011">
            <v>1</v>
          </cell>
          <cell r="E2011">
            <v>0.7</v>
          </cell>
          <cell r="F2011">
            <v>0.2</v>
          </cell>
          <cell r="G2011">
            <v>5</v>
          </cell>
          <cell r="Q2011" t="str">
            <v>3/8"</v>
          </cell>
          <cell r="R2011">
            <v>4</v>
          </cell>
          <cell r="S2011">
            <v>5.3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11.872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</row>
        <row r="2012">
          <cell r="B2012" t="str">
            <v>Acero Superior</v>
          </cell>
          <cell r="C2012">
            <v>1</v>
          </cell>
          <cell r="D2012">
            <v>1</v>
          </cell>
          <cell r="E2012">
            <v>0.7</v>
          </cell>
          <cell r="F2012">
            <v>0.4</v>
          </cell>
          <cell r="G2012">
            <v>5</v>
          </cell>
          <cell r="Q2012" t="str">
            <v>3/8"</v>
          </cell>
          <cell r="R2012">
            <v>2</v>
          </cell>
          <cell r="S2012">
            <v>5.3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5.9359999999999999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</row>
        <row r="2013">
          <cell r="B2013" t="str">
            <v>Ensanche alternados</v>
          </cell>
          <cell r="C2013">
            <v>1</v>
          </cell>
          <cell r="D2013">
            <v>1</v>
          </cell>
          <cell r="E2013">
            <v>2.35</v>
          </cell>
          <cell r="F2013">
            <v>1</v>
          </cell>
          <cell r="G2013">
            <v>0.2</v>
          </cell>
          <cell r="L2013">
            <v>0.47000000000000003</v>
          </cell>
          <cell r="M2013">
            <v>2.35</v>
          </cell>
          <cell r="N2013">
            <v>1</v>
          </cell>
          <cell r="O2013">
            <v>2.35</v>
          </cell>
        </row>
        <row r="2014">
          <cell r="B2014" t="str">
            <v>PISO 15</v>
          </cell>
        </row>
        <row r="2016">
          <cell r="C2016">
            <v>1</v>
          </cell>
          <cell r="D2016">
            <v>1</v>
          </cell>
          <cell r="E2016">
            <v>58</v>
          </cell>
          <cell r="F2016">
            <v>1</v>
          </cell>
          <cell r="G2016">
            <v>0.2</v>
          </cell>
          <cell r="L2016">
            <v>11.600000000000001</v>
          </cell>
          <cell r="M2016">
            <v>58</v>
          </cell>
          <cell r="N2016">
            <v>1</v>
          </cell>
          <cell r="O2016">
            <v>58</v>
          </cell>
        </row>
        <row r="2017">
          <cell r="B2017" t="str">
            <v>Acero Longitudinal</v>
          </cell>
          <cell r="C2017">
            <v>1</v>
          </cell>
          <cell r="D2017">
            <v>1</v>
          </cell>
        </row>
        <row r="2018">
          <cell r="B2018" t="str">
            <v>Acero Inferior</v>
          </cell>
          <cell r="C2018">
            <v>1</v>
          </cell>
          <cell r="D2018">
            <v>1</v>
          </cell>
          <cell r="E2018">
            <v>3.75</v>
          </cell>
          <cell r="F2018">
            <v>0.2</v>
          </cell>
          <cell r="G2018">
            <v>4.4000000000000004</v>
          </cell>
          <cell r="Q2018" t="str">
            <v>3/8"</v>
          </cell>
          <cell r="R2018">
            <v>19</v>
          </cell>
          <cell r="S2018">
            <v>4.7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50.008000000000003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</row>
        <row r="2019">
          <cell r="B2019" t="str">
            <v>Acero Superior</v>
          </cell>
          <cell r="C2019">
            <v>1</v>
          </cell>
          <cell r="D2019">
            <v>1</v>
          </cell>
          <cell r="E2019">
            <v>3.75</v>
          </cell>
          <cell r="F2019">
            <v>0.4</v>
          </cell>
          <cell r="G2019">
            <v>4.4000000000000004</v>
          </cell>
          <cell r="Q2019" t="str">
            <v>3/8"</v>
          </cell>
          <cell r="R2019">
            <v>9</v>
          </cell>
          <cell r="S2019">
            <v>4.7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23.688000000000006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</row>
        <row r="2020">
          <cell r="B2020" t="str">
            <v>Acero Inferior</v>
          </cell>
          <cell r="C2020">
            <v>1</v>
          </cell>
          <cell r="D2020">
            <v>1</v>
          </cell>
          <cell r="E2020">
            <v>1.25</v>
          </cell>
          <cell r="F2020">
            <v>0.2</v>
          </cell>
          <cell r="G2020">
            <v>1.85</v>
          </cell>
          <cell r="Q2020" t="str">
            <v>3/8"</v>
          </cell>
          <cell r="R2020">
            <v>6</v>
          </cell>
          <cell r="S2020">
            <v>2.15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7.2240000000000002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</row>
        <row r="2021">
          <cell r="B2021" t="str">
            <v>Acero Superior</v>
          </cell>
          <cell r="C2021">
            <v>1</v>
          </cell>
          <cell r="D2021">
            <v>1</v>
          </cell>
          <cell r="E2021">
            <v>1.25</v>
          </cell>
          <cell r="F2021">
            <v>0.4</v>
          </cell>
          <cell r="G2021">
            <v>1.85</v>
          </cell>
          <cell r="Q2021" t="str">
            <v>3/8"</v>
          </cell>
          <cell r="R2021">
            <v>3</v>
          </cell>
          <cell r="S2021">
            <v>2.15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3.6120000000000001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</row>
        <row r="2022">
          <cell r="B2022" t="str">
            <v>Acero Inferior</v>
          </cell>
          <cell r="C2022">
            <v>1</v>
          </cell>
          <cell r="D2022">
            <v>1</v>
          </cell>
          <cell r="E2022">
            <v>0.8</v>
          </cell>
          <cell r="F2022">
            <v>0.2</v>
          </cell>
          <cell r="G2022">
            <v>2.4500000000000002</v>
          </cell>
          <cell r="Q2022" t="str">
            <v>3/8"</v>
          </cell>
          <cell r="R2022">
            <v>4</v>
          </cell>
          <cell r="S2022">
            <v>2.75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6.16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</row>
        <row r="2023">
          <cell r="B2023" t="str">
            <v>Acero Superior</v>
          </cell>
          <cell r="C2023">
            <v>1</v>
          </cell>
          <cell r="D2023">
            <v>1</v>
          </cell>
          <cell r="E2023">
            <v>0.8</v>
          </cell>
          <cell r="F2023">
            <v>0.4</v>
          </cell>
          <cell r="G2023">
            <v>2.4500000000000002</v>
          </cell>
          <cell r="Q2023" t="str">
            <v>3/8"</v>
          </cell>
          <cell r="R2023">
            <v>2</v>
          </cell>
          <cell r="S2023">
            <v>2.75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3.08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</row>
        <row r="2024">
          <cell r="B2024" t="str">
            <v>Acero Inferior</v>
          </cell>
          <cell r="C2024">
            <v>1</v>
          </cell>
          <cell r="D2024">
            <v>1</v>
          </cell>
          <cell r="E2024">
            <v>2.75</v>
          </cell>
          <cell r="F2024">
            <v>0.2</v>
          </cell>
          <cell r="G2024">
            <v>2.95</v>
          </cell>
          <cell r="Q2024" t="str">
            <v>3/8"</v>
          </cell>
          <cell r="R2024">
            <v>14</v>
          </cell>
          <cell r="S2024">
            <v>3.25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25.480000000000004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</row>
        <row r="2025">
          <cell r="B2025" t="str">
            <v>Acero Superior</v>
          </cell>
          <cell r="C2025">
            <v>1</v>
          </cell>
          <cell r="D2025">
            <v>1</v>
          </cell>
          <cell r="E2025">
            <v>2.75</v>
          </cell>
          <cell r="F2025">
            <v>0.4</v>
          </cell>
          <cell r="G2025">
            <v>2.95</v>
          </cell>
          <cell r="Q2025" t="str">
            <v>3/8"</v>
          </cell>
          <cell r="R2025">
            <v>7</v>
          </cell>
          <cell r="S2025">
            <v>3.25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12.740000000000002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</row>
        <row r="2026">
          <cell r="B2026" t="str">
            <v>Acero Inferior</v>
          </cell>
          <cell r="C2026">
            <v>1</v>
          </cell>
          <cell r="D2026">
            <v>1</v>
          </cell>
          <cell r="E2026">
            <v>2.6</v>
          </cell>
          <cell r="F2026">
            <v>0.2</v>
          </cell>
          <cell r="G2026">
            <v>1.55</v>
          </cell>
          <cell r="Q2026" t="str">
            <v>3/8"</v>
          </cell>
          <cell r="R2026">
            <v>13</v>
          </cell>
          <cell r="S2026">
            <v>1.85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13.468000000000002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</row>
        <row r="2027">
          <cell r="B2027" t="str">
            <v>Acero Superior</v>
          </cell>
          <cell r="C2027">
            <v>1</v>
          </cell>
          <cell r="D2027">
            <v>1</v>
          </cell>
          <cell r="E2027">
            <v>2.6</v>
          </cell>
          <cell r="F2027">
            <v>0.4</v>
          </cell>
          <cell r="G2027">
            <v>1.55</v>
          </cell>
          <cell r="Q2027" t="str">
            <v>3/8"</v>
          </cell>
          <cell r="R2027">
            <v>7</v>
          </cell>
          <cell r="S2027">
            <v>1.85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7.2520000000000016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</row>
        <row r="2028">
          <cell r="B2028" t="str">
            <v>Acero Inferior</v>
          </cell>
          <cell r="C2028">
            <v>1</v>
          </cell>
          <cell r="D2028">
            <v>1</v>
          </cell>
          <cell r="E2028">
            <v>2.8</v>
          </cell>
          <cell r="F2028">
            <v>0.2</v>
          </cell>
          <cell r="G2028">
            <v>2.4500000000000002</v>
          </cell>
          <cell r="Q2028" t="str">
            <v>3/8"</v>
          </cell>
          <cell r="R2028">
            <v>14</v>
          </cell>
          <cell r="S2028">
            <v>2.75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21.560000000000002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</row>
        <row r="2029">
          <cell r="B2029" t="str">
            <v>Acero Superior</v>
          </cell>
          <cell r="C2029">
            <v>1</v>
          </cell>
          <cell r="D2029">
            <v>1</v>
          </cell>
          <cell r="E2029">
            <v>2.8</v>
          </cell>
          <cell r="F2029">
            <v>0.4</v>
          </cell>
          <cell r="G2029">
            <v>2.4500000000000002</v>
          </cell>
          <cell r="Q2029" t="str">
            <v>3/8"</v>
          </cell>
          <cell r="R2029">
            <v>7</v>
          </cell>
          <cell r="S2029">
            <v>2.75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10.780000000000001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</row>
        <row r="2030">
          <cell r="B2030" t="str">
            <v>Acero Inferior</v>
          </cell>
          <cell r="C2030">
            <v>1</v>
          </cell>
          <cell r="D2030">
            <v>1</v>
          </cell>
          <cell r="E2030">
            <v>1.7</v>
          </cell>
          <cell r="F2030">
            <v>0.2</v>
          </cell>
          <cell r="G2030">
            <v>2.15</v>
          </cell>
          <cell r="Q2030" t="str">
            <v>3/8"</v>
          </cell>
          <cell r="R2030">
            <v>9</v>
          </cell>
          <cell r="S2030">
            <v>2.4499999999999997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12.347999999999999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</row>
        <row r="2031">
          <cell r="B2031" t="str">
            <v>Acero Superior</v>
          </cell>
          <cell r="C2031">
            <v>1</v>
          </cell>
          <cell r="D2031">
            <v>1</v>
          </cell>
          <cell r="E2031">
            <v>1.7</v>
          </cell>
          <cell r="F2031">
            <v>0.4</v>
          </cell>
          <cell r="G2031">
            <v>2.15</v>
          </cell>
          <cell r="Q2031" t="str">
            <v>3/8"</v>
          </cell>
          <cell r="R2031">
            <v>4</v>
          </cell>
          <cell r="S2031">
            <v>2.4499999999999997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5.4879999999999995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</row>
        <row r="2032">
          <cell r="B2032" t="str">
            <v>Acero Inferior</v>
          </cell>
          <cell r="C2032">
            <v>1</v>
          </cell>
          <cell r="D2032">
            <v>1</v>
          </cell>
          <cell r="E2032">
            <v>2</v>
          </cell>
          <cell r="F2032">
            <v>0.2</v>
          </cell>
          <cell r="G2032">
            <v>2.5499999999999998</v>
          </cell>
          <cell r="Q2032" t="str">
            <v>3/8"</v>
          </cell>
          <cell r="R2032">
            <v>10</v>
          </cell>
          <cell r="S2032">
            <v>2.8499999999999996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15.959999999999999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</row>
        <row r="2033">
          <cell r="B2033" t="str">
            <v>Acero Superior</v>
          </cell>
          <cell r="C2033">
            <v>1</v>
          </cell>
          <cell r="D2033">
            <v>1</v>
          </cell>
          <cell r="E2033">
            <v>2</v>
          </cell>
          <cell r="F2033">
            <v>0.4</v>
          </cell>
          <cell r="G2033">
            <v>2.5499999999999998</v>
          </cell>
          <cell r="Q2033" t="str">
            <v>3/8"</v>
          </cell>
          <cell r="R2033">
            <v>5</v>
          </cell>
          <cell r="S2033">
            <v>2.8499999999999996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7.9799999999999995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</row>
        <row r="2034">
          <cell r="B2034" t="str">
            <v>Acero Inferior</v>
          </cell>
          <cell r="C2034">
            <v>1</v>
          </cell>
          <cell r="D2034">
            <v>1</v>
          </cell>
          <cell r="E2034">
            <v>1.05</v>
          </cell>
          <cell r="F2034">
            <v>0.2</v>
          </cell>
          <cell r="G2034">
            <v>2.5499999999999998</v>
          </cell>
          <cell r="Q2034" t="str">
            <v>3/8"</v>
          </cell>
          <cell r="R2034">
            <v>5</v>
          </cell>
          <cell r="S2034">
            <v>2.8499999999999996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7.9799999999999995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</row>
        <row r="2035">
          <cell r="B2035" t="str">
            <v>Acero Superior</v>
          </cell>
          <cell r="C2035">
            <v>1</v>
          </cell>
          <cell r="D2035">
            <v>1</v>
          </cell>
          <cell r="E2035">
            <v>1.05</v>
          </cell>
          <cell r="F2035">
            <v>0.4</v>
          </cell>
          <cell r="G2035">
            <v>2.5499999999999998</v>
          </cell>
          <cell r="Q2035" t="str">
            <v>3/8"</v>
          </cell>
          <cell r="R2035">
            <v>3</v>
          </cell>
          <cell r="S2035">
            <v>2.8499999999999996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4.7880000000000003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</row>
        <row r="2036">
          <cell r="B2036" t="str">
            <v>Acero Inferior</v>
          </cell>
          <cell r="C2036">
            <v>1</v>
          </cell>
          <cell r="D2036">
            <v>1</v>
          </cell>
          <cell r="E2036">
            <v>1.25</v>
          </cell>
          <cell r="F2036">
            <v>0.2</v>
          </cell>
          <cell r="G2036">
            <v>1.9</v>
          </cell>
          <cell r="Q2036" t="str">
            <v>3/8"</v>
          </cell>
          <cell r="R2036">
            <v>6</v>
          </cell>
          <cell r="S2036">
            <v>2.1999999999999997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7.3920000000000003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</row>
        <row r="2037">
          <cell r="B2037" t="str">
            <v>Acero Superior</v>
          </cell>
          <cell r="C2037">
            <v>1</v>
          </cell>
          <cell r="D2037">
            <v>1</v>
          </cell>
          <cell r="E2037">
            <v>1.25</v>
          </cell>
          <cell r="F2037">
            <v>0.4</v>
          </cell>
          <cell r="G2037">
            <v>1.9</v>
          </cell>
          <cell r="Q2037" t="str">
            <v>3/8"</v>
          </cell>
          <cell r="R2037">
            <v>3</v>
          </cell>
          <cell r="S2037">
            <v>2.1999999999999997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3.6960000000000002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</row>
        <row r="2038">
          <cell r="B2038" t="str">
            <v>Acero Inferior</v>
          </cell>
          <cell r="C2038">
            <v>1</v>
          </cell>
          <cell r="D2038">
            <v>1</v>
          </cell>
          <cell r="E2038">
            <v>20.100000000000001</v>
          </cell>
          <cell r="F2038">
            <v>0.2</v>
          </cell>
          <cell r="G2038">
            <v>1.55</v>
          </cell>
          <cell r="Q2038" t="str">
            <v>3/8"</v>
          </cell>
          <cell r="R2038">
            <v>101</v>
          </cell>
          <cell r="S2038">
            <v>1.85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104.63600000000002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</row>
        <row r="2039">
          <cell r="B2039" t="str">
            <v>Acero Superior</v>
          </cell>
          <cell r="C2039">
            <v>1</v>
          </cell>
          <cell r="D2039">
            <v>1</v>
          </cell>
          <cell r="E2039">
            <v>20.100000000000001</v>
          </cell>
          <cell r="F2039">
            <v>0.4</v>
          </cell>
          <cell r="G2039">
            <v>1.55</v>
          </cell>
          <cell r="Q2039" t="str">
            <v>3/8"</v>
          </cell>
          <cell r="R2039">
            <v>50</v>
          </cell>
          <cell r="S2039">
            <v>1.85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51.800000000000004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</row>
        <row r="2040">
          <cell r="B2040" t="str">
            <v>Acero Transversal</v>
          </cell>
          <cell r="C2040">
            <v>1</v>
          </cell>
          <cell r="D2040">
            <v>1</v>
          </cell>
        </row>
        <row r="2041">
          <cell r="B2041" t="str">
            <v>Acero Inferior</v>
          </cell>
          <cell r="C2041">
            <v>1</v>
          </cell>
          <cell r="D2041">
            <v>1</v>
          </cell>
          <cell r="E2041">
            <v>3.8</v>
          </cell>
          <cell r="F2041">
            <v>0.2</v>
          </cell>
          <cell r="G2041">
            <v>4.2</v>
          </cell>
          <cell r="Q2041" t="str">
            <v>3/8"</v>
          </cell>
          <cell r="R2041">
            <v>19</v>
          </cell>
          <cell r="S2041">
            <v>4.5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47.88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</row>
        <row r="2042">
          <cell r="B2042" t="str">
            <v>Acero Superior</v>
          </cell>
          <cell r="C2042">
            <v>1</v>
          </cell>
          <cell r="D2042">
            <v>1</v>
          </cell>
          <cell r="E2042">
            <v>3.8</v>
          </cell>
          <cell r="F2042">
            <v>0.4</v>
          </cell>
          <cell r="G2042">
            <v>4.2</v>
          </cell>
          <cell r="Q2042" t="str">
            <v>3/8"</v>
          </cell>
          <cell r="R2042">
            <v>10</v>
          </cell>
          <cell r="S2042">
            <v>4.5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25.200000000000003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</row>
        <row r="2043">
          <cell r="B2043" t="str">
            <v>Acero Inferior</v>
          </cell>
          <cell r="C2043">
            <v>1</v>
          </cell>
          <cell r="D2043">
            <v>1</v>
          </cell>
          <cell r="E2043">
            <v>1.6</v>
          </cell>
          <cell r="F2043">
            <v>0.2</v>
          </cell>
          <cell r="G2043">
            <v>1.7</v>
          </cell>
          <cell r="Q2043" t="str">
            <v>3/8"</v>
          </cell>
          <cell r="R2043">
            <v>8</v>
          </cell>
          <cell r="S2043">
            <v>2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8.9600000000000009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</row>
        <row r="2044">
          <cell r="B2044" t="str">
            <v>Acero Superior</v>
          </cell>
          <cell r="C2044">
            <v>1</v>
          </cell>
          <cell r="D2044">
            <v>1</v>
          </cell>
          <cell r="E2044">
            <v>1.6</v>
          </cell>
          <cell r="F2044">
            <v>0.4</v>
          </cell>
          <cell r="G2044">
            <v>1.7</v>
          </cell>
          <cell r="Q2044" t="str">
            <v>3/8"</v>
          </cell>
          <cell r="R2044">
            <v>4</v>
          </cell>
          <cell r="S2044">
            <v>2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4.4800000000000004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</row>
        <row r="2045">
          <cell r="B2045" t="str">
            <v>Acero Inferior</v>
          </cell>
          <cell r="C2045">
            <v>1</v>
          </cell>
          <cell r="D2045">
            <v>1</v>
          </cell>
          <cell r="E2045">
            <v>2.2999999999999998</v>
          </cell>
          <cell r="F2045">
            <v>0.2</v>
          </cell>
          <cell r="G2045">
            <v>4.2</v>
          </cell>
          <cell r="Q2045" t="str">
            <v>3/8"</v>
          </cell>
          <cell r="R2045">
            <v>12</v>
          </cell>
          <cell r="S2045">
            <v>4.5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30.240000000000002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</row>
        <row r="2046">
          <cell r="B2046" t="str">
            <v>Acero Superior</v>
          </cell>
          <cell r="C2046">
            <v>1</v>
          </cell>
          <cell r="D2046">
            <v>1</v>
          </cell>
          <cell r="E2046">
            <v>2.2999999999999998</v>
          </cell>
          <cell r="F2046">
            <v>0.4</v>
          </cell>
          <cell r="G2046">
            <v>4.2</v>
          </cell>
          <cell r="Q2046" t="str">
            <v>3/8"</v>
          </cell>
          <cell r="R2046">
            <v>6</v>
          </cell>
          <cell r="S2046">
            <v>4.5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15.120000000000001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</row>
        <row r="2047">
          <cell r="B2047" t="str">
            <v>Acero Inferior</v>
          </cell>
          <cell r="C2047">
            <v>1</v>
          </cell>
          <cell r="D2047">
            <v>1</v>
          </cell>
          <cell r="E2047">
            <v>1.05</v>
          </cell>
          <cell r="F2047">
            <v>0.2</v>
          </cell>
          <cell r="G2047">
            <v>3.05</v>
          </cell>
          <cell r="Q2047" t="str">
            <v>3/8"</v>
          </cell>
          <cell r="R2047">
            <v>5</v>
          </cell>
          <cell r="S2047">
            <v>3.3499999999999996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9.3800000000000008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</row>
        <row r="2048">
          <cell r="B2048" t="str">
            <v>Acero Superior</v>
          </cell>
          <cell r="C2048">
            <v>1</v>
          </cell>
          <cell r="D2048">
            <v>1</v>
          </cell>
          <cell r="E2048">
            <v>1.05</v>
          </cell>
          <cell r="F2048">
            <v>0.4</v>
          </cell>
          <cell r="G2048">
            <v>3.05</v>
          </cell>
          <cell r="Q2048" t="str">
            <v>3/8"</v>
          </cell>
          <cell r="R2048">
            <v>3</v>
          </cell>
          <cell r="S2048">
            <v>3.3499999999999996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5.6280000000000001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</row>
        <row r="2049">
          <cell r="B2049" t="str">
            <v>Acero Inferior</v>
          </cell>
          <cell r="C2049">
            <v>1</v>
          </cell>
          <cell r="D2049">
            <v>1</v>
          </cell>
          <cell r="E2049">
            <v>1.75</v>
          </cell>
          <cell r="F2049">
            <v>0.2</v>
          </cell>
          <cell r="G2049">
            <v>3.25</v>
          </cell>
          <cell r="Q2049" t="str">
            <v>3/8"</v>
          </cell>
          <cell r="R2049">
            <v>9</v>
          </cell>
          <cell r="S2049">
            <v>3.55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17.892000000000003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</row>
        <row r="2050">
          <cell r="B2050" t="str">
            <v>Acero Superior</v>
          </cell>
          <cell r="C2050">
            <v>1</v>
          </cell>
          <cell r="D2050">
            <v>1</v>
          </cell>
          <cell r="E2050">
            <v>1.75</v>
          </cell>
          <cell r="F2050">
            <v>0.4</v>
          </cell>
          <cell r="G2050">
            <v>3.25</v>
          </cell>
          <cell r="Q2050" t="str">
            <v>3/8"</v>
          </cell>
          <cell r="R2050">
            <v>4</v>
          </cell>
          <cell r="S2050">
            <v>3.55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7.952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</row>
        <row r="2051">
          <cell r="B2051" t="str">
            <v>Acero Inferior</v>
          </cell>
          <cell r="C2051">
            <v>1</v>
          </cell>
          <cell r="D2051">
            <v>1</v>
          </cell>
          <cell r="E2051">
            <v>0.8</v>
          </cell>
          <cell r="F2051">
            <v>0.2</v>
          </cell>
          <cell r="G2051">
            <v>2.0499999999999998</v>
          </cell>
          <cell r="Q2051" t="str">
            <v>3/8"</v>
          </cell>
          <cell r="R2051">
            <v>4</v>
          </cell>
          <cell r="S2051">
            <v>2.3499999999999996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5.2639999999999993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</row>
        <row r="2052">
          <cell r="B2052" t="str">
            <v>Acero Superior</v>
          </cell>
          <cell r="C2052">
            <v>1</v>
          </cell>
          <cell r="D2052">
            <v>1</v>
          </cell>
          <cell r="E2052">
            <v>0.8</v>
          </cell>
          <cell r="F2052">
            <v>0.4</v>
          </cell>
          <cell r="G2052">
            <v>2.0499999999999998</v>
          </cell>
          <cell r="Q2052" t="str">
            <v>3/8"</v>
          </cell>
          <cell r="R2052">
            <v>2</v>
          </cell>
          <cell r="S2052">
            <v>2.3499999999999996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2.6319999999999997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</row>
        <row r="2053">
          <cell r="B2053" t="str">
            <v>Acero Inferior</v>
          </cell>
          <cell r="C2053">
            <v>1</v>
          </cell>
          <cell r="D2053">
            <v>1</v>
          </cell>
          <cell r="E2053">
            <v>0.8</v>
          </cell>
          <cell r="F2053">
            <v>0.2</v>
          </cell>
          <cell r="G2053">
            <v>5.5</v>
          </cell>
          <cell r="Q2053" t="str">
            <v>3/8"</v>
          </cell>
          <cell r="R2053">
            <v>4</v>
          </cell>
          <cell r="S2053">
            <v>5.8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12.992000000000001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</row>
        <row r="2054">
          <cell r="B2054" t="str">
            <v>Acero Superior</v>
          </cell>
          <cell r="C2054">
            <v>1</v>
          </cell>
          <cell r="D2054">
            <v>1</v>
          </cell>
          <cell r="E2054">
            <v>0.8</v>
          </cell>
          <cell r="F2054">
            <v>0.4</v>
          </cell>
          <cell r="G2054">
            <v>5.5</v>
          </cell>
          <cell r="Q2054" t="str">
            <v>3/8"</v>
          </cell>
          <cell r="R2054">
            <v>2</v>
          </cell>
          <cell r="S2054">
            <v>5.8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6.4960000000000004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</row>
        <row r="2055">
          <cell r="B2055" t="str">
            <v>Acero Inferior</v>
          </cell>
          <cell r="C2055">
            <v>1</v>
          </cell>
          <cell r="D2055">
            <v>1</v>
          </cell>
          <cell r="E2055">
            <v>1.3</v>
          </cell>
          <cell r="F2055">
            <v>0.2</v>
          </cell>
          <cell r="G2055">
            <v>4.3</v>
          </cell>
          <cell r="Q2055" t="str">
            <v>3/8"</v>
          </cell>
          <cell r="R2055">
            <v>7</v>
          </cell>
          <cell r="S2055">
            <v>4.5999999999999996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18.032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</row>
        <row r="2056">
          <cell r="B2056" t="str">
            <v>Acero Superior</v>
          </cell>
          <cell r="C2056">
            <v>1</v>
          </cell>
          <cell r="D2056">
            <v>1</v>
          </cell>
          <cell r="E2056">
            <v>1.3</v>
          </cell>
          <cell r="F2056">
            <v>0.4</v>
          </cell>
          <cell r="G2056">
            <v>4.3</v>
          </cell>
          <cell r="Q2056" t="str">
            <v>3/8"</v>
          </cell>
          <cell r="R2056">
            <v>3</v>
          </cell>
          <cell r="S2056">
            <v>4.5999999999999996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7.7279999999999998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</row>
        <row r="2057">
          <cell r="B2057" t="str">
            <v>Acero Inferior</v>
          </cell>
          <cell r="C2057">
            <v>1</v>
          </cell>
          <cell r="D2057">
            <v>1</v>
          </cell>
          <cell r="E2057">
            <v>1.5</v>
          </cell>
          <cell r="F2057">
            <v>0.2</v>
          </cell>
          <cell r="G2057">
            <v>1.6</v>
          </cell>
          <cell r="Q2057" t="str">
            <v>3/8"</v>
          </cell>
          <cell r="R2057">
            <v>8</v>
          </cell>
          <cell r="S2057">
            <v>1.9000000000000001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8.5120000000000022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</row>
        <row r="2058">
          <cell r="B2058" t="str">
            <v>Acero Superior</v>
          </cell>
          <cell r="C2058">
            <v>1</v>
          </cell>
          <cell r="D2058">
            <v>1</v>
          </cell>
          <cell r="E2058">
            <v>1.5</v>
          </cell>
          <cell r="F2058">
            <v>0.4</v>
          </cell>
          <cell r="G2058">
            <v>1.6</v>
          </cell>
          <cell r="Q2058" t="str">
            <v>3/8"</v>
          </cell>
          <cell r="R2058">
            <v>4</v>
          </cell>
          <cell r="S2058">
            <v>1.9000000000000001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4.2560000000000011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</row>
        <row r="2059">
          <cell r="B2059" t="str">
            <v>Acero Inferior</v>
          </cell>
          <cell r="C2059">
            <v>1</v>
          </cell>
          <cell r="D2059">
            <v>1</v>
          </cell>
          <cell r="E2059">
            <v>1.4</v>
          </cell>
          <cell r="F2059">
            <v>0.2</v>
          </cell>
          <cell r="G2059">
            <v>20.25</v>
          </cell>
          <cell r="Q2059" t="str">
            <v>3/8"</v>
          </cell>
          <cell r="R2059">
            <v>7</v>
          </cell>
          <cell r="S2059">
            <v>20.55</v>
          </cell>
          <cell r="T2059">
            <v>2</v>
          </cell>
          <cell r="U2059">
            <v>0</v>
          </cell>
          <cell r="V2059">
            <v>0</v>
          </cell>
          <cell r="W2059">
            <v>0</v>
          </cell>
          <cell r="X2059">
            <v>80.555999999999997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</row>
        <row r="2060">
          <cell r="B2060" t="str">
            <v>Acero Superior</v>
          </cell>
          <cell r="C2060">
            <v>1</v>
          </cell>
          <cell r="D2060">
            <v>1</v>
          </cell>
          <cell r="E2060">
            <v>1.4</v>
          </cell>
          <cell r="F2060">
            <v>0.4</v>
          </cell>
          <cell r="G2060">
            <v>20.25</v>
          </cell>
          <cell r="Q2060" t="str">
            <v>3/8"</v>
          </cell>
          <cell r="R2060">
            <v>4</v>
          </cell>
          <cell r="S2060">
            <v>20.55</v>
          </cell>
          <cell r="T2060">
            <v>2</v>
          </cell>
          <cell r="U2060">
            <v>0</v>
          </cell>
          <cell r="V2060">
            <v>0</v>
          </cell>
          <cell r="W2060">
            <v>0</v>
          </cell>
          <cell r="X2060">
            <v>46.032000000000004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</row>
        <row r="2061">
          <cell r="B2061" t="str">
            <v>Ensanche alternados</v>
          </cell>
          <cell r="C2061">
            <v>1</v>
          </cell>
          <cell r="D2061">
            <v>1</v>
          </cell>
          <cell r="E2061">
            <v>1.9</v>
          </cell>
          <cell r="F2061">
            <v>1</v>
          </cell>
          <cell r="G2061">
            <v>0.2</v>
          </cell>
          <cell r="L2061">
            <v>0.38</v>
          </cell>
          <cell r="M2061">
            <v>1.9</v>
          </cell>
          <cell r="N2061">
            <v>1</v>
          </cell>
          <cell r="O2061">
            <v>1.9</v>
          </cell>
        </row>
        <row r="2062">
          <cell r="B2062" t="str">
            <v>PISO 16</v>
          </cell>
        </row>
        <row r="2064">
          <cell r="C2064">
            <v>1</v>
          </cell>
          <cell r="D2064">
            <v>1</v>
          </cell>
          <cell r="E2064">
            <v>20.350000000000001</v>
          </cell>
          <cell r="F2064">
            <v>1</v>
          </cell>
          <cell r="G2064">
            <v>0.2</v>
          </cell>
          <cell r="L2064">
            <v>4.07</v>
          </cell>
          <cell r="M2064">
            <v>20.350000000000001</v>
          </cell>
          <cell r="N2064">
            <v>1</v>
          </cell>
          <cell r="O2064">
            <v>20.350000000000001</v>
          </cell>
        </row>
        <row r="2065">
          <cell r="B2065" t="str">
            <v>Acero Longitudinal</v>
          </cell>
          <cell r="C2065">
            <v>1</v>
          </cell>
          <cell r="D2065">
            <v>1</v>
          </cell>
        </row>
        <row r="2066">
          <cell r="B2066" t="str">
            <v>Acero Inferior</v>
          </cell>
          <cell r="C2066">
            <v>1</v>
          </cell>
          <cell r="D2066">
            <v>1</v>
          </cell>
          <cell r="E2066">
            <v>3.8</v>
          </cell>
          <cell r="F2066">
            <v>0.2</v>
          </cell>
          <cell r="G2066">
            <v>4.4000000000000004</v>
          </cell>
          <cell r="Q2066" t="str">
            <v>3/8"</v>
          </cell>
          <cell r="R2066">
            <v>19</v>
          </cell>
          <cell r="S2066">
            <v>4.7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50.008000000000003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</row>
        <row r="2067">
          <cell r="B2067" t="str">
            <v>Acero Superior</v>
          </cell>
          <cell r="C2067">
            <v>1</v>
          </cell>
          <cell r="D2067">
            <v>1</v>
          </cell>
          <cell r="E2067">
            <v>3.8</v>
          </cell>
          <cell r="F2067">
            <v>0.4</v>
          </cell>
          <cell r="G2067">
            <v>4.4000000000000004</v>
          </cell>
          <cell r="Q2067" t="str">
            <v>3/8"</v>
          </cell>
          <cell r="R2067">
            <v>10</v>
          </cell>
          <cell r="S2067">
            <v>4.7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26.320000000000004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</row>
        <row r="2068">
          <cell r="B2068" t="str">
            <v>Acero Inferior</v>
          </cell>
          <cell r="C2068">
            <v>1</v>
          </cell>
          <cell r="D2068">
            <v>1</v>
          </cell>
          <cell r="E2068">
            <v>1.1000000000000001</v>
          </cell>
          <cell r="F2068">
            <v>0.2</v>
          </cell>
          <cell r="G2068">
            <v>1.1499999999999999</v>
          </cell>
          <cell r="Q2068" t="str">
            <v>3/8"</v>
          </cell>
          <cell r="R2068">
            <v>6</v>
          </cell>
          <cell r="S2068">
            <v>1.45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4.8719999999999999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</row>
        <row r="2069">
          <cell r="B2069" t="str">
            <v>Acero Superior</v>
          </cell>
          <cell r="C2069">
            <v>1</v>
          </cell>
          <cell r="D2069">
            <v>1</v>
          </cell>
          <cell r="E2069">
            <v>1.1000000000000001</v>
          </cell>
          <cell r="F2069">
            <v>0.4</v>
          </cell>
          <cell r="G2069">
            <v>1.1499999999999999</v>
          </cell>
          <cell r="Q2069" t="str">
            <v>3/8"</v>
          </cell>
          <cell r="R2069">
            <v>3</v>
          </cell>
          <cell r="S2069">
            <v>1.45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2.4359999999999999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</row>
        <row r="2070">
          <cell r="B2070" t="str">
            <v>Acero Inferior</v>
          </cell>
          <cell r="C2070">
            <v>1</v>
          </cell>
          <cell r="D2070">
            <v>1</v>
          </cell>
          <cell r="E2070">
            <v>0.9</v>
          </cell>
          <cell r="F2070">
            <v>0.2</v>
          </cell>
          <cell r="G2070">
            <v>0.9</v>
          </cell>
          <cell r="Q2070" t="str">
            <v>3/8"</v>
          </cell>
          <cell r="R2070">
            <v>5</v>
          </cell>
          <cell r="S2070">
            <v>1.2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3.3600000000000003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</row>
        <row r="2071">
          <cell r="B2071" t="str">
            <v>Acero Superior</v>
          </cell>
          <cell r="C2071">
            <v>1</v>
          </cell>
          <cell r="D2071">
            <v>1</v>
          </cell>
          <cell r="E2071">
            <v>0.9</v>
          </cell>
          <cell r="F2071">
            <v>0.4</v>
          </cell>
          <cell r="G2071">
            <v>0.9</v>
          </cell>
          <cell r="Q2071" t="str">
            <v>3/8"</v>
          </cell>
          <cell r="R2071">
            <v>2</v>
          </cell>
          <cell r="S2071">
            <v>1.2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1.3440000000000001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</row>
        <row r="2072">
          <cell r="B2072" t="str">
            <v>Acero Inferior</v>
          </cell>
          <cell r="C2072">
            <v>1</v>
          </cell>
          <cell r="D2072">
            <v>1</v>
          </cell>
          <cell r="E2072">
            <v>0.9</v>
          </cell>
          <cell r="F2072">
            <v>0.2</v>
          </cell>
          <cell r="G2072">
            <v>2.15</v>
          </cell>
          <cell r="Q2072" t="str">
            <v>3/8"</v>
          </cell>
          <cell r="R2072">
            <v>5</v>
          </cell>
          <cell r="S2072">
            <v>2.4499999999999997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6.8599999999999994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</row>
        <row r="2073">
          <cell r="B2073" t="str">
            <v>Acero Superior</v>
          </cell>
          <cell r="C2073">
            <v>1</v>
          </cell>
          <cell r="D2073">
            <v>1</v>
          </cell>
          <cell r="E2073">
            <v>0.9</v>
          </cell>
          <cell r="F2073">
            <v>0.4</v>
          </cell>
          <cell r="G2073">
            <v>2.15</v>
          </cell>
          <cell r="Q2073" t="str">
            <v>3/8"</v>
          </cell>
          <cell r="R2073">
            <v>2</v>
          </cell>
          <cell r="S2073">
            <v>2.4499999999999997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2.7439999999999998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</row>
        <row r="2074">
          <cell r="B2074" t="str">
            <v>Acero Inferior</v>
          </cell>
          <cell r="C2074">
            <v>1</v>
          </cell>
          <cell r="D2074">
            <v>1</v>
          </cell>
          <cell r="E2074">
            <v>2.25</v>
          </cell>
          <cell r="F2074">
            <v>0.2</v>
          </cell>
          <cell r="G2074">
            <v>1.55</v>
          </cell>
          <cell r="Q2074" t="str">
            <v>3/8"</v>
          </cell>
          <cell r="R2074">
            <v>11</v>
          </cell>
          <cell r="S2074">
            <v>1.85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11.396000000000003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</row>
        <row r="2075">
          <cell r="B2075" t="str">
            <v>Acero Superior</v>
          </cell>
          <cell r="C2075">
            <v>1</v>
          </cell>
          <cell r="D2075">
            <v>1</v>
          </cell>
          <cell r="E2075">
            <v>2.25</v>
          </cell>
          <cell r="F2075">
            <v>0.4</v>
          </cell>
          <cell r="G2075">
            <v>1.55</v>
          </cell>
          <cell r="Q2075" t="str">
            <v>3/8"</v>
          </cell>
          <cell r="R2075">
            <v>6</v>
          </cell>
          <cell r="S2075">
            <v>1.85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6.2160000000000011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</row>
        <row r="2076">
          <cell r="B2076" t="str">
            <v>Acero Inferior</v>
          </cell>
          <cell r="C2076">
            <v>1</v>
          </cell>
          <cell r="D2076">
            <v>1</v>
          </cell>
          <cell r="E2076">
            <v>0.9</v>
          </cell>
          <cell r="F2076">
            <v>0.2</v>
          </cell>
          <cell r="G2076">
            <v>1.55</v>
          </cell>
          <cell r="Q2076" t="str">
            <v>3/8"</v>
          </cell>
          <cell r="R2076">
            <v>5</v>
          </cell>
          <cell r="S2076">
            <v>1.85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5.1800000000000006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</row>
        <row r="2077">
          <cell r="B2077" t="str">
            <v>Acero Superior</v>
          </cell>
          <cell r="C2077">
            <v>1</v>
          </cell>
          <cell r="D2077">
            <v>1</v>
          </cell>
          <cell r="E2077">
            <v>0.9</v>
          </cell>
          <cell r="F2077">
            <v>0.4</v>
          </cell>
          <cell r="G2077">
            <v>1.55</v>
          </cell>
          <cell r="Q2077" t="str">
            <v>3/8"</v>
          </cell>
          <cell r="R2077">
            <v>2</v>
          </cell>
          <cell r="S2077">
            <v>1.85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2.0720000000000005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</row>
        <row r="2078">
          <cell r="B2078" t="str">
            <v>Acero Transversal</v>
          </cell>
          <cell r="C2078">
            <v>1</v>
          </cell>
          <cell r="D2078">
            <v>1</v>
          </cell>
        </row>
        <row r="2079">
          <cell r="B2079" t="str">
            <v>Acero Inferior</v>
          </cell>
          <cell r="C2079">
            <v>1</v>
          </cell>
          <cell r="D2079">
            <v>1</v>
          </cell>
          <cell r="E2079">
            <v>3.8</v>
          </cell>
          <cell r="F2079">
            <v>0.2</v>
          </cell>
          <cell r="G2079">
            <v>4.2</v>
          </cell>
          <cell r="Q2079" t="str">
            <v>3/8"</v>
          </cell>
          <cell r="R2079">
            <v>19</v>
          </cell>
          <cell r="S2079">
            <v>4.5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47.88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</row>
        <row r="2080">
          <cell r="B2080" t="str">
            <v>Acero Superior</v>
          </cell>
          <cell r="C2080">
            <v>1</v>
          </cell>
          <cell r="D2080">
            <v>1</v>
          </cell>
          <cell r="E2080">
            <v>3.8</v>
          </cell>
          <cell r="F2080">
            <v>0.4</v>
          </cell>
          <cell r="G2080">
            <v>4.2</v>
          </cell>
          <cell r="Q2080" t="str">
            <v>3/8"</v>
          </cell>
          <cell r="R2080">
            <v>10</v>
          </cell>
          <cell r="S2080">
            <v>4.5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25.200000000000003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</row>
        <row r="2081">
          <cell r="B2081" t="str">
            <v>Acero Inferior</v>
          </cell>
          <cell r="C2081">
            <v>1</v>
          </cell>
          <cell r="D2081">
            <v>1</v>
          </cell>
          <cell r="E2081">
            <v>0.55000000000000004</v>
          </cell>
          <cell r="F2081">
            <v>0.2</v>
          </cell>
          <cell r="G2081">
            <v>1.25</v>
          </cell>
          <cell r="Q2081" t="str">
            <v>3/8"</v>
          </cell>
          <cell r="R2081">
            <v>3</v>
          </cell>
          <cell r="S2081">
            <v>1.55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2.6040000000000005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</row>
        <row r="2082">
          <cell r="B2082" t="str">
            <v>Acero Superior</v>
          </cell>
          <cell r="C2082">
            <v>1</v>
          </cell>
          <cell r="D2082">
            <v>1</v>
          </cell>
          <cell r="E2082">
            <v>0.55000000000000004</v>
          </cell>
          <cell r="F2082">
            <v>0.4</v>
          </cell>
          <cell r="G2082">
            <v>1.25</v>
          </cell>
          <cell r="Q2082" t="str">
            <v>3/8"</v>
          </cell>
          <cell r="R2082">
            <v>1</v>
          </cell>
          <cell r="S2082">
            <v>1.55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0.8680000000000001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</row>
        <row r="2083">
          <cell r="B2083" t="str">
            <v>Acero Inferior</v>
          </cell>
          <cell r="C2083">
            <v>1</v>
          </cell>
          <cell r="D2083">
            <v>1</v>
          </cell>
          <cell r="E2083">
            <v>1.1000000000000001</v>
          </cell>
          <cell r="F2083">
            <v>0.2</v>
          </cell>
          <cell r="G2083">
            <v>2.6</v>
          </cell>
          <cell r="Q2083" t="str">
            <v>3/8"</v>
          </cell>
          <cell r="R2083">
            <v>6</v>
          </cell>
          <cell r="S2083">
            <v>2.9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9.7439999999999998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</row>
        <row r="2084">
          <cell r="B2084" t="str">
            <v>Acero Superior</v>
          </cell>
          <cell r="C2084">
            <v>1</v>
          </cell>
          <cell r="D2084">
            <v>1</v>
          </cell>
          <cell r="E2084">
            <v>1.1000000000000001</v>
          </cell>
          <cell r="F2084">
            <v>0.4</v>
          </cell>
          <cell r="G2084">
            <v>2.6</v>
          </cell>
          <cell r="Q2084" t="str">
            <v>3/8"</v>
          </cell>
          <cell r="R2084">
            <v>3</v>
          </cell>
          <cell r="S2084">
            <v>2.9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4.8719999999999999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</row>
        <row r="2085">
          <cell r="B2085" t="str">
            <v>Acero Inferior</v>
          </cell>
          <cell r="C2085">
            <v>1</v>
          </cell>
          <cell r="D2085">
            <v>1</v>
          </cell>
          <cell r="E2085">
            <v>1.8</v>
          </cell>
          <cell r="F2085">
            <v>0.2</v>
          </cell>
          <cell r="G2085">
            <v>1.25</v>
          </cell>
          <cell r="Q2085" t="str">
            <v>3/8"</v>
          </cell>
          <cell r="R2085">
            <v>9</v>
          </cell>
          <cell r="S2085">
            <v>1.55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7.8120000000000012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</row>
        <row r="2086">
          <cell r="B2086" t="str">
            <v>Acero Superior</v>
          </cell>
          <cell r="C2086">
            <v>1</v>
          </cell>
          <cell r="D2086">
            <v>1</v>
          </cell>
          <cell r="E2086">
            <v>1.8</v>
          </cell>
          <cell r="F2086">
            <v>0.4</v>
          </cell>
          <cell r="G2086">
            <v>1.25</v>
          </cell>
          <cell r="Q2086" t="str">
            <v>3/8"</v>
          </cell>
          <cell r="R2086">
            <v>5</v>
          </cell>
          <cell r="S2086">
            <v>1.55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4.3400000000000007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</row>
        <row r="2087">
          <cell r="B2087" t="str">
            <v>Acero Inferior</v>
          </cell>
          <cell r="C2087">
            <v>1</v>
          </cell>
          <cell r="D2087">
            <v>1</v>
          </cell>
          <cell r="E2087">
            <v>1.25</v>
          </cell>
          <cell r="F2087">
            <v>0.2</v>
          </cell>
          <cell r="G2087">
            <v>1.33</v>
          </cell>
          <cell r="Q2087" t="str">
            <v>3/8"</v>
          </cell>
          <cell r="R2087">
            <v>6</v>
          </cell>
          <cell r="S2087">
            <v>1.6300000000000001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5.4768000000000008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</row>
        <row r="2088">
          <cell r="B2088" t="str">
            <v>Acero Superior</v>
          </cell>
          <cell r="C2088">
            <v>1</v>
          </cell>
          <cell r="D2088">
            <v>1</v>
          </cell>
          <cell r="E2088">
            <v>1.25</v>
          </cell>
          <cell r="F2088">
            <v>0.4</v>
          </cell>
          <cell r="G2088">
            <v>1.33</v>
          </cell>
          <cell r="Q2088" t="str">
            <v>3/8"</v>
          </cell>
          <cell r="R2088">
            <v>3</v>
          </cell>
          <cell r="S2088">
            <v>1.6300000000000001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2.7384000000000004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</row>
        <row r="2089">
          <cell r="B2089" t="str">
            <v>Acero Inferior</v>
          </cell>
          <cell r="C2089">
            <v>1</v>
          </cell>
          <cell r="D2089">
            <v>1</v>
          </cell>
          <cell r="E2089">
            <v>0.5</v>
          </cell>
          <cell r="F2089">
            <v>0.2</v>
          </cell>
          <cell r="G2089">
            <v>1.4</v>
          </cell>
          <cell r="Q2089" t="str">
            <v>3/8"</v>
          </cell>
          <cell r="R2089">
            <v>3</v>
          </cell>
          <cell r="S2089">
            <v>1.7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2.8559999999999999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</row>
        <row r="2090">
          <cell r="B2090" t="str">
            <v>Acero Superior</v>
          </cell>
          <cell r="C2090">
            <v>1</v>
          </cell>
          <cell r="D2090">
            <v>1</v>
          </cell>
          <cell r="E2090">
            <v>0.5</v>
          </cell>
          <cell r="F2090">
            <v>0.4</v>
          </cell>
          <cell r="G2090">
            <v>1.4</v>
          </cell>
          <cell r="Q2090" t="str">
            <v>3/8"</v>
          </cell>
          <cell r="R2090">
            <v>1</v>
          </cell>
          <cell r="S2090">
            <v>1.7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0.95200000000000007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</row>
        <row r="2091">
          <cell r="B2091" t="str">
            <v>CUARTO DE MAQUINAS</v>
          </cell>
        </row>
        <row r="2093">
          <cell r="C2093">
            <v>1</v>
          </cell>
          <cell r="D2093">
            <v>1</v>
          </cell>
          <cell r="E2093">
            <v>6.65</v>
          </cell>
          <cell r="F2093">
            <v>1</v>
          </cell>
          <cell r="G2093">
            <v>0.2</v>
          </cell>
          <cell r="L2093">
            <v>1.33</v>
          </cell>
          <cell r="M2093">
            <v>6.65</v>
          </cell>
          <cell r="N2093">
            <v>1</v>
          </cell>
          <cell r="O2093">
            <v>6.65</v>
          </cell>
        </row>
        <row r="2094">
          <cell r="B2094" t="str">
            <v>Acero Longitudinal</v>
          </cell>
          <cell r="C2094">
            <v>1</v>
          </cell>
          <cell r="D2094">
            <v>1</v>
          </cell>
        </row>
        <row r="2095">
          <cell r="B2095" t="str">
            <v>Acero Inferior</v>
          </cell>
          <cell r="C2095">
            <v>1</v>
          </cell>
          <cell r="D2095">
            <v>1</v>
          </cell>
          <cell r="E2095">
            <v>1.75</v>
          </cell>
          <cell r="F2095">
            <v>0.2</v>
          </cell>
          <cell r="G2095">
            <v>4.4000000000000004</v>
          </cell>
          <cell r="Q2095" t="str">
            <v>3/8"</v>
          </cell>
          <cell r="R2095">
            <v>9</v>
          </cell>
          <cell r="S2095">
            <v>4.7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23.688000000000006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</row>
        <row r="2096">
          <cell r="B2096" t="str">
            <v>Acero Superior</v>
          </cell>
          <cell r="C2096">
            <v>1</v>
          </cell>
          <cell r="D2096">
            <v>1</v>
          </cell>
          <cell r="E2096">
            <v>1.75</v>
          </cell>
          <cell r="F2096">
            <v>0.4</v>
          </cell>
          <cell r="G2096">
            <v>4.4000000000000004</v>
          </cell>
          <cell r="Q2096" t="str">
            <v>3/8"</v>
          </cell>
          <cell r="R2096">
            <v>4</v>
          </cell>
          <cell r="S2096">
            <v>4.7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10.528000000000002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</row>
        <row r="2097">
          <cell r="B2097" t="str">
            <v>Acero Transversal</v>
          </cell>
          <cell r="C2097">
            <v>1</v>
          </cell>
          <cell r="D2097">
            <v>1</v>
          </cell>
        </row>
        <row r="2098">
          <cell r="B2098" t="str">
            <v>Acero Inferior</v>
          </cell>
          <cell r="C2098">
            <v>1</v>
          </cell>
          <cell r="D2098">
            <v>1</v>
          </cell>
          <cell r="E2098">
            <v>4.4000000000000004</v>
          </cell>
          <cell r="F2098">
            <v>0.2</v>
          </cell>
          <cell r="G2098">
            <v>1.75</v>
          </cell>
          <cell r="Q2098" t="str">
            <v>3/8"</v>
          </cell>
          <cell r="R2098">
            <v>22</v>
          </cell>
          <cell r="S2098">
            <v>2.0499999999999998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25.256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</row>
        <row r="2099">
          <cell r="B2099" t="str">
            <v>Acero Superior</v>
          </cell>
          <cell r="C2099">
            <v>1</v>
          </cell>
          <cell r="D2099">
            <v>1</v>
          </cell>
          <cell r="E2099">
            <v>4.4000000000000004</v>
          </cell>
          <cell r="F2099">
            <v>0.4</v>
          </cell>
          <cell r="G2099">
            <v>1.75</v>
          </cell>
          <cell r="Q2099" t="str">
            <v>3/8"</v>
          </cell>
          <cell r="R2099">
            <v>11</v>
          </cell>
          <cell r="S2099">
            <v>2.0499999999999998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12.628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</row>
        <row r="2102">
          <cell r="A2102" t="str">
            <v>LOSA MAC20-CON280</v>
          </cell>
          <cell r="B2102" t="str">
            <v>Concreto f'c= 350 kg/cm2</v>
          </cell>
          <cell r="D2102" t="str">
            <v>M3</v>
          </cell>
          <cell r="E2102">
            <v>244.33000000000004</v>
          </cell>
        </row>
        <row r="2103">
          <cell r="A2103" t="str">
            <v>LOSA MAC20-ENC</v>
          </cell>
          <cell r="B2103" t="str">
            <v xml:space="preserve">Encofrado y desencofrado </v>
          </cell>
          <cell r="D2103" t="str">
            <v>M2</v>
          </cell>
          <cell r="E2103">
            <v>1221.6500000000001</v>
          </cell>
        </row>
        <row r="2104">
          <cell r="A2104" t="str">
            <v>LOSA MAC20-ACE</v>
          </cell>
          <cell r="B2104" t="str">
            <v>Acero de refuerzo</v>
          </cell>
          <cell r="D2104" t="str">
            <v>KG</v>
          </cell>
          <cell r="E2104">
            <v>13950.031199999999</v>
          </cell>
        </row>
        <row r="2108">
          <cell r="B2108" t="str">
            <v>LOSA ALIGERADA CONVENCIONAL H=20CM</v>
          </cell>
        </row>
        <row r="2110">
          <cell r="B2110" t="str">
            <v>PISO 1</v>
          </cell>
        </row>
        <row r="2112">
          <cell r="C2112">
            <v>1</v>
          </cell>
          <cell r="D2112">
            <v>1</v>
          </cell>
          <cell r="E2112">
            <v>111</v>
          </cell>
          <cell r="F2112">
            <v>1</v>
          </cell>
          <cell r="G2112">
            <v>0.09</v>
          </cell>
          <cell r="L2112">
            <v>9.99</v>
          </cell>
          <cell r="M2112">
            <v>111</v>
          </cell>
          <cell r="N2112">
            <v>1</v>
          </cell>
          <cell r="O2112">
            <v>111</v>
          </cell>
        </row>
        <row r="2113">
          <cell r="B2113" t="str">
            <v>Eje 6/D</v>
          </cell>
          <cell r="C2113">
            <v>1</v>
          </cell>
          <cell r="D2113">
            <v>1</v>
          </cell>
          <cell r="M2113">
            <v>103</v>
          </cell>
          <cell r="N2113">
            <v>0.2</v>
          </cell>
          <cell r="O2113">
            <v>20.6</v>
          </cell>
        </row>
        <row r="2114">
          <cell r="B2114" t="str">
            <v>Acero Inferior</v>
          </cell>
          <cell r="C2114">
            <v>1</v>
          </cell>
          <cell r="D2114">
            <v>1</v>
          </cell>
          <cell r="E2114">
            <v>2.9</v>
          </cell>
          <cell r="F2114">
            <v>0.4</v>
          </cell>
          <cell r="G2114">
            <v>4.6500000000000004</v>
          </cell>
          <cell r="Q2114" t="str">
            <v>1/2"</v>
          </cell>
          <cell r="R2114">
            <v>8</v>
          </cell>
          <cell r="S2114">
            <v>4.95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39.204000000000001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</row>
        <row r="2115">
          <cell r="B2115" t="str">
            <v>Acero Inferior</v>
          </cell>
          <cell r="C2115">
            <v>1</v>
          </cell>
          <cell r="D2115">
            <v>1</v>
          </cell>
          <cell r="E2115">
            <v>2.9</v>
          </cell>
          <cell r="F2115">
            <v>0.4</v>
          </cell>
          <cell r="G2115">
            <v>2.95</v>
          </cell>
          <cell r="Q2115" t="str">
            <v>3/8"</v>
          </cell>
          <cell r="R2115">
            <v>8</v>
          </cell>
          <cell r="S2115">
            <v>2.95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13.216000000000003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</row>
        <row r="2116">
          <cell r="B2116" t="str">
            <v>Acero Baston</v>
          </cell>
          <cell r="C2116">
            <v>1</v>
          </cell>
          <cell r="D2116">
            <v>1</v>
          </cell>
          <cell r="E2116">
            <v>2.9</v>
          </cell>
          <cell r="F2116">
            <v>0.4</v>
          </cell>
          <cell r="G2116">
            <v>1.1499999999999999</v>
          </cell>
          <cell r="Q2116" t="str">
            <v>1/2"</v>
          </cell>
          <cell r="R2116">
            <v>8</v>
          </cell>
          <cell r="S2116">
            <v>1.2999999999999998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10.295999999999999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</row>
        <row r="2117">
          <cell r="B2117" t="str">
            <v>Eje 7/D</v>
          </cell>
          <cell r="C2117">
            <v>1</v>
          </cell>
          <cell r="D2117">
            <v>1</v>
          </cell>
        </row>
        <row r="2118">
          <cell r="B2118" t="str">
            <v>Acero Inferior</v>
          </cell>
          <cell r="C2118">
            <v>1</v>
          </cell>
          <cell r="D2118">
            <v>1</v>
          </cell>
          <cell r="E2118">
            <v>4.6500000000000004</v>
          </cell>
          <cell r="F2118">
            <v>0.4</v>
          </cell>
          <cell r="G2118">
            <v>4.6500000000000004</v>
          </cell>
          <cell r="Q2118" t="str">
            <v>1/2"</v>
          </cell>
          <cell r="R2118">
            <v>13</v>
          </cell>
          <cell r="S2118">
            <v>4.95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63.706500000000005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</row>
        <row r="2119">
          <cell r="B2119" t="str">
            <v>Acero Inferior</v>
          </cell>
          <cell r="C2119">
            <v>1</v>
          </cell>
          <cell r="D2119">
            <v>1</v>
          </cell>
          <cell r="E2119">
            <v>4.6500000000000004</v>
          </cell>
          <cell r="F2119">
            <v>0.4</v>
          </cell>
          <cell r="G2119">
            <v>2.95</v>
          </cell>
          <cell r="Q2119" t="str">
            <v>3/8"</v>
          </cell>
          <cell r="R2119">
            <v>13</v>
          </cell>
          <cell r="S2119">
            <v>2.95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21.476000000000003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</row>
        <row r="2120">
          <cell r="B2120" t="str">
            <v>Acero Baston</v>
          </cell>
          <cell r="C2120">
            <v>1</v>
          </cell>
          <cell r="D2120">
            <v>1</v>
          </cell>
          <cell r="E2120">
            <v>4.6500000000000004</v>
          </cell>
          <cell r="F2120">
            <v>0.4</v>
          </cell>
          <cell r="G2120">
            <v>1.1499999999999999</v>
          </cell>
          <cell r="Q2120" t="str">
            <v>1/2"</v>
          </cell>
          <cell r="R2120">
            <v>13</v>
          </cell>
          <cell r="S2120">
            <v>1.2999999999999998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16.730999999999998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</row>
        <row r="2121">
          <cell r="B2121" t="str">
            <v>Eje 6/C</v>
          </cell>
          <cell r="C2121">
            <v>1</v>
          </cell>
          <cell r="D2121">
            <v>1</v>
          </cell>
        </row>
        <row r="2122">
          <cell r="B2122" t="str">
            <v>Acero Inferior</v>
          </cell>
          <cell r="C2122">
            <v>1</v>
          </cell>
          <cell r="D2122">
            <v>1</v>
          </cell>
          <cell r="E2122">
            <v>4.3</v>
          </cell>
          <cell r="F2122">
            <v>0.4</v>
          </cell>
          <cell r="G2122">
            <v>2.8</v>
          </cell>
          <cell r="Q2122" t="str">
            <v>3/8"</v>
          </cell>
          <cell r="R2122">
            <v>12</v>
          </cell>
          <cell r="S2122">
            <v>3.0999999999999996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20.832000000000001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</row>
        <row r="2123">
          <cell r="B2123" t="str">
            <v>Acero Balancin</v>
          </cell>
          <cell r="C2123">
            <v>1</v>
          </cell>
          <cell r="D2123">
            <v>1</v>
          </cell>
          <cell r="E2123">
            <v>4.3</v>
          </cell>
          <cell r="F2123">
            <v>0.4</v>
          </cell>
          <cell r="G2123">
            <v>5.15</v>
          </cell>
          <cell r="Q2123" t="str">
            <v>1/2"</v>
          </cell>
          <cell r="R2123">
            <v>12</v>
          </cell>
          <cell r="S2123">
            <v>5.15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61.182000000000002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</row>
        <row r="2124">
          <cell r="B2124" t="str">
            <v>Acero Balancin</v>
          </cell>
          <cell r="C2124">
            <v>1</v>
          </cell>
          <cell r="D2124">
            <v>1</v>
          </cell>
          <cell r="E2124">
            <v>4.3</v>
          </cell>
          <cell r="F2124">
            <v>0.4</v>
          </cell>
          <cell r="G2124">
            <v>2.0499999999999998</v>
          </cell>
          <cell r="Q2124" t="str">
            <v>3/8"</v>
          </cell>
          <cell r="R2124">
            <v>12</v>
          </cell>
          <cell r="S2124">
            <v>2.0499999999999998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13.776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</row>
        <row r="2125">
          <cell r="B2125" t="str">
            <v>Eje 7/C</v>
          </cell>
          <cell r="C2125">
            <v>1</v>
          </cell>
          <cell r="D2125">
            <v>1</v>
          </cell>
        </row>
        <row r="2126">
          <cell r="B2126" t="str">
            <v>Acero Inferior</v>
          </cell>
          <cell r="C2126">
            <v>1</v>
          </cell>
          <cell r="D2126">
            <v>1</v>
          </cell>
          <cell r="E2126">
            <v>1.1499999999999999</v>
          </cell>
          <cell r="F2126">
            <v>0.4</v>
          </cell>
          <cell r="G2126">
            <v>2.8</v>
          </cell>
          <cell r="Q2126" t="str">
            <v>3/8"</v>
          </cell>
          <cell r="R2126">
            <v>4</v>
          </cell>
          <cell r="S2126">
            <v>3.0999999999999996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6.944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</row>
        <row r="2127">
          <cell r="B2127" t="str">
            <v>Acero Balancin</v>
          </cell>
          <cell r="C2127">
            <v>1</v>
          </cell>
          <cell r="D2127">
            <v>1</v>
          </cell>
          <cell r="E2127">
            <v>1.1499999999999999</v>
          </cell>
          <cell r="F2127">
            <v>0.4</v>
          </cell>
          <cell r="G2127">
            <v>5.15</v>
          </cell>
          <cell r="Q2127" t="str">
            <v>1/2"</v>
          </cell>
          <cell r="R2127">
            <v>4</v>
          </cell>
          <cell r="S2127">
            <v>5.15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20.394000000000002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</row>
        <row r="2128">
          <cell r="B2128" t="str">
            <v>Acero Balancin</v>
          </cell>
          <cell r="C2128">
            <v>1</v>
          </cell>
          <cell r="D2128">
            <v>1</v>
          </cell>
          <cell r="E2128">
            <v>1.1499999999999999</v>
          </cell>
          <cell r="F2128">
            <v>0.4</v>
          </cell>
          <cell r="G2128">
            <v>2.0499999999999998</v>
          </cell>
          <cell r="Q2128" t="str">
            <v>3/8"</v>
          </cell>
          <cell r="R2128">
            <v>4</v>
          </cell>
          <cell r="S2128">
            <v>2.0499999999999998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4.5919999999999996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</row>
        <row r="2129">
          <cell r="B2129" t="str">
            <v>Eje 7/C</v>
          </cell>
          <cell r="C2129">
            <v>1</v>
          </cell>
          <cell r="D2129">
            <v>1</v>
          </cell>
        </row>
        <row r="2130">
          <cell r="B2130" t="str">
            <v>Acero Inferior</v>
          </cell>
          <cell r="C2130">
            <v>1</v>
          </cell>
          <cell r="D2130">
            <v>1</v>
          </cell>
          <cell r="E2130">
            <v>2.25</v>
          </cell>
          <cell r="F2130">
            <v>0.4</v>
          </cell>
          <cell r="G2130">
            <v>2.8</v>
          </cell>
          <cell r="Q2130" t="str">
            <v>3/8"</v>
          </cell>
          <cell r="R2130">
            <v>7</v>
          </cell>
          <cell r="S2130">
            <v>3.0999999999999996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12.151999999999999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</row>
        <row r="2131">
          <cell r="B2131" t="str">
            <v>Acero Balancin</v>
          </cell>
          <cell r="C2131">
            <v>1</v>
          </cell>
          <cell r="D2131">
            <v>1</v>
          </cell>
          <cell r="E2131">
            <v>2.25</v>
          </cell>
          <cell r="F2131">
            <v>0.4</v>
          </cell>
          <cell r="G2131">
            <v>5.4</v>
          </cell>
          <cell r="Q2131" t="str">
            <v>1/2"</v>
          </cell>
          <cell r="R2131">
            <v>7</v>
          </cell>
          <cell r="S2131">
            <v>5.4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37.422000000000004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</row>
        <row r="2132">
          <cell r="B2132" t="str">
            <v>Acero Balancin</v>
          </cell>
          <cell r="C2132">
            <v>1</v>
          </cell>
          <cell r="D2132">
            <v>1</v>
          </cell>
          <cell r="E2132">
            <v>2.25</v>
          </cell>
          <cell r="F2132">
            <v>0.4</v>
          </cell>
          <cell r="G2132">
            <v>1.5</v>
          </cell>
          <cell r="Q2132" t="str">
            <v>3/8"</v>
          </cell>
          <cell r="R2132">
            <v>7</v>
          </cell>
          <cell r="S2132">
            <v>1.5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5.8800000000000008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</row>
        <row r="2133">
          <cell r="B2133" t="str">
            <v>Eje 7/C</v>
          </cell>
          <cell r="C2133">
            <v>1</v>
          </cell>
          <cell r="D2133">
            <v>1</v>
          </cell>
        </row>
        <row r="2134">
          <cell r="B2134" t="str">
            <v>Acero Inferior</v>
          </cell>
          <cell r="C2134">
            <v>1</v>
          </cell>
          <cell r="D2134">
            <v>1</v>
          </cell>
          <cell r="E2134">
            <v>1.95</v>
          </cell>
          <cell r="F2134">
            <v>0.4</v>
          </cell>
          <cell r="G2134">
            <v>10.9</v>
          </cell>
          <cell r="Q2134" t="str">
            <v>3/8"</v>
          </cell>
          <cell r="R2134">
            <v>6</v>
          </cell>
          <cell r="S2134">
            <v>11.200000000000001</v>
          </cell>
          <cell r="T2134">
            <v>1</v>
          </cell>
          <cell r="U2134">
            <v>0</v>
          </cell>
          <cell r="V2134">
            <v>0</v>
          </cell>
          <cell r="W2134">
            <v>0</v>
          </cell>
          <cell r="X2134">
            <v>37.632000000000005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</row>
        <row r="2135">
          <cell r="B2135" t="str">
            <v>Acero Inferior</v>
          </cell>
          <cell r="C2135">
            <v>1</v>
          </cell>
          <cell r="D2135">
            <v>1</v>
          </cell>
          <cell r="E2135">
            <v>1.95</v>
          </cell>
          <cell r="F2135">
            <v>0.4</v>
          </cell>
          <cell r="G2135">
            <v>3.1</v>
          </cell>
          <cell r="Q2135" t="str">
            <v>3/8"</v>
          </cell>
          <cell r="R2135">
            <v>6</v>
          </cell>
          <cell r="S2135">
            <v>3.1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10.416000000000002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</row>
        <row r="2136">
          <cell r="B2136" t="str">
            <v>Acero Balancin</v>
          </cell>
          <cell r="C2136">
            <v>1</v>
          </cell>
          <cell r="D2136">
            <v>1</v>
          </cell>
          <cell r="E2136">
            <v>1.95</v>
          </cell>
          <cell r="F2136">
            <v>0.4</v>
          </cell>
          <cell r="G2136">
            <v>5.8</v>
          </cell>
          <cell r="Q2136" t="str">
            <v>1/2"</v>
          </cell>
          <cell r="R2136">
            <v>6</v>
          </cell>
          <cell r="S2136">
            <v>5.8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34.451999999999998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</row>
        <row r="2137">
          <cell r="B2137" t="str">
            <v>Acero Balancin</v>
          </cell>
          <cell r="C2137">
            <v>1</v>
          </cell>
          <cell r="D2137">
            <v>1</v>
          </cell>
          <cell r="E2137">
            <v>1.95</v>
          </cell>
          <cell r="F2137">
            <v>0.4</v>
          </cell>
          <cell r="G2137">
            <v>5.85</v>
          </cell>
          <cell r="Q2137" t="str">
            <v>1/2"</v>
          </cell>
          <cell r="R2137">
            <v>6</v>
          </cell>
          <cell r="S2137">
            <v>5.85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34.748999999999995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</row>
        <row r="2138">
          <cell r="B2138" t="str">
            <v>Eje 7/B</v>
          </cell>
          <cell r="C2138">
            <v>1</v>
          </cell>
          <cell r="D2138">
            <v>1</v>
          </cell>
        </row>
        <row r="2139">
          <cell r="B2139" t="str">
            <v>Acero Inferior</v>
          </cell>
          <cell r="C2139">
            <v>1</v>
          </cell>
          <cell r="D2139">
            <v>1</v>
          </cell>
          <cell r="E2139">
            <v>2.7</v>
          </cell>
          <cell r="F2139">
            <v>0.4</v>
          </cell>
          <cell r="G2139">
            <v>3</v>
          </cell>
          <cell r="Q2139" t="str">
            <v>3/8"</v>
          </cell>
          <cell r="R2139">
            <v>8</v>
          </cell>
          <cell r="S2139">
            <v>3.3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14.784000000000001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</row>
        <row r="2140">
          <cell r="B2140" t="str">
            <v>Acero Balancin</v>
          </cell>
          <cell r="C2140">
            <v>1</v>
          </cell>
          <cell r="D2140">
            <v>1</v>
          </cell>
          <cell r="E2140">
            <v>2.7</v>
          </cell>
          <cell r="F2140">
            <v>0.4</v>
          </cell>
          <cell r="G2140">
            <v>5.45</v>
          </cell>
          <cell r="Q2140" t="str">
            <v>1/2"</v>
          </cell>
          <cell r="R2140">
            <v>8</v>
          </cell>
          <cell r="S2140">
            <v>5.45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43.164000000000001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</row>
        <row r="2141">
          <cell r="B2141" t="str">
            <v>Acero Balancin</v>
          </cell>
          <cell r="C2141">
            <v>1</v>
          </cell>
          <cell r="D2141">
            <v>1</v>
          </cell>
          <cell r="E2141">
            <v>2.7</v>
          </cell>
          <cell r="F2141">
            <v>0.4</v>
          </cell>
          <cell r="G2141">
            <v>1.5</v>
          </cell>
          <cell r="Q2141" t="str">
            <v>3/8"</v>
          </cell>
          <cell r="R2141">
            <v>8</v>
          </cell>
          <cell r="S2141">
            <v>1.5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6.7200000000000006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</row>
        <row r="2142">
          <cell r="B2142" t="str">
            <v>Eje 7/A</v>
          </cell>
          <cell r="C2142">
            <v>1</v>
          </cell>
          <cell r="D2142">
            <v>1</v>
          </cell>
        </row>
        <row r="2143">
          <cell r="B2143" t="str">
            <v>Acero Inferior</v>
          </cell>
          <cell r="C2143">
            <v>1</v>
          </cell>
          <cell r="D2143">
            <v>1</v>
          </cell>
          <cell r="E2143">
            <v>4.6500000000000004</v>
          </cell>
          <cell r="F2143">
            <v>0.4</v>
          </cell>
          <cell r="G2143">
            <v>4.55</v>
          </cell>
          <cell r="Q2143" t="str">
            <v>1/2"</v>
          </cell>
          <cell r="R2143">
            <v>13</v>
          </cell>
          <cell r="S2143">
            <v>4.8499999999999996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62.419499999999999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</row>
        <row r="2144">
          <cell r="B2144" t="str">
            <v>Acero Inferior</v>
          </cell>
          <cell r="C2144">
            <v>1</v>
          </cell>
          <cell r="D2144">
            <v>1</v>
          </cell>
          <cell r="E2144">
            <v>4.6500000000000004</v>
          </cell>
          <cell r="F2144">
            <v>0.4</v>
          </cell>
          <cell r="G2144">
            <v>2.85</v>
          </cell>
          <cell r="Q2144" t="str">
            <v>3/8"</v>
          </cell>
          <cell r="R2144">
            <v>13</v>
          </cell>
          <cell r="S2144">
            <v>2.85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20.748000000000005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</row>
        <row r="2145">
          <cell r="B2145" t="str">
            <v>Acero Baston</v>
          </cell>
          <cell r="C2145">
            <v>1</v>
          </cell>
          <cell r="D2145">
            <v>1</v>
          </cell>
          <cell r="E2145">
            <v>4.6500000000000004</v>
          </cell>
          <cell r="F2145">
            <v>0.4</v>
          </cell>
          <cell r="G2145">
            <v>1.1499999999999999</v>
          </cell>
          <cell r="Q2145" t="str">
            <v>3/8"</v>
          </cell>
          <cell r="R2145">
            <v>13</v>
          </cell>
          <cell r="S2145">
            <v>1.2999999999999998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9.4640000000000004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</row>
        <row r="2146">
          <cell r="B2146" t="str">
            <v>Eje 6/A</v>
          </cell>
          <cell r="C2146">
            <v>1</v>
          </cell>
          <cell r="D2146">
            <v>1</v>
          </cell>
        </row>
        <row r="2147">
          <cell r="B2147" t="str">
            <v>Acero Inferior</v>
          </cell>
          <cell r="C2147">
            <v>1</v>
          </cell>
          <cell r="D2147">
            <v>1</v>
          </cell>
          <cell r="E2147">
            <v>2.9</v>
          </cell>
          <cell r="F2147">
            <v>0.4</v>
          </cell>
          <cell r="G2147">
            <v>5.5</v>
          </cell>
          <cell r="Q2147" t="str">
            <v>1/2"</v>
          </cell>
          <cell r="R2147">
            <v>8</v>
          </cell>
          <cell r="S2147">
            <v>5.8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45.936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</row>
        <row r="2148">
          <cell r="B2148" t="str">
            <v>Acero Inferior</v>
          </cell>
          <cell r="C2148">
            <v>1</v>
          </cell>
          <cell r="D2148">
            <v>1</v>
          </cell>
          <cell r="E2148">
            <v>2.9</v>
          </cell>
          <cell r="F2148">
            <v>0.4</v>
          </cell>
          <cell r="G2148">
            <v>4.05</v>
          </cell>
          <cell r="Q2148" t="str">
            <v>1/2"</v>
          </cell>
          <cell r="R2148">
            <v>8</v>
          </cell>
          <cell r="S2148">
            <v>4.05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32.076000000000001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</row>
        <row r="2149">
          <cell r="B2149" t="str">
            <v>Acero Inferior</v>
          </cell>
          <cell r="C2149">
            <v>1</v>
          </cell>
          <cell r="D2149">
            <v>1</v>
          </cell>
          <cell r="E2149">
            <v>2.9</v>
          </cell>
          <cell r="F2149">
            <v>0.4</v>
          </cell>
          <cell r="G2149">
            <v>1.9</v>
          </cell>
          <cell r="Q2149" t="str">
            <v>3/8"</v>
          </cell>
          <cell r="R2149">
            <v>8</v>
          </cell>
          <cell r="S2149">
            <v>2.1999999999999997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9.8559999999999999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</row>
        <row r="2150">
          <cell r="B2150" t="str">
            <v>Acero Balancin</v>
          </cell>
          <cell r="C2150">
            <v>1</v>
          </cell>
          <cell r="D2150">
            <v>1</v>
          </cell>
          <cell r="E2150">
            <v>2.9</v>
          </cell>
          <cell r="F2150">
            <v>0.4</v>
          </cell>
          <cell r="G2150">
            <v>4.55</v>
          </cell>
          <cell r="Q2150" t="str">
            <v>1/2"</v>
          </cell>
          <cell r="R2150">
            <v>8</v>
          </cell>
          <cell r="S2150">
            <v>4.55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36.036000000000001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</row>
        <row r="2151">
          <cell r="B2151" t="str">
            <v>Acero Balancin</v>
          </cell>
          <cell r="C2151">
            <v>1</v>
          </cell>
          <cell r="D2151">
            <v>1</v>
          </cell>
          <cell r="E2151">
            <v>2.9</v>
          </cell>
          <cell r="F2151">
            <v>0.4</v>
          </cell>
          <cell r="G2151">
            <v>4.5</v>
          </cell>
          <cell r="Q2151" t="str">
            <v>3/8"</v>
          </cell>
          <cell r="R2151">
            <v>8</v>
          </cell>
          <cell r="S2151">
            <v>4.5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20.160000000000004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</row>
        <row r="2152">
          <cell r="B2152" t="str">
            <v>Acero Baston</v>
          </cell>
          <cell r="C2152">
            <v>1</v>
          </cell>
          <cell r="D2152">
            <v>1</v>
          </cell>
          <cell r="E2152">
            <v>2.9</v>
          </cell>
          <cell r="F2152">
            <v>0.4</v>
          </cell>
          <cell r="G2152">
            <v>1.1499999999999999</v>
          </cell>
          <cell r="Q2152" t="str">
            <v>3/8"</v>
          </cell>
          <cell r="R2152">
            <v>8</v>
          </cell>
          <cell r="S2152">
            <v>1.2999999999999998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5.8239999999999998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</row>
        <row r="2153">
          <cell r="B2153" t="str">
            <v>Eje 7/B</v>
          </cell>
          <cell r="C2153">
            <v>1</v>
          </cell>
          <cell r="D2153">
            <v>1</v>
          </cell>
        </row>
        <row r="2154">
          <cell r="B2154" t="str">
            <v>Acero Inferior</v>
          </cell>
          <cell r="C2154">
            <v>1</v>
          </cell>
          <cell r="D2154">
            <v>1</v>
          </cell>
          <cell r="E2154">
            <v>1.2</v>
          </cell>
          <cell r="F2154">
            <v>0.4</v>
          </cell>
          <cell r="G2154">
            <v>2</v>
          </cell>
          <cell r="Q2154" t="str">
            <v>3/8"</v>
          </cell>
          <cell r="R2154">
            <v>4</v>
          </cell>
          <cell r="S2154">
            <v>2.2999999999999998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5.1520000000000001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</row>
        <row r="2155">
          <cell r="B2155" t="str">
            <v>Acero Balancin</v>
          </cell>
          <cell r="C2155">
            <v>1</v>
          </cell>
          <cell r="D2155">
            <v>1</v>
          </cell>
          <cell r="E2155">
            <v>1.2</v>
          </cell>
          <cell r="F2155">
            <v>0.4</v>
          </cell>
          <cell r="G2155">
            <v>4.3</v>
          </cell>
          <cell r="Q2155" t="str">
            <v>1/2"</v>
          </cell>
          <cell r="R2155">
            <v>4</v>
          </cell>
          <cell r="S2155">
            <v>4.3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17.027999999999999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</row>
        <row r="2156">
          <cell r="B2156" t="str">
            <v>Temperatura</v>
          </cell>
          <cell r="C2156">
            <v>1</v>
          </cell>
          <cell r="D2156">
            <v>111</v>
          </cell>
          <cell r="E2156">
            <v>1</v>
          </cell>
          <cell r="F2156">
            <v>0.25</v>
          </cell>
          <cell r="G2156">
            <v>1</v>
          </cell>
          <cell r="Q2156" t="str">
            <v>1/4"</v>
          </cell>
          <cell r="R2156">
            <v>4</v>
          </cell>
          <cell r="S2156">
            <v>1.05</v>
          </cell>
          <cell r="T2156">
            <v>0</v>
          </cell>
          <cell r="U2156">
            <v>116.55000000000001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</row>
        <row r="2158">
          <cell r="B2158" t="str">
            <v>PISO 2-13</v>
          </cell>
        </row>
        <row r="2160">
          <cell r="C2160">
            <v>12</v>
          </cell>
          <cell r="D2160">
            <v>1</v>
          </cell>
          <cell r="E2160">
            <v>110</v>
          </cell>
          <cell r="F2160">
            <v>1</v>
          </cell>
          <cell r="G2160">
            <v>0.09</v>
          </cell>
          <cell r="L2160">
            <v>118.8</v>
          </cell>
          <cell r="M2160">
            <v>110</v>
          </cell>
          <cell r="N2160">
            <v>1</v>
          </cell>
          <cell r="O2160">
            <v>1320</v>
          </cell>
        </row>
        <row r="2161">
          <cell r="B2161" t="str">
            <v>Eje 6/D</v>
          </cell>
          <cell r="C2161">
            <v>12</v>
          </cell>
          <cell r="D2161">
            <v>1</v>
          </cell>
          <cell r="M2161">
            <v>103</v>
          </cell>
          <cell r="N2161">
            <v>0.2</v>
          </cell>
          <cell r="O2161">
            <v>247.20000000000002</v>
          </cell>
        </row>
        <row r="2162">
          <cell r="B2162" t="str">
            <v>Acero Inferior</v>
          </cell>
          <cell r="C2162">
            <v>12</v>
          </cell>
          <cell r="D2162">
            <v>1</v>
          </cell>
          <cell r="E2162">
            <v>2.9</v>
          </cell>
          <cell r="F2162">
            <v>0.4</v>
          </cell>
          <cell r="G2162">
            <v>4.6500000000000004</v>
          </cell>
          <cell r="Q2162" t="str">
            <v>1/2"</v>
          </cell>
          <cell r="R2162">
            <v>8</v>
          </cell>
          <cell r="S2162">
            <v>4.95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470.44799999999998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</row>
        <row r="2163">
          <cell r="B2163" t="str">
            <v>Acero Inferior</v>
          </cell>
          <cell r="C2163">
            <v>12</v>
          </cell>
          <cell r="D2163">
            <v>1</v>
          </cell>
          <cell r="E2163">
            <v>2.9</v>
          </cell>
          <cell r="F2163">
            <v>0.4</v>
          </cell>
          <cell r="G2163">
            <v>2.95</v>
          </cell>
          <cell r="Q2163" t="str">
            <v>3/8"</v>
          </cell>
          <cell r="R2163">
            <v>8</v>
          </cell>
          <cell r="S2163">
            <v>2.95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158.59200000000004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</row>
        <row r="2164">
          <cell r="B2164" t="str">
            <v>Acero Baston</v>
          </cell>
          <cell r="C2164">
            <v>12</v>
          </cell>
          <cell r="D2164">
            <v>1</v>
          </cell>
          <cell r="E2164">
            <v>2.9</v>
          </cell>
          <cell r="F2164">
            <v>0.4</v>
          </cell>
          <cell r="G2164">
            <v>1.1499999999999999</v>
          </cell>
          <cell r="Q2164" t="str">
            <v>1/2"</v>
          </cell>
          <cell r="R2164">
            <v>8</v>
          </cell>
          <cell r="S2164">
            <v>1.2999999999999998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123.55199999999999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</row>
        <row r="2165">
          <cell r="B2165" t="str">
            <v>Eje 7/D</v>
          </cell>
          <cell r="C2165">
            <v>12</v>
          </cell>
          <cell r="D2165">
            <v>1</v>
          </cell>
        </row>
        <row r="2166">
          <cell r="B2166" t="str">
            <v>Acero Inferior</v>
          </cell>
          <cell r="C2166">
            <v>12</v>
          </cell>
          <cell r="D2166">
            <v>1</v>
          </cell>
          <cell r="E2166">
            <v>4.6500000000000004</v>
          </cell>
          <cell r="F2166">
            <v>0.4</v>
          </cell>
          <cell r="G2166">
            <v>4.6500000000000004</v>
          </cell>
          <cell r="Q2166" t="str">
            <v>1/2"</v>
          </cell>
          <cell r="R2166">
            <v>13</v>
          </cell>
          <cell r="S2166">
            <v>4.95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764.47800000000007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</row>
        <row r="2167">
          <cell r="B2167" t="str">
            <v>Acero Inferior</v>
          </cell>
          <cell r="C2167">
            <v>12</v>
          </cell>
          <cell r="D2167">
            <v>1</v>
          </cell>
          <cell r="E2167">
            <v>4.6500000000000004</v>
          </cell>
          <cell r="F2167">
            <v>0.4</v>
          </cell>
          <cell r="G2167">
            <v>2.95</v>
          </cell>
          <cell r="Q2167" t="str">
            <v>3/8"</v>
          </cell>
          <cell r="R2167">
            <v>13</v>
          </cell>
          <cell r="S2167">
            <v>2.95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257.71200000000005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</row>
        <row r="2168">
          <cell r="B2168" t="str">
            <v>Acero Baston</v>
          </cell>
          <cell r="C2168">
            <v>12</v>
          </cell>
          <cell r="D2168">
            <v>1</v>
          </cell>
          <cell r="E2168">
            <v>4.6500000000000004</v>
          </cell>
          <cell r="F2168">
            <v>0.4</v>
          </cell>
          <cell r="G2168">
            <v>1.1499999999999999</v>
          </cell>
          <cell r="Q2168" t="str">
            <v>1/2"</v>
          </cell>
          <cell r="R2168">
            <v>13</v>
          </cell>
          <cell r="S2168">
            <v>1.2999999999999998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200.77199999999999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</row>
        <row r="2169">
          <cell r="B2169" t="str">
            <v>Eje 6/C</v>
          </cell>
          <cell r="C2169">
            <v>12</v>
          </cell>
          <cell r="D2169">
            <v>1</v>
          </cell>
        </row>
        <row r="2170">
          <cell r="B2170" t="str">
            <v>Acero Inferior</v>
          </cell>
          <cell r="C2170">
            <v>12</v>
          </cell>
          <cell r="D2170">
            <v>1</v>
          </cell>
          <cell r="E2170">
            <v>4.3</v>
          </cell>
          <cell r="F2170">
            <v>0.4</v>
          </cell>
          <cell r="G2170">
            <v>2.8</v>
          </cell>
          <cell r="Q2170" t="str">
            <v>3/8"</v>
          </cell>
          <cell r="R2170">
            <v>12</v>
          </cell>
          <cell r="S2170">
            <v>3.0999999999999996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249.98400000000001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</row>
        <row r="2171">
          <cell r="B2171" t="str">
            <v>Acero Balancin</v>
          </cell>
          <cell r="C2171">
            <v>12</v>
          </cell>
          <cell r="D2171">
            <v>1</v>
          </cell>
          <cell r="E2171">
            <v>4.3</v>
          </cell>
          <cell r="F2171">
            <v>0.4</v>
          </cell>
          <cell r="G2171">
            <v>5.15</v>
          </cell>
          <cell r="Q2171" t="str">
            <v>1/2"</v>
          </cell>
          <cell r="R2171">
            <v>12</v>
          </cell>
          <cell r="S2171">
            <v>5.15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734.18399999999997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</row>
        <row r="2172">
          <cell r="B2172" t="str">
            <v>Acero Balancin</v>
          </cell>
          <cell r="C2172">
            <v>12</v>
          </cell>
          <cell r="D2172">
            <v>1</v>
          </cell>
          <cell r="E2172">
            <v>4.3</v>
          </cell>
          <cell r="F2172">
            <v>0.4</v>
          </cell>
          <cell r="G2172">
            <v>2.0499999999999998</v>
          </cell>
          <cell r="Q2172" t="str">
            <v>3/8"</v>
          </cell>
          <cell r="R2172">
            <v>12</v>
          </cell>
          <cell r="S2172">
            <v>2.0499999999999998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165.31200000000001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</row>
        <row r="2173">
          <cell r="B2173" t="str">
            <v>Eje 7/C</v>
          </cell>
          <cell r="C2173">
            <v>12</v>
          </cell>
          <cell r="D2173">
            <v>1</v>
          </cell>
        </row>
        <row r="2174">
          <cell r="B2174" t="str">
            <v>Acero Inferior</v>
          </cell>
          <cell r="C2174">
            <v>12</v>
          </cell>
          <cell r="D2174">
            <v>1</v>
          </cell>
          <cell r="E2174">
            <v>1.1499999999999999</v>
          </cell>
          <cell r="F2174">
            <v>0.4</v>
          </cell>
          <cell r="G2174">
            <v>2.8</v>
          </cell>
          <cell r="Q2174" t="str">
            <v>3/8"</v>
          </cell>
          <cell r="R2174">
            <v>4</v>
          </cell>
          <cell r="S2174">
            <v>3.0999999999999996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83.328000000000003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</row>
        <row r="2175">
          <cell r="B2175" t="str">
            <v>Acero Balancin</v>
          </cell>
          <cell r="C2175">
            <v>12</v>
          </cell>
          <cell r="D2175">
            <v>1</v>
          </cell>
          <cell r="E2175">
            <v>1.1499999999999999</v>
          </cell>
          <cell r="F2175">
            <v>0.4</v>
          </cell>
          <cell r="G2175">
            <v>5.15</v>
          </cell>
          <cell r="Q2175" t="str">
            <v>1/2"</v>
          </cell>
          <cell r="R2175">
            <v>4</v>
          </cell>
          <cell r="S2175">
            <v>5.15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244.72800000000001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</row>
        <row r="2176">
          <cell r="B2176" t="str">
            <v>Acero Balancin</v>
          </cell>
          <cell r="C2176">
            <v>12</v>
          </cell>
          <cell r="D2176">
            <v>1</v>
          </cell>
          <cell r="E2176">
            <v>1.1499999999999999</v>
          </cell>
          <cell r="F2176">
            <v>0.4</v>
          </cell>
          <cell r="G2176">
            <v>2.0499999999999998</v>
          </cell>
          <cell r="Q2176" t="str">
            <v>3/8"</v>
          </cell>
          <cell r="R2176">
            <v>4</v>
          </cell>
          <cell r="S2176">
            <v>2.0499999999999998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55.103999999999999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</row>
        <row r="2177">
          <cell r="B2177" t="str">
            <v>Eje 7/C</v>
          </cell>
          <cell r="C2177">
            <v>12</v>
          </cell>
          <cell r="D2177">
            <v>1</v>
          </cell>
        </row>
        <row r="2178">
          <cell r="B2178" t="str">
            <v>Acero Inferior</v>
          </cell>
          <cell r="C2178">
            <v>12</v>
          </cell>
          <cell r="D2178">
            <v>1</v>
          </cell>
          <cell r="E2178">
            <v>2.25</v>
          </cell>
          <cell r="F2178">
            <v>0.4</v>
          </cell>
          <cell r="G2178">
            <v>2.8</v>
          </cell>
          <cell r="Q2178" t="str">
            <v>3/8"</v>
          </cell>
          <cell r="R2178">
            <v>7</v>
          </cell>
          <cell r="S2178">
            <v>3.0999999999999996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145.82399999999998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</row>
        <row r="2179">
          <cell r="B2179" t="str">
            <v>Acero Balancin</v>
          </cell>
          <cell r="C2179">
            <v>12</v>
          </cell>
          <cell r="D2179">
            <v>1</v>
          </cell>
          <cell r="E2179">
            <v>2.25</v>
          </cell>
          <cell r="F2179">
            <v>0.4</v>
          </cell>
          <cell r="G2179">
            <v>5.4</v>
          </cell>
          <cell r="Q2179" t="str">
            <v>1/2"</v>
          </cell>
          <cell r="R2179">
            <v>7</v>
          </cell>
          <cell r="S2179">
            <v>5.4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449.06400000000008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</row>
        <row r="2180">
          <cell r="B2180" t="str">
            <v>Acero Balancin</v>
          </cell>
          <cell r="C2180">
            <v>12</v>
          </cell>
          <cell r="D2180">
            <v>1</v>
          </cell>
          <cell r="E2180">
            <v>2.25</v>
          </cell>
          <cell r="F2180">
            <v>0.4</v>
          </cell>
          <cell r="G2180">
            <v>1.5</v>
          </cell>
          <cell r="Q2180" t="str">
            <v>3/8"</v>
          </cell>
          <cell r="R2180">
            <v>7</v>
          </cell>
          <cell r="S2180">
            <v>1.5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70.56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</row>
        <row r="2181">
          <cell r="B2181" t="str">
            <v>Eje 7/C</v>
          </cell>
          <cell r="C2181">
            <v>12</v>
          </cell>
          <cell r="D2181">
            <v>1</v>
          </cell>
        </row>
        <row r="2182">
          <cell r="B2182" t="str">
            <v>Acero Inferior</v>
          </cell>
          <cell r="C2182">
            <v>12</v>
          </cell>
          <cell r="D2182">
            <v>1</v>
          </cell>
          <cell r="E2182">
            <v>1.95</v>
          </cell>
          <cell r="F2182">
            <v>0.4</v>
          </cell>
          <cell r="G2182">
            <v>10.9</v>
          </cell>
          <cell r="Q2182" t="str">
            <v>3/8"</v>
          </cell>
          <cell r="R2182">
            <v>6</v>
          </cell>
          <cell r="S2182">
            <v>11.200000000000001</v>
          </cell>
          <cell r="T2182">
            <v>1</v>
          </cell>
          <cell r="U2182">
            <v>0</v>
          </cell>
          <cell r="V2182">
            <v>0</v>
          </cell>
          <cell r="W2182">
            <v>0</v>
          </cell>
          <cell r="X2182">
            <v>451.58400000000006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</row>
        <row r="2183">
          <cell r="B2183" t="str">
            <v>Acero Inferior</v>
          </cell>
          <cell r="C2183">
            <v>12</v>
          </cell>
          <cell r="D2183">
            <v>1</v>
          </cell>
          <cell r="E2183">
            <v>1.95</v>
          </cell>
          <cell r="F2183">
            <v>0.4</v>
          </cell>
          <cell r="G2183">
            <v>3.1</v>
          </cell>
          <cell r="Q2183" t="str">
            <v>3/8"</v>
          </cell>
          <cell r="R2183">
            <v>6</v>
          </cell>
          <cell r="S2183">
            <v>3.1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124.99200000000002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</row>
        <row r="2184">
          <cell r="B2184" t="str">
            <v>Acero Balancin</v>
          </cell>
          <cell r="C2184">
            <v>12</v>
          </cell>
          <cell r="D2184">
            <v>1</v>
          </cell>
          <cell r="E2184">
            <v>1.95</v>
          </cell>
          <cell r="F2184">
            <v>0.4</v>
          </cell>
          <cell r="G2184">
            <v>5.8</v>
          </cell>
          <cell r="Q2184" t="str">
            <v>1/2"</v>
          </cell>
          <cell r="R2184">
            <v>6</v>
          </cell>
          <cell r="S2184">
            <v>5.8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413.42399999999998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</row>
        <row r="2185">
          <cell r="B2185" t="str">
            <v>Acero Balancin</v>
          </cell>
          <cell r="C2185">
            <v>12</v>
          </cell>
          <cell r="D2185">
            <v>1</v>
          </cell>
          <cell r="E2185">
            <v>1.95</v>
          </cell>
          <cell r="F2185">
            <v>0.4</v>
          </cell>
          <cell r="G2185">
            <v>5.85</v>
          </cell>
          <cell r="Q2185" t="str">
            <v>1/2"</v>
          </cell>
          <cell r="R2185">
            <v>6</v>
          </cell>
          <cell r="S2185">
            <v>5.85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416.98799999999994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</row>
        <row r="2186">
          <cell r="B2186" t="str">
            <v>Eje 7/B</v>
          </cell>
          <cell r="C2186">
            <v>12</v>
          </cell>
          <cell r="D2186">
            <v>1</v>
          </cell>
        </row>
        <row r="2187">
          <cell r="B2187" t="str">
            <v>Acero Inferior</v>
          </cell>
          <cell r="C2187">
            <v>12</v>
          </cell>
          <cell r="D2187">
            <v>1</v>
          </cell>
          <cell r="E2187">
            <v>2.7</v>
          </cell>
          <cell r="F2187">
            <v>0.4</v>
          </cell>
          <cell r="G2187">
            <v>3</v>
          </cell>
          <cell r="Q2187" t="str">
            <v>3/8"</v>
          </cell>
          <cell r="R2187">
            <v>8</v>
          </cell>
          <cell r="S2187">
            <v>3.3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177.40800000000002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</row>
        <row r="2188">
          <cell r="B2188" t="str">
            <v>Acero Balancin</v>
          </cell>
          <cell r="C2188">
            <v>12</v>
          </cell>
          <cell r="D2188">
            <v>1</v>
          </cell>
          <cell r="E2188">
            <v>2.7</v>
          </cell>
          <cell r="F2188">
            <v>0.4</v>
          </cell>
          <cell r="G2188">
            <v>5.45</v>
          </cell>
          <cell r="Q2188" t="str">
            <v>1/2"</v>
          </cell>
          <cell r="R2188">
            <v>8</v>
          </cell>
          <cell r="S2188">
            <v>5.45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517.96800000000007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</row>
        <row r="2189">
          <cell r="B2189" t="str">
            <v>Acero Balancin</v>
          </cell>
          <cell r="C2189">
            <v>12</v>
          </cell>
          <cell r="D2189">
            <v>1</v>
          </cell>
          <cell r="E2189">
            <v>2.7</v>
          </cell>
          <cell r="F2189">
            <v>0.4</v>
          </cell>
          <cell r="G2189">
            <v>1.5</v>
          </cell>
          <cell r="Q2189" t="str">
            <v>3/8"</v>
          </cell>
          <cell r="R2189">
            <v>8</v>
          </cell>
          <cell r="S2189">
            <v>1.5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80.640000000000015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</row>
        <row r="2190">
          <cell r="B2190" t="str">
            <v>Eje 7/A</v>
          </cell>
          <cell r="C2190">
            <v>12</v>
          </cell>
          <cell r="D2190">
            <v>1</v>
          </cell>
        </row>
        <row r="2191">
          <cell r="B2191" t="str">
            <v>Acero Inferior</v>
          </cell>
          <cell r="C2191">
            <v>12</v>
          </cell>
          <cell r="D2191">
            <v>1</v>
          </cell>
          <cell r="E2191">
            <v>4.6500000000000004</v>
          </cell>
          <cell r="F2191">
            <v>0.4</v>
          </cell>
          <cell r="G2191">
            <v>4.55</v>
          </cell>
          <cell r="Q2191" t="str">
            <v>1/2"</v>
          </cell>
          <cell r="R2191">
            <v>13</v>
          </cell>
          <cell r="S2191">
            <v>4.8499999999999996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749.03399999999999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</row>
        <row r="2192">
          <cell r="B2192" t="str">
            <v>Acero Inferior</v>
          </cell>
          <cell r="C2192">
            <v>12</v>
          </cell>
          <cell r="D2192">
            <v>1</v>
          </cell>
          <cell r="E2192">
            <v>4.6500000000000004</v>
          </cell>
          <cell r="F2192">
            <v>0.4</v>
          </cell>
          <cell r="G2192">
            <v>2.85</v>
          </cell>
          <cell r="Q2192" t="str">
            <v>3/8"</v>
          </cell>
          <cell r="R2192">
            <v>13</v>
          </cell>
          <cell r="S2192">
            <v>2.85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248.97600000000006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</row>
        <row r="2193">
          <cell r="B2193" t="str">
            <v>Acero Baston</v>
          </cell>
          <cell r="C2193">
            <v>12</v>
          </cell>
          <cell r="D2193">
            <v>1</v>
          </cell>
          <cell r="E2193">
            <v>4.6500000000000004</v>
          </cell>
          <cell r="F2193">
            <v>0.4</v>
          </cell>
          <cell r="G2193">
            <v>1.1499999999999999</v>
          </cell>
          <cell r="Q2193" t="str">
            <v>3/8"</v>
          </cell>
          <cell r="R2193">
            <v>13</v>
          </cell>
          <cell r="S2193">
            <v>1.2999999999999998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113.56800000000001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</row>
        <row r="2194">
          <cell r="B2194" t="str">
            <v>Eje 6/A</v>
          </cell>
          <cell r="C2194">
            <v>12</v>
          </cell>
          <cell r="D2194">
            <v>1</v>
          </cell>
        </row>
        <row r="2195">
          <cell r="B2195" t="str">
            <v>Acero Inferior</v>
          </cell>
          <cell r="C2195">
            <v>12</v>
          </cell>
          <cell r="D2195">
            <v>1</v>
          </cell>
          <cell r="E2195">
            <v>2.9</v>
          </cell>
          <cell r="F2195">
            <v>0.4</v>
          </cell>
          <cell r="G2195">
            <v>5.5</v>
          </cell>
          <cell r="Q2195" t="str">
            <v>1/2"</v>
          </cell>
          <cell r="R2195">
            <v>8</v>
          </cell>
          <cell r="S2195">
            <v>5.8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551.23199999999997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</row>
        <row r="2196">
          <cell r="B2196" t="str">
            <v>Acero Inferior</v>
          </cell>
          <cell r="C2196">
            <v>12</v>
          </cell>
          <cell r="D2196">
            <v>1</v>
          </cell>
          <cell r="E2196">
            <v>2.9</v>
          </cell>
          <cell r="F2196">
            <v>0.4</v>
          </cell>
          <cell r="G2196">
            <v>4.05</v>
          </cell>
          <cell r="Q2196" t="str">
            <v>1/2"</v>
          </cell>
          <cell r="R2196">
            <v>8</v>
          </cell>
          <cell r="S2196">
            <v>4.05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384.91200000000003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</row>
        <row r="2197">
          <cell r="B2197" t="str">
            <v>Acero Inferior</v>
          </cell>
          <cell r="C2197">
            <v>12</v>
          </cell>
          <cell r="D2197">
            <v>1</v>
          </cell>
          <cell r="E2197">
            <v>2.9</v>
          </cell>
          <cell r="F2197">
            <v>0.4</v>
          </cell>
          <cell r="G2197">
            <v>1.9</v>
          </cell>
          <cell r="Q2197" t="str">
            <v>3/8"</v>
          </cell>
          <cell r="R2197">
            <v>8</v>
          </cell>
          <cell r="S2197">
            <v>2.1999999999999997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118.27199999999999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</row>
        <row r="2198">
          <cell r="B2198" t="str">
            <v>Acero Balancin</v>
          </cell>
          <cell r="C2198">
            <v>12</v>
          </cell>
          <cell r="D2198">
            <v>1</v>
          </cell>
          <cell r="E2198">
            <v>2.9</v>
          </cell>
          <cell r="F2198">
            <v>0.4</v>
          </cell>
          <cell r="G2198">
            <v>4.55</v>
          </cell>
          <cell r="Q2198" t="str">
            <v>1/2"</v>
          </cell>
          <cell r="R2198">
            <v>8</v>
          </cell>
          <cell r="S2198">
            <v>4.55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432.43200000000002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</row>
        <row r="2199">
          <cell r="B2199" t="str">
            <v>Acero Balancin</v>
          </cell>
          <cell r="C2199">
            <v>12</v>
          </cell>
          <cell r="D2199">
            <v>1</v>
          </cell>
          <cell r="E2199">
            <v>2.9</v>
          </cell>
          <cell r="F2199">
            <v>0.4</v>
          </cell>
          <cell r="G2199">
            <v>4.5</v>
          </cell>
          <cell r="Q2199" t="str">
            <v>3/8"</v>
          </cell>
          <cell r="R2199">
            <v>8</v>
          </cell>
          <cell r="S2199">
            <v>4.5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241.92000000000004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</row>
        <row r="2200">
          <cell r="B2200" t="str">
            <v>Acero Baston</v>
          </cell>
          <cell r="C2200">
            <v>12</v>
          </cell>
          <cell r="D2200">
            <v>1</v>
          </cell>
          <cell r="E2200">
            <v>2.9</v>
          </cell>
          <cell r="F2200">
            <v>0.4</v>
          </cell>
          <cell r="G2200">
            <v>1.1499999999999999</v>
          </cell>
          <cell r="Q2200" t="str">
            <v>3/8"</v>
          </cell>
          <cell r="R2200">
            <v>8</v>
          </cell>
          <cell r="S2200">
            <v>1.2999999999999998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69.888000000000005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</row>
        <row r="2201">
          <cell r="B2201" t="str">
            <v>Eje 7/B</v>
          </cell>
          <cell r="C2201">
            <v>12</v>
          </cell>
          <cell r="D2201">
            <v>1</v>
          </cell>
        </row>
        <row r="2202">
          <cell r="B2202" t="str">
            <v>Acero Inferior</v>
          </cell>
          <cell r="C2202">
            <v>12</v>
          </cell>
          <cell r="D2202">
            <v>1</v>
          </cell>
          <cell r="E2202">
            <v>1.2</v>
          </cell>
          <cell r="F2202">
            <v>0.4</v>
          </cell>
          <cell r="G2202">
            <v>2</v>
          </cell>
          <cell r="Q2202" t="str">
            <v>3/8"</v>
          </cell>
          <cell r="R2202">
            <v>4</v>
          </cell>
          <cell r="S2202">
            <v>2.2999999999999998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61.823999999999998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</row>
        <row r="2203">
          <cell r="B2203" t="str">
            <v>Acero Balancin</v>
          </cell>
          <cell r="C2203">
            <v>12</v>
          </cell>
          <cell r="D2203">
            <v>1</v>
          </cell>
          <cell r="E2203">
            <v>1.2</v>
          </cell>
          <cell r="F2203">
            <v>0.4</v>
          </cell>
          <cell r="G2203">
            <v>4.3</v>
          </cell>
          <cell r="Q2203" t="str">
            <v>1/2"</v>
          </cell>
          <cell r="R2203">
            <v>4</v>
          </cell>
          <cell r="S2203">
            <v>4.3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204.33599999999998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</row>
        <row r="2204">
          <cell r="B2204" t="str">
            <v>Temperatura</v>
          </cell>
          <cell r="C2204">
            <v>12</v>
          </cell>
          <cell r="D2204">
            <v>110</v>
          </cell>
          <cell r="E2204">
            <v>1</v>
          </cell>
          <cell r="F2204">
            <v>0.25</v>
          </cell>
          <cell r="G2204">
            <v>1</v>
          </cell>
          <cell r="Q2204" t="str">
            <v>1/4"</v>
          </cell>
          <cell r="R2204">
            <v>4</v>
          </cell>
          <cell r="S2204">
            <v>1.05</v>
          </cell>
          <cell r="T2204">
            <v>0</v>
          </cell>
          <cell r="U2204">
            <v>1386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</row>
        <row r="2205">
          <cell r="B2205" t="str">
            <v>PISO 14</v>
          </cell>
        </row>
        <row r="2207">
          <cell r="C2207">
            <v>1</v>
          </cell>
          <cell r="D2207">
            <v>1</v>
          </cell>
          <cell r="E2207">
            <v>105</v>
          </cell>
          <cell r="F2207">
            <v>1</v>
          </cell>
          <cell r="G2207">
            <v>0.09</v>
          </cell>
          <cell r="L2207">
            <v>9.4499999999999993</v>
          </cell>
          <cell r="M2207">
            <v>105</v>
          </cell>
          <cell r="N2207">
            <v>1</v>
          </cell>
          <cell r="O2207">
            <v>105</v>
          </cell>
        </row>
        <row r="2208">
          <cell r="B2208" t="str">
            <v>Eje 6/D</v>
          </cell>
          <cell r="C2208">
            <v>1</v>
          </cell>
          <cell r="D2208">
            <v>1</v>
          </cell>
          <cell r="M2208">
            <v>103</v>
          </cell>
          <cell r="N2208">
            <v>0.2</v>
          </cell>
          <cell r="O2208">
            <v>20.6</v>
          </cell>
        </row>
        <row r="2209">
          <cell r="B2209" t="str">
            <v>Acero Inferior</v>
          </cell>
          <cell r="C2209">
            <v>1</v>
          </cell>
          <cell r="D2209">
            <v>1</v>
          </cell>
          <cell r="E2209">
            <v>2.9</v>
          </cell>
          <cell r="F2209">
            <v>0.4</v>
          </cell>
          <cell r="G2209">
            <v>4.6500000000000004</v>
          </cell>
          <cell r="Q2209" t="str">
            <v>1/2"</v>
          </cell>
          <cell r="R2209">
            <v>8</v>
          </cell>
          <cell r="S2209">
            <v>4.95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39.204000000000001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</row>
        <row r="2210">
          <cell r="B2210" t="str">
            <v>Acero Inferior</v>
          </cell>
          <cell r="C2210">
            <v>1</v>
          </cell>
          <cell r="D2210">
            <v>1</v>
          </cell>
          <cell r="E2210">
            <v>2.9</v>
          </cell>
          <cell r="F2210">
            <v>0.4</v>
          </cell>
          <cell r="G2210">
            <v>2.95</v>
          </cell>
          <cell r="Q2210" t="str">
            <v>3/8"</v>
          </cell>
          <cell r="R2210">
            <v>8</v>
          </cell>
          <cell r="S2210">
            <v>2.95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13.216000000000003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</row>
        <row r="2211">
          <cell r="B2211" t="str">
            <v>Acero Baston</v>
          </cell>
          <cell r="C2211">
            <v>1</v>
          </cell>
          <cell r="D2211">
            <v>1</v>
          </cell>
          <cell r="E2211">
            <v>2.9</v>
          </cell>
          <cell r="F2211">
            <v>0.4</v>
          </cell>
          <cell r="G2211">
            <v>1.1499999999999999</v>
          </cell>
          <cell r="Q2211" t="str">
            <v>1/2"</v>
          </cell>
          <cell r="R2211">
            <v>8</v>
          </cell>
          <cell r="S2211">
            <v>1.2999999999999998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10.295999999999999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</row>
        <row r="2212">
          <cell r="B2212" t="str">
            <v>Eje 7/D</v>
          </cell>
          <cell r="C2212">
            <v>1</v>
          </cell>
          <cell r="D2212">
            <v>1</v>
          </cell>
        </row>
        <row r="2213">
          <cell r="B2213" t="str">
            <v>Acero Inferior</v>
          </cell>
          <cell r="C2213">
            <v>1</v>
          </cell>
          <cell r="D2213">
            <v>1</v>
          </cell>
          <cell r="E2213">
            <v>4.6500000000000004</v>
          </cell>
          <cell r="F2213">
            <v>0.4</v>
          </cell>
          <cell r="G2213">
            <v>4.6500000000000004</v>
          </cell>
          <cell r="Q2213" t="str">
            <v>1/2"</v>
          </cell>
          <cell r="R2213">
            <v>13</v>
          </cell>
          <cell r="S2213">
            <v>4.95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63.706500000000005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</row>
        <row r="2214">
          <cell r="B2214" t="str">
            <v>Acero Inferior</v>
          </cell>
          <cell r="C2214">
            <v>1</v>
          </cell>
          <cell r="D2214">
            <v>1</v>
          </cell>
          <cell r="E2214">
            <v>4.6500000000000004</v>
          </cell>
          <cell r="F2214">
            <v>0.4</v>
          </cell>
          <cell r="G2214">
            <v>2.95</v>
          </cell>
          <cell r="Q2214" t="str">
            <v>3/8"</v>
          </cell>
          <cell r="R2214">
            <v>13</v>
          </cell>
          <cell r="S2214">
            <v>2.95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21.476000000000003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</row>
        <row r="2215">
          <cell r="B2215" t="str">
            <v>Acero Baston</v>
          </cell>
          <cell r="C2215">
            <v>1</v>
          </cell>
          <cell r="D2215">
            <v>1</v>
          </cell>
          <cell r="E2215">
            <v>4.6500000000000004</v>
          </cell>
          <cell r="F2215">
            <v>0.4</v>
          </cell>
          <cell r="G2215">
            <v>1.1499999999999999</v>
          </cell>
          <cell r="Q2215" t="str">
            <v>1/2"</v>
          </cell>
          <cell r="R2215">
            <v>13</v>
          </cell>
          <cell r="S2215">
            <v>1.2999999999999998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16.730999999999998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</row>
        <row r="2216">
          <cell r="B2216" t="str">
            <v>Eje 6/C</v>
          </cell>
          <cell r="C2216">
            <v>1</v>
          </cell>
          <cell r="D2216">
            <v>1</v>
          </cell>
        </row>
        <row r="2217">
          <cell r="B2217" t="str">
            <v>Acero Inferior</v>
          </cell>
          <cell r="C2217">
            <v>1</v>
          </cell>
          <cell r="D2217">
            <v>1</v>
          </cell>
          <cell r="E2217">
            <v>4.3</v>
          </cell>
          <cell r="F2217">
            <v>0.4</v>
          </cell>
          <cell r="G2217">
            <v>2.8</v>
          </cell>
          <cell r="Q2217" t="str">
            <v>3/8"</v>
          </cell>
          <cell r="R2217">
            <v>12</v>
          </cell>
          <cell r="S2217">
            <v>3.0999999999999996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20.832000000000001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</row>
        <row r="2218">
          <cell r="B2218" t="str">
            <v>Acero Balancin</v>
          </cell>
          <cell r="C2218">
            <v>1</v>
          </cell>
          <cell r="D2218">
            <v>1</v>
          </cell>
          <cell r="E2218">
            <v>4.3</v>
          </cell>
          <cell r="F2218">
            <v>0.4</v>
          </cell>
          <cell r="G2218">
            <v>5.15</v>
          </cell>
          <cell r="Q2218" t="str">
            <v>1/2"</v>
          </cell>
          <cell r="R2218">
            <v>12</v>
          </cell>
          <cell r="S2218">
            <v>5.15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61.182000000000002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</row>
        <row r="2219">
          <cell r="B2219" t="str">
            <v>Acero Balancin</v>
          </cell>
          <cell r="C2219">
            <v>1</v>
          </cell>
          <cell r="D2219">
            <v>1</v>
          </cell>
          <cell r="E2219">
            <v>4.3</v>
          </cell>
          <cell r="F2219">
            <v>0.4</v>
          </cell>
          <cell r="G2219">
            <v>2.0499999999999998</v>
          </cell>
          <cell r="Q2219" t="str">
            <v>3/8"</v>
          </cell>
          <cell r="R2219">
            <v>12</v>
          </cell>
          <cell r="S2219">
            <v>2.0499999999999998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13.776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</row>
        <row r="2220">
          <cell r="B2220" t="str">
            <v>Eje 7/C</v>
          </cell>
          <cell r="C2220">
            <v>1</v>
          </cell>
          <cell r="D2220">
            <v>1</v>
          </cell>
        </row>
        <row r="2221">
          <cell r="B2221" t="str">
            <v>Acero Inferior</v>
          </cell>
          <cell r="C2221">
            <v>1</v>
          </cell>
          <cell r="D2221">
            <v>1</v>
          </cell>
          <cell r="E2221">
            <v>1.1499999999999999</v>
          </cell>
          <cell r="F2221">
            <v>0.4</v>
          </cell>
          <cell r="G2221">
            <v>2.8</v>
          </cell>
          <cell r="Q2221" t="str">
            <v>3/8"</v>
          </cell>
          <cell r="R2221">
            <v>4</v>
          </cell>
          <cell r="S2221">
            <v>3.0999999999999996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6.944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</row>
        <row r="2222">
          <cell r="B2222" t="str">
            <v>Acero Balancin</v>
          </cell>
          <cell r="C2222">
            <v>1</v>
          </cell>
          <cell r="D2222">
            <v>1</v>
          </cell>
          <cell r="E2222">
            <v>1.1499999999999999</v>
          </cell>
          <cell r="F2222">
            <v>0.4</v>
          </cell>
          <cell r="G2222">
            <v>5.15</v>
          </cell>
          <cell r="Q2222" t="str">
            <v>1/2"</v>
          </cell>
          <cell r="R2222">
            <v>4</v>
          </cell>
          <cell r="S2222">
            <v>5.15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20.394000000000002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</row>
        <row r="2223">
          <cell r="B2223" t="str">
            <v>Acero Balancin</v>
          </cell>
          <cell r="C2223">
            <v>1</v>
          </cell>
          <cell r="D2223">
            <v>1</v>
          </cell>
          <cell r="E2223">
            <v>1.1499999999999999</v>
          </cell>
          <cell r="F2223">
            <v>0.4</v>
          </cell>
          <cell r="G2223">
            <v>2.0499999999999998</v>
          </cell>
          <cell r="Q2223" t="str">
            <v>3/8"</v>
          </cell>
          <cell r="R2223">
            <v>4</v>
          </cell>
          <cell r="S2223">
            <v>2.0499999999999998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4.5919999999999996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</row>
        <row r="2224">
          <cell r="B2224" t="str">
            <v>Eje 7/C</v>
          </cell>
          <cell r="C2224">
            <v>1</v>
          </cell>
          <cell r="D2224">
            <v>1</v>
          </cell>
        </row>
        <row r="2225">
          <cell r="B2225" t="str">
            <v>Acero Inferior</v>
          </cell>
          <cell r="C2225">
            <v>1</v>
          </cell>
          <cell r="D2225">
            <v>1</v>
          </cell>
          <cell r="E2225">
            <v>2.25</v>
          </cell>
          <cell r="F2225">
            <v>0.4</v>
          </cell>
          <cell r="G2225">
            <v>2.8</v>
          </cell>
          <cell r="Q2225" t="str">
            <v>3/8"</v>
          </cell>
          <cell r="R2225">
            <v>7</v>
          </cell>
          <cell r="S2225">
            <v>3.0999999999999996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12.151999999999999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</row>
        <row r="2226">
          <cell r="B2226" t="str">
            <v>Acero Balancin</v>
          </cell>
          <cell r="C2226">
            <v>1</v>
          </cell>
          <cell r="D2226">
            <v>1</v>
          </cell>
          <cell r="E2226">
            <v>2.25</v>
          </cell>
          <cell r="F2226">
            <v>0.4</v>
          </cell>
          <cell r="G2226">
            <v>5.4</v>
          </cell>
          <cell r="Q2226" t="str">
            <v>1/2"</v>
          </cell>
          <cell r="R2226">
            <v>7</v>
          </cell>
          <cell r="S2226">
            <v>5.4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37.422000000000004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</row>
        <row r="2227">
          <cell r="B2227" t="str">
            <v>Acero Balancin</v>
          </cell>
          <cell r="C2227">
            <v>1</v>
          </cell>
          <cell r="D2227">
            <v>1</v>
          </cell>
          <cell r="E2227">
            <v>2.25</v>
          </cell>
          <cell r="F2227">
            <v>0.4</v>
          </cell>
          <cell r="G2227">
            <v>1.5</v>
          </cell>
          <cell r="Q2227" t="str">
            <v>3/8"</v>
          </cell>
          <cell r="R2227">
            <v>7</v>
          </cell>
          <cell r="S2227">
            <v>1.5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5.8800000000000008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</row>
        <row r="2228">
          <cell r="B2228" t="str">
            <v>Eje 7/C</v>
          </cell>
          <cell r="C2228">
            <v>1</v>
          </cell>
          <cell r="D2228">
            <v>1</v>
          </cell>
        </row>
        <row r="2229">
          <cell r="B2229" t="str">
            <v>Acero Inferior</v>
          </cell>
          <cell r="C2229">
            <v>1</v>
          </cell>
          <cell r="D2229">
            <v>1</v>
          </cell>
          <cell r="E2229">
            <v>1.95</v>
          </cell>
          <cell r="F2229">
            <v>0.4</v>
          </cell>
          <cell r="G2229">
            <v>10.9</v>
          </cell>
          <cell r="Q2229" t="str">
            <v>3/8"</v>
          </cell>
          <cell r="R2229">
            <v>6</v>
          </cell>
          <cell r="S2229">
            <v>11.200000000000001</v>
          </cell>
          <cell r="T2229">
            <v>1</v>
          </cell>
          <cell r="U2229">
            <v>0</v>
          </cell>
          <cell r="V2229">
            <v>0</v>
          </cell>
          <cell r="W2229">
            <v>0</v>
          </cell>
          <cell r="X2229">
            <v>37.632000000000005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</row>
        <row r="2230">
          <cell r="B2230" t="str">
            <v>Acero Inferior</v>
          </cell>
          <cell r="C2230">
            <v>1</v>
          </cell>
          <cell r="D2230">
            <v>1</v>
          </cell>
          <cell r="E2230">
            <v>1.95</v>
          </cell>
          <cell r="F2230">
            <v>0.4</v>
          </cell>
          <cell r="G2230">
            <v>3.1</v>
          </cell>
          <cell r="Q2230" t="str">
            <v>3/8"</v>
          </cell>
          <cell r="R2230">
            <v>6</v>
          </cell>
          <cell r="S2230">
            <v>3.1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10.416000000000002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</row>
        <row r="2231">
          <cell r="B2231" t="str">
            <v>Acero Balancin</v>
          </cell>
          <cell r="C2231">
            <v>1</v>
          </cell>
          <cell r="D2231">
            <v>1</v>
          </cell>
          <cell r="E2231">
            <v>1.95</v>
          </cell>
          <cell r="F2231">
            <v>0.4</v>
          </cell>
          <cell r="G2231">
            <v>5.8</v>
          </cell>
          <cell r="Q2231" t="str">
            <v>1/2"</v>
          </cell>
          <cell r="R2231">
            <v>6</v>
          </cell>
          <cell r="S2231">
            <v>5.8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34.451999999999998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</row>
        <row r="2232">
          <cell r="B2232" t="str">
            <v>Acero Balancin</v>
          </cell>
          <cell r="C2232">
            <v>1</v>
          </cell>
          <cell r="D2232">
            <v>1</v>
          </cell>
          <cell r="E2232">
            <v>1.95</v>
          </cell>
          <cell r="F2232">
            <v>0.4</v>
          </cell>
          <cell r="G2232">
            <v>5.85</v>
          </cell>
          <cell r="Q2232" t="str">
            <v>1/2"</v>
          </cell>
          <cell r="R2232">
            <v>6</v>
          </cell>
          <cell r="S2232">
            <v>5.85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34.748999999999995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</row>
        <row r="2233">
          <cell r="B2233" t="str">
            <v>Eje 7/B</v>
          </cell>
          <cell r="C2233">
            <v>1</v>
          </cell>
          <cell r="D2233">
            <v>1</v>
          </cell>
        </row>
        <row r="2234">
          <cell r="B2234" t="str">
            <v>Acero Inferior</v>
          </cell>
          <cell r="C2234">
            <v>1</v>
          </cell>
          <cell r="D2234">
            <v>1</v>
          </cell>
          <cell r="E2234">
            <v>2.7</v>
          </cell>
          <cell r="F2234">
            <v>0.4</v>
          </cell>
          <cell r="G2234">
            <v>3</v>
          </cell>
          <cell r="Q2234" t="str">
            <v>3/8"</v>
          </cell>
          <cell r="R2234">
            <v>8</v>
          </cell>
          <cell r="S2234">
            <v>3.3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14.784000000000001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</row>
        <row r="2235">
          <cell r="B2235" t="str">
            <v>Acero Balancin</v>
          </cell>
          <cell r="C2235">
            <v>1</v>
          </cell>
          <cell r="D2235">
            <v>1</v>
          </cell>
          <cell r="E2235">
            <v>2.7</v>
          </cell>
          <cell r="F2235">
            <v>0.4</v>
          </cell>
          <cell r="G2235">
            <v>5.45</v>
          </cell>
          <cell r="Q2235" t="str">
            <v>1/2"</v>
          </cell>
          <cell r="R2235">
            <v>8</v>
          </cell>
          <cell r="S2235">
            <v>5.45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43.164000000000001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</row>
        <row r="2236">
          <cell r="B2236" t="str">
            <v>Acero Balancin</v>
          </cell>
          <cell r="C2236">
            <v>1</v>
          </cell>
          <cell r="D2236">
            <v>1</v>
          </cell>
          <cell r="E2236">
            <v>2.7</v>
          </cell>
          <cell r="F2236">
            <v>0.4</v>
          </cell>
          <cell r="G2236">
            <v>1.5</v>
          </cell>
          <cell r="Q2236" t="str">
            <v>3/8"</v>
          </cell>
          <cell r="R2236">
            <v>8</v>
          </cell>
          <cell r="S2236">
            <v>1.5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6.7200000000000006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</row>
        <row r="2237">
          <cell r="B2237" t="str">
            <v>Eje 7/A</v>
          </cell>
          <cell r="C2237">
            <v>1</v>
          </cell>
          <cell r="D2237">
            <v>1</v>
          </cell>
        </row>
        <row r="2238">
          <cell r="B2238" t="str">
            <v>Acero Inferior</v>
          </cell>
          <cell r="C2238">
            <v>1</v>
          </cell>
          <cell r="D2238">
            <v>1</v>
          </cell>
          <cell r="E2238">
            <v>4.6500000000000004</v>
          </cell>
          <cell r="F2238">
            <v>0.4</v>
          </cell>
          <cell r="G2238">
            <v>4.55</v>
          </cell>
          <cell r="Q2238" t="str">
            <v>1/2"</v>
          </cell>
          <cell r="R2238">
            <v>13</v>
          </cell>
          <cell r="S2238">
            <v>4.8499999999999996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62.419499999999999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</row>
        <row r="2239">
          <cell r="B2239" t="str">
            <v>Acero Inferior</v>
          </cell>
          <cell r="C2239">
            <v>1</v>
          </cell>
          <cell r="D2239">
            <v>1</v>
          </cell>
          <cell r="E2239">
            <v>4.6500000000000004</v>
          </cell>
          <cell r="F2239">
            <v>0.4</v>
          </cell>
          <cell r="G2239">
            <v>2.85</v>
          </cell>
          <cell r="Q2239" t="str">
            <v>3/8"</v>
          </cell>
          <cell r="R2239">
            <v>13</v>
          </cell>
          <cell r="S2239">
            <v>2.85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20.748000000000005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</row>
        <row r="2240">
          <cell r="B2240" t="str">
            <v>Acero Baston</v>
          </cell>
          <cell r="C2240">
            <v>1</v>
          </cell>
          <cell r="D2240">
            <v>1</v>
          </cell>
          <cell r="E2240">
            <v>4.6500000000000004</v>
          </cell>
          <cell r="F2240">
            <v>0.4</v>
          </cell>
          <cell r="G2240">
            <v>1.1499999999999999</v>
          </cell>
          <cell r="Q2240" t="str">
            <v>3/8"</v>
          </cell>
          <cell r="R2240">
            <v>13</v>
          </cell>
          <cell r="S2240">
            <v>1.2999999999999998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9.4640000000000004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</row>
        <row r="2241">
          <cell r="B2241" t="str">
            <v>Eje 6/A</v>
          </cell>
          <cell r="C2241">
            <v>1</v>
          </cell>
          <cell r="D2241">
            <v>1</v>
          </cell>
        </row>
        <row r="2242">
          <cell r="B2242" t="str">
            <v>Acero Inferior</v>
          </cell>
          <cell r="C2242">
            <v>1</v>
          </cell>
          <cell r="D2242">
            <v>1</v>
          </cell>
          <cell r="E2242">
            <v>2.9</v>
          </cell>
          <cell r="F2242">
            <v>0.4</v>
          </cell>
          <cell r="G2242">
            <v>5.5</v>
          </cell>
          <cell r="Q2242" t="str">
            <v>1/2"</v>
          </cell>
          <cell r="R2242">
            <v>8</v>
          </cell>
          <cell r="S2242">
            <v>5.8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45.936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</row>
        <row r="2243">
          <cell r="B2243" t="str">
            <v>Acero Inferior</v>
          </cell>
          <cell r="C2243">
            <v>1</v>
          </cell>
          <cell r="D2243">
            <v>1</v>
          </cell>
          <cell r="E2243">
            <v>2.9</v>
          </cell>
          <cell r="F2243">
            <v>0.4</v>
          </cell>
          <cell r="G2243">
            <v>4.05</v>
          </cell>
          <cell r="Q2243" t="str">
            <v>1/2"</v>
          </cell>
          <cell r="R2243">
            <v>8</v>
          </cell>
          <cell r="S2243">
            <v>4.05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32.076000000000001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</row>
        <row r="2244">
          <cell r="B2244" t="str">
            <v>Acero Inferior</v>
          </cell>
          <cell r="C2244">
            <v>1</v>
          </cell>
          <cell r="D2244">
            <v>1</v>
          </cell>
          <cell r="E2244">
            <v>2.9</v>
          </cell>
          <cell r="F2244">
            <v>0.4</v>
          </cell>
          <cell r="G2244">
            <v>1.9</v>
          </cell>
          <cell r="Q2244" t="str">
            <v>3/8"</v>
          </cell>
          <cell r="R2244">
            <v>8</v>
          </cell>
          <cell r="S2244">
            <v>2.1999999999999997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9.8559999999999999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</row>
        <row r="2245">
          <cell r="B2245" t="str">
            <v>Acero Balancin</v>
          </cell>
          <cell r="C2245">
            <v>1</v>
          </cell>
          <cell r="D2245">
            <v>1</v>
          </cell>
          <cell r="E2245">
            <v>2.9</v>
          </cell>
          <cell r="F2245">
            <v>0.4</v>
          </cell>
          <cell r="G2245">
            <v>4.55</v>
          </cell>
          <cell r="Q2245" t="str">
            <v>1/2"</v>
          </cell>
          <cell r="R2245">
            <v>8</v>
          </cell>
          <cell r="S2245">
            <v>4.55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36.036000000000001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</row>
        <row r="2246">
          <cell r="B2246" t="str">
            <v>Acero Balancin</v>
          </cell>
          <cell r="C2246">
            <v>1</v>
          </cell>
          <cell r="D2246">
            <v>1</v>
          </cell>
          <cell r="E2246">
            <v>2.9</v>
          </cell>
          <cell r="F2246">
            <v>0.4</v>
          </cell>
          <cell r="G2246">
            <v>4.5</v>
          </cell>
          <cell r="Q2246" t="str">
            <v>3/8"</v>
          </cell>
          <cell r="R2246">
            <v>8</v>
          </cell>
          <cell r="S2246">
            <v>4.5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20.160000000000004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</row>
        <row r="2247">
          <cell r="B2247" t="str">
            <v>Acero Baston</v>
          </cell>
          <cell r="C2247">
            <v>1</v>
          </cell>
          <cell r="D2247">
            <v>1</v>
          </cell>
          <cell r="E2247">
            <v>2.9</v>
          </cell>
          <cell r="F2247">
            <v>0.4</v>
          </cell>
          <cell r="G2247">
            <v>1.1499999999999999</v>
          </cell>
          <cell r="Q2247" t="str">
            <v>3/8"</v>
          </cell>
          <cell r="R2247">
            <v>8</v>
          </cell>
          <cell r="S2247">
            <v>1.2999999999999998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5.8239999999999998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</row>
        <row r="2248">
          <cell r="B2248" t="str">
            <v>Eje 7/B</v>
          </cell>
          <cell r="C2248">
            <v>1</v>
          </cell>
          <cell r="D2248">
            <v>1</v>
          </cell>
        </row>
        <row r="2249">
          <cell r="B2249" t="str">
            <v>Acero Inferior</v>
          </cell>
          <cell r="C2249">
            <v>1</v>
          </cell>
          <cell r="D2249">
            <v>1</v>
          </cell>
          <cell r="E2249">
            <v>1.2</v>
          </cell>
          <cell r="F2249">
            <v>0.4</v>
          </cell>
          <cell r="G2249">
            <v>2</v>
          </cell>
          <cell r="Q2249" t="str">
            <v>3/8"</v>
          </cell>
          <cell r="R2249">
            <v>4</v>
          </cell>
          <cell r="S2249">
            <v>2.2999999999999998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5.1520000000000001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</row>
        <row r="2250">
          <cell r="B2250" t="str">
            <v>Acero Balancin</v>
          </cell>
          <cell r="C2250">
            <v>1</v>
          </cell>
          <cell r="D2250">
            <v>1</v>
          </cell>
          <cell r="E2250">
            <v>1.2</v>
          </cell>
          <cell r="F2250">
            <v>0.4</v>
          </cell>
          <cell r="G2250">
            <v>4.3</v>
          </cell>
          <cell r="Q2250" t="str">
            <v>1/2"</v>
          </cell>
          <cell r="R2250">
            <v>4</v>
          </cell>
          <cell r="S2250">
            <v>4.3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17.027999999999999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</row>
        <row r="2251">
          <cell r="B2251" t="str">
            <v>Eje 2/B</v>
          </cell>
          <cell r="C2251">
            <v>1</v>
          </cell>
          <cell r="D2251">
            <v>1</v>
          </cell>
        </row>
        <row r="2252">
          <cell r="B2252" t="str">
            <v>Acero Inferior</v>
          </cell>
          <cell r="C2252">
            <v>1</v>
          </cell>
          <cell r="D2252">
            <v>1</v>
          </cell>
          <cell r="E2252">
            <v>3.7</v>
          </cell>
          <cell r="F2252">
            <v>0.4</v>
          </cell>
          <cell r="G2252">
            <v>5.05</v>
          </cell>
          <cell r="Q2252" t="str">
            <v>3/8"</v>
          </cell>
          <cell r="R2252">
            <v>10</v>
          </cell>
          <cell r="S2252">
            <v>5.35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29.960000000000004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</row>
        <row r="2253">
          <cell r="B2253" t="str">
            <v>Temperatura</v>
          </cell>
          <cell r="C2253">
            <v>1</v>
          </cell>
          <cell r="D2253">
            <v>105</v>
          </cell>
          <cell r="E2253">
            <v>1</v>
          </cell>
          <cell r="F2253">
            <v>0.25</v>
          </cell>
          <cell r="G2253">
            <v>1</v>
          </cell>
          <cell r="Q2253" t="str">
            <v>1/4"</v>
          </cell>
          <cell r="R2253">
            <v>4</v>
          </cell>
          <cell r="S2253">
            <v>1.05</v>
          </cell>
          <cell r="T2253">
            <v>0</v>
          </cell>
          <cell r="U2253">
            <v>110.25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</row>
        <row r="2254">
          <cell r="B2254" t="str">
            <v>PISO 15</v>
          </cell>
        </row>
        <row r="2256">
          <cell r="C2256">
            <v>1</v>
          </cell>
          <cell r="D2256">
            <v>1</v>
          </cell>
          <cell r="E2256">
            <v>128</v>
          </cell>
          <cell r="F2256">
            <v>1</v>
          </cell>
          <cell r="G2256">
            <v>0.09</v>
          </cell>
          <cell r="L2256">
            <v>11.52</v>
          </cell>
          <cell r="M2256">
            <v>128</v>
          </cell>
          <cell r="N2256">
            <v>1</v>
          </cell>
          <cell r="O2256">
            <v>128</v>
          </cell>
        </row>
        <row r="2257">
          <cell r="B2257" t="str">
            <v>Eje 6/D</v>
          </cell>
          <cell r="C2257">
            <v>1</v>
          </cell>
          <cell r="D2257">
            <v>1</v>
          </cell>
          <cell r="M2257">
            <v>109</v>
          </cell>
          <cell r="N2257">
            <v>0.2</v>
          </cell>
          <cell r="O2257">
            <v>21.8</v>
          </cell>
        </row>
        <row r="2258">
          <cell r="B2258" t="str">
            <v>Acero Inferior</v>
          </cell>
          <cell r="C2258">
            <v>1</v>
          </cell>
          <cell r="D2258">
            <v>1</v>
          </cell>
          <cell r="E2258">
            <v>3.55</v>
          </cell>
          <cell r="F2258">
            <v>0.4</v>
          </cell>
          <cell r="G2258">
            <v>4.4000000000000004</v>
          </cell>
          <cell r="Q2258" t="str">
            <v>1/2"</v>
          </cell>
          <cell r="R2258">
            <v>10</v>
          </cell>
          <cell r="S2258">
            <v>4.7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46.53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</row>
        <row r="2259">
          <cell r="B2259" t="str">
            <v>Acero Inferior</v>
          </cell>
          <cell r="C2259">
            <v>1</v>
          </cell>
          <cell r="D2259">
            <v>1</v>
          </cell>
          <cell r="E2259">
            <v>3.55</v>
          </cell>
          <cell r="F2259">
            <v>0.4</v>
          </cell>
          <cell r="G2259">
            <v>2.75</v>
          </cell>
          <cell r="Q2259" t="str">
            <v>3/8"</v>
          </cell>
          <cell r="R2259">
            <v>10</v>
          </cell>
          <cell r="S2259">
            <v>2.75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15.400000000000002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</row>
        <row r="2260">
          <cell r="B2260" t="str">
            <v>Acero Baston</v>
          </cell>
          <cell r="C2260">
            <v>1</v>
          </cell>
          <cell r="D2260">
            <v>1</v>
          </cell>
          <cell r="E2260">
            <v>3.55</v>
          </cell>
          <cell r="F2260">
            <v>0.4</v>
          </cell>
          <cell r="G2260">
            <v>1.1499999999999999</v>
          </cell>
          <cell r="Q2260" t="str">
            <v>3/8"</v>
          </cell>
          <cell r="R2260">
            <v>10</v>
          </cell>
          <cell r="S2260">
            <v>1.2999999999999998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7.2799999999999994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</row>
        <row r="2261">
          <cell r="B2261" t="str">
            <v>Eje 6/C</v>
          </cell>
          <cell r="C2261">
            <v>1</v>
          </cell>
          <cell r="D2261">
            <v>1</v>
          </cell>
        </row>
        <row r="2262">
          <cell r="B2262" t="str">
            <v>Acero Inferior</v>
          </cell>
          <cell r="C2262">
            <v>1</v>
          </cell>
          <cell r="D2262">
            <v>1</v>
          </cell>
          <cell r="E2262">
            <v>3.1</v>
          </cell>
          <cell r="F2262">
            <v>0.4</v>
          </cell>
          <cell r="G2262">
            <v>10.8</v>
          </cell>
          <cell r="Q2262" t="str">
            <v>3/8"</v>
          </cell>
          <cell r="R2262">
            <v>9</v>
          </cell>
          <cell r="S2262">
            <v>11.100000000000001</v>
          </cell>
          <cell r="T2262">
            <v>1</v>
          </cell>
          <cell r="U2262">
            <v>0</v>
          </cell>
          <cell r="V2262">
            <v>0</v>
          </cell>
          <cell r="W2262">
            <v>0</v>
          </cell>
          <cell r="X2262">
            <v>55.94400000000001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</row>
        <row r="2263">
          <cell r="B2263" t="str">
            <v>Acero Balancin</v>
          </cell>
          <cell r="C2263">
            <v>1</v>
          </cell>
          <cell r="D2263">
            <v>1</v>
          </cell>
          <cell r="E2263">
            <v>3.1</v>
          </cell>
          <cell r="F2263">
            <v>0.4</v>
          </cell>
          <cell r="G2263">
            <v>2</v>
          </cell>
          <cell r="Q2263" t="str">
            <v>3/8"</v>
          </cell>
          <cell r="R2263">
            <v>9</v>
          </cell>
          <cell r="S2263">
            <v>2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10.080000000000002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</row>
        <row r="2264">
          <cell r="B2264" t="str">
            <v>Acero Balancin</v>
          </cell>
          <cell r="C2264">
            <v>1</v>
          </cell>
          <cell r="D2264">
            <v>1</v>
          </cell>
          <cell r="E2264">
            <v>3.1</v>
          </cell>
          <cell r="F2264">
            <v>0.4</v>
          </cell>
          <cell r="G2264">
            <v>13.5</v>
          </cell>
          <cell r="Q2264" t="str">
            <v>1/2"</v>
          </cell>
          <cell r="R2264">
            <v>9</v>
          </cell>
          <cell r="S2264">
            <v>13.5</v>
          </cell>
          <cell r="T2264">
            <v>1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120.285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</row>
        <row r="2265">
          <cell r="B2265" t="str">
            <v>Acero Balancin</v>
          </cell>
          <cell r="C2265">
            <v>1</v>
          </cell>
          <cell r="D2265">
            <v>1</v>
          </cell>
          <cell r="E2265">
            <v>3.1</v>
          </cell>
          <cell r="F2265">
            <v>0.4</v>
          </cell>
          <cell r="G2265">
            <v>2.35</v>
          </cell>
          <cell r="Q2265" t="str">
            <v>3/8"</v>
          </cell>
          <cell r="R2265">
            <v>9</v>
          </cell>
          <cell r="S2265">
            <v>2.35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11.844000000000003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</row>
        <row r="2266">
          <cell r="B2266" t="str">
            <v>Eje 6/C</v>
          </cell>
          <cell r="C2266">
            <v>1</v>
          </cell>
          <cell r="D2266">
            <v>1</v>
          </cell>
        </row>
        <row r="2267">
          <cell r="B2267" t="str">
            <v>Acero Inferior</v>
          </cell>
          <cell r="C2267">
            <v>1</v>
          </cell>
          <cell r="D2267">
            <v>1</v>
          </cell>
          <cell r="E2267">
            <v>3.5</v>
          </cell>
          <cell r="F2267">
            <v>0.4</v>
          </cell>
          <cell r="G2267">
            <v>4.8499999999999996</v>
          </cell>
          <cell r="Q2267" t="str">
            <v>1/2"</v>
          </cell>
          <cell r="R2267">
            <v>10</v>
          </cell>
          <cell r="S2267">
            <v>5.1499999999999995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50.984999999999992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</row>
        <row r="2268">
          <cell r="B2268" t="str">
            <v>Acero Inferior</v>
          </cell>
          <cell r="C2268">
            <v>1</v>
          </cell>
          <cell r="D2268">
            <v>1</v>
          </cell>
          <cell r="E2268">
            <v>3.5</v>
          </cell>
          <cell r="F2268">
            <v>0.4</v>
          </cell>
          <cell r="G2268">
            <v>3.2</v>
          </cell>
          <cell r="Q2268" t="str">
            <v>3/8"</v>
          </cell>
          <cell r="R2268">
            <v>10</v>
          </cell>
          <cell r="S2268">
            <v>3.2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17.920000000000002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</row>
        <row r="2269">
          <cell r="B2269" t="str">
            <v>Acero Baston</v>
          </cell>
          <cell r="C2269">
            <v>1</v>
          </cell>
          <cell r="D2269">
            <v>1</v>
          </cell>
          <cell r="E2269">
            <v>3.5</v>
          </cell>
          <cell r="F2269">
            <v>0.4</v>
          </cell>
          <cell r="G2269">
            <v>1.1499999999999999</v>
          </cell>
          <cell r="Q2269" t="str">
            <v>3/8"</v>
          </cell>
          <cell r="R2269">
            <v>10</v>
          </cell>
          <cell r="S2269">
            <v>1.2999999999999998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7.2799999999999994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</row>
        <row r="2270">
          <cell r="B2270" t="str">
            <v>Eje 8/D</v>
          </cell>
          <cell r="C2270">
            <v>1</v>
          </cell>
          <cell r="D2270">
            <v>1</v>
          </cell>
        </row>
        <row r="2271">
          <cell r="B2271" t="str">
            <v>Acero Inferior</v>
          </cell>
          <cell r="C2271">
            <v>1</v>
          </cell>
          <cell r="D2271">
            <v>1</v>
          </cell>
          <cell r="E2271">
            <v>4.6500000000000004</v>
          </cell>
          <cell r="F2271">
            <v>0.4</v>
          </cell>
          <cell r="G2271">
            <v>4.4000000000000004</v>
          </cell>
          <cell r="Q2271" t="str">
            <v>1/2"</v>
          </cell>
          <cell r="R2271">
            <v>13</v>
          </cell>
          <cell r="S2271">
            <v>4.7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60.489000000000004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</row>
        <row r="2272">
          <cell r="B2272" t="str">
            <v>Acero Inferior</v>
          </cell>
          <cell r="C2272">
            <v>1</v>
          </cell>
          <cell r="D2272">
            <v>1</v>
          </cell>
          <cell r="E2272">
            <v>4.6500000000000004</v>
          </cell>
          <cell r="F2272">
            <v>0.4</v>
          </cell>
          <cell r="G2272">
            <v>2.75</v>
          </cell>
          <cell r="Q2272" t="str">
            <v>3/8"</v>
          </cell>
          <cell r="R2272">
            <v>13</v>
          </cell>
          <cell r="S2272">
            <v>2.75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20.020000000000003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</row>
        <row r="2273">
          <cell r="B2273" t="str">
            <v>Acero Baston</v>
          </cell>
          <cell r="C2273">
            <v>1</v>
          </cell>
          <cell r="D2273">
            <v>1</v>
          </cell>
          <cell r="E2273">
            <v>4.6500000000000004</v>
          </cell>
          <cell r="F2273">
            <v>0.4</v>
          </cell>
          <cell r="G2273">
            <v>1.1499999999999999</v>
          </cell>
          <cell r="Q2273" t="str">
            <v>3/8"</v>
          </cell>
          <cell r="R2273">
            <v>13</v>
          </cell>
          <cell r="S2273">
            <v>1.2999999999999998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9.4640000000000004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</row>
        <row r="2274">
          <cell r="B2274" t="str">
            <v>Eje 6/C</v>
          </cell>
          <cell r="C2274">
            <v>1</v>
          </cell>
          <cell r="D2274">
            <v>1</v>
          </cell>
        </row>
        <row r="2275">
          <cell r="B2275" t="str">
            <v>Acero Inferior</v>
          </cell>
          <cell r="C2275">
            <v>1</v>
          </cell>
          <cell r="D2275">
            <v>1</v>
          </cell>
          <cell r="E2275">
            <v>1.66</v>
          </cell>
          <cell r="F2275">
            <v>0.4</v>
          </cell>
          <cell r="G2275">
            <v>3.1</v>
          </cell>
          <cell r="Q2275" t="str">
            <v>3/8"</v>
          </cell>
          <cell r="R2275">
            <v>5</v>
          </cell>
          <cell r="S2275">
            <v>3.4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9.5200000000000014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</row>
        <row r="2276">
          <cell r="B2276" t="str">
            <v>Acero Balancin</v>
          </cell>
          <cell r="C2276">
            <v>1</v>
          </cell>
          <cell r="D2276">
            <v>1</v>
          </cell>
          <cell r="E2276">
            <v>1.66</v>
          </cell>
          <cell r="F2276">
            <v>0.4</v>
          </cell>
          <cell r="G2276">
            <v>5.46</v>
          </cell>
          <cell r="Q2276" t="str">
            <v>1/2"</v>
          </cell>
          <cell r="R2276">
            <v>5</v>
          </cell>
          <cell r="S2276">
            <v>5.46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27.027000000000001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</row>
        <row r="2277">
          <cell r="B2277" t="str">
            <v>Eje 6/C</v>
          </cell>
          <cell r="C2277">
            <v>1</v>
          </cell>
          <cell r="D2277">
            <v>1</v>
          </cell>
        </row>
        <row r="2278">
          <cell r="B2278" t="str">
            <v>Acero Inferior</v>
          </cell>
          <cell r="C2278">
            <v>1</v>
          </cell>
          <cell r="D2278">
            <v>1</v>
          </cell>
          <cell r="E2278">
            <v>2.5499999999999998</v>
          </cell>
          <cell r="F2278">
            <v>0.4</v>
          </cell>
          <cell r="G2278">
            <v>11.25</v>
          </cell>
          <cell r="Q2278" t="str">
            <v>3/8"</v>
          </cell>
          <cell r="R2278">
            <v>7</v>
          </cell>
          <cell r="S2278">
            <v>11.55</v>
          </cell>
          <cell r="T2278">
            <v>1</v>
          </cell>
          <cell r="U2278">
            <v>0</v>
          </cell>
          <cell r="V2278">
            <v>0</v>
          </cell>
          <cell r="W2278">
            <v>0</v>
          </cell>
          <cell r="X2278">
            <v>45.27600000000001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</row>
        <row r="2279">
          <cell r="B2279" t="str">
            <v>Acero Inferior</v>
          </cell>
          <cell r="C2279">
            <v>1</v>
          </cell>
          <cell r="D2279">
            <v>1</v>
          </cell>
          <cell r="E2279">
            <v>2.5499999999999998</v>
          </cell>
          <cell r="F2279">
            <v>0.4</v>
          </cell>
          <cell r="G2279">
            <v>3.1</v>
          </cell>
          <cell r="Q2279" t="str">
            <v>3/8"</v>
          </cell>
          <cell r="R2279">
            <v>7</v>
          </cell>
          <cell r="S2279">
            <v>3.1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12.152000000000001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</row>
        <row r="2280">
          <cell r="B2280" t="str">
            <v>Acero Balancin</v>
          </cell>
          <cell r="C2280">
            <v>1</v>
          </cell>
          <cell r="D2280">
            <v>1</v>
          </cell>
          <cell r="E2280">
            <v>2.5499999999999998</v>
          </cell>
          <cell r="F2280">
            <v>0.4</v>
          </cell>
          <cell r="G2280">
            <v>5.96</v>
          </cell>
          <cell r="Q2280" t="str">
            <v>1/2"</v>
          </cell>
          <cell r="R2280">
            <v>7</v>
          </cell>
          <cell r="S2280">
            <v>5.96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41.302799999999998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</row>
        <row r="2281">
          <cell r="B2281" t="str">
            <v>Acero Balancin</v>
          </cell>
          <cell r="C2281">
            <v>1</v>
          </cell>
          <cell r="D2281">
            <v>1</v>
          </cell>
          <cell r="E2281">
            <v>2.5499999999999998</v>
          </cell>
          <cell r="F2281">
            <v>0.4</v>
          </cell>
          <cell r="G2281">
            <v>2.0499999999999998</v>
          </cell>
          <cell r="Q2281" t="str">
            <v>3/8"</v>
          </cell>
          <cell r="R2281">
            <v>7</v>
          </cell>
          <cell r="S2281">
            <v>2.0499999999999998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8.0359999999999996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</row>
        <row r="2282">
          <cell r="B2282" t="str">
            <v>Acero Balancin</v>
          </cell>
          <cell r="C2282">
            <v>1</v>
          </cell>
          <cell r="D2282">
            <v>1</v>
          </cell>
          <cell r="E2282">
            <v>2.5499999999999998</v>
          </cell>
          <cell r="F2282">
            <v>0.4</v>
          </cell>
          <cell r="G2282">
            <v>6.06</v>
          </cell>
          <cell r="Q2282" t="str">
            <v>1/2"</v>
          </cell>
          <cell r="R2282">
            <v>7</v>
          </cell>
          <cell r="S2282">
            <v>6.06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41.995799999999996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</row>
        <row r="2283">
          <cell r="B2283" t="str">
            <v>Acero Balancin</v>
          </cell>
          <cell r="C2283">
            <v>1</v>
          </cell>
          <cell r="D2283">
            <v>1</v>
          </cell>
          <cell r="E2283">
            <v>2.5499999999999998</v>
          </cell>
          <cell r="F2283">
            <v>0.4</v>
          </cell>
          <cell r="G2283">
            <v>2.0499999999999998</v>
          </cell>
          <cell r="Q2283" t="str">
            <v>3/8"</v>
          </cell>
          <cell r="R2283">
            <v>7</v>
          </cell>
          <cell r="S2283">
            <v>2.0499999999999998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8.0359999999999996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</row>
        <row r="2284">
          <cell r="B2284" t="str">
            <v>Eje 6/C</v>
          </cell>
          <cell r="C2284">
            <v>1</v>
          </cell>
          <cell r="D2284">
            <v>1</v>
          </cell>
        </row>
        <row r="2285">
          <cell r="B2285" t="str">
            <v>Acero Inferior</v>
          </cell>
          <cell r="C2285">
            <v>1</v>
          </cell>
          <cell r="D2285">
            <v>1</v>
          </cell>
          <cell r="E2285">
            <v>2.1</v>
          </cell>
          <cell r="F2285">
            <v>0.4</v>
          </cell>
          <cell r="G2285">
            <v>3.1</v>
          </cell>
          <cell r="Q2285" t="str">
            <v>3/8"</v>
          </cell>
          <cell r="R2285">
            <v>6</v>
          </cell>
          <cell r="S2285">
            <v>3.4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11.423999999999999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</row>
        <row r="2286">
          <cell r="B2286" t="str">
            <v>Acero Balancin</v>
          </cell>
          <cell r="C2286">
            <v>1</v>
          </cell>
          <cell r="D2286">
            <v>1</v>
          </cell>
          <cell r="E2286">
            <v>2.1</v>
          </cell>
          <cell r="F2286">
            <v>0.4</v>
          </cell>
          <cell r="G2286">
            <v>4.7</v>
          </cell>
          <cell r="Q2286" t="str">
            <v>1/2"</v>
          </cell>
          <cell r="R2286">
            <v>6</v>
          </cell>
          <cell r="S2286">
            <v>4.7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27.918000000000003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</row>
        <row r="2287">
          <cell r="B2287" t="str">
            <v>Acero Balancin</v>
          </cell>
          <cell r="C2287">
            <v>1</v>
          </cell>
          <cell r="D2287">
            <v>1</v>
          </cell>
          <cell r="E2287">
            <v>2.1</v>
          </cell>
          <cell r="F2287">
            <v>0.4</v>
          </cell>
          <cell r="G2287">
            <v>2.0499999999999998</v>
          </cell>
          <cell r="Q2287" t="str">
            <v>3/8"</v>
          </cell>
          <cell r="R2287">
            <v>6</v>
          </cell>
          <cell r="S2287">
            <v>2.0499999999999998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6.8879999999999999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</row>
        <row r="2288">
          <cell r="B2288" t="str">
            <v>Eje A/8</v>
          </cell>
          <cell r="C2288">
            <v>1</v>
          </cell>
          <cell r="D2288">
            <v>1</v>
          </cell>
        </row>
        <row r="2289">
          <cell r="B2289" t="str">
            <v>Acero Inferior</v>
          </cell>
          <cell r="C2289">
            <v>1</v>
          </cell>
          <cell r="D2289">
            <v>1</v>
          </cell>
          <cell r="E2289">
            <v>4.6500000000000004</v>
          </cell>
          <cell r="F2289">
            <v>0.4</v>
          </cell>
          <cell r="G2289">
            <v>4.4000000000000004</v>
          </cell>
          <cell r="Q2289" t="str">
            <v>1/2"</v>
          </cell>
          <cell r="R2289">
            <v>13</v>
          </cell>
          <cell r="S2289">
            <v>4.7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60.489000000000004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</row>
        <row r="2290">
          <cell r="B2290" t="str">
            <v>Acero Inferior</v>
          </cell>
          <cell r="C2290">
            <v>1</v>
          </cell>
          <cell r="D2290">
            <v>1</v>
          </cell>
          <cell r="E2290">
            <v>4.6500000000000004</v>
          </cell>
          <cell r="F2290">
            <v>0.4</v>
          </cell>
          <cell r="G2290">
            <v>2.7</v>
          </cell>
          <cell r="Q2290" t="str">
            <v>3/8"</v>
          </cell>
          <cell r="R2290">
            <v>13</v>
          </cell>
          <cell r="S2290">
            <v>2.7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19.656000000000002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</row>
        <row r="2291">
          <cell r="B2291" t="str">
            <v>Acero Baston</v>
          </cell>
          <cell r="C2291">
            <v>1</v>
          </cell>
          <cell r="D2291">
            <v>1</v>
          </cell>
          <cell r="E2291">
            <v>4.6500000000000004</v>
          </cell>
          <cell r="F2291">
            <v>0.4</v>
          </cell>
          <cell r="G2291">
            <v>1.1499999999999999</v>
          </cell>
          <cell r="Q2291" t="str">
            <v>3/8"</v>
          </cell>
          <cell r="R2291">
            <v>13</v>
          </cell>
          <cell r="S2291">
            <v>1.2999999999999998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9.4640000000000004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</row>
        <row r="2292">
          <cell r="B2292" t="str">
            <v>Temperatura</v>
          </cell>
          <cell r="C2292">
            <v>1</v>
          </cell>
          <cell r="D2292">
            <v>128</v>
          </cell>
          <cell r="E2292">
            <v>1</v>
          </cell>
          <cell r="F2292">
            <v>0.25</v>
          </cell>
          <cell r="G2292">
            <v>1</v>
          </cell>
          <cell r="Q2292" t="str">
            <v>1/4"</v>
          </cell>
          <cell r="R2292">
            <v>4</v>
          </cell>
          <cell r="S2292">
            <v>1.05</v>
          </cell>
          <cell r="T2292">
            <v>0</v>
          </cell>
          <cell r="U2292">
            <v>134.4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</row>
        <row r="2293">
          <cell r="B2293" t="str">
            <v>AZOTEA</v>
          </cell>
        </row>
        <row r="2295">
          <cell r="C2295">
            <v>1</v>
          </cell>
          <cell r="D2295">
            <v>1</v>
          </cell>
          <cell r="E2295">
            <v>67</v>
          </cell>
          <cell r="F2295">
            <v>1</v>
          </cell>
          <cell r="G2295">
            <v>0.09</v>
          </cell>
          <cell r="L2295">
            <v>6.0299999999999994</v>
          </cell>
          <cell r="M2295">
            <v>67</v>
          </cell>
          <cell r="N2295">
            <v>1</v>
          </cell>
          <cell r="O2295">
            <v>67</v>
          </cell>
        </row>
        <row r="2296">
          <cell r="B2296" t="str">
            <v>Eje C/7</v>
          </cell>
          <cell r="C2296">
            <v>1</v>
          </cell>
          <cell r="D2296">
            <v>1</v>
          </cell>
          <cell r="M2296">
            <v>86.5</v>
          </cell>
          <cell r="N2296">
            <v>0.2</v>
          </cell>
          <cell r="O2296">
            <v>17.3</v>
          </cell>
        </row>
        <row r="2297">
          <cell r="B2297" t="str">
            <v>Acero Inferior</v>
          </cell>
          <cell r="C2297">
            <v>1</v>
          </cell>
          <cell r="D2297">
            <v>1</v>
          </cell>
          <cell r="E2297">
            <v>2.65</v>
          </cell>
          <cell r="F2297">
            <v>0.4</v>
          </cell>
          <cell r="G2297">
            <v>2.15</v>
          </cell>
          <cell r="Q2297" t="str">
            <v>3/8"</v>
          </cell>
          <cell r="R2297">
            <v>8</v>
          </cell>
          <cell r="S2297">
            <v>2.4499999999999997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10.975999999999999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</row>
        <row r="2298">
          <cell r="B2298" t="str">
            <v>Acero Baston</v>
          </cell>
          <cell r="C2298">
            <v>1</v>
          </cell>
          <cell r="D2298">
            <v>1</v>
          </cell>
          <cell r="E2298">
            <v>2.65</v>
          </cell>
          <cell r="F2298">
            <v>0.4</v>
          </cell>
          <cell r="G2298">
            <v>0.65</v>
          </cell>
          <cell r="Q2298" t="str">
            <v>3/8"</v>
          </cell>
          <cell r="R2298">
            <v>8</v>
          </cell>
          <cell r="S2298">
            <v>0.8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3.5840000000000005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</row>
        <row r="2299">
          <cell r="B2299" t="str">
            <v>Acero Baston</v>
          </cell>
          <cell r="C2299">
            <v>1</v>
          </cell>
          <cell r="D2299">
            <v>1</v>
          </cell>
          <cell r="E2299">
            <v>2.65</v>
          </cell>
          <cell r="F2299">
            <v>0.4</v>
          </cell>
          <cell r="G2299">
            <v>0.65</v>
          </cell>
          <cell r="Q2299" t="str">
            <v>3/8"</v>
          </cell>
          <cell r="R2299">
            <v>8</v>
          </cell>
          <cell r="S2299">
            <v>0.8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3.5840000000000005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</row>
        <row r="2300">
          <cell r="B2300" t="str">
            <v>Eje C/7</v>
          </cell>
          <cell r="C2300">
            <v>1</v>
          </cell>
          <cell r="D2300">
            <v>1</v>
          </cell>
        </row>
        <row r="2301">
          <cell r="B2301" t="str">
            <v>Acero Inferior</v>
          </cell>
          <cell r="C2301">
            <v>1</v>
          </cell>
          <cell r="D2301">
            <v>1</v>
          </cell>
          <cell r="E2301">
            <v>3.65</v>
          </cell>
          <cell r="F2301">
            <v>0.4</v>
          </cell>
          <cell r="G2301">
            <v>5.9</v>
          </cell>
          <cell r="Q2301" t="str">
            <v>3/8"</v>
          </cell>
          <cell r="R2301">
            <v>10</v>
          </cell>
          <cell r="S2301">
            <v>6.2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34.720000000000006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</row>
        <row r="2302">
          <cell r="B2302" t="str">
            <v>Acero Baston</v>
          </cell>
          <cell r="C2302">
            <v>1</v>
          </cell>
          <cell r="D2302">
            <v>1</v>
          </cell>
          <cell r="E2302">
            <v>3.65</v>
          </cell>
          <cell r="F2302">
            <v>0.4</v>
          </cell>
          <cell r="G2302">
            <v>0.8</v>
          </cell>
          <cell r="Q2302" t="str">
            <v>3/8"</v>
          </cell>
          <cell r="R2302">
            <v>10</v>
          </cell>
          <cell r="S2302">
            <v>0.95000000000000007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5.32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</row>
        <row r="2303">
          <cell r="B2303" t="str">
            <v>Acero Baston</v>
          </cell>
          <cell r="C2303">
            <v>1</v>
          </cell>
          <cell r="D2303">
            <v>1</v>
          </cell>
          <cell r="E2303">
            <v>3.65</v>
          </cell>
          <cell r="F2303">
            <v>0.4</v>
          </cell>
          <cell r="G2303">
            <v>0.8</v>
          </cell>
          <cell r="Q2303" t="str">
            <v>3/8"</v>
          </cell>
          <cell r="R2303">
            <v>10</v>
          </cell>
          <cell r="S2303">
            <v>0.95000000000000007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5.32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</row>
        <row r="2304">
          <cell r="B2304" t="str">
            <v>Acero Balancin</v>
          </cell>
          <cell r="C2304">
            <v>1</v>
          </cell>
          <cell r="D2304">
            <v>1</v>
          </cell>
          <cell r="E2304">
            <v>3.65</v>
          </cell>
          <cell r="F2304">
            <v>0.4</v>
          </cell>
          <cell r="G2304">
            <v>1.8</v>
          </cell>
          <cell r="Q2304" t="str">
            <v>3/8"</v>
          </cell>
          <cell r="R2304">
            <v>10</v>
          </cell>
          <cell r="S2304">
            <v>1.8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10.080000000000002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</row>
        <row r="2305">
          <cell r="B2305" t="str">
            <v>Eje C/7</v>
          </cell>
          <cell r="C2305">
            <v>1</v>
          </cell>
          <cell r="D2305">
            <v>1</v>
          </cell>
        </row>
        <row r="2306">
          <cell r="B2306" t="str">
            <v>Acero Inferior</v>
          </cell>
          <cell r="C2306">
            <v>1</v>
          </cell>
          <cell r="D2306">
            <v>1</v>
          </cell>
          <cell r="E2306">
            <v>1.3</v>
          </cell>
          <cell r="F2306">
            <v>0.4</v>
          </cell>
          <cell r="G2306">
            <v>3.05</v>
          </cell>
          <cell r="Q2306" t="str">
            <v>3/8"</v>
          </cell>
          <cell r="R2306">
            <v>4</v>
          </cell>
          <cell r="S2306">
            <v>3.3499999999999996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7.5039999999999996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</row>
        <row r="2307">
          <cell r="B2307" t="str">
            <v>Acero Baston</v>
          </cell>
          <cell r="C2307">
            <v>1</v>
          </cell>
          <cell r="D2307">
            <v>1</v>
          </cell>
          <cell r="E2307">
            <v>1.3</v>
          </cell>
          <cell r="F2307">
            <v>0.4</v>
          </cell>
          <cell r="G2307">
            <v>0.8</v>
          </cell>
          <cell r="Q2307" t="str">
            <v>3/8"</v>
          </cell>
          <cell r="R2307">
            <v>4</v>
          </cell>
          <cell r="S2307">
            <v>0.95000000000000007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2.1280000000000006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</row>
        <row r="2308">
          <cell r="B2308" t="str">
            <v>Acero Baston</v>
          </cell>
          <cell r="C2308">
            <v>1</v>
          </cell>
          <cell r="D2308">
            <v>1</v>
          </cell>
          <cell r="E2308">
            <v>1.3</v>
          </cell>
          <cell r="F2308">
            <v>0.4</v>
          </cell>
          <cell r="G2308">
            <v>0.8</v>
          </cell>
          <cell r="Q2308" t="str">
            <v>3/8"</v>
          </cell>
          <cell r="R2308">
            <v>4</v>
          </cell>
          <cell r="S2308">
            <v>0.95000000000000007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2.1280000000000006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</row>
        <row r="2309">
          <cell r="B2309" t="str">
            <v>Eje C/7</v>
          </cell>
          <cell r="C2309">
            <v>1</v>
          </cell>
          <cell r="D2309">
            <v>1</v>
          </cell>
        </row>
        <row r="2310">
          <cell r="B2310" t="str">
            <v>Acero Inferior</v>
          </cell>
          <cell r="C2310">
            <v>1</v>
          </cell>
          <cell r="D2310">
            <v>1</v>
          </cell>
          <cell r="E2310">
            <v>1.8</v>
          </cell>
          <cell r="F2310">
            <v>0.4</v>
          </cell>
          <cell r="G2310">
            <v>1.9</v>
          </cell>
          <cell r="Q2310" t="str">
            <v>3/8"</v>
          </cell>
          <cell r="R2310">
            <v>6</v>
          </cell>
          <cell r="S2310">
            <v>2.1999999999999997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7.3920000000000003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</row>
        <row r="2311">
          <cell r="B2311" t="str">
            <v>Acero Baston</v>
          </cell>
          <cell r="C2311">
            <v>1</v>
          </cell>
          <cell r="D2311">
            <v>1</v>
          </cell>
          <cell r="E2311">
            <v>1.8</v>
          </cell>
          <cell r="F2311">
            <v>0.4</v>
          </cell>
          <cell r="G2311">
            <v>1.9</v>
          </cell>
          <cell r="Q2311" t="str">
            <v>3/8"</v>
          </cell>
          <cell r="R2311">
            <v>6</v>
          </cell>
          <cell r="S2311">
            <v>2.0499999999999998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6.8879999999999999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</row>
        <row r="2312">
          <cell r="B2312" t="str">
            <v>Eje B/7</v>
          </cell>
          <cell r="C2312">
            <v>1</v>
          </cell>
          <cell r="D2312">
            <v>1</v>
          </cell>
        </row>
        <row r="2313">
          <cell r="B2313" t="str">
            <v>Acero Inferior</v>
          </cell>
          <cell r="C2313">
            <v>1</v>
          </cell>
          <cell r="D2313">
            <v>1</v>
          </cell>
          <cell r="E2313">
            <v>1.3</v>
          </cell>
          <cell r="F2313">
            <v>0.4</v>
          </cell>
          <cell r="G2313">
            <v>4.8499999999999996</v>
          </cell>
          <cell r="Q2313" t="str">
            <v>3/8"</v>
          </cell>
          <cell r="R2313">
            <v>4</v>
          </cell>
          <cell r="S2313">
            <v>5.1499999999999995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11.536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</row>
        <row r="2314">
          <cell r="B2314" t="str">
            <v>Acero Baston</v>
          </cell>
          <cell r="C2314">
            <v>1</v>
          </cell>
          <cell r="D2314">
            <v>1</v>
          </cell>
          <cell r="E2314">
            <v>1.3</v>
          </cell>
          <cell r="F2314">
            <v>0.4</v>
          </cell>
          <cell r="G2314">
            <v>0.7</v>
          </cell>
          <cell r="Q2314" t="str">
            <v>3/8"</v>
          </cell>
          <cell r="R2314">
            <v>4</v>
          </cell>
          <cell r="S2314">
            <v>0.85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1.9040000000000001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</row>
        <row r="2315">
          <cell r="B2315" t="str">
            <v>Acero Baston</v>
          </cell>
          <cell r="C2315">
            <v>1</v>
          </cell>
          <cell r="D2315">
            <v>1</v>
          </cell>
          <cell r="E2315">
            <v>1.3</v>
          </cell>
          <cell r="F2315">
            <v>0.4</v>
          </cell>
          <cell r="G2315">
            <v>0.7</v>
          </cell>
          <cell r="Q2315" t="str">
            <v>3/8"</v>
          </cell>
          <cell r="R2315">
            <v>4</v>
          </cell>
          <cell r="S2315">
            <v>0.85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1.9040000000000001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</row>
        <row r="2316">
          <cell r="B2316" t="str">
            <v>EjeA/7</v>
          </cell>
          <cell r="C2316">
            <v>1</v>
          </cell>
          <cell r="D2316">
            <v>1</v>
          </cell>
        </row>
        <row r="2317">
          <cell r="B2317" t="str">
            <v>Acero Inferior</v>
          </cell>
          <cell r="C2317">
            <v>1</v>
          </cell>
          <cell r="D2317">
            <v>1</v>
          </cell>
          <cell r="E2317">
            <v>2.1</v>
          </cell>
          <cell r="F2317">
            <v>0.4</v>
          </cell>
          <cell r="G2317">
            <v>6.05</v>
          </cell>
          <cell r="Q2317" t="str">
            <v>3/8"</v>
          </cell>
          <cell r="R2317">
            <v>6</v>
          </cell>
          <cell r="S2317">
            <v>6.35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21.335999999999999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</row>
        <row r="2318">
          <cell r="B2318" t="str">
            <v>Acero Baston</v>
          </cell>
          <cell r="C2318">
            <v>1</v>
          </cell>
          <cell r="D2318">
            <v>1</v>
          </cell>
          <cell r="E2318">
            <v>2.1</v>
          </cell>
          <cell r="F2318">
            <v>0.4</v>
          </cell>
          <cell r="G2318">
            <v>0.8</v>
          </cell>
          <cell r="Q2318" t="str">
            <v>3/8"</v>
          </cell>
          <cell r="R2318">
            <v>6</v>
          </cell>
          <cell r="S2318">
            <v>0.95000000000000007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3.1920000000000006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</row>
        <row r="2319">
          <cell r="B2319" t="str">
            <v>Acero Baston</v>
          </cell>
          <cell r="C2319">
            <v>1</v>
          </cell>
          <cell r="D2319">
            <v>1</v>
          </cell>
          <cell r="E2319">
            <v>2.1</v>
          </cell>
          <cell r="F2319">
            <v>0.4</v>
          </cell>
          <cell r="G2319">
            <v>0.8</v>
          </cell>
          <cell r="Q2319" t="str">
            <v>3/8"</v>
          </cell>
          <cell r="R2319">
            <v>6</v>
          </cell>
          <cell r="S2319">
            <v>0.95000000000000007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3.1920000000000006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</row>
        <row r="2320">
          <cell r="B2320" t="str">
            <v>Acero Balancin</v>
          </cell>
          <cell r="C2320">
            <v>1</v>
          </cell>
          <cell r="D2320">
            <v>1</v>
          </cell>
          <cell r="E2320">
            <v>2.1</v>
          </cell>
          <cell r="F2320">
            <v>0.4</v>
          </cell>
          <cell r="G2320">
            <v>1.9</v>
          </cell>
          <cell r="Q2320" t="str">
            <v>3/8"</v>
          </cell>
          <cell r="R2320">
            <v>6</v>
          </cell>
          <cell r="S2320">
            <v>1.9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6.3839999999999995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</row>
        <row r="2321">
          <cell r="B2321" t="str">
            <v>EjeA/7</v>
          </cell>
          <cell r="C2321">
            <v>1</v>
          </cell>
          <cell r="D2321">
            <v>1</v>
          </cell>
        </row>
        <row r="2322">
          <cell r="B2322" t="str">
            <v>Acero Inferior</v>
          </cell>
          <cell r="C2322">
            <v>1</v>
          </cell>
          <cell r="D2322">
            <v>1</v>
          </cell>
          <cell r="E2322">
            <v>2.0499999999999998</v>
          </cell>
          <cell r="F2322">
            <v>0.4</v>
          </cell>
          <cell r="G2322">
            <v>7.5</v>
          </cell>
          <cell r="Q2322" t="str">
            <v>3/8"</v>
          </cell>
          <cell r="R2322">
            <v>6</v>
          </cell>
          <cell r="S2322">
            <v>7.8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26.208000000000002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</row>
        <row r="2323">
          <cell r="B2323" t="str">
            <v>Acero Baston</v>
          </cell>
          <cell r="C2323">
            <v>1</v>
          </cell>
          <cell r="D2323">
            <v>1</v>
          </cell>
          <cell r="E2323">
            <v>2.0499999999999998</v>
          </cell>
          <cell r="F2323">
            <v>0.4</v>
          </cell>
          <cell r="G2323">
            <v>0.8</v>
          </cell>
          <cell r="Q2323" t="str">
            <v>3/8"</v>
          </cell>
          <cell r="R2323">
            <v>6</v>
          </cell>
          <cell r="S2323">
            <v>0.95000000000000007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3.1920000000000006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</row>
        <row r="2324">
          <cell r="B2324" t="str">
            <v>Acero Baston</v>
          </cell>
          <cell r="C2324">
            <v>1</v>
          </cell>
          <cell r="D2324">
            <v>1</v>
          </cell>
          <cell r="E2324">
            <v>2.0499999999999998</v>
          </cell>
          <cell r="F2324">
            <v>0.4</v>
          </cell>
          <cell r="G2324">
            <v>2.5499999999999998</v>
          </cell>
          <cell r="Q2324" t="str">
            <v>3/8"</v>
          </cell>
          <cell r="R2324">
            <v>6</v>
          </cell>
          <cell r="S2324">
            <v>2.6999999999999997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9.072000000000001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</row>
        <row r="2325">
          <cell r="B2325" t="str">
            <v>Acero Balancin</v>
          </cell>
          <cell r="C2325">
            <v>1</v>
          </cell>
          <cell r="D2325">
            <v>1</v>
          </cell>
          <cell r="E2325">
            <v>2.0499999999999998</v>
          </cell>
          <cell r="F2325">
            <v>0.4</v>
          </cell>
          <cell r="G2325">
            <v>1.9</v>
          </cell>
          <cell r="Q2325" t="str">
            <v>3/8"</v>
          </cell>
          <cell r="R2325">
            <v>6</v>
          </cell>
          <cell r="S2325">
            <v>1.9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6.3839999999999995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</row>
        <row r="2326">
          <cell r="B2326" t="str">
            <v>Temperatura</v>
          </cell>
          <cell r="C2326">
            <v>1</v>
          </cell>
          <cell r="D2326">
            <v>67</v>
          </cell>
          <cell r="E2326">
            <v>1</v>
          </cell>
          <cell r="F2326">
            <v>0.25</v>
          </cell>
          <cell r="G2326">
            <v>1</v>
          </cell>
          <cell r="Q2326" t="str">
            <v>1/4"</v>
          </cell>
          <cell r="R2326">
            <v>4</v>
          </cell>
          <cell r="S2326">
            <v>1.05</v>
          </cell>
          <cell r="T2326">
            <v>0</v>
          </cell>
          <cell r="U2326">
            <v>70.350000000000009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</row>
        <row r="2329">
          <cell r="A2329" t="str">
            <v>LOSA ALIG-CON210</v>
          </cell>
          <cell r="B2329" t="str">
            <v>Concreto f'c= 210 kg/cm2</v>
          </cell>
          <cell r="D2329" t="str">
            <v>M3</v>
          </cell>
          <cell r="E2329">
            <v>155.79</v>
          </cell>
        </row>
        <row r="2330">
          <cell r="A2330" t="str">
            <v>LOSA ALIG-ENC</v>
          </cell>
          <cell r="B2330" t="str">
            <v xml:space="preserve">Encofrado y desencofrado </v>
          </cell>
          <cell r="D2330" t="str">
            <v>M2</v>
          </cell>
          <cell r="E2330">
            <v>2058.5</v>
          </cell>
        </row>
        <row r="2331">
          <cell r="A2331" t="str">
            <v>LOSA ALIG-ACE</v>
          </cell>
          <cell r="B2331" t="str">
            <v>Acero de refuerzo</v>
          </cell>
          <cell r="D2331" t="str">
            <v>KG</v>
          </cell>
          <cell r="E2331">
            <v>13926.023600000006</v>
          </cell>
        </row>
        <row r="2332">
          <cell r="A2332" t="str">
            <v>LOSA ALIG-LAD</v>
          </cell>
          <cell r="B2332" t="str">
            <v>Unidad es de ladrillo</v>
          </cell>
          <cell r="D2332" t="str">
            <v>UND</v>
          </cell>
          <cell r="E2332">
            <v>17497.25</v>
          </cell>
        </row>
        <row r="2335">
          <cell r="B2335" t="str">
            <v>LOSA MACISA H=15CM</v>
          </cell>
        </row>
        <row r="2339">
          <cell r="A2339" t="str">
            <v>LOSA MAC15-CON</v>
          </cell>
          <cell r="B2339" t="str">
            <v>CONCRETO</v>
          </cell>
          <cell r="E2339">
            <v>0</v>
          </cell>
        </row>
        <row r="2340">
          <cell r="A2340" t="str">
            <v>LOSA MAC15-ENC</v>
          </cell>
          <cell r="B2340" t="str">
            <v xml:space="preserve">Encofrado y desencofrado </v>
          </cell>
          <cell r="D2340" t="str">
            <v>M2</v>
          </cell>
          <cell r="E2340">
            <v>0</v>
          </cell>
        </row>
        <row r="2341">
          <cell r="A2341" t="str">
            <v>LOSA MAC15-ACE</v>
          </cell>
          <cell r="B2341" t="str">
            <v>Acero de refuerzo</v>
          </cell>
          <cell r="D2341" t="str">
            <v>KG</v>
          </cell>
          <cell r="E2341">
            <v>0</v>
          </cell>
        </row>
        <row r="2344">
          <cell r="B2344" t="str">
            <v>PARAPETOS/JARDINERAS</v>
          </cell>
        </row>
        <row r="2346">
          <cell r="B2346" t="str">
            <v>PISO 15</v>
          </cell>
        </row>
        <row r="2347"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</row>
        <row r="2348">
          <cell r="B2348" t="str">
            <v>CORTE 10</v>
          </cell>
          <cell r="C2348">
            <v>1</v>
          </cell>
          <cell r="D2348">
            <v>1</v>
          </cell>
          <cell r="E2348">
            <v>22</v>
          </cell>
          <cell r="F2348">
            <v>0.15</v>
          </cell>
          <cell r="G2348">
            <v>1.2</v>
          </cell>
          <cell r="L2348">
            <v>3.9599999999999995</v>
          </cell>
          <cell r="M2348">
            <v>22</v>
          </cell>
          <cell r="N2348">
            <v>2.15</v>
          </cell>
          <cell r="O2348">
            <v>47.3</v>
          </cell>
          <cell r="Q2348" t="str">
            <v>3/8"</v>
          </cell>
          <cell r="R2348">
            <v>74</v>
          </cell>
          <cell r="S2348">
            <v>1.75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72.52000000000001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</row>
        <row r="2349">
          <cell r="C2349">
            <v>1</v>
          </cell>
          <cell r="D2349">
            <v>1</v>
          </cell>
          <cell r="Q2349" t="str">
            <v>3/8"</v>
          </cell>
          <cell r="R2349">
            <v>5</v>
          </cell>
          <cell r="S2349">
            <v>22.3</v>
          </cell>
          <cell r="T2349">
            <v>2</v>
          </cell>
          <cell r="U2349">
            <v>0</v>
          </cell>
          <cell r="V2349">
            <v>0</v>
          </cell>
          <cell r="W2349">
            <v>0</v>
          </cell>
          <cell r="X2349">
            <v>62.440000000000005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</row>
        <row r="2350">
          <cell r="C2350">
            <v>1</v>
          </cell>
          <cell r="D2350">
            <v>1</v>
          </cell>
          <cell r="E2350">
            <v>22</v>
          </cell>
          <cell r="F2350">
            <v>0.25</v>
          </cell>
          <cell r="G2350">
            <v>0.4</v>
          </cell>
          <cell r="L2350">
            <v>2.2000000000000002</v>
          </cell>
          <cell r="M2350">
            <v>22</v>
          </cell>
          <cell r="N2350">
            <v>0.65</v>
          </cell>
          <cell r="O2350">
            <v>14.3</v>
          </cell>
          <cell r="Q2350" t="str">
            <v>3/8"</v>
          </cell>
          <cell r="R2350">
            <v>148</v>
          </cell>
          <cell r="S2350">
            <v>1.1499999999999999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95.311999999999998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</row>
        <row r="2351">
          <cell r="C2351">
            <v>1</v>
          </cell>
          <cell r="D2351">
            <v>1</v>
          </cell>
          <cell r="Q2351" t="str">
            <v>3/8"</v>
          </cell>
          <cell r="R2351">
            <v>4</v>
          </cell>
          <cell r="S2351">
            <v>22.3</v>
          </cell>
          <cell r="T2351">
            <v>2</v>
          </cell>
          <cell r="U2351">
            <v>0</v>
          </cell>
          <cell r="V2351">
            <v>0</v>
          </cell>
          <cell r="W2351">
            <v>0</v>
          </cell>
          <cell r="X2351">
            <v>49.952000000000005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</row>
        <row r="2352">
          <cell r="C2352">
            <v>1</v>
          </cell>
          <cell r="D2352">
            <v>1</v>
          </cell>
          <cell r="E2352">
            <v>22</v>
          </cell>
          <cell r="F2352">
            <v>0.4</v>
          </cell>
          <cell r="G2352">
            <v>0.2</v>
          </cell>
          <cell r="L2352">
            <v>1.7600000000000002</v>
          </cell>
          <cell r="M2352">
            <v>22</v>
          </cell>
          <cell r="N2352">
            <v>0.4</v>
          </cell>
          <cell r="O2352">
            <v>8.8000000000000007</v>
          </cell>
          <cell r="Q2352" t="str">
            <v>3/8"</v>
          </cell>
          <cell r="R2352">
            <v>6</v>
          </cell>
          <cell r="S2352">
            <v>0.95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3.1919999999999997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</row>
        <row r="2353">
          <cell r="C2353">
            <v>1</v>
          </cell>
          <cell r="D2353">
            <v>1</v>
          </cell>
          <cell r="Q2353" t="str">
            <v>3/8"</v>
          </cell>
          <cell r="R2353">
            <v>4</v>
          </cell>
          <cell r="S2353">
            <v>1.2000000000000002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2.6880000000000006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</row>
        <row r="2354">
          <cell r="B2354" t="str">
            <v>AZOTEA</v>
          </cell>
        </row>
        <row r="2355"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</row>
        <row r="2356">
          <cell r="B2356" t="str">
            <v>CORTE 2</v>
          </cell>
          <cell r="C2356">
            <v>1</v>
          </cell>
          <cell r="D2356">
            <v>1</v>
          </cell>
          <cell r="E2356">
            <v>105</v>
          </cell>
          <cell r="F2356">
            <v>0.15</v>
          </cell>
          <cell r="G2356">
            <v>0.3</v>
          </cell>
          <cell r="L2356">
            <v>4.7249999999999996</v>
          </cell>
          <cell r="M2356">
            <v>105</v>
          </cell>
          <cell r="N2356">
            <v>0.35</v>
          </cell>
          <cell r="O2356">
            <v>36.75</v>
          </cell>
          <cell r="Q2356" t="str">
            <v>3/8"</v>
          </cell>
          <cell r="R2356">
            <v>1052</v>
          </cell>
          <cell r="S2356">
            <v>0.85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500.75200000000001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</row>
        <row r="2357">
          <cell r="C2357">
            <v>1</v>
          </cell>
          <cell r="D2357">
            <v>1</v>
          </cell>
          <cell r="Q2357" t="str">
            <v>3/8"</v>
          </cell>
          <cell r="R2357">
            <v>4</v>
          </cell>
          <cell r="S2357">
            <v>105.3</v>
          </cell>
          <cell r="T2357">
            <v>11</v>
          </cell>
          <cell r="U2357">
            <v>0</v>
          </cell>
          <cell r="V2357">
            <v>0</v>
          </cell>
          <cell r="W2357">
            <v>0</v>
          </cell>
          <cell r="X2357">
            <v>235.87200000000001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</row>
        <row r="2360">
          <cell r="A2360" t="str">
            <v>PARA-CON</v>
          </cell>
          <cell r="B2360" t="str">
            <v>Concreto f'c= 210 kg/cm2</v>
          </cell>
          <cell r="D2360" t="str">
            <v>M3</v>
          </cell>
          <cell r="E2360">
            <v>12.645</v>
          </cell>
        </row>
        <row r="2361">
          <cell r="A2361" t="str">
            <v>PARA-ENCH3</v>
          </cell>
          <cell r="B2361" t="str">
            <v xml:space="preserve">Encofrado y desencofrado </v>
          </cell>
          <cell r="D2361" t="str">
            <v>M2</v>
          </cell>
          <cell r="E2361">
            <v>107.14999999999999</v>
          </cell>
        </row>
        <row r="2362">
          <cell r="A2362" t="str">
            <v>PARA-ACE</v>
          </cell>
          <cell r="B2362" t="str">
            <v>Acero de refuerzo</v>
          </cell>
          <cell r="D2362" t="str">
            <v>KG</v>
          </cell>
          <cell r="E2362">
            <v>1022.7280000000001</v>
          </cell>
        </row>
        <row r="2366">
          <cell r="B2366" t="str">
            <v>ESCALERA</v>
          </cell>
        </row>
        <row r="2368">
          <cell r="A2368" t="str">
            <v>ESC-CON</v>
          </cell>
          <cell r="B2368" t="str">
            <v>Concreto f'c= 210 kg/cm2</v>
          </cell>
          <cell r="D2368" t="str">
            <v>M3</v>
          </cell>
          <cell r="E2368">
            <v>0</v>
          </cell>
        </row>
        <row r="2369">
          <cell r="A2369" t="str">
            <v>ESC-ENC</v>
          </cell>
          <cell r="B2369" t="str">
            <v xml:space="preserve">Encofrado y desencofrado </v>
          </cell>
          <cell r="D2369" t="str">
            <v>M2</v>
          </cell>
          <cell r="E2369">
            <v>0</v>
          </cell>
        </row>
        <row r="2370">
          <cell r="A2370" t="str">
            <v>ESC-ACE</v>
          </cell>
          <cell r="B2370" t="str">
            <v>Acero de refuerzo</v>
          </cell>
          <cell r="D2370" t="str">
            <v>KG</v>
          </cell>
          <cell r="E2370">
            <v>0</v>
          </cell>
        </row>
      </sheetData>
      <sheetData sheetId="4">
        <row r="2">
          <cell r="R2" t="str">
            <v>H</v>
          </cell>
          <cell r="S2" t="str">
            <v>Traslape Horizontal</v>
          </cell>
          <cell r="X2">
            <v>0.4</v>
          </cell>
          <cell r="Y2">
            <v>0.55000000000000004</v>
          </cell>
          <cell r="Z2">
            <v>0.55000000000000004</v>
          </cell>
          <cell r="AA2">
            <v>0.7</v>
          </cell>
          <cell r="AB2">
            <v>0.8</v>
          </cell>
          <cell r="AC2">
            <v>1.3</v>
          </cell>
        </row>
        <row r="3">
          <cell r="R3" t="str">
            <v>V</v>
          </cell>
          <cell r="S3" t="str">
            <v>Traslape Vertical</v>
          </cell>
          <cell r="X3">
            <v>0.5</v>
          </cell>
          <cell r="Y3">
            <v>0.2</v>
          </cell>
          <cell r="Z3">
            <v>0.25</v>
          </cell>
          <cell r="AA3">
            <v>0.3</v>
          </cell>
          <cell r="AB3">
            <v>0.35</v>
          </cell>
          <cell r="AC3">
            <v>0.55000000000000004</v>
          </cell>
          <cell r="AD3">
            <v>1</v>
          </cell>
        </row>
        <row r="5">
          <cell r="B5" t="str">
            <v>DESCRIPCION</v>
          </cell>
          <cell r="D5" t="str">
            <v>CANT.</v>
          </cell>
          <cell r="E5" t="str">
            <v>CONCRETO</v>
          </cell>
          <cell r="I5" t="str">
            <v>TOTAL</v>
          </cell>
          <cell r="L5" t="str">
            <v>TOTAL</v>
          </cell>
          <cell r="M5" t="str">
            <v>ENCOFRADO</v>
          </cell>
          <cell r="O5" t="str">
            <v>TOTAL</v>
          </cell>
          <cell r="R5" t="str">
            <v>ACERO</v>
          </cell>
          <cell r="T5" t="str">
            <v>Empalme</v>
          </cell>
          <cell r="U5" t="str">
            <v>1/4"</v>
          </cell>
          <cell r="V5" t="str">
            <v>6mm</v>
          </cell>
          <cell r="W5" t="str">
            <v>8mm</v>
          </cell>
          <cell r="X5" t="str">
            <v>3/8"</v>
          </cell>
          <cell r="Y5" t="str">
            <v>12mm</v>
          </cell>
          <cell r="Z5" t="str">
            <v>1/2"</v>
          </cell>
          <cell r="AA5" t="str">
            <v>5/8"</v>
          </cell>
          <cell r="AB5" t="str">
            <v>3/4"</v>
          </cell>
          <cell r="AC5" t="str">
            <v>1"</v>
          </cell>
          <cell r="AD5" t="str">
            <v>1.3/8"</v>
          </cell>
        </row>
        <row r="6">
          <cell r="D6" t="str">
            <v>ELEM.</v>
          </cell>
          <cell r="E6" t="str">
            <v>LARGO</v>
          </cell>
          <cell r="F6" t="str">
            <v>ANCHO</v>
          </cell>
          <cell r="G6" t="str">
            <v>ALTO</v>
          </cell>
          <cell r="H6" t="str">
            <v>TIPO</v>
          </cell>
          <cell r="I6">
            <v>210</v>
          </cell>
          <cell r="J6">
            <v>280</v>
          </cell>
          <cell r="K6">
            <v>350</v>
          </cell>
          <cell r="L6" t="str">
            <v>M3</v>
          </cell>
          <cell r="M6" t="str">
            <v>PERIME</v>
          </cell>
          <cell r="N6" t="str">
            <v>ALTO</v>
          </cell>
          <cell r="O6" t="str">
            <v>M2</v>
          </cell>
          <cell r="Q6" t="str">
            <v>DIAM.</v>
          </cell>
          <cell r="R6" t="str">
            <v>PZAS</v>
          </cell>
          <cell r="S6" t="str">
            <v>LONG.</v>
          </cell>
          <cell r="U6">
            <v>0.25</v>
          </cell>
          <cell r="V6">
            <v>0.22</v>
          </cell>
          <cell r="W6">
            <v>0.4</v>
          </cell>
          <cell r="X6">
            <v>0.56000000000000005</v>
          </cell>
          <cell r="Y6">
            <v>0.9</v>
          </cell>
          <cell r="Z6">
            <v>0.99</v>
          </cell>
          <cell r="AA6">
            <v>1.55</v>
          </cell>
          <cell r="AB6">
            <v>2.2400000000000002</v>
          </cell>
          <cell r="AC6">
            <v>3.97</v>
          </cell>
          <cell r="AD6">
            <v>7.907</v>
          </cell>
        </row>
        <row r="11">
          <cell r="B11" t="str">
            <v>COLUMNAS</v>
          </cell>
        </row>
        <row r="14">
          <cell r="B14" t="str">
            <v>1° Piso</v>
          </cell>
          <cell r="C14">
            <v>1</v>
          </cell>
          <cell r="H14">
            <v>280</v>
          </cell>
        </row>
        <row r="15">
          <cell r="B15" t="str">
            <v>B1-C-01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B16" t="str">
            <v>Nucleo B</v>
          </cell>
          <cell r="C16">
            <v>1</v>
          </cell>
          <cell r="D16">
            <v>1</v>
          </cell>
          <cell r="E16">
            <v>1.05</v>
          </cell>
          <cell r="F16">
            <v>0.4</v>
          </cell>
          <cell r="G16">
            <v>2.65</v>
          </cell>
          <cell r="H16">
            <v>280</v>
          </cell>
          <cell r="I16">
            <v>0</v>
          </cell>
          <cell r="J16">
            <v>1.113</v>
          </cell>
          <cell r="K16">
            <v>0</v>
          </cell>
          <cell r="L16">
            <v>1.113</v>
          </cell>
          <cell r="M16">
            <v>2.9000000000000004</v>
          </cell>
          <cell r="N16">
            <v>2.4499999999999997</v>
          </cell>
          <cell r="O16">
            <v>7.1050000000000004</v>
          </cell>
          <cell r="P16" t="str">
            <v>V</v>
          </cell>
          <cell r="Q16" t="str">
            <v>1"</v>
          </cell>
          <cell r="R16">
            <v>18</v>
          </cell>
          <cell r="S16">
            <v>2.65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228.672</v>
          </cell>
          <cell r="AD16">
            <v>0</v>
          </cell>
        </row>
        <row r="17">
          <cell r="B17" t="str">
            <v>Est</v>
          </cell>
          <cell r="C17">
            <v>1</v>
          </cell>
          <cell r="D17">
            <v>1</v>
          </cell>
          <cell r="E17">
            <v>0.7</v>
          </cell>
          <cell r="F17">
            <v>0.4</v>
          </cell>
          <cell r="G17">
            <v>2.65</v>
          </cell>
          <cell r="Q17" t="str">
            <v>3/8"</v>
          </cell>
          <cell r="R17">
            <v>24</v>
          </cell>
          <cell r="S17">
            <v>2.2000000000000002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29.568000000000005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</row>
        <row r="18">
          <cell r="B18" t="str">
            <v>Est</v>
          </cell>
          <cell r="C18">
            <v>1</v>
          </cell>
          <cell r="D18">
            <v>1</v>
          </cell>
          <cell r="E18">
            <v>0.7</v>
          </cell>
          <cell r="F18">
            <v>0.4</v>
          </cell>
          <cell r="G18">
            <v>2.65</v>
          </cell>
          <cell r="Q18" t="str">
            <v>3/8"</v>
          </cell>
          <cell r="R18">
            <v>24</v>
          </cell>
          <cell r="S18">
            <v>2.2000000000000002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29.568000000000005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</row>
        <row r="19">
          <cell r="B19" t="str">
            <v>Est</v>
          </cell>
          <cell r="C19">
            <v>1</v>
          </cell>
          <cell r="D19">
            <v>1</v>
          </cell>
          <cell r="E19">
            <v>0.3</v>
          </cell>
          <cell r="F19">
            <v>0.4</v>
          </cell>
          <cell r="G19">
            <v>2.65</v>
          </cell>
          <cell r="Q19" t="str">
            <v>3/8"</v>
          </cell>
          <cell r="R19">
            <v>24</v>
          </cell>
          <cell r="S19">
            <v>1.4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18.815999999999999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</row>
        <row r="20">
          <cell r="B20" t="str">
            <v>Est</v>
          </cell>
          <cell r="C20">
            <v>1</v>
          </cell>
          <cell r="D20">
            <v>1</v>
          </cell>
          <cell r="E20">
            <v>0.3</v>
          </cell>
          <cell r="F20">
            <v>0.4</v>
          </cell>
          <cell r="G20">
            <v>2.65</v>
          </cell>
          <cell r="Q20" t="str">
            <v>3/8"</v>
          </cell>
          <cell r="R20">
            <v>24</v>
          </cell>
          <cell r="S20">
            <v>1.4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18.815999999999999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1"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B22" t="str">
            <v>2° Piso</v>
          </cell>
          <cell r="C22">
            <v>1</v>
          </cell>
          <cell r="H22">
            <v>280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B23" t="str">
            <v>B1-C-01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B24" t="str">
            <v>Nucleo B</v>
          </cell>
          <cell r="C24">
            <v>1</v>
          </cell>
          <cell r="D24">
            <v>1</v>
          </cell>
          <cell r="E24">
            <v>1.05</v>
          </cell>
          <cell r="F24">
            <v>0.4</v>
          </cell>
          <cell r="G24">
            <v>2.65</v>
          </cell>
          <cell r="H24">
            <v>280</v>
          </cell>
          <cell r="I24">
            <v>0</v>
          </cell>
          <cell r="J24">
            <v>1.113</v>
          </cell>
          <cell r="K24">
            <v>0</v>
          </cell>
          <cell r="L24">
            <v>1.113</v>
          </cell>
          <cell r="M24">
            <v>2.9000000000000004</v>
          </cell>
          <cell r="N24">
            <v>2.4499999999999997</v>
          </cell>
          <cell r="O24">
            <v>7.1050000000000004</v>
          </cell>
          <cell r="P24" t="str">
            <v>V</v>
          </cell>
          <cell r="Q24" t="str">
            <v>1"</v>
          </cell>
          <cell r="R24">
            <v>18</v>
          </cell>
          <cell r="S24">
            <v>2.65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228.672</v>
          </cell>
          <cell r="AD24">
            <v>0</v>
          </cell>
        </row>
        <row r="25">
          <cell r="B25" t="str">
            <v>Est</v>
          </cell>
          <cell r="C25">
            <v>1</v>
          </cell>
          <cell r="D25">
            <v>1</v>
          </cell>
          <cell r="E25">
            <v>0.7</v>
          </cell>
          <cell r="F25">
            <v>0.4</v>
          </cell>
          <cell r="G25">
            <v>2.65</v>
          </cell>
          <cell r="Q25" t="str">
            <v>3/8"</v>
          </cell>
          <cell r="R25">
            <v>24</v>
          </cell>
          <cell r="S25">
            <v>2.2000000000000002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29.568000000000005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B26" t="str">
            <v>Est</v>
          </cell>
          <cell r="C26">
            <v>1</v>
          </cell>
          <cell r="D26">
            <v>1</v>
          </cell>
          <cell r="E26">
            <v>0.7</v>
          </cell>
          <cell r="F26">
            <v>0.4</v>
          </cell>
          <cell r="G26">
            <v>2.65</v>
          </cell>
          <cell r="Q26" t="str">
            <v>3/8"</v>
          </cell>
          <cell r="R26">
            <v>24</v>
          </cell>
          <cell r="S26">
            <v>2.2000000000000002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29.568000000000005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B27" t="str">
            <v>Est</v>
          </cell>
          <cell r="C27">
            <v>1</v>
          </cell>
          <cell r="D27">
            <v>1</v>
          </cell>
          <cell r="E27">
            <v>0.3</v>
          </cell>
          <cell r="F27">
            <v>0.4</v>
          </cell>
          <cell r="G27">
            <v>2.65</v>
          </cell>
          <cell r="Q27" t="str">
            <v>3/8"</v>
          </cell>
          <cell r="R27">
            <v>24</v>
          </cell>
          <cell r="S27">
            <v>1.4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18.815999999999999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B28" t="str">
            <v>Est</v>
          </cell>
          <cell r="C28">
            <v>1</v>
          </cell>
          <cell r="D28">
            <v>1</v>
          </cell>
          <cell r="E28">
            <v>0.3</v>
          </cell>
          <cell r="F28">
            <v>0.4</v>
          </cell>
          <cell r="G28">
            <v>2.65</v>
          </cell>
          <cell r="Q28" t="str">
            <v>3/8"</v>
          </cell>
          <cell r="R28">
            <v>24</v>
          </cell>
          <cell r="S28">
            <v>1.4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18.815999999999999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3° Piso</v>
          </cell>
          <cell r="C30">
            <v>1</v>
          </cell>
          <cell r="H30">
            <v>280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>B1-C-01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B32" t="str">
            <v>Nucleo B</v>
          </cell>
          <cell r="C32">
            <v>1</v>
          </cell>
          <cell r="D32">
            <v>1</v>
          </cell>
          <cell r="E32">
            <v>1.05</v>
          </cell>
          <cell r="F32">
            <v>0.4</v>
          </cell>
          <cell r="G32">
            <v>2.65</v>
          </cell>
          <cell r="H32">
            <v>280</v>
          </cell>
          <cell r="I32">
            <v>0</v>
          </cell>
          <cell r="J32">
            <v>1.113</v>
          </cell>
          <cell r="K32">
            <v>0</v>
          </cell>
          <cell r="L32">
            <v>1.113</v>
          </cell>
          <cell r="M32">
            <v>2.9000000000000004</v>
          </cell>
          <cell r="N32">
            <v>2.4499999999999997</v>
          </cell>
          <cell r="O32">
            <v>7.1050000000000004</v>
          </cell>
          <cell r="P32" t="str">
            <v>V</v>
          </cell>
          <cell r="Q32" t="str">
            <v>1"</v>
          </cell>
          <cell r="R32">
            <v>18</v>
          </cell>
          <cell r="S32">
            <v>2.65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228.672</v>
          </cell>
          <cell r="AD32">
            <v>0</v>
          </cell>
        </row>
        <row r="33">
          <cell r="B33" t="str">
            <v>Est</v>
          </cell>
          <cell r="C33">
            <v>1</v>
          </cell>
          <cell r="D33">
            <v>1</v>
          </cell>
          <cell r="E33">
            <v>0.7</v>
          </cell>
          <cell r="F33">
            <v>0.4</v>
          </cell>
          <cell r="G33">
            <v>2.65</v>
          </cell>
          <cell r="Q33" t="str">
            <v>3/8"</v>
          </cell>
          <cell r="R33">
            <v>24</v>
          </cell>
          <cell r="S33">
            <v>2.2000000000000002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29.568000000000005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B34" t="str">
            <v>Est</v>
          </cell>
          <cell r="C34">
            <v>1</v>
          </cell>
          <cell r="D34">
            <v>1</v>
          </cell>
          <cell r="E34">
            <v>0.7</v>
          </cell>
          <cell r="F34">
            <v>0.4</v>
          </cell>
          <cell r="G34">
            <v>2.65</v>
          </cell>
          <cell r="Q34" t="str">
            <v>3/8"</v>
          </cell>
          <cell r="R34">
            <v>24</v>
          </cell>
          <cell r="S34">
            <v>2.2000000000000002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29.568000000000005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B35" t="str">
            <v>Est</v>
          </cell>
          <cell r="C35">
            <v>1</v>
          </cell>
          <cell r="D35">
            <v>1</v>
          </cell>
          <cell r="E35">
            <v>0.3</v>
          </cell>
          <cell r="F35">
            <v>0.4</v>
          </cell>
          <cell r="G35">
            <v>2.65</v>
          </cell>
          <cell r="Q35" t="str">
            <v>3/8"</v>
          </cell>
          <cell r="R35">
            <v>24</v>
          </cell>
          <cell r="S35">
            <v>1.4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18.815999999999999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B36" t="str">
            <v>Est</v>
          </cell>
          <cell r="C36">
            <v>1</v>
          </cell>
          <cell r="D36">
            <v>1</v>
          </cell>
          <cell r="E36">
            <v>0.3</v>
          </cell>
          <cell r="F36">
            <v>0.4</v>
          </cell>
          <cell r="G36">
            <v>2.65</v>
          </cell>
          <cell r="Q36" t="str">
            <v>3/8"</v>
          </cell>
          <cell r="R36">
            <v>24</v>
          </cell>
          <cell r="S36">
            <v>1.4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18.815999999999999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8">
          <cell r="B38" t="str">
            <v>4° Piso</v>
          </cell>
          <cell r="C38">
            <v>1</v>
          </cell>
          <cell r="H38">
            <v>280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B39" t="str">
            <v>B1-C-01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</row>
        <row r="40">
          <cell r="B40" t="str">
            <v>Nucleo B</v>
          </cell>
          <cell r="C40">
            <v>1</v>
          </cell>
          <cell r="D40">
            <v>1</v>
          </cell>
          <cell r="E40">
            <v>1.05</v>
          </cell>
          <cell r="F40">
            <v>0.4</v>
          </cell>
          <cell r="G40">
            <v>2.65</v>
          </cell>
          <cell r="H40">
            <v>280</v>
          </cell>
          <cell r="I40">
            <v>0</v>
          </cell>
          <cell r="J40">
            <v>1.113</v>
          </cell>
          <cell r="K40">
            <v>0</v>
          </cell>
          <cell r="L40">
            <v>1.113</v>
          </cell>
          <cell r="M40">
            <v>2.9000000000000004</v>
          </cell>
          <cell r="N40">
            <v>2.4499999999999997</v>
          </cell>
          <cell r="O40">
            <v>7.1050000000000004</v>
          </cell>
          <cell r="P40" t="str">
            <v>V</v>
          </cell>
          <cell r="Q40" t="str">
            <v>1"</v>
          </cell>
          <cell r="R40">
            <v>8</v>
          </cell>
          <cell r="S40">
            <v>2.65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101.63200000000001</v>
          </cell>
          <cell r="AD40">
            <v>0</v>
          </cell>
        </row>
        <row r="41">
          <cell r="C41">
            <v>1</v>
          </cell>
          <cell r="D41">
            <v>1</v>
          </cell>
          <cell r="G41">
            <v>2.65</v>
          </cell>
          <cell r="P41" t="str">
            <v>V</v>
          </cell>
          <cell r="Q41" t="str">
            <v>3/4"</v>
          </cell>
          <cell r="R41">
            <v>10</v>
          </cell>
          <cell r="S41">
            <v>2.65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67.2</v>
          </cell>
          <cell r="AC41">
            <v>0</v>
          </cell>
          <cell r="AD41">
            <v>0</v>
          </cell>
        </row>
        <row r="42">
          <cell r="B42" t="str">
            <v>Est</v>
          </cell>
          <cell r="C42">
            <v>1</v>
          </cell>
          <cell r="D42">
            <v>1</v>
          </cell>
          <cell r="E42">
            <v>0.7</v>
          </cell>
          <cell r="F42">
            <v>0.4</v>
          </cell>
          <cell r="G42">
            <v>2.65</v>
          </cell>
          <cell r="Q42" t="str">
            <v>3/8"</v>
          </cell>
          <cell r="R42">
            <v>24</v>
          </cell>
          <cell r="S42">
            <v>2.2000000000000002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29.568000000000005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</row>
        <row r="43">
          <cell r="B43" t="str">
            <v>Est</v>
          </cell>
          <cell r="C43">
            <v>1</v>
          </cell>
          <cell r="D43">
            <v>1</v>
          </cell>
          <cell r="E43">
            <v>0.7</v>
          </cell>
          <cell r="F43">
            <v>0.4</v>
          </cell>
          <cell r="G43">
            <v>2.65</v>
          </cell>
          <cell r="Q43" t="str">
            <v>3/8"</v>
          </cell>
          <cell r="R43">
            <v>24</v>
          </cell>
          <cell r="S43">
            <v>2.2000000000000002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29.568000000000005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B44" t="str">
            <v>Est</v>
          </cell>
          <cell r="C44">
            <v>1</v>
          </cell>
          <cell r="D44">
            <v>1</v>
          </cell>
          <cell r="E44">
            <v>0.3</v>
          </cell>
          <cell r="F44">
            <v>0.4</v>
          </cell>
          <cell r="G44">
            <v>2.65</v>
          </cell>
          <cell r="Q44" t="str">
            <v>3/8"</v>
          </cell>
          <cell r="R44">
            <v>24</v>
          </cell>
          <cell r="S44">
            <v>1.4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18.815999999999999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  <row r="45">
          <cell r="B45" t="str">
            <v>Est</v>
          </cell>
          <cell r="C45">
            <v>1</v>
          </cell>
          <cell r="D45">
            <v>1</v>
          </cell>
          <cell r="E45">
            <v>0.3</v>
          </cell>
          <cell r="F45">
            <v>0.4</v>
          </cell>
          <cell r="G45">
            <v>2.65</v>
          </cell>
          <cell r="Q45" t="str">
            <v>3/8"</v>
          </cell>
          <cell r="R45">
            <v>24</v>
          </cell>
          <cell r="S45">
            <v>1.4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18.815999999999999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B46" t="str">
            <v>Est</v>
          </cell>
          <cell r="C46">
            <v>1</v>
          </cell>
          <cell r="D46">
            <v>1</v>
          </cell>
          <cell r="E46">
            <v>0.15</v>
          </cell>
          <cell r="F46">
            <v>0.4</v>
          </cell>
          <cell r="G46">
            <v>2.65</v>
          </cell>
          <cell r="Q46" t="str">
            <v>3/8"</v>
          </cell>
          <cell r="R46">
            <v>24</v>
          </cell>
          <cell r="S46">
            <v>0.55000000000000004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7.3920000000000012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</row>
        <row r="47">
          <cell r="B47" t="str">
            <v>5° Piso</v>
          </cell>
          <cell r="C47">
            <v>1</v>
          </cell>
          <cell r="H47">
            <v>280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</row>
        <row r="48">
          <cell r="B48" t="str">
            <v>B1-C-01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</row>
        <row r="49">
          <cell r="B49" t="str">
            <v>Nucleo B</v>
          </cell>
          <cell r="C49">
            <v>1</v>
          </cell>
          <cell r="D49">
            <v>1</v>
          </cell>
          <cell r="E49">
            <v>1.05</v>
          </cell>
          <cell r="F49">
            <v>0.4</v>
          </cell>
          <cell r="G49">
            <v>2.65</v>
          </cell>
          <cell r="H49">
            <v>280</v>
          </cell>
          <cell r="I49">
            <v>0</v>
          </cell>
          <cell r="J49">
            <v>1.113</v>
          </cell>
          <cell r="K49">
            <v>0</v>
          </cell>
          <cell r="L49">
            <v>1.113</v>
          </cell>
          <cell r="M49">
            <v>2.9000000000000004</v>
          </cell>
          <cell r="N49">
            <v>2.4499999999999997</v>
          </cell>
          <cell r="O49">
            <v>7.1050000000000004</v>
          </cell>
          <cell r="P49" t="str">
            <v>V</v>
          </cell>
          <cell r="Q49" t="str">
            <v>1"</v>
          </cell>
          <cell r="R49">
            <v>8</v>
          </cell>
          <cell r="S49">
            <v>2.65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101.63200000000001</v>
          </cell>
          <cell r="AD49">
            <v>0</v>
          </cell>
        </row>
        <row r="50">
          <cell r="C50">
            <v>1</v>
          </cell>
          <cell r="D50">
            <v>1</v>
          </cell>
          <cell r="G50">
            <v>2.65</v>
          </cell>
          <cell r="P50" t="str">
            <v>V</v>
          </cell>
          <cell r="Q50" t="str">
            <v>3/4"</v>
          </cell>
          <cell r="R50">
            <v>10</v>
          </cell>
          <cell r="S50">
            <v>2.65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67.2</v>
          </cell>
          <cell r="AC50">
            <v>0</v>
          </cell>
          <cell r="AD50">
            <v>0</v>
          </cell>
        </row>
        <row r="51">
          <cell r="B51" t="str">
            <v>Est</v>
          </cell>
          <cell r="C51">
            <v>1</v>
          </cell>
          <cell r="D51">
            <v>1</v>
          </cell>
          <cell r="E51">
            <v>0.7</v>
          </cell>
          <cell r="F51">
            <v>0.4</v>
          </cell>
          <cell r="G51">
            <v>2.65</v>
          </cell>
          <cell r="Q51" t="str">
            <v>3/8"</v>
          </cell>
          <cell r="R51">
            <v>24</v>
          </cell>
          <cell r="S51">
            <v>2.2000000000000002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29.568000000000005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</row>
        <row r="52">
          <cell r="B52" t="str">
            <v>Est</v>
          </cell>
          <cell r="C52">
            <v>1</v>
          </cell>
          <cell r="D52">
            <v>1</v>
          </cell>
          <cell r="E52">
            <v>0.7</v>
          </cell>
          <cell r="F52">
            <v>0.4</v>
          </cell>
          <cell r="G52">
            <v>2.65</v>
          </cell>
          <cell r="Q52" t="str">
            <v>3/8"</v>
          </cell>
          <cell r="R52">
            <v>24</v>
          </cell>
          <cell r="S52">
            <v>2.2000000000000002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29.568000000000005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</row>
        <row r="53">
          <cell r="B53" t="str">
            <v>Est</v>
          </cell>
          <cell r="C53">
            <v>1</v>
          </cell>
          <cell r="D53">
            <v>1</v>
          </cell>
          <cell r="E53">
            <v>0.3</v>
          </cell>
          <cell r="F53">
            <v>0.4</v>
          </cell>
          <cell r="G53">
            <v>2.65</v>
          </cell>
          <cell r="Q53" t="str">
            <v>3/8"</v>
          </cell>
          <cell r="R53">
            <v>24</v>
          </cell>
          <cell r="S53">
            <v>1.4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18.815999999999999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</row>
        <row r="54">
          <cell r="B54" t="str">
            <v>Est</v>
          </cell>
          <cell r="C54">
            <v>1</v>
          </cell>
          <cell r="D54">
            <v>1</v>
          </cell>
          <cell r="E54">
            <v>0.3</v>
          </cell>
          <cell r="F54">
            <v>0.4</v>
          </cell>
          <cell r="G54">
            <v>2.65</v>
          </cell>
          <cell r="Q54" t="str">
            <v>3/8"</v>
          </cell>
          <cell r="R54">
            <v>24</v>
          </cell>
          <cell r="S54">
            <v>1.4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18.815999999999999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</row>
        <row r="55">
          <cell r="B55" t="str">
            <v>Est</v>
          </cell>
          <cell r="C55">
            <v>1</v>
          </cell>
          <cell r="D55">
            <v>1</v>
          </cell>
          <cell r="E55">
            <v>0.15</v>
          </cell>
          <cell r="F55">
            <v>0.4</v>
          </cell>
          <cell r="G55">
            <v>2.65</v>
          </cell>
          <cell r="Q55" t="str">
            <v>3/8"</v>
          </cell>
          <cell r="R55">
            <v>24</v>
          </cell>
          <cell r="S55">
            <v>0.55000000000000004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7.3920000000000012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B56" t="str">
            <v>6° Piso</v>
          </cell>
          <cell r="C56">
            <v>1</v>
          </cell>
          <cell r="H56">
            <v>280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</row>
        <row r="57">
          <cell r="B57" t="str">
            <v>B1-C-01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</row>
        <row r="58">
          <cell r="B58" t="str">
            <v>Nucleo B</v>
          </cell>
          <cell r="C58">
            <v>1</v>
          </cell>
          <cell r="D58">
            <v>1</v>
          </cell>
          <cell r="E58">
            <v>1.05</v>
          </cell>
          <cell r="F58">
            <v>0.4</v>
          </cell>
          <cell r="G58">
            <v>2.65</v>
          </cell>
          <cell r="H58">
            <v>280</v>
          </cell>
          <cell r="I58">
            <v>0</v>
          </cell>
          <cell r="J58">
            <v>1.113</v>
          </cell>
          <cell r="K58">
            <v>0</v>
          </cell>
          <cell r="L58">
            <v>1.113</v>
          </cell>
          <cell r="M58">
            <v>2.9000000000000004</v>
          </cell>
          <cell r="N58">
            <v>2.4499999999999997</v>
          </cell>
          <cell r="O58">
            <v>7.1050000000000004</v>
          </cell>
          <cell r="P58" t="str">
            <v>V</v>
          </cell>
          <cell r="Q58" t="str">
            <v>1"</v>
          </cell>
          <cell r="R58">
            <v>8</v>
          </cell>
          <cell r="S58">
            <v>2.65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101.63200000000001</v>
          </cell>
          <cell r="AD58">
            <v>0</v>
          </cell>
        </row>
        <row r="59">
          <cell r="C59">
            <v>1</v>
          </cell>
          <cell r="D59">
            <v>1</v>
          </cell>
          <cell r="G59">
            <v>2.65</v>
          </cell>
          <cell r="P59" t="str">
            <v>V</v>
          </cell>
          <cell r="Q59" t="str">
            <v>3/4"</v>
          </cell>
          <cell r="R59">
            <v>10</v>
          </cell>
          <cell r="S59">
            <v>2.65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67.2</v>
          </cell>
          <cell r="AC59">
            <v>0</v>
          </cell>
          <cell r="AD59">
            <v>0</v>
          </cell>
        </row>
        <row r="60">
          <cell r="B60" t="str">
            <v>Est</v>
          </cell>
          <cell r="C60">
            <v>1</v>
          </cell>
          <cell r="D60">
            <v>1</v>
          </cell>
          <cell r="E60">
            <v>0.7</v>
          </cell>
          <cell r="F60">
            <v>0.4</v>
          </cell>
          <cell r="G60">
            <v>2.65</v>
          </cell>
          <cell r="Q60" t="str">
            <v>3/8"</v>
          </cell>
          <cell r="R60">
            <v>24</v>
          </cell>
          <cell r="S60">
            <v>2.2000000000000002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29.568000000000005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</row>
        <row r="61">
          <cell r="B61" t="str">
            <v>Est</v>
          </cell>
          <cell r="C61">
            <v>1</v>
          </cell>
          <cell r="D61">
            <v>1</v>
          </cell>
          <cell r="E61">
            <v>0.7</v>
          </cell>
          <cell r="F61">
            <v>0.4</v>
          </cell>
          <cell r="G61">
            <v>2.65</v>
          </cell>
          <cell r="Q61" t="str">
            <v>3/8"</v>
          </cell>
          <cell r="R61">
            <v>24</v>
          </cell>
          <cell r="S61">
            <v>2.2000000000000002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29.568000000000005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</row>
        <row r="62">
          <cell r="B62" t="str">
            <v>Est</v>
          </cell>
          <cell r="C62">
            <v>1</v>
          </cell>
          <cell r="D62">
            <v>1</v>
          </cell>
          <cell r="E62">
            <v>0.3</v>
          </cell>
          <cell r="F62">
            <v>0.4</v>
          </cell>
          <cell r="G62">
            <v>2.65</v>
          </cell>
          <cell r="Q62" t="str">
            <v>3/8"</v>
          </cell>
          <cell r="R62">
            <v>24</v>
          </cell>
          <cell r="S62">
            <v>1.4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18.815999999999999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</row>
        <row r="63">
          <cell r="B63" t="str">
            <v>Est</v>
          </cell>
          <cell r="C63">
            <v>1</v>
          </cell>
          <cell r="D63">
            <v>1</v>
          </cell>
          <cell r="E63">
            <v>0.3</v>
          </cell>
          <cell r="F63">
            <v>0.4</v>
          </cell>
          <cell r="G63">
            <v>2.65</v>
          </cell>
          <cell r="Q63" t="str">
            <v>3/8"</v>
          </cell>
          <cell r="R63">
            <v>24</v>
          </cell>
          <cell r="S63">
            <v>1.4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18.815999999999999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</row>
        <row r="64">
          <cell r="B64" t="str">
            <v>Est</v>
          </cell>
          <cell r="C64">
            <v>1</v>
          </cell>
          <cell r="D64">
            <v>1</v>
          </cell>
          <cell r="E64">
            <v>0.15</v>
          </cell>
          <cell r="F64">
            <v>0.4</v>
          </cell>
          <cell r="G64">
            <v>2.65</v>
          </cell>
          <cell r="Q64" t="str">
            <v>3/8"</v>
          </cell>
          <cell r="R64">
            <v>24</v>
          </cell>
          <cell r="S64">
            <v>0.55000000000000004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7.3920000000000012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</row>
        <row r="65">
          <cell r="B65" t="str">
            <v>7° Piso</v>
          </cell>
          <cell r="C65">
            <v>1</v>
          </cell>
          <cell r="H65">
            <v>280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</row>
        <row r="66">
          <cell r="B66" t="str">
            <v>B1-C-01</v>
          </cell>
          <cell r="C66">
            <v>1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</row>
        <row r="67">
          <cell r="B67" t="str">
            <v>Nucleo B</v>
          </cell>
          <cell r="C67">
            <v>1</v>
          </cell>
          <cell r="D67">
            <v>1</v>
          </cell>
          <cell r="E67">
            <v>1.05</v>
          </cell>
          <cell r="F67">
            <v>0.4</v>
          </cell>
          <cell r="G67">
            <v>2.65</v>
          </cell>
          <cell r="H67">
            <v>280</v>
          </cell>
          <cell r="I67">
            <v>0</v>
          </cell>
          <cell r="J67">
            <v>1.113</v>
          </cell>
          <cell r="K67">
            <v>0</v>
          </cell>
          <cell r="L67">
            <v>1.113</v>
          </cell>
          <cell r="M67">
            <v>2.9000000000000004</v>
          </cell>
          <cell r="N67">
            <v>2.4499999999999997</v>
          </cell>
          <cell r="O67">
            <v>7.1050000000000004</v>
          </cell>
          <cell r="P67" t="str">
            <v>V</v>
          </cell>
          <cell r="Q67" t="str">
            <v>1"</v>
          </cell>
          <cell r="R67">
            <v>8</v>
          </cell>
          <cell r="S67">
            <v>2.65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101.63200000000001</v>
          </cell>
          <cell r="AD67">
            <v>0</v>
          </cell>
        </row>
        <row r="68">
          <cell r="C68">
            <v>1</v>
          </cell>
          <cell r="D68">
            <v>1</v>
          </cell>
          <cell r="G68">
            <v>2.65</v>
          </cell>
          <cell r="P68" t="str">
            <v>V</v>
          </cell>
          <cell r="Q68" t="str">
            <v>3/4"</v>
          </cell>
          <cell r="R68">
            <v>10</v>
          </cell>
          <cell r="S68">
            <v>2.65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67.2</v>
          </cell>
          <cell r="AC68">
            <v>0</v>
          </cell>
          <cell r="AD68">
            <v>0</v>
          </cell>
        </row>
        <row r="69">
          <cell r="B69" t="str">
            <v>Est</v>
          </cell>
          <cell r="C69">
            <v>1</v>
          </cell>
          <cell r="D69">
            <v>1</v>
          </cell>
          <cell r="E69">
            <v>0.7</v>
          </cell>
          <cell r="F69">
            <v>0.4</v>
          </cell>
          <cell r="G69">
            <v>2.65</v>
          </cell>
          <cell r="Q69" t="str">
            <v>3/8"</v>
          </cell>
          <cell r="R69">
            <v>24</v>
          </cell>
          <cell r="S69">
            <v>2.2000000000000002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29.568000000000005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</row>
        <row r="70">
          <cell r="B70" t="str">
            <v>Est</v>
          </cell>
          <cell r="C70">
            <v>1</v>
          </cell>
          <cell r="D70">
            <v>1</v>
          </cell>
          <cell r="E70">
            <v>0.7</v>
          </cell>
          <cell r="F70">
            <v>0.4</v>
          </cell>
          <cell r="G70">
            <v>2.65</v>
          </cell>
          <cell r="Q70" t="str">
            <v>3/8"</v>
          </cell>
          <cell r="R70">
            <v>24</v>
          </cell>
          <cell r="S70">
            <v>2.2000000000000002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29.568000000000005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</row>
        <row r="71">
          <cell r="B71" t="str">
            <v>Est</v>
          </cell>
          <cell r="C71">
            <v>1</v>
          </cell>
          <cell r="D71">
            <v>1</v>
          </cell>
          <cell r="E71">
            <v>0.3</v>
          </cell>
          <cell r="F71">
            <v>0.4</v>
          </cell>
          <cell r="G71">
            <v>2.65</v>
          </cell>
          <cell r="Q71" t="str">
            <v>3/8"</v>
          </cell>
          <cell r="R71">
            <v>24</v>
          </cell>
          <cell r="S71">
            <v>1.4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18.815999999999999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</row>
        <row r="72">
          <cell r="B72" t="str">
            <v>Est</v>
          </cell>
          <cell r="C72">
            <v>1</v>
          </cell>
          <cell r="D72">
            <v>1</v>
          </cell>
          <cell r="E72">
            <v>0.3</v>
          </cell>
          <cell r="F72">
            <v>0.4</v>
          </cell>
          <cell r="G72">
            <v>2.65</v>
          </cell>
          <cell r="Q72" t="str">
            <v>3/8"</v>
          </cell>
          <cell r="R72">
            <v>24</v>
          </cell>
          <cell r="S72">
            <v>1.4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18.815999999999999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</row>
        <row r="73">
          <cell r="B73" t="str">
            <v>Est</v>
          </cell>
          <cell r="C73">
            <v>1</v>
          </cell>
          <cell r="D73">
            <v>1</v>
          </cell>
          <cell r="E73">
            <v>0.15</v>
          </cell>
          <cell r="F73">
            <v>0.4</v>
          </cell>
          <cell r="G73">
            <v>2.65</v>
          </cell>
          <cell r="Q73" t="str">
            <v>3/8"</v>
          </cell>
          <cell r="R73">
            <v>24</v>
          </cell>
          <cell r="S73">
            <v>0.55000000000000004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7.3920000000000012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</row>
        <row r="74">
          <cell r="B74" t="str">
            <v>8° Piso</v>
          </cell>
          <cell r="C74">
            <v>1</v>
          </cell>
          <cell r="H74">
            <v>210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</row>
        <row r="75">
          <cell r="B75" t="str">
            <v>B1-C-01</v>
          </cell>
          <cell r="C75">
            <v>1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</row>
        <row r="76">
          <cell r="B76" t="str">
            <v>Nucleo B</v>
          </cell>
          <cell r="C76">
            <v>1</v>
          </cell>
          <cell r="D76">
            <v>1</v>
          </cell>
          <cell r="E76">
            <v>1.05</v>
          </cell>
          <cell r="F76">
            <v>0.4</v>
          </cell>
          <cell r="G76">
            <v>2.65</v>
          </cell>
          <cell r="H76">
            <v>210</v>
          </cell>
          <cell r="I76">
            <v>1.113</v>
          </cell>
          <cell r="J76">
            <v>0</v>
          </cell>
          <cell r="K76">
            <v>0</v>
          </cell>
          <cell r="L76">
            <v>1.113</v>
          </cell>
          <cell r="M76">
            <v>2.9000000000000004</v>
          </cell>
          <cell r="N76">
            <v>2.4499999999999997</v>
          </cell>
          <cell r="O76">
            <v>7.1050000000000004</v>
          </cell>
          <cell r="P76" t="str">
            <v>V</v>
          </cell>
          <cell r="Q76" t="str">
            <v>3/4"</v>
          </cell>
          <cell r="R76">
            <v>8</v>
          </cell>
          <cell r="S76">
            <v>2.65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53.760000000000005</v>
          </cell>
          <cell r="AC76">
            <v>0</v>
          </cell>
          <cell r="AD76">
            <v>0</v>
          </cell>
        </row>
        <row r="77">
          <cell r="C77">
            <v>1</v>
          </cell>
          <cell r="D77">
            <v>1</v>
          </cell>
          <cell r="G77">
            <v>2.65</v>
          </cell>
          <cell r="P77" t="str">
            <v>V</v>
          </cell>
          <cell r="Q77" t="str">
            <v>3/4"</v>
          </cell>
          <cell r="R77">
            <v>10</v>
          </cell>
          <cell r="S77">
            <v>2.65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67.2</v>
          </cell>
          <cell r="AC77">
            <v>0</v>
          </cell>
          <cell r="AD77">
            <v>0</v>
          </cell>
        </row>
        <row r="78">
          <cell r="B78" t="str">
            <v>Est</v>
          </cell>
          <cell r="C78">
            <v>1</v>
          </cell>
          <cell r="D78">
            <v>1</v>
          </cell>
          <cell r="E78">
            <v>0.7</v>
          </cell>
          <cell r="F78">
            <v>0.4</v>
          </cell>
          <cell r="G78">
            <v>2.65</v>
          </cell>
          <cell r="Q78" t="str">
            <v>3/8"</v>
          </cell>
          <cell r="R78">
            <v>24</v>
          </cell>
          <cell r="S78">
            <v>2.2000000000000002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29.568000000000005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</row>
        <row r="79">
          <cell r="B79" t="str">
            <v>Est</v>
          </cell>
          <cell r="C79">
            <v>1</v>
          </cell>
          <cell r="D79">
            <v>1</v>
          </cell>
          <cell r="E79">
            <v>0.7</v>
          </cell>
          <cell r="F79">
            <v>0.4</v>
          </cell>
          <cell r="G79">
            <v>2.65</v>
          </cell>
          <cell r="Q79" t="str">
            <v>3/8"</v>
          </cell>
          <cell r="R79">
            <v>24</v>
          </cell>
          <cell r="S79">
            <v>2.2000000000000002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29.568000000000005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B80" t="str">
            <v>Est</v>
          </cell>
          <cell r="C80">
            <v>1</v>
          </cell>
          <cell r="D80">
            <v>1</v>
          </cell>
          <cell r="E80">
            <v>0.3</v>
          </cell>
          <cell r="F80">
            <v>0.4</v>
          </cell>
          <cell r="G80">
            <v>2.65</v>
          </cell>
          <cell r="Q80" t="str">
            <v>3/8"</v>
          </cell>
          <cell r="R80">
            <v>24</v>
          </cell>
          <cell r="S80">
            <v>1.4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18.815999999999999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</row>
        <row r="81">
          <cell r="B81" t="str">
            <v>Est</v>
          </cell>
          <cell r="C81">
            <v>1</v>
          </cell>
          <cell r="D81">
            <v>1</v>
          </cell>
          <cell r="E81">
            <v>0.3</v>
          </cell>
          <cell r="F81">
            <v>0.4</v>
          </cell>
          <cell r="G81">
            <v>2.65</v>
          </cell>
          <cell r="Q81" t="str">
            <v>3/8"</v>
          </cell>
          <cell r="R81">
            <v>24</v>
          </cell>
          <cell r="S81">
            <v>1.4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18.815999999999999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</row>
        <row r="82">
          <cell r="B82" t="str">
            <v>Est</v>
          </cell>
          <cell r="C82">
            <v>1</v>
          </cell>
          <cell r="D82">
            <v>1</v>
          </cell>
          <cell r="E82">
            <v>0.15</v>
          </cell>
          <cell r="F82">
            <v>0.4</v>
          </cell>
          <cell r="G82">
            <v>2.65</v>
          </cell>
          <cell r="Q82" t="str">
            <v>3/8"</v>
          </cell>
          <cell r="R82">
            <v>24</v>
          </cell>
          <cell r="S82">
            <v>0.55000000000000004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7.3920000000000012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</row>
        <row r="83">
          <cell r="B83" t="str">
            <v>9° Piso</v>
          </cell>
          <cell r="C83">
            <v>1</v>
          </cell>
          <cell r="H83">
            <v>210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</row>
        <row r="84">
          <cell r="B84" t="str">
            <v>B1-C-01</v>
          </cell>
          <cell r="C84">
            <v>1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</row>
        <row r="85">
          <cell r="B85" t="str">
            <v>Nucleo B</v>
          </cell>
          <cell r="C85">
            <v>1</v>
          </cell>
          <cell r="D85">
            <v>1</v>
          </cell>
          <cell r="E85">
            <v>1.05</v>
          </cell>
          <cell r="F85">
            <v>0.4</v>
          </cell>
          <cell r="G85">
            <v>2.65</v>
          </cell>
          <cell r="H85">
            <v>210</v>
          </cell>
          <cell r="I85">
            <v>1.113</v>
          </cell>
          <cell r="J85">
            <v>0</v>
          </cell>
          <cell r="K85">
            <v>0</v>
          </cell>
          <cell r="L85">
            <v>1.113</v>
          </cell>
          <cell r="M85">
            <v>2.9000000000000004</v>
          </cell>
          <cell r="N85">
            <v>2.4499999999999997</v>
          </cell>
          <cell r="O85">
            <v>7.1050000000000004</v>
          </cell>
          <cell r="P85" t="str">
            <v>V</v>
          </cell>
          <cell r="Q85" t="str">
            <v>3/4"</v>
          </cell>
          <cell r="R85">
            <v>8</v>
          </cell>
          <cell r="S85">
            <v>2.65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53.760000000000005</v>
          </cell>
          <cell r="AC85">
            <v>0</v>
          </cell>
          <cell r="AD85">
            <v>0</v>
          </cell>
        </row>
        <row r="86">
          <cell r="C86">
            <v>1</v>
          </cell>
          <cell r="D86">
            <v>1</v>
          </cell>
          <cell r="G86">
            <v>2.65</v>
          </cell>
          <cell r="P86" t="str">
            <v>V</v>
          </cell>
          <cell r="Q86" t="str">
            <v>3/4"</v>
          </cell>
          <cell r="R86">
            <v>10</v>
          </cell>
          <cell r="S86">
            <v>2.65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67.2</v>
          </cell>
          <cell r="AC86">
            <v>0</v>
          </cell>
          <cell r="AD86">
            <v>0</v>
          </cell>
        </row>
        <row r="87">
          <cell r="B87" t="str">
            <v>Est</v>
          </cell>
          <cell r="C87">
            <v>1</v>
          </cell>
          <cell r="D87">
            <v>1</v>
          </cell>
          <cell r="E87">
            <v>0.7</v>
          </cell>
          <cell r="F87">
            <v>0.4</v>
          </cell>
          <cell r="G87">
            <v>2.65</v>
          </cell>
          <cell r="Q87" t="str">
            <v>3/8"</v>
          </cell>
          <cell r="R87">
            <v>24</v>
          </cell>
          <cell r="S87">
            <v>2.2000000000000002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29.568000000000005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B88" t="str">
            <v>Est</v>
          </cell>
          <cell r="C88">
            <v>1</v>
          </cell>
          <cell r="D88">
            <v>1</v>
          </cell>
          <cell r="E88">
            <v>0.7</v>
          </cell>
          <cell r="F88">
            <v>0.4</v>
          </cell>
          <cell r="G88">
            <v>2.65</v>
          </cell>
          <cell r="Q88" t="str">
            <v>3/8"</v>
          </cell>
          <cell r="R88">
            <v>24</v>
          </cell>
          <cell r="S88">
            <v>2.2000000000000002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29.568000000000005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</row>
        <row r="89">
          <cell r="B89" t="str">
            <v>Est</v>
          </cell>
          <cell r="C89">
            <v>1</v>
          </cell>
          <cell r="D89">
            <v>1</v>
          </cell>
          <cell r="E89">
            <v>0.3</v>
          </cell>
          <cell r="F89">
            <v>0.4</v>
          </cell>
          <cell r="G89">
            <v>2.65</v>
          </cell>
          <cell r="Q89" t="str">
            <v>3/8"</v>
          </cell>
          <cell r="R89">
            <v>24</v>
          </cell>
          <cell r="S89">
            <v>1.4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18.815999999999999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90">
          <cell r="B90" t="str">
            <v>Est</v>
          </cell>
          <cell r="C90">
            <v>1</v>
          </cell>
          <cell r="D90">
            <v>1</v>
          </cell>
          <cell r="E90">
            <v>0.3</v>
          </cell>
          <cell r="F90">
            <v>0.4</v>
          </cell>
          <cell r="G90">
            <v>2.65</v>
          </cell>
          <cell r="Q90" t="str">
            <v>3/8"</v>
          </cell>
          <cell r="R90">
            <v>24</v>
          </cell>
          <cell r="S90">
            <v>1.4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18.815999999999999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</row>
        <row r="91">
          <cell r="B91" t="str">
            <v>Est</v>
          </cell>
          <cell r="C91">
            <v>1</v>
          </cell>
          <cell r="D91">
            <v>1</v>
          </cell>
          <cell r="E91">
            <v>0.15</v>
          </cell>
          <cell r="F91">
            <v>0.4</v>
          </cell>
          <cell r="G91">
            <v>2.65</v>
          </cell>
          <cell r="Q91" t="str">
            <v>3/8"</v>
          </cell>
          <cell r="R91">
            <v>24</v>
          </cell>
          <cell r="S91">
            <v>0.55000000000000004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7.3920000000000012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</row>
        <row r="92">
          <cell r="B92" t="str">
            <v>10° Piso</v>
          </cell>
          <cell r="C92">
            <v>1</v>
          </cell>
          <cell r="H92">
            <v>210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</row>
        <row r="93">
          <cell r="B93" t="str">
            <v>B1-C-01</v>
          </cell>
          <cell r="C93">
            <v>1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</row>
        <row r="94">
          <cell r="B94" t="str">
            <v>Nucleo B</v>
          </cell>
          <cell r="C94">
            <v>1</v>
          </cell>
          <cell r="D94">
            <v>1</v>
          </cell>
          <cell r="E94">
            <v>1.05</v>
          </cell>
          <cell r="F94">
            <v>0.4</v>
          </cell>
          <cell r="G94">
            <v>2.65</v>
          </cell>
          <cell r="H94">
            <v>210</v>
          </cell>
          <cell r="I94">
            <v>1.113</v>
          </cell>
          <cell r="J94">
            <v>0</v>
          </cell>
          <cell r="K94">
            <v>0</v>
          </cell>
          <cell r="L94">
            <v>1.113</v>
          </cell>
          <cell r="M94">
            <v>2.9000000000000004</v>
          </cell>
          <cell r="N94">
            <v>2.4499999999999997</v>
          </cell>
          <cell r="O94">
            <v>7.1050000000000004</v>
          </cell>
          <cell r="P94" t="str">
            <v>V</v>
          </cell>
          <cell r="Q94" t="str">
            <v>3/4"</v>
          </cell>
          <cell r="R94">
            <v>8</v>
          </cell>
          <cell r="S94">
            <v>2.65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53.760000000000005</v>
          </cell>
          <cell r="AC94">
            <v>0</v>
          </cell>
          <cell r="AD94">
            <v>0</v>
          </cell>
        </row>
        <row r="95">
          <cell r="C95">
            <v>1</v>
          </cell>
          <cell r="D95">
            <v>1</v>
          </cell>
          <cell r="G95">
            <v>2.65</v>
          </cell>
          <cell r="P95" t="str">
            <v>V</v>
          </cell>
          <cell r="Q95" t="str">
            <v>3/4"</v>
          </cell>
          <cell r="R95">
            <v>10</v>
          </cell>
          <cell r="S95">
            <v>2.65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67.2</v>
          </cell>
          <cell r="AC95">
            <v>0</v>
          </cell>
          <cell r="AD95">
            <v>0</v>
          </cell>
        </row>
        <row r="96">
          <cell r="B96" t="str">
            <v>Est</v>
          </cell>
          <cell r="C96">
            <v>1</v>
          </cell>
          <cell r="D96">
            <v>1</v>
          </cell>
          <cell r="E96">
            <v>0.7</v>
          </cell>
          <cell r="F96">
            <v>0.4</v>
          </cell>
          <cell r="G96">
            <v>2.65</v>
          </cell>
          <cell r="Q96" t="str">
            <v>3/8"</v>
          </cell>
          <cell r="R96">
            <v>24</v>
          </cell>
          <cell r="S96">
            <v>2.2000000000000002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29.568000000000005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</row>
        <row r="97">
          <cell r="B97" t="str">
            <v>Est</v>
          </cell>
          <cell r="C97">
            <v>1</v>
          </cell>
          <cell r="D97">
            <v>1</v>
          </cell>
          <cell r="E97">
            <v>0.7</v>
          </cell>
          <cell r="F97">
            <v>0.4</v>
          </cell>
          <cell r="G97">
            <v>2.65</v>
          </cell>
          <cell r="Q97" t="str">
            <v>3/8"</v>
          </cell>
          <cell r="R97">
            <v>24</v>
          </cell>
          <cell r="S97">
            <v>2.2000000000000002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29.568000000000005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</row>
        <row r="98">
          <cell r="B98" t="str">
            <v>Est</v>
          </cell>
          <cell r="C98">
            <v>1</v>
          </cell>
          <cell r="D98">
            <v>1</v>
          </cell>
          <cell r="E98">
            <v>0.3</v>
          </cell>
          <cell r="F98">
            <v>0.4</v>
          </cell>
          <cell r="G98">
            <v>2.65</v>
          </cell>
          <cell r="Q98" t="str">
            <v>3/8"</v>
          </cell>
          <cell r="R98">
            <v>24</v>
          </cell>
          <cell r="S98">
            <v>1.4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18.815999999999999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</row>
        <row r="99">
          <cell r="B99" t="str">
            <v>Est</v>
          </cell>
          <cell r="C99">
            <v>1</v>
          </cell>
          <cell r="D99">
            <v>1</v>
          </cell>
          <cell r="E99">
            <v>0.3</v>
          </cell>
          <cell r="F99">
            <v>0.4</v>
          </cell>
          <cell r="G99">
            <v>2.65</v>
          </cell>
          <cell r="Q99" t="str">
            <v>3/8"</v>
          </cell>
          <cell r="R99">
            <v>24</v>
          </cell>
          <cell r="S99">
            <v>1.4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18.815999999999999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</row>
        <row r="100">
          <cell r="B100" t="str">
            <v>Est</v>
          </cell>
          <cell r="C100">
            <v>1</v>
          </cell>
          <cell r="D100">
            <v>1</v>
          </cell>
          <cell r="E100">
            <v>0.15</v>
          </cell>
          <cell r="F100">
            <v>0.4</v>
          </cell>
          <cell r="G100">
            <v>2.65</v>
          </cell>
          <cell r="Q100" t="str">
            <v>3/8"</v>
          </cell>
          <cell r="R100">
            <v>24</v>
          </cell>
          <cell r="S100">
            <v>0.55000000000000004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7.3920000000000012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</row>
        <row r="101"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</row>
        <row r="102">
          <cell r="B102" t="str">
            <v>11°-13° Piso</v>
          </cell>
          <cell r="C102">
            <v>3</v>
          </cell>
          <cell r="H102">
            <v>210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B103" t="str">
            <v>B1-C-01</v>
          </cell>
          <cell r="C103">
            <v>3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B104" t="str">
            <v>Nucleo B</v>
          </cell>
          <cell r="C104">
            <v>3</v>
          </cell>
          <cell r="D104">
            <v>1</v>
          </cell>
          <cell r="E104">
            <v>1.05</v>
          </cell>
          <cell r="F104">
            <v>0.4</v>
          </cell>
          <cell r="G104">
            <v>2.65</v>
          </cell>
          <cell r="H104">
            <v>210</v>
          </cell>
          <cell r="I104">
            <v>3.3390000000000004</v>
          </cell>
          <cell r="J104">
            <v>0</v>
          </cell>
          <cell r="K104">
            <v>0</v>
          </cell>
          <cell r="L104">
            <v>3.3390000000000004</v>
          </cell>
          <cell r="M104">
            <v>2.9000000000000004</v>
          </cell>
          <cell r="N104">
            <v>2.4499999999999997</v>
          </cell>
          <cell r="O104">
            <v>21.315000000000001</v>
          </cell>
          <cell r="P104" t="str">
            <v>V</v>
          </cell>
          <cell r="Q104" t="str">
            <v>3/4"</v>
          </cell>
          <cell r="R104">
            <v>8</v>
          </cell>
          <cell r="S104">
            <v>2.65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161.28000000000003</v>
          </cell>
          <cell r="AC104">
            <v>0</v>
          </cell>
          <cell r="AD104">
            <v>0</v>
          </cell>
        </row>
        <row r="105">
          <cell r="C105">
            <v>3</v>
          </cell>
          <cell r="D105">
            <v>1</v>
          </cell>
          <cell r="G105">
            <v>2.65</v>
          </cell>
          <cell r="P105" t="str">
            <v>V</v>
          </cell>
          <cell r="Q105" t="str">
            <v>3/4"</v>
          </cell>
          <cell r="R105">
            <v>10</v>
          </cell>
          <cell r="S105">
            <v>2.65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201.60000000000002</v>
          </cell>
          <cell r="AC105">
            <v>0</v>
          </cell>
          <cell r="AD105">
            <v>0</v>
          </cell>
        </row>
        <row r="106">
          <cell r="B106" t="str">
            <v>Est</v>
          </cell>
          <cell r="C106">
            <v>3</v>
          </cell>
          <cell r="D106">
            <v>1</v>
          </cell>
          <cell r="E106">
            <v>0.7</v>
          </cell>
          <cell r="F106">
            <v>0.4</v>
          </cell>
          <cell r="G106">
            <v>2.65</v>
          </cell>
          <cell r="Q106" t="str">
            <v>3/8"</v>
          </cell>
          <cell r="R106">
            <v>24</v>
          </cell>
          <cell r="S106">
            <v>2.2000000000000002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88.704000000000008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7">
          <cell r="B107" t="str">
            <v>Est</v>
          </cell>
          <cell r="C107">
            <v>3</v>
          </cell>
          <cell r="D107">
            <v>1</v>
          </cell>
          <cell r="E107">
            <v>0.7</v>
          </cell>
          <cell r="F107">
            <v>0.4</v>
          </cell>
          <cell r="G107">
            <v>2.65</v>
          </cell>
          <cell r="Q107" t="str">
            <v>3/8"</v>
          </cell>
          <cell r="R107">
            <v>24</v>
          </cell>
          <cell r="S107">
            <v>2.2000000000000002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88.704000000000008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</row>
        <row r="108">
          <cell r="B108" t="str">
            <v>Est</v>
          </cell>
          <cell r="C108">
            <v>3</v>
          </cell>
          <cell r="D108">
            <v>1</v>
          </cell>
          <cell r="E108">
            <v>0.3</v>
          </cell>
          <cell r="F108">
            <v>0.4</v>
          </cell>
          <cell r="G108">
            <v>2.65</v>
          </cell>
          <cell r="Q108" t="str">
            <v>3/8"</v>
          </cell>
          <cell r="R108">
            <v>24</v>
          </cell>
          <cell r="S108">
            <v>1.4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56.447999999999993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B109" t="str">
            <v>Est</v>
          </cell>
          <cell r="C109">
            <v>3</v>
          </cell>
          <cell r="D109">
            <v>1</v>
          </cell>
          <cell r="E109">
            <v>0.3</v>
          </cell>
          <cell r="F109">
            <v>0.4</v>
          </cell>
          <cell r="G109">
            <v>2.65</v>
          </cell>
          <cell r="Q109" t="str">
            <v>3/8"</v>
          </cell>
          <cell r="R109">
            <v>24</v>
          </cell>
          <cell r="S109">
            <v>1.4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56.447999999999993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10">
          <cell r="B110" t="str">
            <v>Est</v>
          </cell>
          <cell r="C110">
            <v>3</v>
          </cell>
          <cell r="D110">
            <v>1</v>
          </cell>
          <cell r="E110">
            <v>0.15</v>
          </cell>
          <cell r="F110">
            <v>0.4</v>
          </cell>
          <cell r="G110">
            <v>2.65</v>
          </cell>
          <cell r="Q110" t="str">
            <v>3/8"</v>
          </cell>
          <cell r="R110">
            <v>24</v>
          </cell>
          <cell r="S110">
            <v>0.55000000000000004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22.176000000000002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1">
          <cell r="B111" t="str">
            <v>14° Piso</v>
          </cell>
          <cell r="C111">
            <v>1</v>
          </cell>
          <cell r="H111">
            <v>210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</row>
        <row r="112">
          <cell r="B112" t="str">
            <v>B1-C-01</v>
          </cell>
          <cell r="C112">
            <v>1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</row>
        <row r="113">
          <cell r="B113" t="str">
            <v>Nucleo B</v>
          </cell>
          <cell r="C113">
            <v>1</v>
          </cell>
          <cell r="D113">
            <v>1</v>
          </cell>
          <cell r="E113">
            <v>1.05</v>
          </cell>
          <cell r="F113">
            <v>0.4</v>
          </cell>
          <cell r="G113">
            <v>2.65</v>
          </cell>
          <cell r="H113">
            <v>210</v>
          </cell>
          <cell r="I113">
            <v>1.113</v>
          </cell>
          <cell r="J113">
            <v>0</v>
          </cell>
          <cell r="K113">
            <v>0</v>
          </cell>
          <cell r="L113">
            <v>1.113</v>
          </cell>
          <cell r="M113">
            <v>2.9000000000000004</v>
          </cell>
          <cell r="N113">
            <v>2.4499999999999997</v>
          </cell>
          <cell r="O113">
            <v>7.1050000000000004</v>
          </cell>
          <cell r="P113" t="str">
            <v>V</v>
          </cell>
          <cell r="Q113" t="str">
            <v>3/4"</v>
          </cell>
          <cell r="R113">
            <v>8</v>
          </cell>
          <cell r="S113">
            <v>2.65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53.760000000000005</v>
          </cell>
          <cell r="AC113">
            <v>0</v>
          </cell>
          <cell r="AD113">
            <v>0</v>
          </cell>
        </row>
        <row r="114">
          <cell r="C114">
            <v>1</v>
          </cell>
          <cell r="D114">
            <v>1</v>
          </cell>
          <cell r="G114">
            <v>2.65</v>
          </cell>
          <cell r="P114" t="str">
            <v>V</v>
          </cell>
          <cell r="Q114" t="str">
            <v>3/4"</v>
          </cell>
          <cell r="R114">
            <v>10</v>
          </cell>
          <cell r="S114">
            <v>2.65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67.2</v>
          </cell>
          <cell r="AC114">
            <v>0</v>
          </cell>
          <cell r="AD114">
            <v>0</v>
          </cell>
        </row>
        <row r="115">
          <cell r="B115" t="str">
            <v>Est</v>
          </cell>
          <cell r="C115">
            <v>1</v>
          </cell>
          <cell r="D115">
            <v>1</v>
          </cell>
          <cell r="E115">
            <v>0.7</v>
          </cell>
          <cell r="F115">
            <v>0.4</v>
          </cell>
          <cell r="G115">
            <v>2.65</v>
          </cell>
          <cell r="Q115" t="str">
            <v>3/8"</v>
          </cell>
          <cell r="R115">
            <v>24</v>
          </cell>
          <cell r="S115">
            <v>2.2000000000000002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29.568000000000005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</row>
        <row r="116">
          <cell r="B116" t="str">
            <v>Est</v>
          </cell>
          <cell r="C116">
            <v>1</v>
          </cell>
          <cell r="D116">
            <v>1</v>
          </cell>
          <cell r="E116">
            <v>0.7</v>
          </cell>
          <cell r="F116">
            <v>0.4</v>
          </cell>
          <cell r="G116">
            <v>2.65</v>
          </cell>
          <cell r="Q116" t="str">
            <v>3/8"</v>
          </cell>
          <cell r="R116">
            <v>24</v>
          </cell>
          <cell r="S116">
            <v>2.2000000000000002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29.568000000000005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</row>
        <row r="117">
          <cell r="B117" t="str">
            <v>Est</v>
          </cell>
          <cell r="C117">
            <v>1</v>
          </cell>
          <cell r="D117">
            <v>1</v>
          </cell>
          <cell r="E117">
            <v>0.3</v>
          </cell>
          <cell r="F117">
            <v>0.4</v>
          </cell>
          <cell r="G117">
            <v>2.65</v>
          </cell>
          <cell r="Q117" t="str">
            <v>3/8"</v>
          </cell>
          <cell r="R117">
            <v>24</v>
          </cell>
          <cell r="S117">
            <v>1.4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18.815999999999999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18">
          <cell r="B118" t="str">
            <v>Est</v>
          </cell>
          <cell r="C118">
            <v>1</v>
          </cell>
          <cell r="D118">
            <v>1</v>
          </cell>
          <cell r="E118">
            <v>0.3</v>
          </cell>
          <cell r="F118">
            <v>0.4</v>
          </cell>
          <cell r="G118">
            <v>2.65</v>
          </cell>
          <cell r="Q118" t="str">
            <v>3/8"</v>
          </cell>
          <cell r="R118">
            <v>24</v>
          </cell>
          <cell r="S118">
            <v>1.4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18.815999999999999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</row>
        <row r="119">
          <cell r="B119" t="str">
            <v>Est</v>
          </cell>
          <cell r="C119">
            <v>1</v>
          </cell>
          <cell r="D119">
            <v>1</v>
          </cell>
          <cell r="E119">
            <v>0.15</v>
          </cell>
          <cell r="F119">
            <v>0.4</v>
          </cell>
          <cell r="G119">
            <v>2.65</v>
          </cell>
          <cell r="Q119" t="str">
            <v>3/8"</v>
          </cell>
          <cell r="R119">
            <v>24</v>
          </cell>
          <cell r="S119">
            <v>0.55000000000000004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7.3920000000000012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</row>
        <row r="120">
          <cell r="B120" t="str">
            <v>15° Piso</v>
          </cell>
          <cell r="C120">
            <v>1</v>
          </cell>
          <cell r="H120">
            <v>210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</row>
        <row r="121">
          <cell r="B121" t="str">
            <v>B1-C-01</v>
          </cell>
          <cell r="C121">
            <v>1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</row>
        <row r="122">
          <cell r="B122" t="str">
            <v>Nucleo B</v>
          </cell>
          <cell r="C122">
            <v>1</v>
          </cell>
          <cell r="D122">
            <v>1</v>
          </cell>
          <cell r="E122">
            <v>1.05</v>
          </cell>
          <cell r="F122">
            <v>0.4</v>
          </cell>
          <cell r="G122">
            <v>2.65</v>
          </cell>
          <cell r="H122">
            <v>210</v>
          </cell>
          <cell r="I122">
            <v>1.113</v>
          </cell>
          <cell r="J122">
            <v>0</v>
          </cell>
          <cell r="K122">
            <v>0</v>
          </cell>
          <cell r="L122">
            <v>1.113</v>
          </cell>
          <cell r="M122">
            <v>2.9000000000000004</v>
          </cell>
          <cell r="N122">
            <v>2.4499999999999997</v>
          </cell>
          <cell r="O122">
            <v>7.1050000000000004</v>
          </cell>
          <cell r="P122" t="str">
            <v>V</v>
          </cell>
          <cell r="Q122" t="str">
            <v>3/4"</v>
          </cell>
          <cell r="R122">
            <v>8</v>
          </cell>
          <cell r="S122">
            <v>2.65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53.760000000000005</v>
          </cell>
          <cell r="AC122">
            <v>0</v>
          </cell>
          <cell r="AD122">
            <v>0</v>
          </cell>
        </row>
        <row r="123">
          <cell r="C123">
            <v>1</v>
          </cell>
          <cell r="D123">
            <v>1</v>
          </cell>
          <cell r="G123">
            <v>2.65</v>
          </cell>
          <cell r="P123" t="str">
            <v>V</v>
          </cell>
          <cell r="Q123" t="str">
            <v>3/4"</v>
          </cell>
          <cell r="R123">
            <v>10</v>
          </cell>
          <cell r="S123">
            <v>2.65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67.2</v>
          </cell>
          <cell r="AC123">
            <v>0</v>
          </cell>
          <cell r="AD123">
            <v>0</v>
          </cell>
        </row>
        <row r="124">
          <cell r="B124" t="str">
            <v>Est</v>
          </cell>
          <cell r="C124">
            <v>1</v>
          </cell>
          <cell r="D124">
            <v>1</v>
          </cell>
          <cell r="E124">
            <v>0.7</v>
          </cell>
          <cell r="F124">
            <v>0.4</v>
          </cell>
          <cell r="G124">
            <v>2.65</v>
          </cell>
          <cell r="Q124" t="str">
            <v>3/8"</v>
          </cell>
          <cell r="R124">
            <v>24</v>
          </cell>
          <cell r="S124">
            <v>2.2000000000000002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29.568000000000005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</row>
        <row r="125">
          <cell r="B125" t="str">
            <v>Est</v>
          </cell>
          <cell r="C125">
            <v>1</v>
          </cell>
          <cell r="D125">
            <v>1</v>
          </cell>
          <cell r="E125">
            <v>0.7</v>
          </cell>
          <cell r="F125">
            <v>0.4</v>
          </cell>
          <cell r="G125">
            <v>2.65</v>
          </cell>
          <cell r="Q125" t="str">
            <v>3/8"</v>
          </cell>
          <cell r="R125">
            <v>24</v>
          </cell>
          <cell r="S125">
            <v>2.2000000000000002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29.568000000000005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</row>
        <row r="126">
          <cell r="B126" t="str">
            <v>Est</v>
          </cell>
          <cell r="C126">
            <v>1</v>
          </cell>
          <cell r="D126">
            <v>1</v>
          </cell>
          <cell r="E126">
            <v>0.3</v>
          </cell>
          <cell r="F126">
            <v>0.4</v>
          </cell>
          <cell r="G126">
            <v>2.65</v>
          </cell>
          <cell r="Q126" t="str">
            <v>3/8"</v>
          </cell>
          <cell r="R126">
            <v>24</v>
          </cell>
          <cell r="S126">
            <v>1.4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18.815999999999999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B127" t="str">
            <v>Est</v>
          </cell>
          <cell r="C127">
            <v>1</v>
          </cell>
          <cell r="D127">
            <v>1</v>
          </cell>
          <cell r="E127">
            <v>0.3</v>
          </cell>
          <cell r="F127">
            <v>0.4</v>
          </cell>
          <cell r="G127">
            <v>2.65</v>
          </cell>
          <cell r="Q127" t="str">
            <v>3/8"</v>
          </cell>
          <cell r="R127">
            <v>24</v>
          </cell>
          <cell r="S127">
            <v>1.4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18.815999999999999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</row>
        <row r="128">
          <cell r="B128" t="str">
            <v>Est</v>
          </cell>
          <cell r="C128">
            <v>1</v>
          </cell>
          <cell r="D128">
            <v>1</v>
          </cell>
          <cell r="E128">
            <v>0.15</v>
          </cell>
          <cell r="F128">
            <v>0.4</v>
          </cell>
          <cell r="G128">
            <v>2.65</v>
          </cell>
          <cell r="Q128" t="str">
            <v>3/8"</v>
          </cell>
          <cell r="R128">
            <v>24</v>
          </cell>
          <cell r="S128">
            <v>0.55000000000000004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7.3920000000000012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</row>
        <row r="129">
          <cell r="B129" t="str">
            <v>AZOTEA</v>
          </cell>
          <cell r="C129">
            <v>1</v>
          </cell>
          <cell r="H129">
            <v>210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</row>
        <row r="130">
          <cell r="B130" t="str">
            <v>B1-CA-01</v>
          </cell>
          <cell r="C130">
            <v>1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1">
          <cell r="B131" t="str">
            <v>Nucleo B</v>
          </cell>
          <cell r="C131">
            <v>1</v>
          </cell>
          <cell r="D131">
            <v>5</v>
          </cell>
          <cell r="E131">
            <v>0.25</v>
          </cell>
          <cell r="F131">
            <v>0.25</v>
          </cell>
          <cell r="G131">
            <v>2.65</v>
          </cell>
          <cell r="H131">
            <v>210</v>
          </cell>
          <cell r="I131">
            <v>0.828125</v>
          </cell>
          <cell r="J131">
            <v>0</v>
          </cell>
          <cell r="K131">
            <v>0</v>
          </cell>
          <cell r="L131">
            <v>0.828125</v>
          </cell>
          <cell r="M131">
            <v>1</v>
          </cell>
          <cell r="N131">
            <v>2.4499999999999997</v>
          </cell>
          <cell r="O131">
            <v>12.249999999999998</v>
          </cell>
          <cell r="P131" t="str">
            <v>V</v>
          </cell>
          <cell r="Q131" t="str">
            <v>5/8"</v>
          </cell>
          <cell r="R131">
            <v>8</v>
          </cell>
          <cell r="S131">
            <v>2.65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168.02</v>
          </cell>
          <cell r="AB131">
            <v>0</v>
          </cell>
          <cell r="AC131">
            <v>0</v>
          </cell>
          <cell r="AD131">
            <v>0</v>
          </cell>
        </row>
        <row r="132">
          <cell r="B132" t="str">
            <v>Est</v>
          </cell>
          <cell r="C132">
            <v>1</v>
          </cell>
          <cell r="D132">
            <v>5</v>
          </cell>
          <cell r="E132">
            <v>0.25</v>
          </cell>
          <cell r="F132">
            <v>0.25</v>
          </cell>
          <cell r="G132">
            <v>2.65</v>
          </cell>
          <cell r="Q132" t="str">
            <v>3/8"</v>
          </cell>
          <cell r="R132">
            <v>24</v>
          </cell>
          <cell r="S132">
            <v>1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67.2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</row>
        <row r="136">
          <cell r="A136" t="str">
            <v>COL-CON280</v>
          </cell>
          <cell r="B136" t="str">
            <v>Concreto f'c= 280 kg/cm2</v>
          </cell>
          <cell r="D136" t="str">
            <v>M3</v>
          </cell>
          <cell r="E136">
            <v>7.7909999999999986</v>
          </cell>
          <cell r="L136">
            <v>17.523124999999997</v>
          </cell>
        </row>
        <row r="137">
          <cell r="A137" t="str">
            <v>COL-CON210</v>
          </cell>
          <cell r="B137" t="str">
            <v>Concreto f'c= 210 kg/cm2</v>
          </cell>
          <cell r="D137" t="str">
            <v>M3</v>
          </cell>
          <cell r="E137">
            <v>9.7321249999999999</v>
          </cell>
        </row>
        <row r="138">
          <cell r="A138" t="str">
            <v>COL-ENC</v>
          </cell>
          <cell r="B138" t="str">
            <v>Encofrado y desencofrado</v>
          </cell>
          <cell r="D138" t="str">
            <v>M2</v>
          </cell>
          <cell r="E138">
            <v>118.82500000000003</v>
          </cell>
        </row>
        <row r="139">
          <cell r="A139" t="str">
            <v>COL-ACE</v>
          </cell>
          <cell r="B139" t="str">
            <v>Acero de refuerzo</v>
          </cell>
          <cell r="D139" t="str">
            <v>KG</v>
          </cell>
          <cell r="E139">
            <v>4104.4679999999998</v>
          </cell>
        </row>
        <row r="144">
          <cell r="B144" t="str">
            <v>PLACAS</v>
          </cell>
        </row>
        <row r="147">
          <cell r="B147" t="str">
            <v>1 PISO</v>
          </cell>
          <cell r="H147">
            <v>280</v>
          </cell>
        </row>
        <row r="149">
          <cell r="B149" t="str">
            <v>B1-PL-01</v>
          </cell>
        </row>
        <row r="150">
          <cell r="B150" t="str">
            <v>Acero Vert</v>
          </cell>
          <cell r="C150">
            <v>1</v>
          </cell>
          <cell r="D150">
            <v>1</v>
          </cell>
          <cell r="E150">
            <v>4.2300000000000004</v>
          </cell>
          <cell r="F150">
            <v>0.2</v>
          </cell>
          <cell r="G150">
            <v>4.16</v>
          </cell>
          <cell r="H150">
            <v>280</v>
          </cell>
          <cell r="I150">
            <v>0</v>
          </cell>
          <cell r="J150">
            <v>3.5193600000000003</v>
          </cell>
          <cell r="K150">
            <v>0</v>
          </cell>
          <cell r="L150">
            <v>3.5193600000000003</v>
          </cell>
          <cell r="M150">
            <v>8.8600000000000012</v>
          </cell>
          <cell r="N150">
            <v>3.96</v>
          </cell>
          <cell r="O150">
            <v>35.085600000000007</v>
          </cell>
          <cell r="P150" t="str">
            <v>V</v>
          </cell>
          <cell r="Q150" t="str">
            <v>3/8"</v>
          </cell>
          <cell r="R150">
            <v>28</v>
          </cell>
          <cell r="S150">
            <v>4.66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80.908800000000014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</row>
        <row r="151">
          <cell r="B151" t="str">
            <v>Acero Hor</v>
          </cell>
          <cell r="C151">
            <v>1</v>
          </cell>
          <cell r="D151">
            <v>1</v>
          </cell>
          <cell r="G151">
            <v>4.16</v>
          </cell>
          <cell r="P151" t="str">
            <v>H</v>
          </cell>
          <cell r="Q151" t="str">
            <v>1/2"</v>
          </cell>
          <cell r="R151">
            <v>44</v>
          </cell>
          <cell r="S151">
            <v>4.53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197.32680000000002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2">
          <cell r="B152" t="str">
            <v>Nucleo A</v>
          </cell>
          <cell r="C152">
            <v>1</v>
          </cell>
          <cell r="D152">
            <v>1</v>
          </cell>
          <cell r="E152">
            <v>1</v>
          </cell>
          <cell r="F152">
            <v>0.2</v>
          </cell>
          <cell r="G152">
            <v>4.16</v>
          </cell>
          <cell r="P152" t="str">
            <v>V</v>
          </cell>
          <cell r="Q152" t="str">
            <v>1"</v>
          </cell>
          <cell r="R152">
            <v>14</v>
          </cell>
          <cell r="S152">
            <v>4.16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261.78179999999998</v>
          </cell>
          <cell r="AD152">
            <v>0</v>
          </cell>
        </row>
        <row r="153">
          <cell r="B153" t="str">
            <v>Est</v>
          </cell>
          <cell r="C153">
            <v>1</v>
          </cell>
          <cell r="D153">
            <v>1</v>
          </cell>
          <cell r="E153">
            <v>0.7</v>
          </cell>
          <cell r="F153">
            <v>0.2</v>
          </cell>
          <cell r="G153">
            <v>4.16</v>
          </cell>
          <cell r="Q153" t="str">
            <v>3/8"</v>
          </cell>
          <cell r="R153">
            <v>21</v>
          </cell>
          <cell r="S153">
            <v>1.7999999999999998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21.167999999999999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</row>
        <row r="154">
          <cell r="B154" t="str">
            <v>Est</v>
          </cell>
          <cell r="C154">
            <v>1</v>
          </cell>
          <cell r="D154">
            <v>1</v>
          </cell>
          <cell r="E154">
            <v>0.7</v>
          </cell>
          <cell r="F154">
            <v>0.2</v>
          </cell>
          <cell r="G154">
            <v>4.16</v>
          </cell>
          <cell r="Q154" t="str">
            <v>3/8"</v>
          </cell>
          <cell r="R154">
            <v>21</v>
          </cell>
          <cell r="S154">
            <v>1.7999999999999998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21.167999999999999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</row>
        <row r="155">
          <cell r="B155" t="str">
            <v>Est</v>
          </cell>
          <cell r="C155">
            <v>1</v>
          </cell>
          <cell r="D155">
            <v>1</v>
          </cell>
          <cell r="E155">
            <v>0.7</v>
          </cell>
          <cell r="F155">
            <v>0.25</v>
          </cell>
          <cell r="G155">
            <v>4.16</v>
          </cell>
          <cell r="Q155" t="str">
            <v>3/8"</v>
          </cell>
          <cell r="R155">
            <v>21</v>
          </cell>
          <cell r="S155">
            <v>1.9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22.344000000000001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</row>
        <row r="156">
          <cell r="B156" t="str">
            <v>Est</v>
          </cell>
          <cell r="C156">
            <v>1</v>
          </cell>
          <cell r="D156">
            <v>1</v>
          </cell>
          <cell r="E156">
            <v>0.15</v>
          </cell>
          <cell r="F156">
            <v>0.25</v>
          </cell>
          <cell r="G156">
            <v>4.16</v>
          </cell>
          <cell r="Q156" t="str">
            <v>3/8"</v>
          </cell>
          <cell r="R156">
            <v>21</v>
          </cell>
          <cell r="S156">
            <v>0.4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4.7040000000000006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57">
          <cell r="B157" t="str">
            <v>Acero Vert</v>
          </cell>
          <cell r="C157">
            <v>1</v>
          </cell>
          <cell r="D157">
            <v>1</v>
          </cell>
          <cell r="E157">
            <v>5.3999999999999995</v>
          </cell>
          <cell r="F157">
            <v>0.2</v>
          </cell>
          <cell r="G157">
            <v>4.16</v>
          </cell>
          <cell r="H157">
            <v>280</v>
          </cell>
          <cell r="I157">
            <v>0</v>
          </cell>
          <cell r="J157">
            <v>4.4927999999999999</v>
          </cell>
          <cell r="K157">
            <v>0</v>
          </cell>
          <cell r="L157">
            <v>4.4927999999999999</v>
          </cell>
          <cell r="M157">
            <v>11.2</v>
          </cell>
          <cell r="N157">
            <v>3.96</v>
          </cell>
          <cell r="O157">
            <v>44.351999999999997</v>
          </cell>
          <cell r="P157" t="str">
            <v>V</v>
          </cell>
          <cell r="Q157" t="str">
            <v>3/8"</v>
          </cell>
          <cell r="R157">
            <v>38</v>
          </cell>
          <cell r="S157">
            <v>4.66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109.80480000000001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</row>
        <row r="158">
          <cell r="B158" t="str">
            <v>Acero Hor</v>
          </cell>
          <cell r="C158">
            <v>1</v>
          </cell>
          <cell r="D158">
            <v>1</v>
          </cell>
          <cell r="G158">
            <v>4.16</v>
          </cell>
          <cell r="P158" t="str">
            <v>H</v>
          </cell>
          <cell r="Q158" t="str">
            <v>3/8"</v>
          </cell>
          <cell r="R158">
            <v>36</v>
          </cell>
          <cell r="S158">
            <v>5.8999999999999995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118.944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B159" t="str">
            <v>Nucleo A</v>
          </cell>
          <cell r="C159">
            <v>1</v>
          </cell>
          <cell r="D159">
            <v>1</v>
          </cell>
          <cell r="E159">
            <v>0.6</v>
          </cell>
          <cell r="F159">
            <v>0.2</v>
          </cell>
          <cell r="G159">
            <v>4.16</v>
          </cell>
          <cell r="P159" t="str">
            <v>V</v>
          </cell>
          <cell r="Q159" t="str">
            <v>1"</v>
          </cell>
          <cell r="R159">
            <v>8</v>
          </cell>
          <cell r="S159">
            <v>4.16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149.58960000000002</v>
          </cell>
          <cell r="AD159">
            <v>0</v>
          </cell>
        </row>
        <row r="160">
          <cell r="B160" t="str">
            <v>Est</v>
          </cell>
          <cell r="C160">
            <v>1</v>
          </cell>
          <cell r="D160">
            <v>1</v>
          </cell>
          <cell r="E160">
            <v>0.4</v>
          </cell>
          <cell r="F160">
            <v>0.2</v>
          </cell>
          <cell r="G160">
            <v>4.16</v>
          </cell>
          <cell r="Q160" t="str">
            <v>3/8"</v>
          </cell>
          <cell r="R160">
            <v>21</v>
          </cell>
          <cell r="S160">
            <v>1.2000000000000002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14.112000000000004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</row>
        <row r="161">
          <cell r="B161" t="str">
            <v>Est</v>
          </cell>
          <cell r="C161">
            <v>1</v>
          </cell>
          <cell r="D161">
            <v>1</v>
          </cell>
          <cell r="E161">
            <v>0.4</v>
          </cell>
          <cell r="F161">
            <v>0.2</v>
          </cell>
          <cell r="G161">
            <v>4.16</v>
          </cell>
          <cell r="Q161" t="str">
            <v>3/8"</v>
          </cell>
          <cell r="R161">
            <v>21</v>
          </cell>
          <cell r="S161">
            <v>1.2000000000000002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14.112000000000004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</row>
        <row r="162">
          <cell r="B162" t="str">
            <v>Nucleo A</v>
          </cell>
          <cell r="C162">
            <v>1</v>
          </cell>
          <cell r="D162">
            <v>1</v>
          </cell>
          <cell r="E162">
            <v>0.2</v>
          </cell>
          <cell r="F162">
            <v>0.2</v>
          </cell>
          <cell r="G162">
            <v>4.16</v>
          </cell>
          <cell r="P162" t="str">
            <v>V</v>
          </cell>
          <cell r="Q162" t="str">
            <v>3/4"</v>
          </cell>
          <cell r="R162">
            <v>4</v>
          </cell>
          <cell r="S162">
            <v>4.16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40.409600000000005</v>
          </cell>
          <cell r="AC162">
            <v>0</v>
          </cell>
          <cell r="AD162">
            <v>0</v>
          </cell>
        </row>
        <row r="163">
          <cell r="B163" t="str">
            <v>Est</v>
          </cell>
          <cell r="C163">
            <v>1</v>
          </cell>
          <cell r="D163">
            <v>1</v>
          </cell>
          <cell r="E163">
            <v>0.2</v>
          </cell>
          <cell r="F163">
            <v>0.2</v>
          </cell>
          <cell r="G163">
            <v>4.16</v>
          </cell>
          <cell r="Q163" t="str">
            <v>3/8"</v>
          </cell>
          <cell r="R163">
            <v>21</v>
          </cell>
          <cell r="S163">
            <v>0.8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9.4080000000000013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</row>
        <row r="164">
          <cell r="B164" t="str">
            <v>B1-PL-02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</row>
        <row r="165">
          <cell r="B165" t="str">
            <v>Acero Vert</v>
          </cell>
          <cell r="C165">
            <v>1</v>
          </cell>
          <cell r="D165">
            <v>1</v>
          </cell>
          <cell r="E165">
            <v>8.64</v>
          </cell>
          <cell r="F165">
            <v>0.2</v>
          </cell>
          <cell r="G165">
            <v>4.16</v>
          </cell>
          <cell r="H165">
            <v>280</v>
          </cell>
          <cell r="I165">
            <v>0</v>
          </cell>
          <cell r="J165">
            <v>7.1884800000000011</v>
          </cell>
          <cell r="K165">
            <v>0</v>
          </cell>
          <cell r="L165">
            <v>7.1884800000000011</v>
          </cell>
          <cell r="M165">
            <v>17.68</v>
          </cell>
          <cell r="N165">
            <v>3.96</v>
          </cell>
          <cell r="O165">
            <v>70.012799999999999</v>
          </cell>
          <cell r="P165" t="str">
            <v>V</v>
          </cell>
          <cell r="Q165" t="str">
            <v>3/8"</v>
          </cell>
          <cell r="R165">
            <v>62</v>
          </cell>
          <cell r="S165">
            <v>4.66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179.15520000000004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66">
          <cell r="B166" t="str">
            <v>Acero Hor</v>
          </cell>
          <cell r="C166">
            <v>1</v>
          </cell>
          <cell r="D166">
            <v>1</v>
          </cell>
          <cell r="G166">
            <v>4.16</v>
          </cell>
          <cell r="P166" t="str">
            <v>H</v>
          </cell>
          <cell r="Q166" t="str">
            <v>3/8"</v>
          </cell>
          <cell r="R166">
            <v>36</v>
          </cell>
          <cell r="S166">
            <v>9.14</v>
          </cell>
          <cell r="T166">
            <v>1</v>
          </cell>
          <cell r="U166">
            <v>0</v>
          </cell>
          <cell r="V166">
            <v>0</v>
          </cell>
          <cell r="W166">
            <v>0</v>
          </cell>
          <cell r="X166">
            <v>192.32640000000001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7">
          <cell r="B167" t="str">
            <v>Nucleo A</v>
          </cell>
          <cell r="C167">
            <v>1</v>
          </cell>
          <cell r="D167">
            <v>1</v>
          </cell>
          <cell r="E167">
            <v>0.6</v>
          </cell>
          <cell r="F167">
            <v>0.2</v>
          </cell>
          <cell r="G167">
            <v>4.16</v>
          </cell>
          <cell r="P167" t="str">
            <v>V</v>
          </cell>
          <cell r="Q167" t="str">
            <v>1"</v>
          </cell>
          <cell r="R167">
            <v>8</v>
          </cell>
          <cell r="S167">
            <v>4.16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149.58960000000002</v>
          </cell>
          <cell r="AD167">
            <v>0</v>
          </cell>
        </row>
        <row r="168">
          <cell r="B168" t="str">
            <v>Est</v>
          </cell>
          <cell r="C168">
            <v>1</v>
          </cell>
          <cell r="D168">
            <v>1</v>
          </cell>
          <cell r="E168">
            <v>0.4</v>
          </cell>
          <cell r="F168">
            <v>0.2</v>
          </cell>
          <cell r="G168">
            <v>4.16</v>
          </cell>
          <cell r="Q168" t="str">
            <v>3/8"</v>
          </cell>
          <cell r="R168">
            <v>17</v>
          </cell>
          <cell r="S168">
            <v>1.2000000000000002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11.424000000000003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</row>
        <row r="169">
          <cell r="B169" t="str">
            <v>Est</v>
          </cell>
          <cell r="C169">
            <v>1</v>
          </cell>
          <cell r="D169">
            <v>1</v>
          </cell>
          <cell r="E169">
            <v>0.4</v>
          </cell>
          <cell r="F169">
            <v>0.2</v>
          </cell>
          <cell r="G169">
            <v>4.16</v>
          </cell>
          <cell r="Q169" t="str">
            <v>3/8"</v>
          </cell>
          <cell r="R169">
            <v>17</v>
          </cell>
          <cell r="S169">
            <v>1.2000000000000002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11.424000000000003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</row>
        <row r="170">
          <cell r="B170" t="str">
            <v>Nucleo A</v>
          </cell>
          <cell r="C170">
            <v>1</v>
          </cell>
          <cell r="D170">
            <v>1</v>
          </cell>
          <cell r="E170">
            <v>0.6</v>
          </cell>
          <cell r="F170">
            <v>0.2</v>
          </cell>
          <cell r="G170">
            <v>4.16</v>
          </cell>
          <cell r="P170" t="str">
            <v>V</v>
          </cell>
          <cell r="Q170" t="str">
            <v>1"</v>
          </cell>
          <cell r="R170">
            <v>8</v>
          </cell>
          <cell r="S170">
            <v>4.16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149.58960000000002</v>
          </cell>
          <cell r="AD170">
            <v>0</v>
          </cell>
        </row>
        <row r="171">
          <cell r="B171" t="str">
            <v>Est</v>
          </cell>
          <cell r="C171">
            <v>1</v>
          </cell>
          <cell r="D171">
            <v>1</v>
          </cell>
          <cell r="E171">
            <v>0.4</v>
          </cell>
          <cell r="F171">
            <v>0.2</v>
          </cell>
          <cell r="G171">
            <v>4.16</v>
          </cell>
          <cell r="Q171" t="str">
            <v>3/8"</v>
          </cell>
          <cell r="R171">
            <v>17</v>
          </cell>
          <cell r="S171">
            <v>1.2000000000000002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11.424000000000003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72">
          <cell r="B172" t="str">
            <v>Est</v>
          </cell>
          <cell r="C172">
            <v>1</v>
          </cell>
          <cell r="D172">
            <v>1</v>
          </cell>
          <cell r="E172">
            <v>0.4</v>
          </cell>
          <cell r="F172">
            <v>0.2</v>
          </cell>
          <cell r="G172">
            <v>4.16</v>
          </cell>
          <cell r="Q172" t="str">
            <v>3/8"</v>
          </cell>
          <cell r="R172">
            <v>17</v>
          </cell>
          <cell r="S172">
            <v>1.2000000000000002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11.424000000000003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</row>
        <row r="173"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</row>
        <row r="174">
          <cell r="B174" t="str">
            <v>B1-PL-03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</row>
        <row r="175">
          <cell r="B175" t="str">
            <v>Acero Vert</v>
          </cell>
          <cell r="C175">
            <v>1</v>
          </cell>
          <cell r="D175">
            <v>1</v>
          </cell>
          <cell r="E175">
            <v>9</v>
          </cell>
          <cell r="F175">
            <v>0.2</v>
          </cell>
          <cell r="G175">
            <v>4.16</v>
          </cell>
          <cell r="H175">
            <v>280</v>
          </cell>
          <cell r="I175">
            <v>0</v>
          </cell>
          <cell r="J175">
            <v>7.4880000000000004</v>
          </cell>
          <cell r="K175">
            <v>0</v>
          </cell>
          <cell r="L175">
            <v>7.4880000000000004</v>
          </cell>
          <cell r="M175">
            <v>18.399999999999999</v>
          </cell>
          <cell r="N175">
            <v>3.96</v>
          </cell>
          <cell r="O175">
            <v>72.86399999999999</v>
          </cell>
          <cell r="P175" t="str">
            <v>V</v>
          </cell>
          <cell r="Q175" t="str">
            <v>3/8"</v>
          </cell>
          <cell r="R175">
            <v>66</v>
          </cell>
          <cell r="S175">
            <v>4.66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190.71360000000001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</row>
        <row r="176">
          <cell r="B176" t="str">
            <v>Acero Hor</v>
          </cell>
          <cell r="C176">
            <v>1</v>
          </cell>
          <cell r="D176">
            <v>1</v>
          </cell>
          <cell r="E176">
            <v>0.3</v>
          </cell>
          <cell r="F176">
            <v>0.4</v>
          </cell>
          <cell r="G176">
            <v>4.16</v>
          </cell>
          <cell r="H176">
            <v>280</v>
          </cell>
          <cell r="I176">
            <v>0</v>
          </cell>
          <cell r="J176">
            <v>0.49919999999999998</v>
          </cell>
          <cell r="K176">
            <v>0</v>
          </cell>
          <cell r="L176">
            <v>0.49919999999999998</v>
          </cell>
          <cell r="M176">
            <v>1.4</v>
          </cell>
          <cell r="N176">
            <v>3.96</v>
          </cell>
          <cell r="O176">
            <v>5.5439999999999996</v>
          </cell>
          <cell r="P176" t="str">
            <v>H</v>
          </cell>
          <cell r="Q176" t="str">
            <v>3/8"</v>
          </cell>
          <cell r="R176">
            <v>36</v>
          </cell>
          <cell r="S176">
            <v>9.3000000000000007</v>
          </cell>
          <cell r="T176">
            <v>1</v>
          </cell>
          <cell r="U176">
            <v>0</v>
          </cell>
          <cell r="V176">
            <v>0</v>
          </cell>
          <cell r="W176">
            <v>0</v>
          </cell>
          <cell r="X176">
            <v>195.55200000000002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</row>
        <row r="177">
          <cell r="B177" t="str">
            <v>Nucleo A</v>
          </cell>
          <cell r="C177">
            <v>1</v>
          </cell>
          <cell r="D177">
            <v>1</v>
          </cell>
          <cell r="E177">
            <v>0.4</v>
          </cell>
          <cell r="F177">
            <v>0.5</v>
          </cell>
          <cell r="G177">
            <v>4.16</v>
          </cell>
          <cell r="P177" t="str">
            <v>V</v>
          </cell>
          <cell r="Q177" t="str">
            <v>1"</v>
          </cell>
          <cell r="R177">
            <v>12</v>
          </cell>
          <cell r="S177">
            <v>4.16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224.38440000000003</v>
          </cell>
          <cell r="AD177">
            <v>0</v>
          </cell>
        </row>
        <row r="178">
          <cell r="B178" t="str">
            <v>Est</v>
          </cell>
          <cell r="C178">
            <v>1</v>
          </cell>
          <cell r="D178">
            <v>1</v>
          </cell>
          <cell r="E178">
            <v>0.4</v>
          </cell>
          <cell r="F178">
            <v>0.5</v>
          </cell>
          <cell r="G178">
            <v>4.16</v>
          </cell>
          <cell r="Q178" t="str">
            <v>1/2"</v>
          </cell>
          <cell r="R178">
            <v>17</v>
          </cell>
          <cell r="S178">
            <v>1.8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30.294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</row>
        <row r="179">
          <cell r="B179" t="str">
            <v>Est</v>
          </cell>
          <cell r="C179">
            <v>1</v>
          </cell>
          <cell r="D179">
            <v>1</v>
          </cell>
          <cell r="E179">
            <v>0.25</v>
          </cell>
          <cell r="F179">
            <v>0.5</v>
          </cell>
          <cell r="G179">
            <v>4.16</v>
          </cell>
          <cell r="Q179" t="str">
            <v>1/2"</v>
          </cell>
          <cell r="R179">
            <v>17</v>
          </cell>
          <cell r="S179">
            <v>1.5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25.245000000000001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</row>
        <row r="180">
          <cell r="B180" t="str">
            <v>Est</v>
          </cell>
          <cell r="C180">
            <v>1</v>
          </cell>
          <cell r="D180">
            <v>1</v>
          </cell>
          <cell r="E180">
            <v>0.4</v>
          </cell>
          <cell r="F180">
            <v>0.1</v>
          </cell>
          <cell r="G180">
            <v>4.16</v>
          </cell>
          <cell r="Q180" t="str">
            <v>3/8"</v>
          </cell>
          <cell r="R180">
            <v>17</v>
          </cell>
          <cell r="S180">
            <v>0.5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4.7600000000000007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</row>
        <row r="181">
          <cell r="B181" t="str">
            <v>Nucleo A</v>
          </cell>
          <cell r="C181">
            <v>1</v>
          </cell>
          <cell r="D181">
            <v>1</v>
          </cell>
          <cell r="E181">
            <v>0.6</v>
          </cell>
          <cell r="F181">
            <v>0.2</v>
          </cell>
          <cell r="G181">
            <v>4.16</v>
          </cell>
          <cell r="P181" t="str">
            <v>V</v>
          </cell>
          <cell r="Q181" t="str">
            <v>1"</v>
          </cell>
          <cell r="R181">
            <v>8</v>
          </cell>
          <cell r="S181">
            <v>4.16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149.58960000000002</v>
          </cell>
          <cell r="AD181">
            <v>0</v>
          </cell>
        </row>
        <row r="182">
          <cell r="B182" t="str">
            <v>Est</v>
          </cell>
          <cell r="C182">
            <v>1</v>
          </cell>
          <cell r="D182">
            <v>1</v>
          </cell>
          <cell r="E182">
            <v>0.4</v>
          </cell>
          <cell r="F182">
            <v>0.2</v>
          </cell>
          <cell r="G182">
            <v>4.16</v>
          </cell>
          <cell r="Q182" t="str">
            <v>3/8"</v>
          </cell>
          <cell r="R182">
            <v>17</v>
          </cell>
          <cell r="S182">
            <v>1.2000000000000002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11.424000000000003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 t="str">
            <v>Est</v>
          </cell>
          <cell r="C183">
            <v>1</v>
          </cell>
          <cell r="D183">
            <v>1</v>
          </cell>
          <cell r="E183">
            <v>0.4</v>
          </cell>
          <cell r="F183">
            <v>0.2</v>
          </cell>
          <cell r="G183">
            <v>4.16</v>
          </cell>
          <cell r="Q183" t="str">
            <v>3/8"</v>
          </cell>
          <cell r="R183">
            <v>17</v>
          </cell>
          <cell r="S183">
            <v>1.2000000000000002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11.424000000000003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</row>
        <row r="184"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</row>
        <row r="185">
          <cell r="B185" t="str">
            <v>B1-PL-04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</row>
        <row r="186">
          <cell r="B186" t="str">
            <v>Acero Vert</v>
          </cell>
          <cell r="C186">
            <v>2</v>
          </cell>
          <cell r="D186">
            <v>1</v>
          </cell>
          <cell r="E186">
            <v>2.2999999999999998</v>
          </cell>
          <cell r="F186">
            <v>0.25</v>
          </cell>
          <cell r="G186">
            <v>4.16</v>
          </cell>
          <cell r="H186">
            <v>280</v>
          </cell>
          <cell r="I186">
            <v>0</v>
          </cell>
          <cell r="J186">
            <v>4.7839999999999998</v>
          </cell>
          <cell r="K186">
            <v>0</v>
          </cell>
          <cell r="L186">
            <v>4.7839999999999998</v>
          </cell>
          <cell r="M186">
            <v>5.0999999999999996</v>
          </cell>
          <cell r="N186">
            <v>3.96</v>
          </cell>
          <cell r="O186">
            <v>40.391999999999996</v>
          </cell>
          <cell r="P186" t="str">
            <v>V</v>
          </cell>
          <cell r="Q186" t="str">
            <v>3/8"</v>
          </cell>
          <cell r="R186">
            <v>18</v>
          </cell>
          <cell r="S186">
            <v>4.66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104.02560000000001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</row>
        <row r="187">
          <cell r="B187" t="str">
            <v>Acero Hor</v>
          </cell>
          <cell r="C187">
            <v>2</v>
          </cell>
          <cell r="D187">
            <v>1</v>
          </cell>
          <cell r="E187">
            <v>0.25</v>
          </cell>
          <cell r="F187">
            <v>0.4</v>
          </cell>
          <cell r="G187">
            <v>4.16</v>
          </cell>
          <cell r="H187">
            <v>280</v>
          </cell>
          <cell r="I187">
            <v>0</v>
          </cell>
          <cell r="J187">
            <v>0.83200000000000007</v>
          </cell>
          <cell r="K187">
            <v>0</v>
          </cell>
          <cell r="L187">
            <v>0.83200000000000007</v>
          </cell>
          <cell r="M187">
            <v>1.3</v>
          </cell>
          <cell r="N187">
            <v>3.96</v>
          </cell>
          <cell r="O187">
            <v>10.295999999999999</v>
          </cell>
          <cell r="P187" t="str">
            <v>H</v>
          </cell>
          <cell r="Q187" t="str">
            <v>1/2"</v>
          </cell>
          <cell r="R187">
            <v>44</v>
          </cell>
          <cell r="S187">
            <v>2.5999999999999996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226.51199999999994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</row>
        <row r="188">
          <cell r="B188" t="str">
            <v>Nucleo A</v>
          </cell>
          <cell r="C188">
            <v>2</v>
          </cell>
          <cell r="D188">
            <v>1</v>
          </cell>
          <cell r="E188">
            <v>0.4</v>
          </cell>
          <cell r="F188">
            <v>0.45</v>
          </cell>
          <cell r="G188">
            <v>4.16</v>
          </cell>
          <cell r="P188" t="str">
            <v>V</v>
          </cell>
          <cell r="Q188" t="str">
            <v>3/4"</v>
          </cell>
          <cell r="R188">
            <v>4</v>
          </cell>
          <cell r="S188">
            <v>4.16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80.819200000000009</v>
          </cell>
          <cell r="AC188">
            <v>0</v>
          </cell>
          <cell r="AD188">
            <v>0</v>
          </cell>
        </row>
        <row r="189">
          <cell r="B189" t="str">
            <v>Nucleo A</v>
          </cell>
          <cell r="C189">
            <v>2</v>
          </cell>
          <cell r="D189">
            <v>1</v>
          </cell>
          <cell r="G189">
            <v>4.16</v>
          </cell>
          <cell r="P189" t="str">
            <v>V</v>
          </cell>
          <cell r="Q189" t="str">
            <v>3/4"</v>
          </cell>
          <cell r="R189">
            <v>8</v>
          </cell>
          <cell r="S189">
            <v>4.16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161.63840000000002</v>
          </cell>
          <cell r="AC189">
            <v>0</v>
          </cell>
          <cell r="AD189">
            <v>0</v>
          </cell>
        </row>
        <row r="190">
          <cell r="B190" t="str">
            <v>Est</v>
          </cell>
          <cell r="C190">
            <v>2</v>
          </cell>
          <cell r="D190">
            <v>1</v>
          </cell>
          <cell r="E190">
            <v>0.4</v>
          </cell>
          <cell r="F190">
            <v>0.45</v>
          </cell>
          <cell r="G190">
            <v>4.16</v>
          </cell>
          <cell r="Q190" t="str">
            <v>1/2"</v>
          </cell>
          <cell r="R190">
            <v>21</v>
          </cell>
          <cell r="S190">
            <v>1.7000000000000002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70.686000000000007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</row>
        <row r="191">
          <cell r="B191" t="str">
            <v>Est</v>
          </cell>
          <cell r="C191">
            <v>2</v>
          </cell>
          <cell r="D191">
            <v>1</v>
          </cell>
          <cell r="E191">
            <v>0.25</v>
          </cell>
          <cell r="F191">
            <v>0.45</v>
          </cell>
          <cell r="G191">
            <v>4.16</v>
          </cell>
          <cell r="Q191" t="str">
            <v>1/2"</v>
          </cell>
          <cell r="R191">
            <v>21</v>
          </cell>
          <cell r="S191">
            <v>1.4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58.211999999999996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</row>
        <row r="192">
          <cell r="B192" t="str">
            <v>Est</v>
          </cell>
          <cell r="C192">
            <v>2</v>
          </cell>
          <cell r="D192">
            <v>1</v>
          </cell>
          <cell r="E192">
            <v>0.4</v>
          </cell>
          <cell r="F192">
            <v>0.1</v>
          </cell>
          <cell r="G192">
            <v>4.16</v>
          </cell>
          <cell r="Q192" t="str">
            <v>3/8"</v>
          </cell>
          <cell r="R192">
            <v>21</v>
          </cell>
          <cell r="S192">
            <v>0.5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11.760000000000002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</row>
        <row r="193">
          <cell r="B193" t="str">
            <v>Nucleo A</v>
          </cell>
          <cell r="C193">
            <v>2</v>
          </cell>
          <cell r="D193">
            <v>1</v>
          </cell>
          <cell r="E193">
            <v>0.25</v>
          </cell>
          <cell r="F193">
            <v>0.25</v>
          </cell>
          <cell r="G193">
            <v>4.16</v>
          </cell>
          <cell r="P193" t="str">
            <v>V</v>
          </cell>
          <cell r="Q193" t="str">
            <v>3/4"</v>
          </cell>
          <cell r="R193">
            <v>2</v>
          </cell>
          <cell r="S193">
            <v>4.16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40.409600000000005</v>
          </cell>
          <cell r="AC193">
            <v>0</v>
          </cell>
          <cell r="AD193">
            <v>0</v>
          </cell>
        </row>
        <row r="194">
          <cell r="B194" t="str">
            <v>Nucleo A</v>
          </cell>
          <cell r="C194">
            <v>2</v>
          </cell>
          <cell r="D194">
            <v>1</v>
          </cell>
          <cell r="G194">
            <v>4.16</v>
          </cell>
          <cell r="P194" t="str">
            <v>V</v>
          </cell>
          <cell r="Q194" t="str">
            <v>3/4"</v>
          </cell>
          <cell r="R194">
            <v>2</v>
          </cell>
          <cell r="S194">
            <v>4.16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40.409600000000005</v>
          </cell>
          <cell r="AC194">
            <v>0</v>
          </cell>
          <cell r="AD194">
            <v>0</v>
          </cell>
        </row>
        <row r="195">
          <cell r="B195" t="str">
            <v>Est</v>
          </cell>
          <cell r="C195">
            <v>2</v>
          </cell>
          <cell r="D195">
            <v>1</v>
          </cell>
          <cell r="E195">
            <v>0.25</v>
          </cell>
          <cell r="F195">
            <v>0.25</v>
          </cell>
          <cell r="G195">
            <v>4.16</v>
          </cell>
          <cell r="Q195" t="str">
            <v>3/8"</v>
          </cell>
          <cell r="R195">
            <v>21</v>
          </cell>
          <cell r="S195">
            <v>1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23.520000000000003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</row>
        <row r="196"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</row>
        <row r="197">
          <cell r="B197" t="str">
            <v>B1-PL-05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</row>
        <row r="198">
          <cell r="B198" t="str">
            <v>Acero Vert</v>
          </cell>
          <cell r="C198">
            <v>1</v>
          </cell>
          <cell r="D198">
            <v>1</v>
          </cell>
          <cell r="E198">
            <v>2.2999999999999998</v>
          </cell>
          <cell r="F198">
            <v>0.25</v>
          </cell>
          <cell r="G198">
            <v>4.16</v>
          </cell>
          <cell r="H198">
            <v>280</v>
          </cell>
          <cell r="I198">
            <v>0</v>
          </cell>
          <cell r="J198">
            <v>2.3919999999999999</v>
          </cell>
          <cell r="K198">
            <v>0</v>
          </cell>
          <cell r="L198">
            <v>2.3919999999999999</v>
          </cell>
          <cell r="M198">
            <v>5.0999999999999996</v>
          </cell>
          <cell r="N198">
            <v>3.96</v>
          </cell>
          <cell r="O198">
            <v>20.195999999999998</v>
          </cell>
          <cell r="P198" t="str">
            <v>V</v>
          </cell>
          <cell r="Q198" t="str">
            <v>3/8"</v>
          </cell>
          <cell r="R198">
            <v>20</v>
          </cell>
          <cell r="S198">
            <v>4.66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57.792000000000009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</row>
        <row r="199">
          <cell r="B199" t="str">
            <v>Acero Hor</v>
          </cell>
          <cell r="C199">
            <v>1</v>
          </cell>
          <cell r="D199">
            <v>1</v>
          </cell>
          <cell r="G199">
            <v>4.16</v>
          </cell>
          <cell r="P199" t="str">
            <v>H</v>
          </cell>
          <cell r="Q199" t="str">
            <v>3/8"</v>
          </cell>
          <cell r="R199">
            <v>44</v>
          </cell>
          <cell r="S199">
            <v>2.5999999999999996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64.063999999999993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</row>
        <row r="200">
          <cell r="B200" t="str">
            <v>Nucleo A</v>
          </cell>
          <cell r="C200">
            <v>1</v>
          </cell>
          <cell r="D200">
            <v>1</v>
          </cell>
          <cell r="E200">
            <v>0.25</v>
          </cell>
          <cell r="F200">
            <v>0.25</v>
          </cell>
          <cell r="G200">
            <v>4.16</v>
          </cell>
          <cell r="P200" t="str">
            <v>V</v>
          </cell>
          <cell r="Q200" t="str">
            <v>1"</v>
          </cell>
          <cell r="R200">
            <v>2</v>
          </cell>
          <cell r="S200">
            <v>4.16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37.397400000000005</v>
          </cell>
          <cell r="AD200">
            <v>0</v>
          </cell>
        </row>
        <row r="201">
          <cell r="B201" t="str">
            <v>Nucleo A</v>
          </cell>
          <cell r="C201">
            <v>1</v>
          </cell>
          <cell r="D201">
            <v>1</v>
          </cell>
          <cell r="G201">
            <v>4.16</v>
          </cell>
          <cell r="P201" t="str">
            <v>V</v>
          </cell>
          <cell r="Q201" t="str">
            <v>1"</v>
          </cell>
          <cell r="R201">
            <v>2</v>
          </cell>
          <cell r="S201">
            <v>4.16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37.397400000000005</v>
          </cell>
          <cell r="AD201">
            <v>0</v>
          </cell>
        </row>
        <row r="202">
          <cell r="B202" t="str">
            <v>Est</v>
          </cell>
          <cell r="C202">
            <v>1</v>
          </cell>
          <cell r="D202">
            <v>1</v>
          </cell>
          <cell r="E202">
            <v>0.25</v>
          </cell>
          <cell r="F202">
            <v>0.25</v>
          </cell>
          <cell r="G202">
            <v>4.16</v>
          </cell>
          <cell r="Q202" t="str">
            <v>3/8"</v>
          </cell>
          <cell r="R202">
            <v>21</v>
          </cell>
          <cell r="S202">
            <v>1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11.760000000000002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3">
          <cell r="B203" t="str">
            <v>Nucleo A</v>
          </cell>
          <cell r="C203">
            <v>1</v>
          </cell>
          <cell r="D203">
            <v>1</v>
          </cell>
          <cell r="E203">
            <v>0.25</v>
          </cell>
          <cell r="F203">
            <v>0.25</v>
          </cell>
          <cell r="G203">
            <v>4.16</v>
          </cell>
          <cell r="P203" t="str">
            <v>V</v>
          </cell>
          <cell r="Q203" t="str">
            <v>1"</v>
          </cell>
          <cell r="R203">
            <v>2</v>
          </cell>
          <cell r="S203">
            <v>4.16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37.397400000000005</v>
          </cell>
          <cell r="AD203">
            <v>0</v>
          </cell>
        </row>
        <row r="204">
          <cell r="B204" t="str">
            <v>Nucleo A</v>
          </cell>
          <cell r="C204">
            <v>1</v>
          </cell>
          <cell r="D204">
            <v>1</v>
          </cell>
          <cell r="G204">
            <v>4.16</v>
          </cell>
          <cell r="P204" t="str">
            <v>V</v>
          </cell>
          <cell r="Q204" t="str">
            <v>1"</v>
          </cell>
          <cell r="R204">
            <v>2</v>
          </cell>
          <cell r="S204">
            <v>4.16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37.397400000000005</v>
          </cell>
          <cell r="AD204">
            <v>0</v>
          </cell>
        </row>
        <row r="205">
          <cell r="B205" t="str">
            <v>Est</v>
          </cell>
          <cell r="C205">
            <v>1</v>
          </cell>
          <cell r="D205">
            <v>1</v>
          </cell>
          <cell r="E205">
            <v>0.25</v>
          </cell>
          <cell r="F205">
            <v>0.25</v>
          </cell>
          <cell r="G205">
            <v>4.16</v>
          </cell>
          <cell r="Q205" t="str">
            <v>3/8"</v>
          </cell>
          <cell r="R205">
            <v>21</v>
          </cell>
          <cell r="S205">
            <v>1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11.760000000000002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</row>
        <row r="206"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</row>
        <row r="207">
          <cell r="B207" t="str">
            <v>B1-PL-06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</row>
        <row r="208">
          <cell r="B208" t="str">
            <v>Acero Vert</v>
          </cell>
          <cell r="C208">
            <v>1</v>
          </cell>
          <cell r="D208">
            <v>1</v>
          </cell>
          <cell r="E208">
            <v>4</v>
          </cell>
          <cell r="F208">
            <v>0.15</v>
          </cell>
          <cell r="G208">
            <v>4.16</v>
          </cell>
          <cell r="H208">
            <v>280</v>
          </cell>
          <cell r="I208">
            <v>0</v>
          </cell>
          <cell r="J208">
            <v>2.496</v>
          </cell>
          <cell r="K208">
            <v>0</v>
          </cell>
          <cell r="L208">
            <v>2.496</v>
          </cell>
          <cell r="M208">
            <v>8.3000000000000007</v>
          </cell>
          <cell r="N208">
            <v>3.96</v>
          </cell>
          <cell r="O208">
            <v>32.868000000000002</v>
          </cell>
          <cell r="P208" t="str">
            <v>V</v>
          </cell>
          <cell r="Q208" t="str">
            <v>3/8"</v>
          </cell>
          <cell r="R208">
            <v>24</v>
          </cell>
          <cell r="S208">
            <v>4.66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69.350400000000008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</row>
        <row r="209">
          <cell r="B209" t="str">
            <v>Acero Hor</v>
          </cell>
          <cell r="C209">
            <v>1</v>
          </cell>
          <cell r="D209">
            <v>1</v>
          </cell>
          <cell r="G209">
            <v>4.16</v>
          </cell>
          <cell r="P209" t="str">
            <v>H</v>
          </cell>
          <cell r="Q209" t="str">
            <v>3/8"</v>
          </cell>
          <cell r="R209">
            <v>30</v>
          </cell>
          <cell r="S209">
            <v>4.3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72.240000000000009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</row>
        <row r="210">
          <cell r="B210" t="str">
            <v>Nucleo A</v>
          </cell>
          <cell r="C210">
            <v>1</v>
          </cell>
          <cell r="D210">
            <v>1</v>
          </cell>
          <cell r="E210">
            <v>0.4</v>
          </cell>
          <cell r="F210">
            <v>0.15</v>
          </cell>
          <cell r="G210">
            <v>4.16</v>
          </cell>
          <cell r="P210" t="str">
            <v>V</v>
          </cell>
          <cell r="Q210" t="str">
            <v>5/8"</v>
          </cell>
          <cell r="R210">
            <v>6</v>
          </cell>
          <cell r="S210">
            <v>4.16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41.478000000000002</v>
          </cell>
          <cell r="AB210">
            <v>0</v>
          </cell>
          <cell r="AC210">
            <v>0</v>
          </cell>
          <cell r="AD210">
            <v>0</v>
          </cell>
        </row>
        <row r="211">
          <cell r="B211" t="str">
            <v>Est</v>
          </cell>
          <cell r="C211">
            <v>1</v>
          </cell>
          <cell r="D211">
            <v>1</v>
          </cell>
          <cell r="E211">
            <v>0.4</v>
          </cell>
          <cell r="F211">
            <v>0.15</v>
          </cell>
          <cell r="G211">
            <v>4.16</v>
          </cell>
          <cell r="Q211" t="str">
            <v>3/8"</v>
          </cell>
          <cell r="R211">
            <v>21</v>
          </cell>
          <cell r="S211">
            <v>1.1000000000000001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12.936000000000002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</row>
        <row r="212">
          <cell r="B212" t="str">
            <v>Nucleo A</v>
          </cell>
          <cell r="C212">
            <v>1</v>
          </cell>
          <cell r="D212">
            <v>1</v>
          </cell>
          <cell r="E212">
            <v>0.4</v>
          </cell>
          <cell r="F212">
            <v>0.15</v>
          </cell>
          <cell r="G212">
            <v>4.16</v>
          </cell>
          <cell r="P212" t="str">
            <v>V</v>
          </cell>
          <cell r="Q212" t="str">
            <v>5/8"</v>
          </cell>
          <cell r="R212">
            <v>8</v>
          </cell>
          <cell r="S212">
            <v>4.16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55.304000000000002</v>
          </cell>
          <cell r="AB212">
            <v>0</v>
          </cell>
          <cell r="AC212">
            <v>0</v>
          </cell>
          <cell r="AD212">
            <v>0</v>
          </cell>
        </row>
        <row r="213">
          <cell r="B213" t="str">
            <v>Est</v>
          </cell>
          <cell r="C213">
            <v>1</v>
          </cell>
          <cell r="D213">
            <v>1</v>
          </cell>
          <cell r="E213">
            <v>0.3</v>
          </cell>
          <cell r="F213">
            <v>0.15</v>
          </cell>
          <cell r="G213">
            <v>4.16</v>
          </cell>
          <cell r="Q213" t="str">
            <v>3/8"</v>
          </cell>
          <cell r="R213">
            <v>21</v>
          </cell>
          <cell r="S213">
            <v>0.89999999999999991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10.584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</row>
        <row r="214">
          <cell r="B214" t="str">
            <v>Est</v>
          </cell>
          <cell r="C214">
            <v>1</v>
          </cell>
          <cell r="D214">
            <v>1</v>
          </cell>
          <cell r="E214">
            <v>0.3</v>
          </cell>
          <cell r="F214">
            <v>0.15</v>
          </cell>
          <cell r="G214">
            <v>4.16</v>
          </cell>
          <cell r="Q214" t="str">
            <v>3/8"</v>
          </cell>
          <cell r="R214">
            <v>21</v>
          </cell>
          <cell r="S214">
            <v>0.89999999999999991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10.584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</row>
        <row r="215">
          <cell r="B215" t="str">
            <v>Nucleo B</v>
          </cell>
          <cell r="C215">
            <v>1</v>
          </cell>
          <cell r="D215">
            <v>1</v>
          </cell>
          <cell r="E215">
            <v>1.76</v>
          </cell>
          <cell r="F215">
            <v>0.25</v>
          </cell>
          <cell r="G215">
            <v>4.16</v>
          </cell>
          <cell r="H215">
            <v>280</v>
          </cell>
          <cell r="I215">
            <v>0</v>
          </cell>
          <cell r="J215">
            <v>1.8304</v>
          </cell>
          <cell r="K215">
            <v>0</v>
          </cell>
          <cell r="L215">
            <v>1.8304</v>
          </cell>
          <cell r="M215">
            <v>4.0199999999999996</v>
          </cell>
          <cell r="N215">
            <v>3.96</v>
          </cell>
          <cell r="O215">
            <v>15.919199999999998</v>
          </cell>
          <cell r="P215" t="str">
            <v>V</v>
          </cell>
          <cell r="Q215" t="str">
            <v>3/4"</v>
          </cell>
          <cell r="R215">
            <v>22</v>
          </cell>
          <cell r="S215">
            <v>4.16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222.25280000000006</v>
          </cell>
          <cell r="AC215">
            <v>0</v>
          </cell>
          <cell r="AD215">
            <v>0</v>
          </cell>
        </row>
        <row r="216">
          <cell r="B216" t="str">
            <v>Est</v>
          </cell>
          <cell r="C216">
            <v>1</v>
          </cell>
          <cell r="D216">
            <v>1</v>
          </cell>
          <cell r="E216">
            <v>1.1000000000000001</v>
          </cell>
          <cell r="F216">
            <v>0.25</v>
          </cell>
          <cell r="G216">
            <v>4.16</v>
          </cell>
          <cell r="Q216" t="str">
            <v>3/8"</v>
          </cell>
          <cell r="R216">
            <v>32</v>
          </cell>
          <cell r="S216">
            <v>2.7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48.384000000000007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</row>
        <row r="217">
          <cell r="B217" t="str">
            <v>Est</v>
          </cell>
          <cell r="C217">
            <v>1</v>
          </cell>
          <cell r="D217">
            <v>1</v>
          </cell>
          <cell r="E217">
            <v>1.1000000000000001</v>
          </cell>
          <cell r="F217">
            <v>0.25</v>
          </cell>
          <cell r="G217">
            <v>4.16</v>
          </cell>
          <cell r="Q217" t="str">
            <v>3/8"</v>
          </cell>
          <cell r="R217">
            <v>32</v>
          </cell>
          <cell r="S217">
            <v>2.7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48.384000000000007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</row>
        <row r="218">
          <cell r="B218" t="str">
            <v>Est</v>
          </cell>
          <cell r="C218">
            <v>1</v>
          </cell>
          <cell r="D218">
            <v>1</v>
          </cell>
          <cell r="E218">
            <v>1.1000000000000001</v>
          </cell>
          <cell r="F218">
            <v>0.25</v>
          </cell>
          <cell r="G218">
            <v>4.16</v>
          </cell>
          <cell r="Q218" t="str">
            <v>3/8"</v>
          </cell>
          <cell r="R218">
            <v>32</v>
          </cell>
          <cell r="S218">
            <v>2.7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48.384000000000007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</row>
        <row r="219">
          <cell r="B219" t="str">
            <v>Est</v>
          </cell>
          <cell r="C219">
            <v>1</v>
          </cell>
          <cell r="D219">
            <v>4</v>
          </cell>
          <cell r="E219">
            <v>0.15</v>
          </cell>
          <cell r="F219">
            <v>0.25</v>
          </cell>
          <cell r="G219">
            <v>4.16</v>
          </cell>
          <cell r="Q219" t="str">
            <v>3/8"</v>
          </cell>
          <cell r="R219">
            <v>32</v>
          </cell>
          <cell r="S219">
            <v>0.55000000000000004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39.424000000000007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0">
          <cell r="B220" t="str">
            <v>Acero Vert</v>
          </cell>
          <cell r="C220">
            <v>1</v>
          </cell>
          <cell r="D220">
            <v>1</v>
          </cell>
          <cell r="E220">
            <v>5</v>
          </cell>
          <cell r="F220">
            <v>0.4</v>
          </cell>
          <cell r="G220">
            <v>4.16</v>
          </cell>
          <cell r="H220">
            <v>280</v>
          </cell>
          <cell r="I220">
            <v>0</v>
          </cell>
          <cell r="J220">
            <v>8.32</v>
          </cell>
          <cell r="K220">
            <v>0</v>
          </cell>
          <cell r="L220">
            <v>8.32</v>
          </cell>
          <cell r="M220">
            <v>10.8</v>
          </cell>
          <cell r="N220">
            <v>3.96</v>
          </cell>
          <cell r="O220">
            <v>42.768000000000001</v>
          </cell>
          <cell r="P220" t="str">
            <v>V</v>
          </cell>
          <cell r="Q220" t="str">
            <v>1/2"</v>
          </cell>
          <cell r="R220">
            <v>42</v>
          </cell>
          <cell r="S220">
            <v>4.66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204.15780000000001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</row>
        <row r="221">
          <cell r="B221" t="str">
            <v>Acero Hor</v>
          </cell>
          <cell r="C221">
            <v>1</v>
          </cell>
          <cell r="D221">
            <v>1</v>
          </cell>
          <cell r="G221">
            <v>4.16</v>
          </cell>
          <cell r="P221" t="str">
            <v>H</v>
          </cell>
          <cell r="Q221" t="str">
            <v>1/2"</v>
          </cell>
          <cell r="R221">
            <v>66</v>
          </cell>
          <cell r="S221">
            <v>5.9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385.50600000000003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</row>
        <row r="222">
          <cell r="B222" t="str">
            <v>Acero Vert</v>
          </cell>
          <cell r="C222">
            <v>1</v>
          </cell>
          <cell r="D222">
            <v>1</v>
          </cell>
          <cell r="E222">
            <v>2.3199999999999998</v>
          </cell>
          <cell r="F222">
            <v>0.2</v>
          </cell>
          <cell r="G222">
            <v>4.16</v>
          </cell>
          <cell r="H222">
            <v>280</v>
          </cell>
          <cell r="I222">
            <v>0</v>
          </cell>
          <cell r="J222">
            <v>1.93024</v>
          </cell>
          <cell r="K222">
            <v>0</v>
          </cell>
          <cell r="L222">
            <v>1.93024</v>
          </cell>
          <cell r="M222">
            <v>5.04</v>
          </cell>
          <cell r="N222">
            <v>3.96</v>
          </cell>
          <cell r="O222">
            <v>19.958400000000001</v>
          </cell>
          <cell r="P222" t="str">
            <v>V</v>
          </cell>
          <cell r="Q222" t="str">
            <v>3/8"</v>
          </cell>
          <cell r="R222">
            <v>16</v>
          </cell>
          <cell r="S222">
            <v>4.66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46.233600000000003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</row>
        <row r="223">
          <cell r="B223" t="str">
            <v>Acero Hor</v>
          </cell>
          <cell r="C223">
            <v>1</v>
          </cell>
          <cell r="D223">
            <v>1</v>
          </cell>
          <cell r="G223">
            <v>4.16</v>
          </cell>
          <cell r="P223" t="str">
            <v>H</v>
          </cell>
          <cell r="Q223" t="str">
            <v>1/2"</v>
          </cell>
          <cell r="R223">
            <v>44</v>
          </cell>
          <cell r="S223">
            <v>2.6199999999999997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114.12719999999999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</row>
        <row r="224">
          <cell r="B224" t="str">
            <v>Nucleo A</v>
          </cell>
          <cell r="C224">
            <v>1</v>
          </cell>
          <cell r="D224">
            <v>2</v>
          </cell>
          <cell r="E224">
            <v>0.25</v>
          </cell>
          <cell r="F224">
            <v>0.25</v>
          </cell>
          <cell r="G224">
            <v>4.16</v>
          </cell>
          <cell r="P224" t="str">
            <v>V</v>
          </cell>
          <cell r="Q224" t="str">
            <v>1"</v>
          </cell>
          <cell r="R224">
            <v>2</v>
          </cell>
          <cell r="S224">
            <v>4.16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70.427800000000005</v>
          </cell>
          <cell r="AD224">
            <v>0</v>
          </cell>
        </row>
        <row r="225">
          <cell r="B225" t="str">
            <v>Nucleo A</v>
          </cell>
          <cell r="C225">
            <v>1</v>
          </cell>
          <cell r="D225">
            <v>2</v>
          </cell>
          <cell r="G225">
            <v>4.16</v>
          </cell>
          <cell r="P225" t="str">
            <v>V</v>
          </cell>
          <cell r="Q225" t="str">
            <v>1"</v>
          </cell>
          <cell r="R225">
            <v>2</v>
          </cell>
          <cell r="S225">
            <v>4.16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70.427800000000005</v>
          </cell>
          <cell r="AD225">
            <v>0</v>
          </cell>
        </row>
        <row r="226">
          <cell r="B226" t="str">
            <v>Est</v>
          </cell>
          <cell r="C226">
            <v>1</v>
          </cell>
          <cell r="D226">
            <v>2</v>
          </cell>
          <cell r="E226">
            <v>0.25</v>
          </cell>
          <cell r="F226">
            <v>0.25</v>
          </cell>
          <cell r="G226">
            <v>4.16</v>
          </cell>
          <cell r="Q226" t="str">
            <v>3/8"</v>
          </cell>
          <cell r="R226">
            <v>21</v>
          </cell>
          <cell r="S226">
            <v>1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23.520000000000003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</row>
        <row r="227">
          <cell r="C227">
            <v>1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</row>
        <row r="228"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</row>
        <row r="229"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</row>
        <row r="230">
          <cell r="B230" t="str">
            <v>2 PISO</v>
          </cell>
          <cell r="H230">
            <v>280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</row>
        <row r="231"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</row>
        <row r="232">
          <cell r="B232" t="str">
            <v>B1-PL-01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</row>
        <row r="233">
          <cell r="B233" t="str">
            <v>Acero Vert</v>
          </cell>
          <cell r="C233">
            <v>1</v>
          </cell>
          <cell r="D233">
            <v>1</v>
          </cell>
          <cell r="E233">
            <v>4.2300000000000004</v>
          </cell>
          <cell r="F233">
            <v>0.2</v>
          </cell>
          <cell r="G233">
            <v>2.65</v>
          </cell>
          <cell r="H233">
            <v>280</v>
          </cell>
          <cell r="I233">
            <v>0</v>
          </cell>
          <cell r="J233">
            <v>2.2419000000000002</v>
          </cell>
          <cell r="K233">
            <v>0</v>
          </cell>
          <cell r="L233">
            <v>2.2419000000000002</v>
          </cell>
          <cell r="M233">
            <v>8.8600000000000012</v>
          </cell>
          <cell r="N233">
            <v>2.4499999999999997</v>
          </cell>
          <cell r="O233">
            <v>21.707000000000001</v>
          </cell>
          <cell r="P233" t="str">
            <v>V</v>
          </cell>
          <cell r="Q233" t="str">
            <v>3/8"</v>
          </cell>
          <cell r="R233">
            <v>28</v>
          </cell>
          <cell r="S233">
            <v>3.15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57.232000000000006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</row>
        <row r="234">
          <cell r="B234" t="str">
            <v>Acero Hor</v>
          </cell>
          <cell r="C234">
            <v>1</v>
          </cell>
          <cell r="D234">
            <v>1</v>
          </cell>
          <cell r="G234">
            <v>2.65</v>
          </cell>
          <cell r="P234" t="str">
            <v>H</v>
          </cell>
          <cell r="Q234" t="str">
            <v>1/2"</v>
          </cell>
          <cell r="R234">
            <v>28</v>
          </cell>
          <cell r="S234">
            <v>4.53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125.5716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35">
          <cell r="B235" t="str">
            <v>Nucleo A</v>
          </cell>
          <cell r="C235">
            <v>1</v>
          </cell>
          <cell r="D235">
            <v>1</v>
          </cell>
          <cell r="E235">
            <v>1</v>
          </cell>
          <cell r="F235">
            <v>0.2</v>
          </cell>
          <cell r="G235">
            <v>2.65</v>
          </cell>
          <cell r="P235" t="str">
            <v>V</v>
          </cell>
          <cell r="Q235" t="str">
            <v>1"</v>
          </cell>
          <cell r="R235">
            <v>14</v>
          </cell>
          <cell r="S235">
            <v>2.65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177.85600000000002</v>
          </cell>
          <cell r="AD235">
            <v>0</v>
          </cell>
        </row>
        <row r="236">
          <cell r="B236" t="str">
            <v>Est</v>
          </cell>
          <cell r="C236">
            <v>1</v>
          </cell>
          <cell r="D236">
            <v>1</v>
          </cell>
          <cell r="E236">
            <v>0.7</v>
          </cell>
          <cell r="F236">
            <v>0.2</v>
          </cell>
          <cell r="G236">
            <v>2.65</v>
          </cell>
          <cell r="Q236" t="str">
            <v>3/8"</v>
          </cell>
          <cell r="R236">
            <v>14</v>
          </cell>
          <cell r="S236">
            <v>1.7999999999999998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14.111999999999998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</row>
        <row r="237">
          <cell r="B237" t="str">
            <v>Est</v>
          </cell>
          <cell r="C237">
            <v>1</v>
          </cell>
          <cell r="D237">
            <v>1</v>
          </cell>
          <cell r="E237">
            <v>0.7</v>
          </cell>
          <cell r="F237">
            <v>0.2</v>
          </cell>
          <cell r="G237">
            <v>2.65</v>
          </cell>
          <cell r="Q237" t="str">
            <v>3/8"</v>
          </cell>
          <cell r="R237">
            <v>14</v>
          </cell>
          <cell r="S237">
            <v>1.7999999999999998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14.111999999999998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</row>
        <row r="238">
          <cell r="B238" t="str">
            <v>Est</v>
          </cell>
          <cell r="C238">
            <v>1</v>
          </cell>
          <cell r="D238">
            <v>1</v>
          </cell>
          <cell r="E238">
            <v>0.7</v>
          </cell>
          <cell r="F238">
            <v>0.25</v>
          </cell>
          <cell r="G238">
            <v>2.65</v>
          </cell>
          <cell r="Q238" t="str">
            <v>3/8"</v>
          </cell>
          <cell r="R238">
            <v>14</v>
          </cell>
          <cell r="S238">
            <v>1.9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14.896000000000001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</row>
        <row r="239">
          <cell r="B239" t="str">
            <v>Est</v>
          </cell>
          <cell r="C239">
            <v>1</v>
          </cell>
          <cell r="D239">
            <v>1</v>
          </cell>
          <cell r="E239">
            <v>0.15</v>
          </cell>
          <cell r="F239">
            <v>0.25</v>
          </cell>
          <cell r="G239">
            <v>2.65</v>
          </cell>
          <cell r="Q239" t="str">
            <v>3/8"</v>
          </cell>
          <cell r="R239">
            <v>14</v>
          </cell>
          <cell r="S239">
            <v>0.4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3.1360000000000006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</row>
        <row r="240">
          <cell r="B240" t="str">
            <v>Acero Vert</v>
          </cell>
          <cell r="C240">
            <v>1</v>
          </cell>
          <cell r="D240">
            <v>1</v>
          </cell>
          <cell r="E240">
            <v>5.3999999999999995</v>
          </cell>
          <cell r="F240">
            <v>0.2</v>
          </cell>
          <cell r="G240">
            <v>2.65</v>
          </cell>
          <cell r="H240">
            <v>280</v>
          </cell>
          <cell r="I240">
            <v>0</v>
          </cell>
          <cell r="J240">
            <v>2.8619999999999997</v>
          </cell>
          <cell r="K240">
            <v>0</v>
          </cell>
          <cell r="L240">
            <v>2.8619999999999997</v>
          </cell>
          <cell r="M240">
            <v>11.2</v>
          </cell>
          <cell r="N240">
            <v>2.4499999999999997</v>
          </cell>
          <cell r="O240">
            <v>27.439999999999994</v>
          </cell>
          <cell r="P240" t="str">
            <v>V</v>
          </cell>
          <cell r="Q240" t="str">
            <v>3/8"</v>
          </cell>
          <cell r="R240">
            <v>38</v>
          </cell>
          <cell r="S240">
            <v>3.15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77.671999999999997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</row>
        <row r="241">
          <cell r="B241" t="str">
            <v>Acero Hor</v>
          </cell>
          <cell r="C241">
            <v>1</v>
          </cell>
          <cell r="D241">
            <v>1</v>
          </cell>
          <cell r="G241">
            <v>2.65</v>
          </cell>
          <cell r="P241" t="str">
            <v>H</v>
          </cell>
          <cell r="Q241" t="str">
            <v>3/8"</v>
          </cell>
          <cell r="R241">
            <v>24</v>
          </cell>
          <cell r="S241">
            <v>5.8999999999999995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79.296000000000006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2">
          <cell r="B242" t="str">
            <v>Nucleo A</v>
          </cell>
          <cell r="C242">
            <v>1</v>
          </cell>
          <cell r="D242">
            <v>1</v>
          </cell>
          <cell r="E242">
            <v>0.6</v>
          </cell>
          <cell r="F242">
            <v>0.2</v>
          </cell>
          <cell r="G242">
            <v>2.65</v>
          </cell>
          <cell r="P242" t="str">
            <v>V</v>
          </cell>
          <cell r="Q242" t="str">
            <v>1"</v>
          </cell>
          <cell r="R242">
            <v>8</v>
          </cell>
          <cell r="S242">
            <v>2.65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101.63200000000001</v>
          </cell>
          <cell r="AD242">
            <v>0</v>
          </cell>
        </row>
        <row r="243">
          <cell r="B243" t="str">
            <v>Est</v>
          </cell>
          <cell r="C243">
            <v>1</v>
          </cell>
          <cell r="D243">
            <v>1</v>
          </cell>
          <cell r="E243">
            <v>0.4</v>
          </cell>
          <cell r="F243">
            <v>0.2</v>
          </cell>
          <cell r="G243">
            <v>2.65</v>
          </cell>
          <cell r="Q243" t="str">
            <v>3/8"</v>
          </cell>
          <cell r="R243">
            <v>14</v>
          </cell>
          <cell r="S243">
            <v>1.2000000000000002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9.408000000000003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4">
          <cell r="B244" t="str">
            <v>Est</v>
          </cell>
          <cell r="C244">
            <v>1</v>
          </cell>
          <cell r="D244">
            <v>1</v>
          </cell>
          <cell r="E244">
            <v>0.4</v>
          </cell>
          <cell r="F244">
            <v>0.2</v>
          </cell>
          <cell r="G244">
            <v>2.65</v>
          </cell>
          <cell r="Q244" t="str">
            <v>3/8"</v>
          </cell>
          <cell r="R244">
            <v>14</v>
          </cell>
          <cell r="S244">
            <v>1.2000000000000002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9.408000000000003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</row>
        <row r="245">
          <cell r="B245" t="str">
            <v>Nucleo A</v>
          </cell>
          <cell r="C245">
            <v>1</v>
          </cell>
          <cell r="D245">
            <v>1</v>
          </cell>
          <cell r="E245">
            <v>0.2</v>
          </cell>
          <cell r="F245">
            <v>0.2</v>
          </cell>
          <cell r="G245">
            <v>2.65</v>
          </cell>
          <cell r="P245" t="str">
            <v>V</v>
          </cell>
          <cell r="Q245" t="str">
            <v>3/4"</v>
          </cell>
          <cell r="R245">
            <v>4</v>
          </cell>
          <cell r="S245">
            <v>2.65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26.880000000000003</v>
          </cell>
          <cell r="AC245">
            <v>0</v>
          </cell>
          <cell r="AD245">
            <v>0</v>
          </cell>
        </row>
        <row r="246">
          <cell r="B246" t="str">
            <v>Est</v>
          </cell>
          <cell r="C246">
            <v>1</v>
          </cell>
          <cell r="D246">
            <v>1</v>
          </cell>
          <cell r="E246">
            <v>0.2</v>
          </cell>
          <cell r="F246">
            <v>0.2</v>
          </cell>
          <cell r="G246">
            <v>2.65</v>
          </cell>
          <cell r="Q246" t="str">
            <v>3/8"</v>
          </cell>
          <cell r="R246">
            <v>14</v>
          </cell>
          <cell r="S246">
            <v>0.8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6.2720000000000011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7">
          <cell r="C247">
            <v>1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</row>
        <row r="248">
          <cell r="B248" t="str">
            <v>B1-PL-02</v>
          </cell>
          <cell r="C248">
            <v>1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49">
          <cell r="B249" t="str">
            <v>Acero Vert</v>
          </cell>
          <cell r="C249">
            <v>1</v>
          </cell>
          <cell r="D249">
            <v>1</v>
          </cell>
          <cell r="E249">
            <v>8.64</v>
          </cell>
          <cell r="F249">
            <v>0.2</v>
          </cell>
          <cell r="G249">
            <v>2.65</v>
          </cell>
          <cell r="H249">
            <v>280</v>
          </cell>
          <cell r="I249">
            <v>0</v>
          </cell>
          <cell r="J249">
            <v>4.5792000000000002</v>
          </cell>
          <cell r="K249">
            <v>0</v>
          </cell>
          <cell r="L249">
            <v>4.5792000000000002</v>
          </cell>
          <cell r="M249">
            <v>17.68</v>
          </cell>
          <cell r="N249">
            <v>2.4499999999999997</v>
          </cell>
          <cell r="O249">
            <v>43.315999999999995</v>
          </cell>
          <cell r="P249" t="str">
            <v>V</v>
          </cell>
          <cell r="Q249" t="str">
            <v>3/8"</v>
          </cell>
          <cell r="R249">
            <v>62</v>
          </cell>
          <cell r="S249">
            <v>3.15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126.72800000000001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</row>
        <row r="250">
          <cell r="B250" t="str">
            <v>Acero Hor</v>
          </cell>
          <cell r="C250">
            <v>1</v>
          </cell>
          <cell r="D250">
            <v>1</v>
          </cell>
          <cell r="G250">
            <v>2.65</v>
          </cell>
          <cell r="P250" t="str">
            <v>H</v>
          </cell>
          <cell r="Q250" t="str">
            <v>3/8"</v>
          </cell>
          <cell r="R250">
            <v>24</v>
          </cell>
          <cell r="S250">
            <v>9.14</v>
          </cell>
          <cell r="T250">
            <v>1</v>
          </cell>
          <cell r="U250">
            <v>0</v>
          </cell>
          <cell r="V250">
            <v>0</v>
          </cell>
          <cell r="W250">
            <v>0</v>
          </cell>
          <cell r="X250">
            <v>128.2176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51">
          <cell r="B251" t="str">
            <v>Nucleo A</v>
          </cell>
          <cell r="C251">
            <v>1</v>
          </cell>
          <cell r="D251">
            <v>1</v>
          </cell>
          <cell r="E251">
            <v>0.6</v>
          </cell>
          <cell r="F251">
            <v>0.2</v>
          </cell>
          <cell r="G251">
            <v>2.65</v>
          </cell>
          <cell r="P251" t="str">
            <v>V</v>
          </cell>
          <cell r="Q251" t="str">
            <v>1"</v>
          </cell>
          <cell r="R251">
            <v>8</v>
          </cell>
          <cell r="S251">
            <v>2.65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101.63200000000001</v>
          </cell>
          <cell r="AD251">
            <v>0</v>
          </cell>
        </row>
        <row r="252">
          <cell r="B252" t="str">
            <v>Est</v>
          </cell>
          <cell r="C252">
            <v>1</v>
          </cell>
          <cell r="D252">
            <v>1</v>
          </cell>
          <cell r="E252">
            <v>0.4</v>
          </cell>
          <cell r="F252">
            <v>0.2</v>
          </cell>
          <cell r="G252">
            <v>2.65</v>
          </cell>
          <cell r="Q252" t="str">
            <v>3/8"</v>
          </cell>
          <cell r="R252">
            <v>11</v>
          </cell>
          <cell r="S252">
            <v>1.2000000000000002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7.3920000000000021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</row>
        <row r="253">
          <cell r="B253" t="str">
            <v>Est</v>
          </cell>
          <cell r="C253">
            <v>1</v>
          </cell>
          <cell r="D253">
            <v>1</v>
          </cell>
          <cell r="E253">
            <v>0.4</v>
          </cell>
          <cell r="F253">
            <v>0.2</v>
          </cell>
          <cell r="G253">
            <v>2.65</v>
          </cell>
          <cell r="Q253" t="str">
            <v>3/8"</v>
          </cell>
          <cell r="R253">
            <v>11</v>
          </cell>
          <cell r="S253">
            <v>1.2000000000000002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7.3920000000000021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</row>
        <row r="254">
          <cell r="B254" t="str">
            <v>Nucleo A</v>
          </cell>
          <cell r="C254">
            <v>1</v>
          </cell>
          <cell r="D254">
            <v>1</v>
          </cell>
          <cell r="E254">
            <v>0.6</v>
          </cell>
          <cell r="F254">
            <v>0.2</v>
          </cell>
          <cell r="G254">
            <v>2.65</v>
          </cell>
          <cell r="P254" t="str">
            <v>V</v>
          </cell>
          <cell r="Q254" t="str">
            <v>1"</v>
          </cell>
          <cell r="R254">
            <v>8</v>
          </cell>
          <cell r="S254">
            <v>2.65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101.63200000000001</v>
          </cell>
          <cell r="AD254">
            <v>0</v>
          </cell>
        </row>
        <row r="255">
          <cell r="B255" t="str">
            <v>Est</v>
          </cell>
          <cell r="C255">
            <v>1</v>
          </cell>
          <cell r="D255">
            <v>1</v>
          </cell>
          <cell r="E255">
            <v>0.4</v>
          </cell>
          <cell r="F255">
            <v>0.2</v>
          </cell>
          <cell r="G255">
            <v>2.65</v>
          </cell>
          <cell r="Q255" t="str">
            <v>3/8"</v>
          </cell>
          <cell r="R255">
            <v>11</v>
          </cell>
          <cell r="S255">
            <v>1.2000000000000002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7.3920000000000021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</row>
        <row r="256">
          <cell r="B256" t="str">
            <v>Est</v>
          </cell>
          <cell r="C256">
            <v>1</v>
          </cell>
          <cell r="D256">
            <v>1</v>
          </cell>
          <cell r="E256">
            <v>0.4</v>
          </cell>
          <cell r="F256">
            <v>0.2</v>
          </cell>
          <cell r="G256">
            <v>2.65</v>
          </cell>
          <cell r="Q256" t="str">
            <v>3/8"</v>
          </cell>
          <cell r="R256">
            <v>11</v>
          </cell>
          <cell r="S256">
            <v>1.2000000000000002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7.3920000000000021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</row>
        <row r="257">
          <cell r="C257">
            <v>1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</row>
        <row r="258">
          <cell r="B258" t="str">
            <v>B1-PL-03</v>
          </cell>
          <cell r="C258">
            <v>1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</row>
        <row r="259">
          <cell r="B259" t="str">
            <v>Acero Vert</v>
          </cell>
          <cell r="C259">
            <v>1</v>
          </cell>
          <cell r="D259">
            <v>1</v>
          </cell>
          <cell r="E259">
            <v>9</v>
          </cell>
          <cell r="F259">
            <v>0.2</v>
          </cell>
          <cell r="G259">
            <v>2.65</v>
          </cell>
          <cell r="H259">
            <v>280</v>
          </cell>
          <cell r="I259">
            <v>0</v>
          </cell>
          <cell r="J259">
            <v>4.7699999999999996</v>
          </cell>
          <cell r="K259">
            <v>0</v>
          </cell>
          <cell r="L259">
            <v>4.7699999999999996</v>
          </cell>
          <cell r="M259">
            <v>18.399999999999999</v>
          </cell>
          <cell r="N259">
            <v>2.4499999999999997</v>
          </cell>
          <cell r="O259">
            <v>45.079999999999991</v>
          </cell>
          <cell r="P259" t="str">
            <v>V</v>
          </cell>
          <cell r="Q259" t="str">
            <v>3/8"</v>
          </cell>
          <cell r="R259">
            <v>66</v>
          </cell>
          <cell r="S259">
            <v>3.15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134.90400000000002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</row>
        <row r="260">
          <cell r="B260" t="str">
            <v>Acero Hor</v>
          </cell>
          <cell r="C260">
            <v>1</v>
          </cell>
          <cell r="D260">
            <v>1</v>
          </cell>
          <cell r="E260">
            <v>0.3</v>
          </cell>
          <cell r="F260">
            <v>0.4</v>
          </cell>
          <cell r="G260">
            <v>2.65</v>
          </cell>
          <cell r="H260">
            <v>280</v>
          </cell>
          <cell r="I260">
            <v>0</v>
          </cell>
          <cell r="J260">
            <v>0.318</v>
          </cell>
          <cell r="K260">
            <v>0</v>
          </cell>
          <cell r="L260">
            <v>0.318</v>
          </cell>
          <cell r="M260">
            <v>1.4</v>
          </cell>
          <cell r="N260">
            <v>2.4499999999999997</v>
          </cell>
          <cell r="O260">
            <v>3.4299999999999993</v>
          </cell>
          <cell r="P260" t="str">
            <v>H</v>
          </cell>
          <cell r="Q260" t="str">
            <v>3/8"</v>
          </cell>
          <cell r="R260">
            <v>24</v>
          </cell>
          <cell r="S260">
            <v>9.3000000000000007</v>
          </cell>
          <cell r="T260">
            <v>1</v>
          </cell>
          <cell r="U260">
            <v>0</v>
          </cell>
          <cell r="V260">
            <v>0</v>
          </cell>
          <cell r="W260">
            <v>0</v>
          </cell>
          <cell r="X260">
            <v>130.36800000000002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</row>
        <row r="261">
          <cell r="B261" t="str">
            <v>Nucleo A</v>
          </cell>
          <cell r="C261">
            <v>1</v>
          </cell>
          <cell r="D261">
            <v>1</v>
          </cell>
          <cell r="E261">
            <v>0.4</v>
          </cell>
          <cell r="F261">
            <v>0.5</v>
          </cell>
          <cell r="G261">
            <v>2.65</v>
          </cell>
          <cell r="P261" t="str">
            <v>V</v>
          </cell>
          <cell r="Q261" t="str">
            <v>1"</v>
          </cell>
          <cell r="R261">
            <v>12</v>
          </cell>
          <cell r="S261">
            <v>2.65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152.44800000000001</v>
          </cell>
          <cell r="AD261">
            <v>0</v>
          </cell>
        </row>
        <row r="262">
          <cell r="B262" t="str">
            <v>Est</v>
          </cell>
          <cell r="C262">
            <v>1</v>
          </cell>
          <cell r="D262">
            <v>1</v>
          </cell>
          <cell r="E262">
            <v>0.4</v>
          </cell>
          <cell r="F262">
            <v>0.5</v>
          </cell>
          <cell r="G262">
            <v>2.65</v>
          </cell>
          <cell r="Q262" t="str">
            <v>1/2"</v>
          </cell>
          <cell r="R262">
            <v>11</v>
          </cell>
          <cell r="S262">
            <v>1.8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19.602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</row>
        <row r="263">
          <cell r="B263" t="str">
            <v>Est</v>
          </cell>
          <cell r="C263">
            <v>1</v>
          </cell>
          <cell r="D263">
            <v>1</v>
          </cell>
          <cell r="E263">
            <v>0.25</v>
          </cell>
          <cell r="F263">
            <v>0.5</v>
          </cell>
          <cell r="G263">
            <v>2.65</v>
          </cell>
          <cell r="Q263" t="str">
            <v>1/2"</v>
          </cell>
          <cell r="R263">
            <v>11</v>
          </cell>
          <cell r="S263">
            <v>1.5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16.335000000000001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</row>
        <row r="264">
          <cell r="B264" t="str">
            <v>Est</v>
          </cell>
          <cell r="C264">
            <v>1</v>
          </cell>
          <cell r="D264">
            <v>1</v>
          </cell>
          <cell r="E264">
            <v>0.4</v>
          </cell>
          <cell r="F264">
            <v>0.1</v>
          </cell>
          <cell r="G264">
            <v>2.65</v>
          </cell>
          <cell r="Q264" t="str">
            <v>3/8"</v>
          </cell>
          <cell r="R264">
            <v>11</v>
          </cell>
          <cell r="S264">
            <v>0.5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3.08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</row>
        <row r="265">
          <cell r="B265" t="str">
            <v>Nucleo A</v>
          </cell>
          <cell r="C265">
            <v>1</v>
          </cell>
          <cell r="D265">
            <v>1</v>
          </cell>
          <cell r="E265">
            <v>0.6</v>
          </cell>
          <cell r="F265">
            <v>0.2</v>
          </cell>
          <cell r="G265">
            <v>2.65</v>
          </cell>
          <cell r="P265" t="str">
            <v>V</v>
          </cell>
          <cell r="Q265" t="str">
            <v>1"</v>
          </cell>
          <cell r="R265">
            <v>8</v>
          </cell>
          <cell r="S265">
            <v>2.65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101.63200000000001</v>
          </cell>
          <cell r="AD265">
            <v>0</v>
          </cell>
        </row>
        <row r="266">
          <cell r="B266" t="str">
            <v>Est</v>
          </cell>
          <cell r="C266">
            <v>1</v>
          </cell>
          <cell r="D266">
            <v>1</v>
          </cell>
          <cell r="E266">
            <v>0.4</v>
          </cell>
          <cell r="F266">
            <v>0.2</v>
          </cell>
          <cell r="G266">
            <v>2.65</v>
          </cell>
          <cell r="Q266" t="str">
            <v>3/8"</v>
          </cell>
          <cell r="R266">
            <v>11</v>
          </cell>
          <cell r="S266">
            <v>1.2000000000000002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7.3920000000000021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67">
          <cell r="B267" t="str">
            <v>Est</v>
          </cell>
          <cell r="C267">
            <v>1</v>
          </cell>
          <cell r="D267">
            <v>1</v>
          </cell>
          <cell r="E267">
            <v>0.4</v>
          </cell>
          <cell r="F267">
            <v>0.2</v>
          </cell>
          <cell r="G267">
            <v>2.65</v>
          </cell>
          <cell r="Q267" t="str">
            <v>3/8"</v>
          </cell>
          <cell r="R267">
            <v>11</v>
          </cell>
          <cell r="S267">
            <v>1.2000000000000002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7.3920000000000021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</row>
        <row r="268">
          <cell r="C268">
            <v>1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</row>
        <row r="269">
          <cell r="B269" t="str">
            <v>B1-PL-04</v>
          </cell>
          <cell r="C269">
            <v>1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</row>
        <row r="270">
          <cell r="B270" t="str">
            <v>Acero Vert</v>
          </cell>
          <cell r="C270">
            <v>2</v>
          </cell>
          <cell r="D270">
            <v>1</v>
          </cell>
          <cell r="E270">
            <v>2.2999999999999998</v>
          </cell>
          <cell r="F270">
            <v>0.25</v>
          </cell>
          <cell r="G270">
            <v>2.65</v>
          </cell>
          <cell r="H270">
            <v>280</v>
          </cell>
          <cell r="I270">
            <v>0</v>
          </cell>
          <cell r="J270">
            <v>3.0474999999999999</v>
          </cell>
          <cell r="K270">
            <v>0</v>
          </cell>
          <cell r="L270">
            <v>3.0474999999999999</v>
          </cell>
          <cell r="M270">
            <v>5.0999999999999996</v>
          </cell>
          <cell r="N270">
            <v>2.4499999999999997</v>
          </cell>
          <cell r="O270">
            <v>24.989999999999995</v>
          </cell>
          <cell r="P270" t="str">
            <v>V</v>
          </cell>
          <cell r="Q270" t="str">
            <v>3/8"</v>
          </cell>
          <cell r="R270">
            <v>18</v>
          </cell>
          <cell r="S270">
            <v>3.15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73.583999999999989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</row>
        <row r="271">
          <cell r="B271" t="str">
            <v>Acero Hor</v>
          </cell>
          <cell r="C271">
            <v>2</v>
          </cell>
          <cell r="D271">
            <v>1</v>
          </cell>
          <cell r="E271">
            <v>0.25</v>
          </cell>
          <cell r="F271">
            <v>0.4</v>
          </cell>
          <cell r="G271">
            <v>2.65</v>
          </cell>
          <cell r="H271">
            <v>280</v>
          </cell>
          <cell r="I271">
            <v>0</v>
          </cell>
          <cell r="J271">
            <v>0.53</v>
          </cell>
          <cell r="K271">
            <v>0</v>
          </cell>
          <cell r="L271">
            <v>0.53</v>
          </cell>
          <cell r="M271">
            <v>1.3</v>
          </cell>
          <cell r="N271">
            <v>2.4499999999999997</v>
          </cell>
          <cell r="O271">
            <v>6.3699999999999992</v>
          </cell>
          <cell r="P271" t="str">
            <v>H</v>
          </cell>
          <cell r="Q271" t="str">
            <v>1/2"</v>
          </cell>
          <cell r="R271">
            <v>28</v>
          </cell>
          <cell r="S271">
            <v>2.5999999999999996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144.14399999999998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</row>
        <row r="272">
          <cell r="B272" t="str">
            <v>Nucleo A</v>
          </cell>
          <cell r="C272">
            <v>2</v>
          </cell>
          <cell r="D272">
            <v>1</v>
          </cell>
          <cell r="E272">
            <v>0.4</v>
          </cell>
          <cell r="F272">
            <v>0.45</v>
          </cell>
          <cell r="G272">
            <v>2.65</v>
          </cell>
          <cell r="P272" t="str">
            <v>V</v>
          </cell>
          <cell r="Q272" t="str">
            <v>3/4"</v>
          </cell>
          <cell r="R272">
            <v>4</v>
          </cell>
          <cell r="S272">
            <v>2.65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53.760000000000005</v>
          </cell>
          <cell r="AC272">
            <v>0</v>
          </cell>
          <cell r="AD272">
            <v>0</v>
          </cell>
        </row>
        <row r="273">
          <cell r="B273" t="str">
            <v>Nucleo A</v>
          </cell>
          <cell r="C273">
            <v>2</v>
          </cell>
          <cell r="D273">
            <v>1</v>
          </cell>
          <cell r="G273">
            <v>2.65</v>
          </cell>
          <cell r="P273" t="str">
            <v>V</v>
          </cell>
          <cell r="Q273" t="str">
            <v>3/4"</v>
          </cell>
          <cell r="R273">
            <v>8</v>
          </cell>
          <cell r="S273">
            <v>2.65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107.52000000000001</v>
          </cell>
          <cell r="AC273">
            <v>0</v>
          </cell>
          <cell r="AD273">
            <v>0</v>
          </cell>
        </row>
        <row r="274">
          <cell r="B274" t="str">
            <v>Est</v>
          </cell>
          <cell r="C274">
            <v>2</v>
          </cell>
          <cell r="D274">
            <v>1</v>
          </cell>
          <cell r="E274">
            <v>0.4</v>
          </cell>
          <cell r="F274">
            <v>0.45</v>
          </cell>
          <cell r="G274">
            <v>2.65</v>
          </cell>
          <cell r="Q274" t="str">
            <v>1/2"</v>
          </cell>
          <cell r="R274">
            <v>14</v>
          </cell>
          <cell r="S274">
            <v>1.7000000000000002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47.124000000000009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75">
          <cell r="B275" t="str">
            <v>Est</v>
          </cell>
          <cell r="C275">
            <v>2</v>
          </cell>
          <cell r="D275">
            <v>1</v>
          </cell>
          <cell r="E275">
            <v>0.25</v>
          </cell>
          <cell r="F275">
            <v>0.45</v>
          </cell>
          <cell r="G275">
            <v>2.65</v>
          </cell>
          <cell r="Q275" t="str">
            <v>1/2"</v>
          </cell>
          <cell r="R275">
            <v>14</v>
          </cell>
          <cell r="S275">
            <v>1.4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38.807999999999993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</row>
        <row r="276">
          <cell r="B276" t="str">
            <v>Est</v>
          </cell>
          <cell r="C276">
            <v>2</v>
          </cell>
          <cell r="D276">
            <v>1</v>
          </cell>
          <cell r="E276">
            <v>0.4</v>
          </cell>
          <cell r="F276">
            <v>0.1</v>
          </cell>
          <cell r="G276">
            <v>2.65</v>
          </cell>
          <cell r="Q276" t="str">
            <v>3/8"</v>
          </cell>
          <cell r="R276">
            <v>14</v>
          </cell>
          <cell r="S276">
            <v>0.5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7.8400000000000007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</row>
        <row r="277">
          <cell r="B277" t="str">
            <v>Nucleo A</v>
          </cell>
          <cell r="C277">
            <v>2</v>
          </cell>
          <cell r="D277">
            <v>1</v>
          </cell>
          <cell r="E277">
            <v>0.25</v>
          </cell>
          <cell r="F277">
            <v>0.25</v>
          </cell>
          <cell r="G277">
            <v>2.65</v>
          </cell>
          <cell r="P277" t="str">
            <v>V</v>
          </cell>
          <cell r="Q277" t="str">
            <v>3/4"</v>
          </cell>
          <cell r="R277">
            <v>2</v>
          </cell>
          <cell r="S277">
            <v>2.65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26.880000000000003</v>
          </cell>
          <cell r="AC277">
            <v>0</v>
          </cell>
          <cell r="AD277">
            <v>0</v>
          </cell>
        </row>
        <row r="278">
          <cell r="B278" t="str">
            <v>Nucleo A</v>
          </cell>
          <cell r="C278">
            <v>2</v>
          </cell>
          <cell r="D278">
            <v>1</v>
          </cell>
          <cell r="G278">
            <v>2.65</v>
          </cell>
          <cell r="P278" t="str">
            <v>V</v>
          </cell>
          <cell r="Q278" t="str">
            <v>3/4"</v>
          </cell>
          <cell r="R278">
            <v>2</v>
          </cell>
          <cell r="S278">
            <v>2.65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26.880000000000003</v>
          </cell>
          <cell r="AC278">
            <v>0</v>
          </cell>
          <cell r="AD278">
            <v>0</v>
          </cell>
        </row>
        <row r="279">
          <cell r="B279" t="str">
            <v>Est</v>
          </cell>
          <cell r="C279">
            <v>2</v>
          </cell>
          <cell r="D279">
            <v>1</v>
          </cell>
          <cell r="E279">
            <v>0.25</v>
          </cell>
          <cell r="F279">
            <v>0.25</v>
          </cell>
          <cell r="G279">
            <v>2.65</v>
          </cell>
          <cell r="Q279" t="str">
            <v>3/8"</v>
          </cell>
          <cell r="R279">
            <v>14</v>
          </cell>
          <cell r="S279">
            <v>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15.680000000000001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</row>
        <row r="280">
          <cell r="C280">
            <v>2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</row>
        <row r="281">
          <cell r="B281" t="str">
            <v>B1-PL-05</v>
          </cell>
          <cell r="C281">
            <v>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</row>
        <row r="282">
          <cell r="B282" t="str">
            <v>Acero Vert</v>
          </cell>
          <cell r="C282">
            <v>1</v>
          </cell>
          <cell r="D282">
            <v>1</v>
          </cell>
          <cell r="E282">
            <v>2.2999999999999998</v>
          </cell>
          <cell r="F282">
            <v>0.25</v>
          </cell>
          <cell r="G282">
            <v>2.65</v>
          </cell>
          <cell r="H282">
            <v>280</v>
          </cell>
          <cell r="I282">
            <v>0</v>
          </cell>
          <cell r="J282">
            <v>1.5237499999999999</v>
          </cell>
          <cell r="K282">
            <v>0</v>
          </cell>
          <cell r="L282">
            <v>1.5237499999999999</v>
          </cell>
          <cell r="M282">
            <v>5.0999999999999996</v>
          </cell>
          <cell r="N282">
            <v>2.4499999999999997</v>
          </cell>
          <cell r="O282">
            <v>12.494999999999997</v>
          </cell>
          <cell r="P282" t="str">
            <v>V</v>
          </cell>
          <cell r="Q282" t="str">
            <v>3/8"</v>
          </cell>
          <cell r="R282">
            <v>20</v>
          </cell>
          <cell r="S282">
            <v>3.15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40.880000000000003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</row>
        <row r="283">
          <cell r="B283" t="str">
            <v>Acero Hor</v>
          </cell>
          <cell r="C283">
            <v>1</v>
          </cell>
          <cell r="D283">
            <v>1</v>
          </cell>
          <cell r="G283">
            <v>2.65</v>
          </cell>
          <cell r="P283" t="str">
            <v>H</v>
          </cell>
          <cell r="Q283" t="str">
            <v>3/8"</v>
          </cell>
          <cell r="R283">
            <v>28</v>
          </cell>
          <cell r="S283">
            <v>2.5999999999999996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40.767999999999994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</row>
        <row r="284">
          <cell r="B284" t="str">
            <v>Nucleo A</v>
          </cell>
          <cell r="C284">
            <v>1</v>
          </cell>
          <cell r="D284">
            <v>1</v>
          </cell>
          <cell r="E284">
            <v>0.25</v>
          </cell>
          <cell r="F284">
            <v>0.25</v>
          </cell>
          <cell r="G284">
            <v>2.65</v>
          </cell>
          <cell r="P284" t="str">
            <v>V</v>
          </cell>
          <cell r="Q284" t="str">
            <v>1"</v>
          </cell>
          <cell r="R284">
            <v>2</v>
          </cell>
          <cell r="S284">
            <v>2.65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25.408000000000001</v>
          </cell>
          <cell r="AD284">
            <v>0</v>
          </cell>
        </row>
        <row r="285">
          <cell r="B285" t="str">
            <v>Nucleo A</v>
          </cell>
          <cell r="C285">
            <v>1</v>
          </cell>
          <cell r="D285">
            <v>1</v>
          </cell>
          <cell r="G285">
            <v>2.65</v>
          </cell>
          <cell r="P285" t="str">
            <v>V</v>
          </cell>
          <cell r="Q285" t="str">
            <v>1"</v>
          </cell>
          <cell r="R285">
            <v>2</v>
          </cell>
          <cell r="S285">
            <v>2.65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25.408000000000001</v>
          </cell>
          <cell r="AD285">
            <v>0</v>
          </cell>
        </row>
        <row r="286">
          <cell r="B286" t="str">
            <v>Est</v>
          </cell>
          <cell r="C286">
            <v>1</v>
          </cell>
          <cell r="D286">
            <v>1</v>
          </cell>
          <cell r="E286">
            <v>0.25</v>
          </cell>
          <cell r="F286">
            <v>0.25</v>
          </cell>
          <cell r="G286">
            <v>2.65</v>
          </cell>
          <cell r="Q286" t="str">
            <v>3/8"</v>
          </cell>
          <cell r="R286">
            <v>14</v>
          </cell>
          <cell r="S286">
            <v>1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7.8400000000000007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87">
          <cell r="B287" t="str">
            <v>Nucleo A</v>
          </cell>
          <cell r="C287">
            <v>1</v>
          </cell>
          <cell r="D287">
            <v>1</v>
          </cell>
          <cell r="E287">
            <v>0.25</v>
          </cell>
          <cell r="F287">
            <v>0.25</v>
          </cell>
          <cell r="G287">
            <v>2.65</v>
          </cell>
          <cell r="P287" t="str">
            <v>V</v>
          </cell>
          <cell r="Q287" t="str">
            <v>1"</v>
          </cell>
          <cell r="R287">
            <v>2</v>
          </cell>
          <cell r="S287">
            <v>2.65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25.408000000000001</v>
          </cell>
          <cell r="AD287">
            <v>0</v>
          </cell>
        </row>
        <row r="288">
          <cell r="B288" t="str">
            <v>Nucleo A</v>
          </cell>
          <cell r="C288">
            <v>1</v>
          </cell>
          <cell r="D288">
            <v>1</v>
          </cell>
          <cell r="G288">
            <v>2.65</v>
          </cell>
          <cell r="P288" t="str">
            <v>V</v>
          </cell>
          <cell r="Q288" t="str">
            <v>1"</v>
          </cell>
          <cell r="R288">
            <v>2</v>
          </cell>
          <cell r="S288">
            <v>2.65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25.408000000000001</v>
          </cell>
          <cell r="AD288">
            <v>0</v>
          </cell>
        </row>
        <row r="289">
          <cell r="B289" t="str">
            <v>Est</v>
          </cell>
          <cell r="C289">
            <v>1</v>
          </cell>
          <cell r="D289">
            <v>1</v>
          </cell>
          <cell r="E289">
            <v>0.25</v>
          </cell>
          <cell r="F289">
            <v>0.25</v>
          </cell>
          <cell r="G289">
            <v>2.65</v>
          </cell>
          <cell r="Q289" t="str">
            <v>3/8"</v>
          </cell>
          <cell r="R289">
            <v>14</v>
          </cell>
          <cell r="S289">
            <v>1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7.8400000000000007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</row>
        <row r="290"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</row>
        <row r="291">
          <cell r="B291" t="str">
            <v>B1-PL-06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</row>
        <row r="292">
          <cell r="B292" t="str">
            <v>Acero Vert</v>
          </cell>
          <cell r="C292">
            <v>1</v>
          </cell>
          <cell r="D292">
            <v>1</v>
          </cell>
          <cell r="E292">
            <v>4</v>
          </cell>
          <cell r="F292">
            <v>0.15</v>
          </cell>
          <cell r="G292">
            <v>2.65</v>
          </cell>
          <cell r="H292">
            <v>280</v>
          </cell>
          <cell r="I292">
            <v>0</v>
          </cell>
          <cell r="J292">
            <v>1.5899999999999999</v>
          </cell>
          <cell r="K292">
            <v>0</v>
          </cell>
          <cell r="L292">
            <v>1.5899999999999999</v>
          </cell>
          <cell r="M292">
            <v>8.3000000000000007</v>
          </cell>
          <cell r="N292">
            <v>2.4499999999999997</v>
          </cell>
          <cell r="O292">
            <v>20.335000000000001</v>
          </cell>
          <cell r="P292" t="str">
            <v>V</v>
          </cell>
          <cell r="Q292" t="str">
            <v>3/8"</v>
          </cell>
          <cell r="R292">
            <v>24</v>
          </cell>
          <cell r="S292">
            <v>3.15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49.056000000000004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</row>
        <row r="293">
          <cell r="B293" t="str">
            <v>Acero Hor</v>
          </cell>
          <cell r="C293">
            <v>1</v>
          </cell>
          <cell r="D293">
            <v>1</v>
          </cell>
          <cell r="G293">
            <v>2.65</v>
          </cell>
          <cell r="P293" t="str">
            <v>H</v>
          </cell>
          <cell r="Q293" t="str">
            <v>3/8"</v>
          </cell>
          <cell r="R293">
            <v>20</v>
          </cell>
          <cell r="S293">
            <v>4.3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48.160000000000004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</row>
        <row r="294">
          <cell r="B294" t="str">
            <v>Nucleo A</v>
          </cell>
          <cell r="C294">
            <v>1</v>
          </cell>
          <cell r="D294">
            <v>1</v>
          </cell>
          <cell r="E294">
            <v>0.4</v>
          </cell>
          <cell r="F294">
            <v>0.15</v>
          </cell>
          <cell r="G294">
            <v>2.65</v>
          </cell>
          <cell r="P294" t="str">
            <v>V</v>
          </cell>
          <cell r="Q294" t="str">
            <v>5/8"</v>
          </cell>
          <cell r="R294">
            <v>6</v>
          </cell>
          <cell r="S294">
            <v>2.65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27.434999999999999</v>
          </cell>
          <cell r="AB294">
            <v>0</v>
          </cell>
          <cell r="AC294">
            <v>0</v>
          </cell>
          <cell r="AD294">
            <v>0</v>
          </cell>
        </row>
        <row r="295">
          <cell r="B295" t="str">
            <v>Est</v>
          </cell>
          <cell r="C295">
            <v>1</v>
          </cell>
          <cell r="D295">
            <v>1</v>
          </cell>
          <cell r="E295">
            <v>0.4</v>
          </cell>
          <cell r="F295">
            <v>0.15</v>
          </cell>
          <cell r="G295">
            <v>2.65</v>
          </cell>
          <cell r="Q295" t="str">
            <v>3/8"</v>
          </cell>
          <cell r="R295">
            <v>14</v>
          </cell>
          <cell r="S295">
            <v>1.1000000000000001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8.6240000000000023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</row>
        <row r="296">
          <cell r="B296" t="str">
            <v>Nucleo A</v>
          </cell>
          <cell r="C296">
            <v>1</v>
          </cell>
          <cell r="D296">
            <v>1</v>
          </cell>
          <cell r="E296">
            <v>0.4</v>
          </cell>
          <cell r="F296">
            <v>0.15</v>
          </cell>
          <cell r="G296">
            <v>2.65</v>
          </cell>
          <cell r="P296" t="str">
            <v>V</v>
          </cell>
          <cell r="Q296" t="str">
            <v>5/8"</v>
          </cell>
          <cell r="R296">
            <v>8</v>
          </cell>
          <cell r="S296">
            <v>2.65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36.58</v>
          </cell>
          <cell r="AB296">
            <v>0</v>
          </cell>
          <cell r="AC296">
            <v>0</v>
          </cell>
          <cell r="AD296">
            <v>0</v>
          </cell>
        </row>
        <row r="297">
          <cell r="B297" t="str">
            <v>Est</v>
          </cell>
          <cell r="C297">
            <v>1</v>
          </cell>
          <cell r="D297">
            <v>1</v>
          </cell>
          <cell r="E297">
            <v>0.3</v>
          </cell>
          <cell r="F297">
            <v>0.15</v>
          </cell>
          <cell r="G297">
            <v>2.65</v>
          </cell>
          <cell r="Q297" t="str">
            <v>3/8"</v>
          </cell>
          <cell r="R297">
            <v>14</v>
          </cell>
          <cell r="S297">
            <v>0.89999999999999991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7.0559999999999992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</row>
        <row r="298">
          <cell r="B298" t="str">
            <v>Est</v>
          </cell>
          <cell r="C298">
            <v>1</v>
          </cell>
          <cell r="D298">
            <v>1</v>
          </cell>
          <cell r="E298">
            <v>0.3</v>
          </cell>
          <cell r="F298">
            <v>0.15</v>
          </cell>
          <cell r="G298">
            <v>2.65</v>
          </cell>
          <cell r="Q298" t="str">
            <v>3/8"</v>
          </cell>
          <cell r="R298">
            <v>14</v>
          </cell>
          <cell r="S298">
            <v>0.89999999999999991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7.0559999999999992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</row>
        <row r="299">
          <cell r="B299" t="str">
            <v>Nucleo B</v>
          </cell>
          <cell r="C299">
            <v>1</v>
          </cell>
          <cell r="D299">
            <v>1</v>
          </cell>
          <cell r="E299">
            <v>1.76</v>
          </cell>
          <cell r="F299">
            <v>0.25</v>
          </cell>
          <cell r="G299">
            <v>2.65</v>
          </cell>
          <cell r="H299">
            <v>280</v>
          </cell>
          <cell r="I299">
            <v>0</v>
          </cell>
          <cell r="J299">
            <v>1.1659999999999999</v>
          </cell>
          <cell r="K299">
            <v>0</v>
          </cell>
          <cell r="L299">
            <v>1.1659999999999999</v>
          </cell>
          <cell r="M299">
            <v>4.0199999999999996</v>
          </cell>
          <cell r="N299">
            <v>2.4499999999999997</v>
          </cell>
          <cell r="O299">
            <v>9.8489999999999984</v>
          </cell>
          <cell r="P299" t="str">
            <v>V</v>
          </cell>
          <cell r="Q299" t="str">
            <v>3/4"</v>
          </cell>
          <cell r="R299">
            <v>22</v>
          </cell>
          <cell r="S299">
            <v>2.65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147.84</v>
          </cell>
          <cell r="AC299">
            <v>0</v>
          </cell>
          <cell r="AD299">
            <v>0</v>
          </cell>
        </row>
        <row r="300">
          <cell r="B300" t="str">
            <v>Est</v>
          </cell>
          <cell r="C300">
            <v>1</v>
          </cell>
          <cell r="D300">
            <v>1</v>
          </cell>
          <cell r="E300">
            <v>1.1000000000000001</v>
          </cell>
          <cell r="F300">
            <v>0.25</v>
          </cell>
          <cell r="G300">
            <v>2.65</v>
          </cell>
          <cell r="Q300" t="str">
            <v>3/8"</v>
          </cell>
          <cell r="R300">
            <v>25</v>
          </cell>
          <cell r="S300">
            <v>2.7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37.800000000000004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</row>
        <row r="301">
          <cell r="B301" t="str">
            <v>Est</v>
          </cell>
          <cell r="C301">
            <v>1</v>
          </cell>
          <cell r="D301">
            <v>1</v>
          </cell>
          <cell r="E301">
            <v>1.1000000000000001</v>
          </cell>
          <cell r="F301">
            <v>0.25</v>
          </cell>
          <cell r="G301">
            <v>2.65</v>
          </cell>
          <cell r="Q301" t="str">
            <v>3/8"</v>
          </cell>
          <cell r="R301">
            <v>25</v>
          </cell>
          <cell r="S301">
            <v>2.7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37.800000000000004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</row>
        <row r="302">
          <cell r="B302" t="str">
            <v>Est</v>
          </cell>
          <cell r="C302">
            <v>1</v>
          </cell>
          <cell r="D302">
            <v>1</v>
          </cell>
          <cell r="E302">
            <v>1.1000000000000001</v>
          </cell>
          <cell r="F302">
            <v>0.25</v>
          </cell>
          <cell r="G302">
            <v>2.65</v>
          </cell>
          <cell r="Q302" t="str">
            <v>3/8"</v>
          </cell>
          <cell r="R302">
            <v>25</v>
          </cell>
          <cell r="S302">
            <v>2.7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37.800000000000004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</row>
        <row r="303">
          <cell r="B303" t="str">
            <v>Est</v>
          </cell>
          <cell r="C303">
            <v>1</v>
          </cell>
          <cell r="D303">
            <v>4</v>
          </cell>
          <cell r="E303">
            <v>0.15</v>
          </cell>
          <cell r="F303">
            <v>0.25</v>
          </cell>
          <cell r="G303">
            <v>2.65</v>
          </cell>
          <cell r="Q303" t="str">
            <v>3/8"</v>
          </cell>
          <cell r="R303">
            <v>25</v>
          </cell>
          <cell r="S303">
            <v>0.55000000000000004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30.800000000000008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</row>
        <row r="304">
          <cell r="B304" t="str">
            <v>Acero Vert</v>
          </cell>
          <cell r="C304">
            <v>1</v>
          </cell>
          <cell r="D304">
            <v>1</v>
          </cell>
          <cell r="E304">
            <v>5</v>
          </cell>
          <cell r="F304">
            <v>0.4</v>
          </cell>
          <cell r="G304">
            <v>2.65</v>
          </cell>
          <cell r="H304">
            <v>280</v>
          </cell>
          <cell r="I304">
            <v>0</v>
          </cell>
          <cell r="J304">
            <v>5.3</v>
          </cell>
          <cell r="K304">
            <v>0</v>
          </cell>
          <cell r="L304">
            <v>5.3</v>
          </cell>
          <cell r="M304">
            <v>10.8</v>
          </cell>
          <cell r="N304">
            <v>2.4499999999999997</v>
          </cell>
          <cell r="O304">
            <v>26.459999999999997</v>
          </cell>
          <cell r="P304" t="str">
            <v>V</v>
          </cell>
          <cell r="Q304" t="str">
            <v>1/2"</v>
          </cell>
          <cell r="R304">
            <v>42</v>
          </cell>
          <cell r="S304">
            <v>3.15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141.37199999999999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</row>
        <row r="305">
          <cell r="B305" t="str">
            <v>Acero Hor</v>
          </cell>
          <cell r="C305">
            <v>1</v>
          </cell>
          <cell r="D305">
            <v>1</v>
          </cell>
          <cell r="G305">
            <v>2.65</v>
          </cell>
          <cell r="P305" t="str">
            <v>H</v>
          </cell>
          <cell r="Q305" t="str">
            <v>1/2"</v>
          </cell>
          <cell r="R305">
            <v>42</v>
          </cell>
          <cell r="S305">
            <v>5.9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245.322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</row>
        <row r="306">
          <cell r="B306" t="str">
            <v>Acero Vert</v>
          </cell>
          <cell r="C306">
            <v>1</v>
          </cell>
          <cell r="D306">
            <v>1</v>
          </cell>
          <cell r="E306">
            <v>2.3199999999999998</v>
          </cell>
          <cell r="F306">
            <v>0.2</v>
          </cell>
          <cell r="G306">
            <v>2.65</v>
          </cell>
          <cell r="H306">
            <v>280</v>
          </cell>
          <cell r="I306">
            <v>0</v>
          </cell>
          <cell r="J306">
            <v>1.2295999999999998</v>
          </cell>
          <cell r="K306">
            <v>0</v>
          </cell>
          <cell r="L306">
            <v>1.2295999999999998</v>
          </cell>
          <cell r="M306">
            <v>5.04</v>
          </cell>
          <cell r="N306">
            <v>2.4499999999999997</v>
          </cell>
          <cell r="O306">
            <v>12.347999999999999</v>
          </cell>
          <cell r="P306" t="str">
            <v>V</v>
          </cell>
          <cell r="Q306" t="str">
            <v>3/8"</v>
          </cell>
          <cell r="R306">
            <v>16</v>
          </cell>
          <cell r="S306">
            <v>3.15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32.704000000000001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</row>
        <row r="307">
          <cell r="B307" t="str">
            <v>Acero Hor</v>
          </cell>
          <cell r="C307">
            <v>1</v>
          </cell>
          <cell r="D307">
            <v>1</v>
          </cell>
          <cell r="G307">
            <v>2.65</v>
          </cell>
          <cell r="P307" t="str">
            <v>H</v>
          </cell>
          <cell r="Q307" t="str">
            <v>1/2"</v>
          </cell>
          <cell r="R307">
            <v>28</v>
          </cell>
          <cell r="S307">
            <v>2.6199999999999997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72.62639999999999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</row>
        <row r="308">
          <cell r="B308" t="str">
            <v>Nucleo A</v>
          </cell>
          <cell r="C308">
            <v>1</v>
          </cell>
          <cell r="D308">
            <v>2</v>
          </cell>
          <cell r="E308">
            <v>0.25</v>
          </cell>
          <cell r="F308">
            <v>0.25</v>
          </cell>
          <cell r="G308">
            <v>2.65</v>
          </cell>
          <cell r="P308" t="str">
            <v>V</v>
          </cell>
          <cell r="Q308" t="str">
            <v>1"</v>
          </cell>
          <cell r="R308">
            <v>2</v>
          </cell>
          <cell r="S308">
            <v>2.65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46.448999999999998</v>
          </cell>
          <cell r="AD308">
            <v>0</v>
          </cell>
        </row>
        <row r="309">
          <cell r="B309" t="str">
            <v>Nucleo A</v>
          </cell>
          <cell r="C309">
            <v>1</v>
          </cell>
          <cell r="D309">
            <v>2</v>
          </cell>
          <cell r="G309">
            <v>2.65</v>
          </cell>
          <cell r="P309" t="str">
            <v>V</v>
          </cell>
          <cell r="Q309" t="str">
            <v>1"</v>
          </cell>
          <cell r="R309">
            <v>2</v>
          </cell>
          <cell r="S309">
            <v>2.65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46.448999999999998</v>
          </cell>
          <cell r="AD309">
            <v>0</v>
          </cell>
        </row>
        <row r="310">
          <cell r="B310" t="str">
            <v>Est</v>
          </cell>
          <cell r="C310">
            <v>1</v>
          </cell>
          <cell r="D310">
            <v>2</v>
          </cell>
          <cell r="E310">
            <v>0.25</v>
          </cell>
          <cell r="F310">
            <v>0.25</v>
          </cell>
          <cell r="G310">
            <v>2.65</v>
          </cell>
          <cell r="Q310" t="str">
            <v>3/8"</v>
          </cell>
          <cell r="R310">
            <v>14</v>
          </cell>
          <cell r="S310">
            <v>1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15.680000000000001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</row>
        <row r="311"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</row>
        <row r="312">
          <cell r="B312" t="str">
            <v>3 PISO</v>
          </cell>
          <cell r="H312">
            <v>280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</row>
        <row r="313">
          <cell r="C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</row>
        <row r="314">
          <cell r="B314" t="str">
            <v>B1-PL-01</v>
          </cell>
          <cell r="C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</row>
        <row r="315">
          <cell r="B315" t="str">
            <v>Acero Vert</v>
          </cell>
          <cell r="C315">
            <v>1</v>
          </cell>
          <cell r="D315">
            <v>1</v>
          </cell>
          <cell r="E315">
            <v>4.2300000000000004</v>
          </cell>
          <cell r="F315">
            <v>0.2</v>
          </cell>
          <cell r="G315">
            <v>2.65</v>
          </cell>
          <cell r="H315">
            <v>280</v>
          </cell>
          <cell r="I315">
            <v>0</v>
          </cell>
          <cell r="J315">
            <v>2.2419000000000002</v>
          </cell>
          <cell r="K315">
            <v>0</v>
          </cell>
          <cell r="L315">
            <v>2.2419000000000002</v>
          </cell>
          <cell r="M315">
            <v>8.8600000000000012</v>
          </cell>
          <cell r="N315">
            <v>2.4499999999999997</v>
          </cell>
          <cell r="O315">
            <v>21.707000000000001</v>
          </cell>
          <cell r="P315" t="str">
            <v>V</v>
          </cell>
          <cell r="Q315" t="str">
            <v>3/8"</v>
          </cell>
          <cell r="R315">
            <v>28</v>
          </cell>
          <cell r="S315">
            <v>3.15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57.232000000000006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</row>
        <row r="316">
          <cell r="B316" t="str">
            <v>Acero Hor</v>
          </cell>
          <cell r="C316">
            <v>1</v>
          </cell>
          <cell r="D316">
            <v>1</v>
          </cell>
          <cell r="G316">
            <v>2.65</v>
          </cell>
          <cell r="P316" t="str">
            <v>H</v>
          </cell>
          <cell r="Q316" t="str">
            <v>1/2"</v>
          </cell>
          <cell r="R316">
            <v>28</v>
          </cell>
          <cell r="S316">
            <v>4.53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125.5716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</row>
        <row r="317">
          <cell r="B317" t="str">
            <v>Nucleo A</v>
          </cell>
          <cell r="C317">
            <v>1</v>
          </cell>
          <cell r="D317">
            <v>1</v>
          </cell>
          <cell r="E317">
            <v>1</v>
          </cell>
          <cell r="F317">
            <v>0.2</v>
          </cell>
          <cell r="G317">
            <v>2.65</v>
          </cell>
          <cell r="P317" t="str">
            <v>V</v>
          </cell>
          <cell r="Q317" t="str">
            <v>1"</v>
          </cell>
          <cell r="R317">
            <v>14</v>
          </cell>
          <cell r="S317">
            <v>2.65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177.85600000000002</v>
          </cell>
          <cell r="AD317">
            <v>0</v>
          </cell>
        </row>
        <row r="318">
          <cell r="B318" t="str">
            <v>Est</v>
          </cell>
          <cell r="C318">
            <v>1</v>
          </cell>
          <cell r="D318">
            <v>1</v>
          </cell>
          <cell r="E318">
            <v>0.7</v>
          </cell>
          <cell r="F318">
            <v>0.2</v>
          </cell>
          <cell r="G318">
            <v>2.65</v>
          </cell>
          <cell r="Q318" t="str">
            <v>3/8"</v>
          </cell>
          <cell r="R318">
            <v>14</v>
          </cell>
          <cell r="S318">
            <v>1.7999999999999998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14.111999999999998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</row>
        <row r="319">
          <cell r="B319" t="str">
            <v>Est</v>
          </cell>
          <cell r="C319">
            <v>1</v>
          </cell>
          <cell r="D319">
            <v>1</v>
          </cell>
          <cell r="E319">
            <v>0.7</v>
          </cell>
          <cell r="F319">
            <v>0.2</v>
          </cell>
          <cell r="G319">
            <v>2.65</v>
          </cell>
          <cell r="Q319" t="str">
            <v>3/8"</v>
          </cell>
          <cell r="R319">
            <v>14</v>
          </cell>
          <cell r="S319">
            <v>1.7999999999999998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14.111999999999998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</row>
        <row r="320">
          <cell r="B320" t="str">
            <v>Est</v>
          </cell>
          <cell r="C320">
            <v>1</v>
          </cell>
          <cell r="D320">
            <v>1</v>
          </cell>
          <cell r="E320">
            <v>0.7</v>
          </cell>
          <cell r="F320">
            <v>0.25</v>
          </cell>
          <cell r="G320">
            <v>2.65</v>
          </cell>
          <cell r="Q320" t="str">
            <v>3/8"</v>
          </cell>
          <cell r="R320">
            <v>14</v>
          </cell>
          <cell r="S320">
            <v>1.9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14.896000000000001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</row>
        <row r="321">
          <cell r="B321" t="str">
            <v>Est</v>
          </cell>
          <cell r="C321">
            <v>1</v>
          </cell>
          <cell r="D321">
            <v>1</v>
          </cell>
          <cell r="E321">
            <v>0.15</v>
          </cell>
          <cell r="F321">
            <v>0.25</v>
          </cell>
          <cell r="G321">
            <v>2.65</v>
          </cell>
          <cell r="Q321" t="str">
            <v>3/8"</v>
          </cell>
          <cell r="R321">
            <v>14</v>
          </cell>
          <cell r="S321">
            <v>0.4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3.1360000000000006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</row>
        <row r="322">
          <cell r="B322" t="str">
            <v>Acero Vert</v>
          </cell>
          <cell r="C322">
            <v>1</v>
          </cell>
          <cell r="D322">
            <v>1</v>
          </cell>
          <cell r="E322">
            <v>5.3999999999999995</v>
          </cell>
          <cell r="F322">
            <v>0.2</v>
          </cell>
          <cell r="G322">
            <v>2.65</v>
          </cell>
          <cell r="H322">
            <v>280</v>
          </cell>
          <cell r="I322">
            <v>0</v>
          </cell>
          <cell r="J322">
            <v>2.8619999999999997</v>
          </cell>
          <cell r="K322">
            <v>0</v>
          </cell>
          <cell r="L322">
            <v>2.8619999999999997</v>
          </cell>
          <cell r="M322">
            <v>11.2</v>
          </cell>
          <cell r="N322">
            <v>2.4499999999999997</v>
          </cell>
          <cell r="O322">
            <v>27.439999999999994</v>
          </cell>
          <cell r="P322" t="str">
            <v>V</v>
          </cell>
          <cell r="Q322" t="str">
            <v>3/8"</v>
          </cell>
          <cell r="R322">
            <v>38</v>
          </cell>
          <cell r="S322">
            <v>3.15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77.671999999999997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</row>
        <row r="323">
          <cell r="B323" t="str">
            <v>Acero Hor</v>
          </cell>
          <cell r="C323">
            <v>1</v>
          </cell>
          <cell r="D323">
            <v>1</v>
          </cell>
          <cell r="G323">
            <v>2.65</v>
          </cell>
          <cell r="P323" t="str">
            <v>H</v>
          </cell>
          <cell r="Q323" t="str">
            <v>3/8"</v>
          </cell>
          <cell r="R323">
            <v>24</v>
          </cell>
          <cell r="S323">
            <v>5.8999999999999995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79.296000000000006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</row>
        <row r="324">
          <cell r="B324" t="str">
            <v>Nucleo A</v>
          </cell>
          <cell r="C324">
            <v>1</v>
          </cell>
          <cell r="D324">
            <v>1</v>
          </cell>
          <cell r="E324">
            <v>0.6</v>
          </cell>
          <cell r="F324">
            <v>0.2</v>
          </cell>
          <cell r="G324">
            <v>2.65</v>
          </cell>
          <cell r="P324" t="str">
            <v>V</v>
          </cell>
          <cell r="Q324" t="str">
            <v>1"</v>
          </cell>
          <cell r="R324">
            <v>8</v>
          </cell>
          <cell r="S324">
            <v>2.65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101.63200000000001</v>
          </cell>
          <cell r="AD324">
            <v>0</v>
          </cell>
        </row>
        <row r="325">
          <cell r="B325" t="str">
            <v>Est</v>
          </cell>
          <cell r="C325">
            <v>1</v>
          </cell>
          <cell r="D325">
            <v>1</v>
          </cell>
          <cell r="E325">
            <v>0.4</v>
          </cell>
          <cell r="F325">
            <v>0.2</v>
          </cell>
          <cell r="G325">
            <v>2.65</v>
          </cell>
          <cell r="Q325" t="str">
            <v>3/8"</v>
          </cell>
          <cell r="R325">
            <v>14</v>
          </cell>
          <cell r="S325">
            <v>1.2000000000000002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9.408000000000003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</row>
        <row r="326">
          <cell r="B326" t="str">
            <v>Est</v>
          </cell>
          <cell r="C326">
            <v>1</v>
          </cell>
          <cell r="D326">
            <v>1</v>
          </cell>
          <cell r="E326">
            <v>0.4</v>
          </cell>
          <cell r="F326">
            <v>0.2</v>
          </cell>
          <cell r="G326">
            <v>2.65</v>
          </cell>
          <cell r="Q326" t="str">
            <v>3/8"</v>
          </cell>
          <cell r="R326">
            <v>14</v>
          </cell>
          <cell r="S326">
            <v>1.2000000000000002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9.408000000000003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</row>
        <row r="327">
          <cell r="B327" t="str">
            <v>Nucleo A</v>
          </cell>
          <cell r="C327">
            <v>1</v>
          </cell>
          <cell r="D327">
            <v>1</v>
          </cell>
          <cell r="E327">
            <v>0.2</v>
          </cell>
          <cell r="F327">
            <v>0.2</v>
          </cell>
          <cell r="G327">
            <v>2.65</v>
          </cell>
          <cell r="P327" t="str">
            <v>V</v>
          </cell>
          <cell r="Q327" t="str">
            <v>3/4"</v>
          </cell>
          <cell r="R327">
            <v>4</v>
          </cell>
          <cell r="S327">
            <v>2.65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26.880000000000003</v>
          </cell>
          <cell r="AC327">
            <v>0</v>
          </cell>
          <cell r="AD327">
            <v>0</v>
          </cell>
        </row>
        <row r="328">
          <cell r="B328" t="str">
            <v>Est</v>
          </cell>
          <cell r="C328">
            <v>1</v>
          </cell>
          <cell r="D328">
            <v>1</v>
          </cell>
          <cell r="E328">
            <v>0.2</v>
          </cell>
          <cell r="F328">
            <v>0.2</v>
          </cell>
          <cell r="G328">
            <v>2.65</v>
          </cell>
          <cell r="Q328" t="str">
            <v>3/8"</v>
          </cell>
          <cell r="R328">
            <v>14</v>
          </cell>
          <cell r="S328">
            <v>0.8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6.2720000000000011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</row>
        <row r="329">
          <cell r="C329">
            <v>1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</row>
        <row r="330">
          <cell r="B330" t="str">
            <v>B1-PL-02</v>
          </cell>
          <cell r="C330">
            <v>1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</row>
        <row r="331">
          <cell r="B331" t="str">
            <v>Acero Vert</v>
          </cell>
          <cell r="C331">
            <v>1</v>
          </cell>
          <cell r="D331">
            <v>1</v>
          </cell>
          <cell r="E331">
            <v>8.64</v>
          </cell>
          <cell r="F331">
            <v>0.2</v>
          </cell>
          <cell r="G331">
            <v>2.65</v>
          </cell>
          <cell r="H331">
            <v>280</v>
          </cell>
          <cell r="I331">
            <v>0</v>
          </cell>
          <cell r="J331">
            <v>4.5792000000000002</v>
          </cell>
          <cell r="K331">
            <v>0</v>
          </cell>
          <cell r="L331">
            <v>4.5792000000000002</v>
          </cell>
          <cell r="M331">
            <v>17.68</v>
          </cell>
          <cell r="N331">
            <v>2.4499999999999997</v>
          </cell>
          <cell r="O331">
            <v>43.315999999999995</v>
          </cell>
          <cell r="P331" t="str">
            <v>V</v>
          </cell>
          <cell r="Q331" t="str">
            <v>3/8"</v>
          </cell>
          <cell r="R331">
            <v>62</v>
          </cell>
          <cell r="S331">
            <v>3.15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126.72800000000001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</row>
        <row r="332">
          <cell r="B332" t="str">
            <v>Acero Hor</v>
          </cell>
          <cell r="C332">
            <v>1</v>
          </cell>
          <cell r="D332">
            <v>1</v>
          </cell>
          <cell r="G332">
            <v>2.65</v>
          </cell>
          <cell r="P332" t="str">
            <v>H</v>
          </cell>
          <cell r="Q332" t="str">
            <v>3/8"</v>
          </cell>
          <cell r="R332">
            <v>24</v>
          </cell>
          <cell r="S332">
            <v>9.14</v>
          </cell>
          <cell r="T332">
            <v>1</v>
          </cell>
          <cell r="U332">
            <v>0</v>
          </cell>
          <cell r="V332">
            <v>0</v>
          </cell>
          <cell r="W332">
            <v>0</v>
          </cell>
          <cell r="X332">
            <v>128.2176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</row>
        <row r="333">
          <cell r="B333" t="str">
            <v>Nucleo A</v>
          </cell>
          <cell r="C333">
            <v>1</v>
          </cell>
          <cell r="D333">
            <v>1</v>
          </cell>
          <cell r="E333">
            <v>0.6</v>
          </cell>
          <cell r="F333">
            <v>0.2</v>
          </cell>
          <cell r="G333">
            <v>2.65</v>
          </cell>
          <cell r="P333" t="str">
            <v>V</v>
          </cell>
          <cell r="Q333" t="str">
            <v>1"</v>
          </cell>
          <cell r="R333">
            <v>8</v>
          </cell>
          <cell r="S333">
            <v>2.65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101.63200000000001</v>
          </cell>
          <cell r="AD333">
            <v>0</v>
          </cell>
        </row>
        <row r="334">
          <cell r="B334" t="str">
            <v>Est</v>
          </cell>
          <cell r="C334">
            <v>1</v>
          </cell>
          <cell r="D334">
            <v>1</v>
          </cell>
          <cell r="E334">
            <v>0.4</v>
          </cell>
          <cell r="F334">
            <v>0.2</v>
          </cell>
          <cell r="G334">
            <v>2.65</v>
          </cell>
          <cell r="Q334" t="str">
            <v>3/8"</v>
          </cell>
          <cell r="R334">
            <v>11</v>
          </cell>
          <cell r="S334">
            <v>1.2000000000000002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7.3920000000000021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</row>
        <row r="335">
          <cell r="B335" t="str">
            <v>Est</v>
          </cell>
          <cell r="C335">
            <v>1</v>
          </cell>
          <cell r="D335">
            <v>1</v>
          </cell>
          <cell r="E335">
            <v>0.4</v>
          </cell>
          <cell r="F335">
            <v>0.2</v>
          </cell>
          <cell r="G335">
            <v>2.65</v>
          </cell>
          <cell r="Q335" t="str">
            <v>3/8"</v>
          </cell>
          <cell r="R335">
            <v>11</v>
          </cell>
          <cell r="S335">
            <v>1.2000000000000002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7.3920000000000021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</row>
        <row r="336">
          <cell r="B336" t="str">
            <v>Nucleo A</v>
          </cell>
          <cell r="C336">
            <v>1</v>
          </cell>
          <cell r="D336">
            <v>1</v>
          </cell>
          <cell r="E336">
            <v>0.6</v>
          </cell>
          <cell r="F336">
            <v>0.2</v>
          </cell>
          <cell r="G336">
            <v>2.65</v>
          </cell>
          <cell r="P336" t="str">
            <v>V</v>
          </cell>
          <cell r="Q336" t="str">
            <v>1"</v>
          </cell>
          <cell r="R336">
            <v>8</v>
          </cell>
          <cell r="S336">
            <v>2.65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101.63200000000001</v>
          </cell>
          <cell r="AD336">
            <v>0</v>
          </cell>
        </row>
        <row r="337">
          <cell r="B337" t="str">
            <v>Est</v>
          </cell>
          <cell r="C337">
            <v>1</v>
          </cell>
          <cell r="D337">
            <v>1</v>
          </cell>
          <cell r="E337">
            <v>0.4</v>
          </cell>
          <cell r="F337">
            <v>0.2</v>
          </cell>
          <cell r="G337">
            <v>2.65</v>
          </cell>
          <cell r="Q337" t="str">
            <v>3/8"</v>
          </cell>
          <cell r="R337">
            <v>11</v>
          </cell>
          <cell r="S337">
            <v>1.2000000000000002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7.3920000000000021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</row>
        <row r="338">
          <cell r="B338" t="str">
            <v>Est</v>
          </cell>
          <cell r="C338">
            <v>1</v>
          </cell>
          <cell r="D338">
            <v>1</v>
          </cell>
          <cell r="E338">
            <v>0.4</v>
          </cell>
          <cell r="F338">
            <v>0.2</v>
          </cell>
          <cell r="G338">
            <v>2.65</v>
          </cell>
          <cell r="Q338" t="str">
            <v>3/8"</v>
          </cell>
          <cell r="R338">
            <v>11</v>
          </cell>
          <cell r="S338">
            <v>1.2000000000000002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7.3920000000000021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</row>
        <row r="339">
          <cell r="C339">
            <v>1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</row>
        <row r="340">
          <cell r="B340" t="str">
            <v>B1-PL-03</v>
          </cell>
          <cell r="C340">
            <v>1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</row>
        <row r="341">
          <cell r="B341" t="str">
            <v>Acero Vert</v>
          </cell>
          <cell r="C341">
            <v>1</v>
          </cell>
          <cell r="D341">
            <v>1</v>
          </cell>
          <cell r="E341">
            <v>9</v>
          </cell>
          <cell r="F341">
            <v>0.2</v>
          </cell>
          <cell r="G341">
            <v>2.65</v>
          </cell>
          <cell r="H341">
            <v>280</v>
          </cell>
          <cell r="I341">
            <v>0</v>
          </cell>
          <cell r="J341">
            <v>4.7699999999999996</v>
          </cell>
          <cell r="K341">
            <v>0</v>
          </cell>
          <cell r="L341">
            <v>4.7699999999999996</v>
          </cell>
          <cell r="M341">
            <v>18.399999999999999</v>
          </cell>
          <cell r="N341">
            <v>2.4499999999999997</v>
          </cell>
          <cell r="O341">
            <v>45.079999999999991</v>
          </cell>
          <cell r="P341" t="str">
            <v>V</v>
          </cell>
          <cell r="Q341" t="str">
            <v>3/8"</v>
          </cell>
          <cell r="R341">
            <v>66</v>
          </cell>
          <cell r="S341">
            <v>3.15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134.90400000000002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</row>
        <row r="342">
          <cell r="B342" t="str">
            <v>Acero Hor</v>
          </cell>
          <cell r="C342">
            <v>1</v>
          </cell>
          <cell r="D342">
            <v>1</v>
          </cell>
          <cell r="E342">
            <v>0.3</v>
          </cell>
          <cell r="F342">
            <v>0.4</v>
          </cell>
          <cell r="G342">
            <v>2.65</v>
          </cell>
          <cell r="H342">
            <v>280</v>
          </cell>
          <cell r="I342">
            <v>0</v>
          </cell>
          <cell r="J342">
            <v>0.318</v>
          </cell>
          <cell r="K342">
            <v>0</v>
          </cell>
          <cell r="L342">
            <v>0.318</v>
          </cell>
          <cell r="M342">
            <v>1.4</v>
          </cell>
          <cell r="N342">
            <v>2.4499999999999997</v>
          </cell>
          <cell r="O342">
            <v>3.4299999999999993</v>
          </cell>
          <cell r="P342" t="str">
            <v>H</v>
          </cell>
          <cell r="Q342" t="str">
            <v>3/8"</v>
          </cell>
          <cell r="R342">
            <v>24</v>
          </cell>
          <cell r="S342">
            <v>9.3000000000000007</v>
          </cell>
          <cell r="T342">
            <v>1</v>
          </cell>
          <cell r="U342">
            <v>0</v>
          </cell>
          <cell r="V342">
            <v>0</v>
          </cell>
          <cell r="W342">
            <v>0</v>
          </cell>
          <cell r="X342">
            <v>130.36800000000002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</row>
        <row r="343">
          <cell r="B343" t="str">
            <v>Nucleo A</v>
          </cell>
          <cell r="C343">
            <v>1</v>
          </cell>
          <cell r="D343">
            <v>1</v>
          </cell>
          <cell r="E343">
            <v>0.4</v>
          </cell>
          <cell r="F343">
            <v>0.5</v>
          </cell>
          <cell r="G343">
            <v>2.65</v>
          </cell>
          <cell r="P343" t="str">
            <v>V</v>
          </cell>
          <cell r="Q343" t="str">
            <v>1"</v>
          </cell>
          <cell r="R343">
            <v>12</v>
          </cell>
          <cell r="S343">
            <v>2.65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152.44800000000001</v>
          </cell>
          <cell r="AD343">
            <v>0</v>
          </cell>
        </row>
        <row r="344">
          <cell r="B344" t="str">
            <v>Est</v>
          </cell>
          <cell r="C344">
            <v>1</v>
          </cell>
          <cell r="D344">
            <v>1</v>
          </cell>
          <cell r="E344">
            <v>0.4</v>
          </cell>
          <cell r="F344">
            <v>0.5</v>
          </cell>
          <cell r="G344">
            <v>2.65</v>
          </cell>
          <cell r="Q344" t="str">
            <v>1/2"</v>
          </cell>
          <cell r="R344">
            <v>11</v>
          </cell>
          <cell r="S344">
            <v>1.8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19.602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</row>
        <row r="345">
          <cell r="B345" t="str">
            <v>Est</v>
          </cell>
          <cell r="C345">
            <v>1</v>
          </cell>
          <cell r="D345">
            <v>1</v>
          </cell>
          <cell r="E345">
            <v>0.25</v>
          </cell>
          <cell r="F345">
            <v>0.5</v>
          </cell>
          <cell r="G345">
            <v>2.65</v>
          </cell>
          <cell r="Q345" t="str">
            <v>1/2"</v>
          </cell>
          <cell r="R345">
            <v>11</v>
          </cell>
          <cell r="S345">
            <v>1.5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16.335000000000001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</row>
        <row r="346">
          <cell r="B346" t="str">
            <v>Est</v>
          </cell>
          <cell r="C346">
            <v>1</v>
          </cell>
          <cell r="D346">
            <v>1</v>
          </cell>
          <cell r="E346">
            <v>0.4</v>
          </cell>
          <cell r="F346">
            <v>0.1</v>
          </cell>
          <cell r="G346">
            <v>2.65</v>
          </cell>
          <cell r="Q346" t="str">
            <v>3/8"</v>
          </cell>
          <cell r="R346">
            <v>11</v>
          </cell>
          <cell r="S346">
            <v>0.5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3.08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</row>
        <row r="347">
          <cell r="B347" t="str">
            <v>Nucleo A</v>
          </cell>
          <cell r="C347">
            <v>1</v>
          </cell>
          <cell r="D347">
            <v>1</v>
          </cell>
          <cell r="E347">
            <v>0.6</v>
          </cell>
          <cell r="F347">
            <v>0.2</v>
          </cell>
          <cell r="G347">
            <v>2.65</v>
          </cell>
          <cell r="P347" t="str">
            <v>V</v>
          </cell>
          <cell r="Q347" t="str">
            <v>1"</v>
          </cell>
          <cell r="R347">
            <v>8</v>
          </cell>
          <cell r="S347">
            <v>2.65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101.63200000000001</v>
          </cell>
          <cell r="AD347">
            <v>0</v>
          </cell>
        </row>
        <row r="348">
          <cell r="B348" t="str">
            <v>Est</v>
          </cell>
          <cell r="C348">
            <v>1</v>
          </cell>
          <cell r="D348">
            <v>1</v>
          </cell>
          <cell r="E348">
            <v>0.4</v>
          </cell>
          <cell r="F348">
            <v>0.2</v>
          </cell>
          <cell r="G348">
            <v>2.65</v>
          </cell>
          <cell r="Q348" t="str">
            <v>3/8"</v>
          </cell>
          <cell r="R348">
            <v>11</v>
          </cell>
          <cell r="S348">
            <v>1.2000000000000002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7.3920000000000021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</row>
        <row r="349">
          <cell r="B349" t="str">
            <v>Est</v>
          </cell>
          <cell r="C349">
            <v>1</v>
          </cell>
          <cell r="D349">
            <v>1</v>
          </cell>
          <cell r="E349">
            <v>0.4</v>
          </cell>
          <cell r="F349">
            <v>0.2</v>
          </cell>
          <cell r="G349">
            <v>2.65</v>
          </cell>
          <cell r="Q349" t="str">
            <v>3/8"</v>
          </cell>
          <cell r="R349">
            <v>11</v>
          </cell>
          <cell r="S349">
            <v>1.2000000000000002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7.3920000000000021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</row>
        <row r="350">
          <cell r="C350">
            <v>1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</row>
        <row r="351">
          <cell r="B351" t="str">
            <v>B1-PL-04</v>
          </cell>
          <cell r="C351">
            <v>2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</row>
        <row r="352">
          <cell r="B352" t="str">
            <v>Acero Vert</v>
          </cell>
          <cell r="C352">
            <v>2</v>
          </cell>
          <cell r="D352">
            <v>1</v>
          </cell>
          <cell r="E352">
            <v>2.2999999999999998</v>
          </cell>
          <cell r="F352">
            <v>0.25</v>
          </cell>
          <cell r="G352">
            <v>2.65</v>
          </cell>
          <cell r="H352">
            <v>280</v>
          </cell>
          <cell r="I352">
            <v>0</v>
          </cell>
          <cell r="J352">
            <v>3.0474999999999999</v>
          </cell>
          <cell r="K352">
            <v>0</v>
          </cell>
          <cell r="L352">
            <v>3.0474999999999999</v>
          </cell>
          <cell r="M352">
            <v>5.0999999999999996</v>
          </cell>
          <cell r="N352">
            <v>2.4499999999999997</v>
          </cell>
          <cell r="O352">
            <v>24.989999999999995</v>
          </cell>
          <cell r="P352" t="str">
            <v>V</v>
          </cell>
          <cell r="Q352" t="str">
            <v>3/8"</v>
          </cell>
          <cell r="R352">
            <v>18</v>
          </cell>
          <cell r="S352">
            <v>3.15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73.583999999999989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</row>
        <row r="353">
          <cell r="B353" t="str">
            <v>Acero Hor</v>
          </cell>
          <cell r="C353">
            <v>2</v>
          </cell>
          <cell r="D353">
            <v>1</v>
          </cell>
          <cell r="E353">
            <v>0.25</v>
          </cell>
          <cell r="F353">
            <v>0.4</v>
          </cell>
          <cell r="G353">
            <v>2.65</v>
          </cell>
          <cell r="H353">
            <v>280</v>
          </cell>
          <cell r="I353">
            <v>0</v>
          </cell>
          <cell r="J353">
            <v>0.53</v>
          </cell>
          <cell r="K353">
            <v>0</v>
          </cell>
          <cell r="L353">
            <v>0.53</v>
          </cell>
          <cell r="M353">
            <v>1.3</v>
          </cell>
          <cell r="N353">
            <v>2.4499999999999997</v>
          </cell>
          <cell r="O353">
            <v>6.3699999999999992</v>
          </cell>
          <cell r="P353" t="str">
            <v>H</v>
          </cell>
          <cell r="Q353" t="str">
            <v>1/2"</v>
          </cell>
          <cell r="R353">
            <v>28</v>
          </cell>
          <cell r="S353">
            <v>2.5999999999999996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144.14399999999998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</row>
        <row r="354">
          <cell r="B354" t="str">
            <v>Nucleo A</v>
          </cell>
          <cell r="C354">
            <v>2</v>
          </cell>
          <cell r="D354">
            <v>1</v>
          </cell>
          <cell r="E354">
            <v>0.4</v>
          </cell>
          <cell r="F354">
            <v>0.45</v>
          </cell>
          <cell r="G354">
            <v>2.65</v>
          </cell>
          <cell r="P354" t="str">
            <v>V</v>
          </cell>
          <cell r="Q354" t="str">
            <v>3/4"</v>
          </cell>
          <cell r="R354">
            <v>4</v>
          </cell>
          <cell r="S354">
            <v>2.65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53.760000000000005</v>
          </cell>
          <cell r="AC354">
            <v>0</v>
          </cell>
          <cell r="AD354">
            <v>0</v>
          </cell>
        </row>
        <row r="355">
          <cell r="B355" t="str">
            <v>Nucleo A</v>
          </cell>
          <cell r="C355">
            <v>2</v>
          </cell>
          <cell r="D355">
            <v>1</v>
          </cell>
          <cell r="G355">
            <v>2.65</v>
          </cell>
          <cell r="P355" t="str">
            <v>V</v>
          </cell>
          <cell r="Q355" t="str">
            <v>3/4"</v>
          </cell>
          <cell r="R355">
            <v>8</v>
          </cell>
          <cell r="S355">
            <v>2.65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107.52000000000001</v>
          </cell>
          <cell r="AC355">
            <v>0</v>
          </cell>
          <cell r="AD355">
            <v>0</v>
          </cell>
        </row>
        <row r="356">
          <cell r="B356" t="str">
            <v>Est</v>
          </cell>
          <cell r="C356">
            <v>2</v>
          </cell>
          <cell r="D356">
            <v>1</v>
          </cell>
          <cell r="E356">
            <v>0.4</v>
          </cell>
          <cell r="F356">
            <v>0.45</v>
          </cell>
          <cell r="G356">
            <v>2.65</v>
          </cell>
          <cell r="Q356" t="str">
            <v>1/2"</v>
          </cell>
          <cell r="R356">
            <v>14</v>
          </cell>
          <cell r="S356">
            <v>1.7000000000000002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47.124000000000009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</row>
        <row r="357">
          <cell r="B357" t="str">
            <v>Est</v>
          </cell>
          <cell r="C357">
            <v>2</v>
          </cell>
          <cell r="D357">
            <v>1</v>
          </cell>
          <cell r="E357">
            <v>0.25</v>
          </cell>
          <cell r="F357">
            <v>0.45</v>
          </cell>
          <cell r="G357">
            <v>2.65</v>
          </cell>
          <cell r="Q357" t="str">
            <v>1/2"</v>
          </cell>
          <cell r="R357">
            <v>14</v>
          </cell>
          <cell r="S357">
            <v>1.4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38.807999999999993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</row>
        <row r="358">
          <cell r="B358" t="str">
            <v>Est</v>
          </cell>
          <cell r="C358">
            <v>2</v>
          </cell>
          <cell r="D358">
            <v>1</v>
          </cell>
          <cell r="E358">
            <v>0.4</v>
          </cell>
          <cell r="F358">
            <v>0.1</v>
          </cell>
          <cell r="G358">
            <v>2.65</v>
          </cell>
          <cell r="Q358" t="str">
            <v>3/8"</v>
          </cell>
          <cell r="R358">
            <v>14</v>
          </cell>
          <cell r="S358">
            <v>0.5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7.8400000000000007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</row>
        <row r="359">
          <cell r="B359" t="str">
            <v>Nucleo A</v>
          </cell>
          <cell r="C359">
            <v>2</v>
          </cell>
          <cell r="D359">
            <v>1</v>
          </cell>
          <cell r="E359">
            <v>0.25</v>
          </cell>
          <cell r="F359">
            <v>0.25</v>
          </cell>
          <cell r="G359">
            <v>2.65</v>
          </cell>
          <cell r="P359" t="str">
            <v>V</v>
          </cell>
          <cell r="Q359" t="str">
            <v>3/4"</v>
          </cell>
          <cell r="R359">
            <v>2</v>
          </cell>
          <cell r="S359">
            <v>2.65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26.880000000000003</v>
          </cell>
          <cell r="AC359">
            <v>0</v>
          </cell>
          <cell r="AD359">
            <v>0</v>
          </cell>
        </row>
        <row r="360">
          <cell r="B360" t="str">
            <v>Nucleo A</v>
          </cell>
          <cell r="C360">
            <v>2</v>
          </cell>
          <cell r="D360">
            <v>1</v>
          </cell>
          <cell r="G360">
            <v>2.65</v>
          </cell>
          <cell r="P360" t="str">
            <v>V</v>
          </cell>
          <cell r="Q360" t="str">
            <v>3/4"</v>
          </cell>
          <cell r="R360">
            <v>2</v>
          </cell>
          <cell r="S360">
            <v>2.65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26.880000000000003</v>
          </cell>
          <cell r="AC360">
            <v>0</v>
          </cell>
          <cell r="AD360">
            <v>0</v>
          </cell>
        </row>
        <row r="361">
          <cell r="B361" t="str">
            <v>Est</v>
          </cell>
          <cell r="C361">
            <v>2</v>
          </cell>
          <cell r="D361">
            <v>1</v>
          </cell>
          <cell r="E361">
            <v>0.25</v>
          </cell>
          <cell r="F361">
            <v>0.25</v>
          </cell>
          <cell r="G361">
            <v>2.65</v>
          </cell>
          <cell r="Q361" t="str">
            <v>3/8"</v>
          </cell>
          <cell r="R361">
            <v>14</v>
          </cell>
          <cell r="S361">
            <v>1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15.680000000000001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</row>
        <row r="362">
          <cell r="C362">
            <v>1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</row>
        <row r="363">
          <cell r="B363" t="str">
            <v>B1-PL-05</v>
          </cell>
          <cell r="C363">
            <v>1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</row>
        <row r="364">
          <cell r="B364" t="str">
            <v>Acero Vert</v>
          </cell>
          <cell r="C364">
            <v>1</v>
          </cell>
          <cell r="D364">
            <v>1</v>
          </cell>
          <cell r="E364">
            <v>2.2999999999999998</v>
          </cell>
          <cell r="F364">
            <v>0.25</v>
          </cell>
          <cell r="G364">
            <v>2.65</v>
          </cell>
          <cell r="H364">
            <v>280</v>
          </cell>
          <cell r="I364">
            <v>0</v>
          </cell>
          <cell r="J364">
            <v>1.5237499999999999</v>
          </cell>
          <cell r="K364">
            <v>0</v>
          </cell>
          <cell r="L364">
            <v>1.5237499999999999</v>
          </cell>
          <cell r="M364">
            <v>5.0999999999999996</v>
          </cell>
          <cell r="N364">
            <v>2.4499999999999997</v>
          </cell>
          <cell r="O364">
            <v>12.494999999999997</v>
          </cell>
          <cell r="P364" t="str">
            <v>V</v>
          </cell>
          <cell r="Q364" t="str">
            <v>3/8"</v>
          </cell>
          <cell r="R364">
            <v>20</v>
          </cell>
          <cell r="S364">
            <v>3.15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40.880000000000003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</row>
        <row r="365">
          <cell r="B365" t="str">
            <v>Acero Hor</v>
          </cell>
          <cell r="C365">
            <v>1</v>
          </cell>
          <cell r="D365">
            <v>1</v>
          </cell>
          <cell r="G365">
            <v>2.65</v>
          </cell>
          <cell r="P365" t="str">
            <v>H</v>
          </cell>
          <cell r="Q365" t="str">
            <v>3/8"</v>
          </cell>
          <cell r="R365">
            <v>28</v>
          </cell>
          <cell r="S365">
            <v>2.5999999999999996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40.767999999999994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</row>
        <row r="366">
          <cell r="B366" t="str">
            <v>Nucleo A</v>
          </cell>
          <cell r="C366">
            <v>1</v>
          </cell>
          <cell r="D366">
            <v>1</v>
          </cell>
          <cell r="E366">
            <v>0.25</v>
          </cell>
          <cell r="F366">
            <v>0.25</v>
          </cell>
          <cell r="G366">
            <v>2.65</v>
          </cell>
          <cell r="P366" t="str">
            <v>V</v>
          </cell>
          <cell r="Q366" t="str">
            <v>1"</v>
          </cell>
          <cell r="R366">
            <v>2</v>
          </cell>
          <cell r="S366">
            <v>2.65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25.408000000000001</v>
          </cell>
          <cell r="AD366">
            <v>0</v>
          </cell>
        </row>
        <row r="367">
          <cell r="B367" t="str">
            <v>Nucleo A</v>
          </cell>
          <cell r="C367">
            <v>1</v>
          </cell>
          <cell r="D367">
            <v>1</v>
          </cell>
          <cell r="G367">
            <v>2.65</v>
          </cell>
          <cell r="P367" t="str">
            <v>V</v>
          </cell>
          <cell r="Q367" t="str">
            <v>1"</v>
          </cell>
          <cell r="R367">
            <v>2</v>
          </cell>
          <cell r="S367">
            <v>2.65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25.408000000000001</v>
          </cell>
          <cell r="AD367">
            <v>0</v>
          </cell>
        </row>
        <row r="368">
          <cell r="B368" t="str">
            <v>Est</v>
          </cell>
          <cell r="C368">
            <v>1</v>
          </cell>
          <cell r="D368">
            <v>1</v>
          </cell>
          <cell r="E368">
            <v>0.25</v>
          </cell>
          <cell r="F368">
            <v>0.25</v>
          </cell>
          <cell r="G368">
            <v>2.65</v>
          </cell>
          <cell r="Q368" t="str">
            <v>3/8"</v>
          </cell>
          <cell r="R368">
            <v>14</v>
          </cell>
          <cell r="S368">
            <v>1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7.8400000000000007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</row>
        <row r="369">
          <cell r="B369" t="str">
            <v>Nucleo A</v>
          </cell>
          <cell r="C369">
            <v>1</v>
          </cell>
          <cell r="D369">
            <v>1</v>
          </cell>
          <cell r="E369">
            <v>0.25</v>
          </cell>
          <cell r="F369">
            <v>0.25</v>
          </cell>
          <cell r="G369">
            <v>2.65</v>
          </cell>
          <cell r="P369" t="str">
            <v>V</v>
          </cell>
          <cell r="Q369" t="str">
            <v>1"</v>
          </cell>
          <cell r="R369">
            <v>2</v>
          </cell>
          <cell r="S369">
            <v>2.65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25.408000000000001</v>
          </cell>
          <cell r="AD369">
            <v>0</v>
          </cell>
        </row>
        <row r="370">
          <cell r="B370" t="str">
            <v>Nucleo A</v>
          </cell>
          <cell r="C370">
            <v>1</v>
          </cell>
          <cell r="D370">
            <v>1</v>
          </cell>
          <cell r="G370">
            <v>2.65</v>
          </cell>
          <cell r="P370" t="str">
            <v>V</v>
          </cell>
          <cell r="Q370" t="str">
            <v>1"</v>
          </cell>
          <cell r="R370">
            <v>2</v>
          </cell>
          <cell r="S370">
            <v>2.65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25.408000000000001</v>
          </cell>
          <cell r="AD370">
            <v>0</v>
          </cell>
        </row>
        <row r="371">
          <cell r="B371" t="str">
            <v>Est</v>
          </cell>
          <cell r="C371">
            <v>1</v>
          </cell>
          <cell r="D371">
            <v>1</v>
          </cell>
          <cell r="E371">
            <v>0.25</v>
          </cell>
          <cell r="F371">
            <v>0.25</v>
          </cell>
          <cell r="G371">
            <v>2.65</v>
          </cell>
          <cell r="Q371" t="str">
            <v>3/8"</v>
          </cell>
          <cell r="R371">
            <v>14</v>
          </cell>
          <cell r="S371">
            <v>1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7.8400000000000007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</row>
        <row r="372"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</row>
        <row r="373">
          <cell r="B373" t="str">
            <v>B1-PL-06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</row>
        <row r="374">
          <cell r="B374" t="str">
            <v>Acero Vert</v>
          </cell>
          <cell r="C374">
            <v>1</v>
          </cell>
          <cell r="D374">
            <v>1</v>
          </cell>
          <cell r="E374">
            <v>4</v>
          </cell>
          <cell r="F374">
            <v>0.15</v>
          </cell>
          <cell r="G374">
            <v>2.65</v>
          </cell>
          <cell r="H374">
            <v>280</v>
          </cell>
          <cell r="I374">
            <v>0</v>
          </cell>
          <cell r="J374">
            <v>1.5899999999999999</v>
          </cell>
          <cell r="K374">
            <v>0</v>
          </cell>
          <cell r="L374">
            <v>1.5899999999999999</v>
          </cell>
          <cell r="M374">
            <v>8.3000000000000007</v>
          </cell>
          <cell r="N374">
            <v>2.4499999999999997</v>
          </cell>
          <cell r="O374">
            <v>20.335000000000001</v>
          </cell>
          <cell r="P374" t="str">
            <v>V</v>
          </cell>
          <cell r="Q374" t="str">
            <v>3/8"</v>
          </cell>
          <cell r="R374">
            <v>24</v>
          </cell>
          <cell r="S374">
            <v>3.15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49.056000000000004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</row>
        <row r="375">
          <cell r="B375" t="str">
            <v>Acero Hor</v>
          </cell>
          <cell r="C375">
            <v>1</v>
          </cell>
          <cell r="D375">
            <v>1</v>
          </cell>
          <cell r="G375">
            <v>2.65</v>
          </cell>
          <cell r="P375" t="str">
            <v>H</v>
          </cell>
          <cell r="Q375" t="str">
            <v>3/8"</v>
          </cell>
          <cell r="R375">
            <v>20</v>
          </cell>
          <cell r="S375">
            <v>4.3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48.160000000000004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</row>
        <row r="376">
          <cell r="B376" t="str">
            <v>Nucleo A</v>
          </cell>
          <cell r="C376">
            <v>1</v>
          </cell>
          <cell r="D376">
            <v>1</v>
          </cell>
          <cell r="E376">
            <v>0.4</v>
          </cell>
          <cell r="F376">
            <v>0.15</v>
          </cell>
          <cell r="G376">
            <v>2.65</v>
          </cell>
          <cell r="P376" t="str">
            <v>V</v>
          </cell>
          <cell r="Q376" t="str">
            <v>5/8"</v>
          </cell>
          <cell r="R376">
            <v>6</v>
          </cell>
          <cell r="S376">
            <v>2.65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27.434999999999999</v>
          </cell>
          <cell r="AB376">
            <v>0</v>
          </cell>
          <cell r="AC376">
            <v>0</v>
          </cell>
          <cell r="AD376">
            <v>0</v>
          </cell>
        </row>
        <row r="377">
          <cell r="B377" t="str">
            <v>Est</v>
          </cell>
          <cell r="C377">
            <v>1</v>
          </cell>
          <cell r="D377">
            <v>1</v>
          </cell>
          <cell r="E377">
            <v>0.4</v>
          </cell>
          <cell r="F377">
            <v>0.15</v>
          </cell>
          <cell r="G377">
            <v>2.65</v>
          </cell>
          <cell r="Q377" t="str">
            <v>3/8"</v>
          </cell>
          <cell r="R377">
            <v>14</v>
          </cell>
          <cell r="S377">
            <v>1.1000000000000001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8.6240000000000023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</row>
        <row r="378">
          <cell r="B378" t="str">
            <v>Nucleo A</v>
          </cell>
          <cell r="C378">
            <v>1</v>
          </cell>
          <cell r="D378">
            <v>1</v>
          </cell>
          <cell r="E378">
            <v>0.4</v>
          </cell>
          <cell r="F378">
            <v>0.15</v>
          </cell>
          <cell r="G378">
            <v>2.65</v>
          </cell>
          <cell r="P378" t="str">
            <v>V</v>
          </cell>
          <cell r="Q378" t="str">
            <v>5/8"</v>
          </cell>
          <cell r="R378">
            <v>8</v>
          </cell>
          <cell r="S378">
            <v>2.65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36.58</v>
          </cell>
          <cell r="AB378">
            <v>0</v>
          </cell>
          <cell r="AC378">
            <v>0</v>
          </cell>
          <cell r="AD378">
            <v>0</v>
          </cell>
        </row>
        <row r="379">
          <cell r="B379" t="str">
            <v>Est</v>
          </cell>
          <cell r="C379">
            <v>1</v>
          </cell>
          <cell r="D379">
            <v>1</v>
          </cell>
          <cell r="E379">
            <v>0.3</v>
          </cell>
          <cell r="F379">
            <v>0.15</v>
          </cell>
          <cell r="G379">
            <v>2.65</v>
          </cell>
          <cell r="Q379" t="str">
            <v>3/8"</v>
          </cell>
          <cell r="R379">
            <v>14</v>
          </cell>
          <cell r="S379">
            <v>0.89999999999999991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7.0559999999999992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</row>
        <row r="380">
          <cell r="B380" t="str">
            <v>Est</v>
          </cell>
          <cell r="C380">
            <v>1</v>
          </cell>
          <cell r="D380">
            <v>1</v>
          </cell>
          <cell r="E380">
            <v>0.3</v>
          </cell>
          <cell r="F380">
            <v>0.15</v>
          </cell>
          <cell r="G380">
            <v>2.65</v>
          </cell>
          <cell r="Q380" t="str">
            <v>3/8"</v>
          </cell>
          <cell r="R380">
            <v>14</v>
          </cell>
          <cell r="S380">
            <v>0.89999999999999991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7.0559999999999992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</row>
        <row r="381">
          <cell r="B381" t="str">
            <v>Nucleo B</v>
          </cell>
          <cell r="C381">
            <v>1</v>
          </cell>
          <cell r="D381">
            <v>1</v>
          </cell>
          <cell r="E381">
            <v>1.76</v>
          </cell>
          <cell r="F381">
            <v>0.25</v>
          </cell>
          <cell r="G381">
            <v>2.65</v>
          </cell>
          <cell r="H381">
            <v>280</v>
          </cell>
          <cell r="I381">
            <v>0</v>
          </cell>
          <cell r="J381">
            <v>1.1659999999999999</v>
          </cell>
          <cell r="K381">
            <v>0</v>
          </cell>
          <cell r="L381">
            <v>1.1659999999999999</v>
          </cell>
          <cell r="M381">
            <v>4.0199999999999996</v>
          </cell>
          <cell r="N381">
            <v>2.4499999999999997</v>
          </cell>
          <cell r="O381">
            <v>9.8489999999999984</v>
          </cell>
          <cell r="P381" t="str">
            <v>V</v>
          </cell>
          <cell r="Q381" t="str">
            <v>3/4"</v>
          </cell>
          <cell r="R381">
            <v>22</v>
          </cell>
          <cell r="S381">
            <v>2.65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147.84</v>
          </cell>
          <cell r="AC381">
            <v>0</v>
          </cell>
          <cell r="AD381">
            <v>0</v>
          </cell>
        </row>
        <row r="382">
          <cell r="B382" t="str">
            <v>Est</v>
          </cell>
          <cell r="C382">
            <v>1</v>
          </cell>
          <cell r="D382">
            <v>1</v>
          </cell>
          <cell r="E382">
            <v>1.1000000000000001</v>
          </cell>
          <cell r="F382">
            <v>0.25</v>
          </cell>
          <cell r="G382">
            <v>2.65</v>
          </cell>
          <cell r="Q382" t="str">
            <v>3/8"</v>
          </cell>
          <cell r="R382">
            <v>25</v>
          </cell>
          <cell r="S382">
            <v>2.7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37.800000000000004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</row>
        <row r="383">
          <cell r="B383" t="str">
            <v>Est</v>
          </cell>
          <cell r="C383">
            <v>1</v>
          </cell>
          <cell r="D383">
            <v>1</v>
          </cell>
          <cell r="E383">
            <v>1.1000000000000001</v>
          </cell>
          <cell r="F383">
            <v>0.25</v>
          </cell>
          <cell r="G383">
            <v>2.65</v>
          </cell>
          <cell r="Q383" t="str">
            <v>3/8"</v>
          </cell>
          <cell r="R383">
            <v>25</v>
          </cell>
          <cell r="S383">
            <v>2.7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37.800000000000004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</row>
        <row r="384">
          <cell r="B384" t="str">
            <v>Est</v>
          </cell>
          <cell r="C384">
            <v>1</v>
          </cell>
          <cell r="D384">
            <v>1</v>
          </cell>
          <cell r="E384">
            <v>1.1000000000000001</v>
          </cell>
          <cell r="F384">
            <v>0.25</v>
          </cell>
          <cell r="G384">
            <v>2.65</v>
          </cell>
          <cell r="Q384" t="str">
            <v>3/8"</v>
          </cell>
          <cell r="R384">
            <v>25</v>
          </cell>
          <cell r="S384">
            <v>2.7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37.800000000000004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</row>
        <row r="385">
          <cell r="B385" t="str">
            <v>Est</v>
          </cell>
          <cell r="C385">
            <v>1</v>
          </cell>
          <cell r="D385">
            <v>4</v>
          </cell>
          <cell r="E385">
            <v>0.15</v>
          </cell>
          <cell r="F385">
            <v>0.25</v>
          </cell>
          <cell r="G385">
            <v>2.65</v>
          </cell>
          <cell r="Q385" t="str">
            <v>3/8"</v>
          </cell>
          <cell r="R385">
            <v>25</v>
          </cell>
          <cell r="S385">
            <v>0.55000000000000004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30.800000000000008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</row>
        <row r="386">
          <cell r="B386" t="str">
            <v>Acero Vert</v>
          </cell>
          <cell r="C386">
            <v>1</v>
          </cell>
          <cell r="D386">
            <v>1</v>
          </cell>
          <cell r="E386">
            <v>5</v>
          </cell>
          <cell r="F386">
            <v>0.4</v>
          </cell>
          <cell r="G386">
            <v>2.65</v>
          </cell>
          <cell r="H386">
            <v>280</v>
          </cell>
          <cell r="I386">
            <v>0</v>
          </cell>
          <cell r="J386">
            <v>5.3</v>
          </cell>
          <cell r="K386">
            <v>0</v>
          </cell>
          <cell r="L386">
            <v>5.3</v>
          </cell>
          <cell r="M386">
            <v>10.8</v>
          </cell>
          <cell r="N386">
            <v>2.4499999999999997</v>
          </cell>
          <cell r="O386">
            <v>26.459999999999997</v>
          </cell>
          <cell r="P386" t="str">
            <v>V</v>
          </cell>
          <cell r="Q386" t="str">
            <v>1/2"</v>
          </cell>
          <cell r="R386">
            <v>42</v>
          </cell>
          <cell r="S386">
            <v>3.15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141.37199999999999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</row>
        <row r="387">
          <cell r="B387" t="str">
            <v>Acero Hor</v>
          </cell>
          <cell r="C387">
            <v>1</v>
          </cell>
          <cell r="D387">
            <v>1</v>
          </cell>
          <cell r="G387">
            <v>2.65</v>
          </cell>
          <cell r="P387" t="str">
            <v>H</v>
          </cell>
          <cell r="Q387" t="str">
            <v>1/2"</v>
          </cell>
          <cell r="R387">
            <v>42</v>
          </cell>
          <cell r="S387">
            <v>5.9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245.322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</row>
        <row r="388">
          <cell r="B388" t="str">
            <v>Acero Vert</v>
          </cell>
          <cell r="C388">
            <v>1</v>
          </cell>
          <cell r="D388">
            <v>1</v>
          </cell>
          <cell r="E388">
            <v>2.3199999999999998</v>
          </cell>
          <cell r="F388">
            <v>0.2</v>
          </cell>
          <cell r="G388">
            <v>2.65</v>
          </cell>
          <cell r="H388">
            <v>280</v>
          </cell>
          <cell r="I388">
            <v>0</v>
          </cell>
          <cell r="J388">
            <v>1.2295999999999998</v>
          </cell>
          <cell r="K388">
            <v>0</v>
          </cell>
          <cell r="L388">
            <v>1.2295999999999998</v>
          </cell>
          <cell r="M388">
            <v>5.04</v>
          </cell>
          <cell r="N388">
            <v>2.4499999999999997</v>
          </cell>
          <cell r="O388">
            <v>12.347999999999999</v>
          </cell>
          <cell r="P388" t="str">
            <v>V</v>
          </cell>
          <cell r="Q388" t="str">
            <v>3/8"</v>
          </cell>
          <cell r="R388">
            <v>16</v>
          </cell>
          <cell r="S388">
            <v>3.15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32.704000000000001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</row>
        <row r="389">
          <cell r="B389" t="str">
            <v>Acero Hor</v>
          </cell>
          <cell r="C389">
            <v>1</v>
          </cell>
          <cell r="D389">
            <v>1</v>
          </cell>
          <cell r="G389">
            <v>2.65</v>
          </cell>
          <cell r="P389" t="str">
            <v>H</v>
          </cell>
          <cell r="Q389" t="str">
            <v>1/2"</v>
          </cell>
          <cell r="R389">
            <v>28</v>
          </cell>
          <cell r="S389">
            <v>2.6199999999999997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72.62639999999999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</row>
        <row r="390">
          <cell r="B390" t="str">
            <v>Nucleo A</v>
          </cell>
          <cell r="C390">
            <v>1</v>
          </cell>
          <cell r="D390">
            <v>2</v>
          </cell>
          <cell r="E390">
            <v>0.25</v>
          </cell>
          <cell r="F390">
            <v>0.25</v>
          </cell>
          <cell r="G390">
            <v>2.65</v>
          </cell>
          <cell r="P390" t="str">
            <v>V</v>
          </cell>
          <cell r="Q390" t="str">
            <v>1"</v>
          </cell>
          <cell r="R390">
            <v>2</v>
          </cell>
          <cell r="S390">
            <v>2.65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46.448999999999998</v>
          </cell>
          <cell r="AD390">
            <v>0</v>
          </cell>
        </row>
        <row r="391">
          <cell r="B391" t="str">
            <v>Nucleo A</v>
          </cell>
          <cell r="C391">
            <v>1</v>
          </cell>
          <cell r="D391">
            <v>2</v>
          </cell>
          <cell r="G391">
            <v>2.65</v>
          </cell>
          <cell r="P391" t="str">
            <v>V</v>
          </cell>
          <cell r="Q391" t="str">
            <v>1"</v>
          </cell>
          <cell r="R391">
            <v>2</v>
          </cell>
          <cell r="S391">
            <v>2.65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46.448999999999998</v>
          </cell>
          <cell r="AD391">
            <v>0</v>
          </cell>
        </row>
        <row r="392">
          <cell r="B392" t="str">
            <v>Est</v>
          </cell>
          <cell r="C392">
            <v>1</v>
          </cell>
          <cell r="D392">
            <v>2</v>
          </cell>
          <cell r="E392">
            <v>0.25</v>
          </cell>
          <cell r="F392">
            <v>0.25</v>
          </cell>
          <cell r="G392">
            <v>2.65</v>
          </cell>
          <cell r="Q392" t="str">
            <v>3/8"</v>
          </cell>
          <cell r="R392">
            <v>14</v>
          </cell>
          <cell r="S392">
            <v>1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15.680000000000001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</row>
        <row r="393"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</row>
        <row r="394">
          <cell r="B394" t="str">
            <v>4 PISO</v>
          </cell>
          <cell r="H394">
            <v>280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</row>
        <row r="395"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</row>
        <row r="396">
          <cell r="B396" t="str">
            <v>B1-PL-01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</row>
        <row r="397">
          <cell r="B397" t="str">
            <v>Acero Vert</v>
          </cell>
          <cell r="C397">
            <v>1</v>
          </cell>
          <cell r="D397">
            <v>1</v>
          </cell>
          <cell r="E397">
            <v>4.2300000000000004</v>
          </cell>
          <cell r="F397">
            <v>0.2</v>
          </cell>
          <cell r="G397">
            <v>2.65</v>
          </cell>
          <cell r="H397">
            <v>280</v>
          </cell>
          <cell r="I397">
            <v>0</v>
          </cell>
          <cell r="J397">
            <v>2.2419000000000002</v>
          </cell>
          <cell r="K397">
            <v>0</v>
          </cell>
          <cell r="L397">
            <v>2.2419000000000002</v>
          </cell>
          <cell r="M397">
            <v>8.8600000000000012</v>
          </cell>
          <cell r="N397">
            <v>2.4499999999999997</v>
          </cell>
          <cell r="O397">
            <v>21.707000000000001</v>
          </cell>
          <cell r="P397" t="str">
            <v>V</v>
          </cell>
          <cell r="Q397" t="str">
            <v>3/8"</v>
          </cell>
          <cell r="R397">
            <v>32</v>
          </cell>
          <cell r="S397">
            <v>3.15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65.408000000000001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</row>
        <row r="398">
          <cell r="B398" t="str">
            <v>Acero Hor</v>
          </cell>
          <cell r="C398">
            <v>1</v>
          </cell>
          <cell r="D398">
            <v>1</v>
          </cell>
          <cell r="G398">
            <v>2.65</v>
          </cell>
          <cell r="P398" t="str">
            <v>H</v>
          </cell>
          <cell r="Q398" t="str">
            <v>3/8"</v>
          </cell>
          <cell r="R398">
            <v>24</v>
          </cell>
          <cell r="S398">
            <v>4.53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60.883200000000002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</row>
        <row r="399">
          <cell r="B399" t="str">
            <v>Nucleo A</v>
          </cell>
          <cell r="C399">
            <v>1</v>
          </cell>
          <cell r="D399">
            <v>1</v>
          </cell>
          <cell r="E399">
            <v>0.55000000000000004</v>
          </cell>
          <cell r="F399">
            <v>0.2</v>
          </cell>
          <cell r="G399">
            <v>2.65</v>
          </cell>
          <cell r="P399" t="str">
            <v>V</v>
          </cell>
          <cell r="Q399" t="str">
            <v>1"</v>
          </cell>
          <cell r="R399">
            <v>8</v>
          </cell>
          <cell r="S399">
            <v>2.65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101.63200000000001</v>
          </cell>
          <cell r="AD399">
            <v>0</v>
          </cell>
        </row>
        <row r="400">
          <cell r="B400" t="str">
            <v>Est</v>
          </cell>
          <cell r="C400">
            <v>1</v>
          </cell>
          <cell r="D400">
            <v>1</v>
          </cell>
          <cell r="E400">
            <v>0.4</v>
          </cell>
          <cell r="F400">
            <v>0.2</v>
          </cell>
          <cell r="G400">
            <v>2.65</v>
          </cell>
          <cell r="Q400" t="str">
            <v>3/8"</v>
          </cell>
          <cell r="R400">
            <v>14</v>
          </cell>
          <cell r="S400">
            <v>1.2000000000000002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9.408000000000003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</row>
        <row r="401">
          <cell r="B401" t="str">
            <v>Est</v>
          </cell>
          <cell r="C401">
            <v>1</v>
          </cell>
          <cell r="D401">
            <v>1</v>
          </cell>
          <cell r="E401">
            <v>0.4</v>
          </cell>
          <cell r="F401">
            <v>0.2</v>
          </cell>
          <cell r="G401">
            <v>2.65</v>
          </cell>
          <cell r="Q401" t="str">
            <v>3/8"</v>
          </cell>
          <cell r="R401">
            <v>14</v>
          </cell>
          <cell r="S401">
            <v>1.2000000000000002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9.408000000000003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</row>
        <row r="402">
          <cell r="B402" t="str">
            <v>Acero Vert</v>
          </cell>
          <cell r="C402">
            <v>1</v>
          </cell>
          <cell r="D402">
            <v>1</v>
          </cell>
          <cell r="E402">
            <v>5.3999999999999995</v>
          </cell>
          <cell r="F402">
            <v>0.2</v>
          </cell>
          <cell r="G402">
            <v>2.65</v>
          </cell>
          <cell r="H402">
            <v>280</v>
          </cell>
          <cell r="I402">
            <v>0</v>
          </cell>
          <cell r="J402">
            <v>2.8619999999999997</v>
          </cell>
          <cell r="K402">
            <v>0</v>
          </cell>
          <cell r="L402">
            <v>2.8619999999999997</v>
          </cell>
          <cell r="M402">
            <v>11.2</v>
          </cell>
          <cell r="N402">
            <v>2.4499999999999997</v>
          </cell>
          <cell r="O402">
            <v>27.439999999999994</v>
          </cell>
          <cell r="P402" t="str">
            <v>V</v>
          </cell>
          <cell r="Q402" t="str">
            <v>3/8"</v>
          </cell>
          <cell r="R402">
            <v>42</v>
          </cell>
          <cell r="S402">
            <v>3.15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85.847999999999999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</row>
        <row r="403">
          <cell r="B403" t="str">
            <v>Acero Hor</v>
          </cell>
          <cell r="C403">
            <v>1</v>
          </cell>
          <cell r="D403">
            <v>1</v>
          </cell>
          <cell r="G403">
            <v>2.65</v>
          </cell>
          <cell r="P403" t="str">
            <v>H</v>
          </cell>
          <cell r="Q403" t="str">
            <v>3/8"</v>
          </cell>
          <cell r="R403">
            <v>24</v>
          </cell>
          <cell r="S403">
            <v>5.8999999999999995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79.296000000000006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</row>
        <row r="404">
          <cell r="B404" t="str">
            <v>Nucleo A</v>
          </cell>
          <cell r="C404">
            <v>1</v>
          </cell>
          <cell r="D404">
            <v>1</v>
          </cell>
          <cell r="E404">
            <v>0.25</v>
          </cell>
          <cell r="F404">
            <v>0.2</v>
          </cell>
          <cell r="G404">
            <v>2.65</v>
          </cell>
          <cell r="P404" t="str">
            <v>V</v>
          </cell>
          <cell r="Q404" t="str">
            <v>1"</v>
          </cell>
          <cell r="R404">
            <v>4</v>
          </cell>
          <cell r="S404">
            <v>2.65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50.816000000000003</v>
          </cell>
          <cell r="AD404">
            <v>0</v>
          </cell>
        </row>
        <row r="405">
          <cell r="B405" t="str">
            <v>Est</v>
          </cell>
          <cell r="C405">
            <v>1</v>
          </cell>
          <cell r="D405">
            <v>1</v>
          </cell>
          <cell r="E405">
            <v>0.25</v>
          </cell>
          <cell r="F405">
            <v>0.2</v>
          </cell>
          <cell r="G405">
            <v>2.65</v>
          </cell>
          <cell r="Q405" t="str">
            <v>3/8"</v>
          </cell>
          <cell r="R405">
            <v>14</v>
          </cell>
          <cell r="S405">
            <v>0.9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7.056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</row>
        <row r="406">
          <cell r="B406" t="str">
            <v>Nucleo A</v>
          </cell>
          <cell r="C406">
            <v>1</v>
          </cell>
          <cell r="D406">
            <v>1</v>
          </cell>
          <cell r="E406">
            <v>0.2</v>
          </cell>
          <cell r="F406">
            <v>0.2</v>
          </cell>
          <cell r="G406">
            <v>2.65</v>
          </cell>
          <cell r="P406" t="str">
            <v>V</v>
          </cell>
          <cell r="Q406" t="str">
            <v>3/4"</v>
          </cell>
          <cell r="R406">
            <v>4</v>
          </cell>
          <cell r="S406">
            <v>2.65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26.880000000000003</v>
          </cell>
          <cell r="AC406">
            <v>0</v>
          </cell>
          <cell r="AD406">
            <v>0</v>
          </cell>
        </row>
        <row r="407">
          <cell r="B407" t="str">
            <v>Est</v>
          </cell>
          <cell r="C407">
            <v>1</v>
          </cell>
          <cell r="D407">
            <v>1</v>
          </cell>
          <cell r="E407">
            <v>0.2</v>
          </cell>
          <cell r="F407">
            <v>0.2</v>
          </cell>
          <cell r="G407">
            <v>2.65</v>
          </cell>
          <cell r="Q407" t="str">
            <v>3/8"</v>
          </cell>
          <cell r="R407">
            <v>14</v>
          </cell>
          <cell r="S407">
            <v>0.8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6.2720000000000011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</row>
        <row r="408">
          <cell r="C408">
            <v>1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</row>
        <row r="409">
          <cell r="B409" t="str">
            <v>B1-PL-02</v>
          </cell>
          <cell r="C409">
            <v>1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</row>
        <row r="410">
          <cell r="B410" t="str">
            <v>Acero Vert</v>
          </cell>
          <cell r="C410">
            <v>1</v>
          </cell>
          <cell r="D410">
            <v>1</v>
          </cell>
          <cell r="E410">
            <v>8.64</v>
          </cell>
          <cell r="F410">
            <v>0.2</v>
          </cell>
          <cell r="G410">
            <v>2.65</v>
          </cell>
          <cell r="H410">
            <v>280</v>
          </cell>
          <cell r="I410">
            <v>0</v>
          </cell>
          <cell r="J410">
            <v>4.5792000000000002</v>
          </cell>
          <cell r="K410">
            <v>0</v>
          </cell>
          <cell r="L410">
            <v>4.5792000000000002</v>
          </cell>
          <cell r="M410">
            <v>17.68</v>
          </cell>
          <cell r="N410">
            <v>2.4499999999999997</v>
          </cell>
          <cell r="O410">
            <v>43.315999999999995</v>
          </cell>
          <cell r="P410" t="str">
            <v>V</v>
          </cell>
          <cell r="Q410" t="str">
            <v>3/8"</v>
          </cell>
          <cell r="R410">
            <v>68</v>
          </cell>
          <cell r="S410">
            <v>3.15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138.99200000000002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</row>
        <row r="411">
          <cell r="B411" t="str">
            <v>Acero Hor</v>
          </cell>
          <cell r="C411">
            <v>1</v>
          </cell>
          <cell r="D411">
            <v>1</v>
          </cell>
          <cell r="G411">
            <v>2.65</v>
          </cell>
          <cell r="P411" t="str">
            <v>H</v>
          </cell>
          <cell r="Q411" t="str">
            <v>3/8"</v>
          </cell>
          <cell r="R411">
            <v>24</v>
          </cell>
          <cell r="S411">
            <v>9.14</v>
          </cell>
          <cell r="T411">
            <v>1</v>
          </cell>
          <cell r="U411">
            <v>0</v>
          </cell>
          <cell r="V411">
            <v>0</v>
          </cell>
          <cell r="W411">
            <v>0</v>
          </cell>
          <cell r="X411">
            <v>128.2176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</row>
        <row r="412">
          <cell r="B412" t="str">
            <v>Nucleo A</v>
          </cell>
          <cell r="C412">
            <v>1</v>
          </cell>
          <cell r="D412">
            <v>1</v>
          </cell>
          <cell r="E412">
            <v>0.25</v>
          </cell>
          <cell r="F412">
            <v>0.2</v>
          </cell>
          <cell r="G412">
            <v>2.65</v>
          </cell>
          <cell r="P412" t="str">
            <v>V</v>
          </cell>
          <cell r="Q412" t="str">
            <v>1"</v>
          </cell>
          <cell r="R412">
            <v>4</v>
          </cell>
          <cell r="S412">
            <v>2.65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50.816000000000003</v>
          </cell>
          <cell r="AD412">
            <v>0</v>
          </cell>
        </row>
        <row r="413">
          <cell r="B413" t="str">
            <v>Est</v>
          </cell>
          <cell r="C413">
            <v>1</v>
          </cell>
          <cell r="D413">
            <v>1</v>
          </cell>
          <cell r="E413">
            <v>0.25</v>
          </cell>
          <cell r="F413">
            <v>0.2</v>
          </cell>
          <cell r="G413">
            <v>2.65</v>
          </cell>
          <cell r="Q413" t="str">
            <v>3/8"</v>
          </cell>
          <cell r="R413">
            <v>11</v>
          </cell>
          <cell r="S413">
            <v>0.9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5.5440000000000005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</row>
        <row r="414">
          <cell r="B414" t="str">
            <v>Nucleo A</v>
          </cell>
          <cell r="C414">
            <v>1</v>
          </cell>
          <cell r="D414">
            <v>1</v>
          </cell>
          <cell r="E414">
            <v>0.25</v>
          </cell>
          <cell r="F414">
            <v>0.2</v>
          </cell>
          <cell r="G414">
            <v>2.65</v>
          </cell>
          <cell r="P414" t="str">
            <v>V</v>
          </cell>
          <cell r="Q414" t="str">
            <v>1"</v>
          </cell>
          <cell r="R414">
            <v>4</v>
          </cell>
          <cell r="S414">
            <v>2.65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50.816000000000003</v>
          </cell>
          <cell r="AD414">
            <v>0</v>
          </cell>
        </row>
        <row r="415">
          <cell r="B415" t="str">
            <v>Est</v>
          </cell>
          <cell r="C415">
            <v>1</v>
          </cell>
          <cell r="D415">
            <v>1</v>
          </cell>
          <cell r="E415">
            <v>0.25</v>
          </cell>
          <cell r="F415">
            <v>0.2</v>
          </cell>
          <cell r="G415">
            <v>2.65</v>
          </cell>
          <cell r="Q415" t="str">
            <v>3/8"</v>
          </cell>
          <cell r="R415">
            <v>11</v>
          </cell>
          <cell r="S415">
            <v>0.9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5.5440000000000005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</row>
        <row r="416">
          <cell r="C416">
            <v>1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</row>
        <row r="417">
          <cell r="B417" t="str">
            <v>B1-PL-03</v>
          </cell>
          <cell r="C417">
            <v>1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</row>
        <row r="418">
          <cell r="B418" t="str">
            <v>Acero Vert</v>
          </cell>
          <cell r="C418">
            <v>1</v>
          </cell>
          <cell r="D418">
            <v>1</v>
          </cell>
          <cell r="E418">
            <v>9</v>
          </cell>
          <cell r="F418">
            <v>0.2</v>
          </cell>
          <cell r="G418">
            <v>2.65</v>
          </cell>
          <cell r="H418">
            <v>280</v>
          </cell>
          <cell r="I418">
            <v>0</v>
          </cell>
          <cell r="J418">
            <v>4.7699999999999996</v>
          </cell>
          <cell r="K418">
            <v>0</v>
          </cell>
          <cell r="L418">
            <v>4.7699999999999996</v>
          </cell>
          <cell r="M418">
            <v>18.399999999999999</v>
          </cell>
          <cell r="N418">
            <v>2.4499999999999997</v>
          </cell>
          <cell r="O418">
            <v>45.079999999999991</v>
          </cell>
          <cell r="P418" t="str">
            <v>V</v>
          </cell>
          <cell r="Q418" t="str">
            <v>3/8"</v>
          </cell>
          <cell r="R418">
            <v>68</v>
          </cell>
          <cell r="S418">
            <v>3.15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138.99200000000002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</row>
        <row r="419">
          <cell r="B419" t="str">
            <v>Acero Hor</v>
          </cell>
          <cell r="C419">
            <v>1</v>
          </cell>
          <cell r="D419">
            <v>1</v>
          </cell>
          <cell r="E419">
            <v>0.3</v>
          </cell>
          <cell r="F419">
            <v>0.4</v>
          </cell>
          <cell r="G419">
            <v>2.65</v>
          </cell>
          <cell r="H419">
            <v>280</v>
          </cell>
          <cell r="I419">
            <v>0</v>
          </cell>
          <cell r="J419">
            <v>0.318</v>
          </cell>
          <cell r="K419">
            <v>0</v>
          </cell>
          <cell r="L419">
            <v>0.318</v>
          </cell>
          <cell r="M419">
            <v>1.4</v>
          </cell>
          <cell r="N419">
            <v>2.4499999999999997</v>
          </cell>
          <cell r="O419">
            <v>3.4299999999999993</v>
          </cell>
          <cell r="P419" t="str">
            <v>H</v>
          </cell>
          <cell r="Q419" t="str">
            <v>3/8"</v>
          </cell>
          <cell r="R419">
            <v>24</v>
          </cell>
          <cell r="S419">
            <v>9.3000000000000007</v>
          </cell>
          <cell r="T419">
            <v>1</v>
          </cell>
          <cell r="U419">
            <v>0</v>
          </cell>
          <cell r="V419">
            <v>0</v>
          </cell>
          <cell r="W419">
            <v>0</v>
          </cell>
          <cell r="X419">
            <v>130.36800000000002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</row>
        <row r="420">
          <cell r="B420" t="str">
            <v>Nucleo A</v>
          </cell>
          <cell r="C420">
            <v>1</v>
          </cell>
          <cell r="D420">
            <v>1</v>
          </cell>
          <cell r="E420">
            <v>0.4</v>
          </cell>
          <cell r="F420">
            <v>0.5</v>
          </cell>
          <cell r="G420">
            <v>2.65</v>
          </cell>
          <cell r="P420" t="str">
            <v>V</v>
          </cell>
          <cell r="Q420" t="str">
            <v>1"</v>
          </cell>
          <cell r="R420">
            <v>8</v>
          </cell>
          <cell r="S420">
            <v>2.65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101.63200000000001</v>
          </cell>
          <cell r="AD420">
            <v>0</v>
          </cell>
        </row>
        <row r="421">
          <cell r="B421" t="str">
            <v>Nucleo A</v>
          </cell>
          <cell r="C421">
            <v>1</v>
          </cell>
          <cell r="D421">
            <v>1</v>
          </cell>
          <cell r="G421">
            <v>2.65</v>
          </cell>
          <cell r="P421" t="str">
            <v>V</v>
          </cell>
          <cell r="Q421" t="str">
            <v>3/4"</v>
          </cell>
          <cell r="R421">
            <v>4</v>
          </cell>
          <cell r="S421">
            <v>2.65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26.880000000000003</v>
          </cell>
          <cell r="AC421">
            <v>0</v>
          </cell>
          <cell r="AD421">
            <v>0</v>
          </cell>
        </row>
        <row r="422">
          <cell r="B422" t="str">
            <v>Est</v>
          </cell>
          <cell r="C422">
            <v>1</v>
          </cell>
          <cell r="D422">
            <v>1</v>
          </cell>
          <cell r="E422">
            <v>0.4</v>
          </cell>
          <cell r="F422">
            <v>0.5</v>
          </cell>
          <cell r="G422">
            <v>2.65</v>
          </cell>
          <cell r="Q422" t="str">
            <v>3/8"</v>
          </cell>
          <cell r="R422">
            <v>11</v>
          </cell>
          <cell r="S422">
            <v>1.8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11.088000000000001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</row>
        <row r="423">
          <cell r="B423" t="str">
            <v>Est</v>
          </cell>
          <cell r="C423">
            <v>1</v>
          </cell>
          <cell r="D423">
            <v>1</v>
          </cell>
          <cell r="E423">
            <v>0.25</v>
          </cell>
          <cell r="F423">
            <v>0.5</v>
          </cell>
          <cell r="G423">
            <v>2.65</v>
          </cell>
          <cell r="Q423" t="str">
            <v>3/8"</v>
          </cell>
          <cell r="R423">
            <v>11</v>
          </cell>
          <cell r="S423">
            <v>1.5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9.24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</row>
        <row r="424">
          <cell r="B424" t="str">
            <v>Est</v>
          </cell>
          <cell r="C424">
            <v>1</v>
          </cell>
          <cell r="D424">
            <v>1</v>
          </cell>
          <cell r="E424">
            <v>0.4</v>
          </cell>
          <cell r="F424">
            <v>0.1</v>
          </cell>
          <cell r="G424">
            <v>2.65</v>
          </cell>
          <cell r="Q424" t="str">
            <v>3/8"</v>
          </cell>
          <cell r="R424">
            <v>11</v>
          </cell>
          <cell r="S424">
            <v>0.5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3.08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</row>
        <row r="425">
          <cell r="B425" t="str">
            <v>Nucleo A</v>
          </cell>
          <cell r="C425">
            <v>1</v>
          </cell>
          <cell r="D425">
            <v>1</v>
          </cell>
          <cell r="E425">
            <v>0.25</v>
          </cell>
          <cell r="F425">
            <v>0.2</v>
          </cell>
          <cell r="G425">
            <v>2.65</v>
          </cell>
          <cell r="P425" t="str">
            <v>V</v>
          </cell>
          <cell r="Q425" t="str">
            <v>1"</v>
          </cell>
          <cell r="R425">
            <v>4</v>
          </cell>
          <cell r="S425">
            <v>2.65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50.816000000000003</v>
          </cell>
          <cell r="AD425">
            <v>0</v>
          </cell>
        </row>
        <row r="426">
          <cell r="B426" t="str">
            <v>Est</v>
          </cell>
          <cell r="C426">
            <v>1</v>
          </cell>
          <cell r="D426">
            <v>1</v>
          </cell>
          <cell r="E426">
            <v>0.25</v>
          </cell>
          <cell r="F426">
            <v>0.2</v>
          </cell>
          <cell r="G426">
            <v>2.65</v>
          </cell>
          <cell r="Q426" t="str">
            <v>3/8"</v>
          </cell>
          <cell r="R426">
            <v>11</v>
          </cell>
          <cell r="S426">
            <v>0.9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5.5440000000000005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</row>
        <row r="427">
          <cell r="C427">
            <v>1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</row>
        <row r="428">
          <cell r="B428" t="str">
            <v>B1-PL-04</v>
          </cell>
          <cell r="C428">
            <v>2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</row>
        <row r="429">
          <cell r="B429" t="str">
            <v>Acero Vert</v>
          </cell>
          <cell r="C429">
            <v>2</v>
          </cell>
          <cell r="D429">
            <v>1</v>
          </cell>
          <cell r="E429">
            <v>2.2999999999999998</v>
          </cell>
          <cell r="F429">
            <v>0.25</v>
          </cell>
          <cell r="G429">
            <v>2.65</v>
          </cell>
          <cell r="H429">
            <v>280</v>
          </cell>
          <cell r="I429">
            <v>0</v>
          </cell>
          <cell r="J429">
            <v>3.0474999999999999</v>
          </cell>
          <cell r="K429">
            <v>0</v>
          </cell>
          <cell r="L429">
            <v>3.0474999999999999</v>
          </cell>
          <cell r="M429">
            <v>5.0999999999999996</v>
          </cell>
          <cell r="N429">
            <v>2.4499999999999997</v>
          </cell>
          <cell r="O429">
            <v>24.989999999999995</v>
          </cell>
          <cell r="P429" t="str">
            <v>V</v>
          </cell>
          <cell r="Q429" t="str">
            <v>3/8"</v>
          </cell>
          <cell r="R429">
            <v>18</v>
          </cell>
          <cell r="S429">
            <v>3.15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73.583999999999989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</row>
        <row r="430">
          <cell r="B430" t="str">
            <v>Acero Hor</v>
          </cell>
          <cell r="C430">
            <v>2</v>
          </cell>
          <cell r="D430">
            <v>1</v>
          </cell>
          <cell r="E430">
            <v>0.25</v>
          </cell>
          <cell r="F430">
            <v>0.4</v>
          </cell>
          <cell r="G430">
            <v>2.65</v>
          </cell>
          <cell r="H430">
            <v>280</v>
          </cell>
          <cell r="I430">
            <v>0</v>
          </cell>
          <cell r="J430">
            <v>0.53</v>
          </cell>
          <cell r="K430">
            <v>0</v>
          </cell>
          <cell r="L430">
            <v>0.53</v>
          </cell>
          <cell r="M430">
            <v>1.3</v>
          </cell>
          <cell r="N430">
            <v>2.4499999999999997</v>
          </cell>
          <cell r="O430">
            <v>6.3699999999999992</v>
          </cell>
          <cell r="P430" t="str">
            <v>H</v>
          </cell>
          <cell r="Q430" t="str">
            <v>3/8"</v>
          </cell>
          <cell r="R430">
            <v>28</v>
          </cell>
          <cell r="S430">
            <v>2.5999999999999996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81.535999999999987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</row>
        <row r="431">
          <cell r="B431" t="str">
            <v>Nucleo A</v>
          </cell>
          <cell r="C431">
            <v>2</v>
          </cell>
          <cell r="D431">
            <v>1</v>
          </cell>
          <cell r="E431">
            <v>0.4</v>
          </cell>
          <cell r="F431">
            <v>0.45</v>
          </cell>
          <cell r="G431">
            <v>2.65</v>
          </cell>
          <cell r="P431" t="str">
            <v>V</v>
          </cell>
          <cell r="Q431" t="str">
            <v>3/4"</v>
          </cell>
          <cell r="R431">
            <v>4</v>
          </cell>
          <cell r="S431">
            <v>2.65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53.760000000000005</v>
          </cell>
          <cell r="AC431">
            <v>0</v>
          </cell>
          <cell r="AD431">
            <v>0</v>
          </cell>
        </row>
        <row r="432">
          <cell r="B432" t="str">
            <v>Nucleo A</v>
          </cell>
          <cell r="C432">
            <v>2</v>
          </cell>
          <cell r="D432">
            <v>1</v>
          </cell>
          <cell r="G432">
            <v>2.65</v>
          </cell>
          <cell r="P432" t="str">
            <v>V</v>
          </cell>
          <cell r="Q432" t="str">
            <v>3/4"</v>
          </cell>
          <cell r="R432">
            <v>8</v>
          </cell>
          <cell r="S432">
            <v>2.65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107.52000000000001</v>
          </cell>
          <cell r="AC432">
            <v>0</v>
          </cell>
          <cell r="AD432">
            <v>0</v>
          </cell>
        </row>
        <row r="433">
          <cell r="B433" t="str">
            <v>Est</v>
          </cell>
          <cell r="C433">
            <v>2</v>
          </cell>
          <cell r="D433">
            <v>1</v>
          </cell>
          <cell r="E433">
            <v>0.4</v>
          </cell>
          <cell r="F433">
            <v>0.45</v>
          </cell>
          <cell r="G433">
            <v>2.65</v>
          </cell>
          <cell r="Q433" t="str">
            <v>3/8"</v>
          </cell>
          <cell r="R433">
            <v>14</v>
          </cell>
          <cell r="S433">
            <v>1.7000000000000002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26.656000000000006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</row>
        <row r="434">
          <cell r="B434" t="str">
            <v>Est</v>
          </cell>
          <cell r="C434">
            <v>2</v>
          </cell>
          <cell r="D434">
            <v>1</v>
          </cell>
          <cell r="E434">
            <v>0.25</v>
          </cell>
          <cell r="F434">
            <v>0.45</v>
          </cell>
          <cell r="G434">
            <v>2.65</v>
          </cell>
          <cell r="Q434" t="str">
            <v>3/8"</v>
          </cell>
          <cell r="R434">
            <v>14</v>
          </cell>
          <cell r="S434">
            <v>1.4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21.951999999999998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</row>
        <row r="435">
          <cell r="B435" t="str">
            <v>Est</v>
          </cell>
          <cell r="C435">
            <v>2</v>
          </cell>
          <cell r="D435">
            <v>1</v>
          </cell>
          <cell r="E435">
            <v>0.4</v>
          </cell>
          <cell r="F435">
            <v>0.1</v>
          </cell>
          <cell r="G435">
            <v>2.65</v>
          </cell>
          <cell r="Q435" t="str">
            <v>3/8"</v>
          </cell>
          <cell r="R435">
            <v>14</v>
          </cell>
          <cell r="S435">
            <v>0.5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7.8400000000000007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</row>
        <row r="436">
          <cell r="B436" t="str">
            <v>Nucleo A</v>
          </cell>
          <cell r="C436">
            <v>2</v>
          </cell>
          <cell r="D436">
            <v>1</v>
          </cell>
          <cell r="E436">
            <v>0.25</v>
          </cell>
          <cell r="F436">
            <v>0.25</v>
          </cell>
          <cell r="G436">
            <v>2.65</v>
          </cell>
          <cell r="P436" t="str">
            <v>V</v>
          </cell>
          <cell r="Q436" t="str">
            <v>3/4"</v>
          </cell>
          <cell r="R436">
            <v>2</v>
          </cell>
          <cell r="S436">
            <v>2.65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26.880000000000003</v>
          </cell>
          <cell r="AC436">
            <v>0</v>
          </cell>
          <cell r="AD436">
            <v>0</v>
          </cell>
        </row>
        <row r="437">
          <cell r="B437" t="str">
            <v>Nucleo A</v>
          </cell>
          <cell r="C437">
            <v>2</v>
          </cell>
          <cell r="D437">
            <v>1</v>
          </cell>
          <cell r="G437">
            <v>2.65</v>
          </cell>
          <cell r="P437" t="str">
            <v>V</v>
          </cell>
          <cell r="Q437" t="str">
            <v>3/4"</v>
          </cell>
          <cell r="R437">
            <v>2</v>
          </cell>
          <cell r="S437">
            <v>2.65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26.880000000000003</v>
          </cell>
          <cell r="AC437">
            <v>0</v>
          </cell>
          <cell r="AD437">
            <v>0</v>
          </cell>
        </row>
        <row r="438">
          <cell r="B438" t="str">
            <v>Est</v>
          </cell>
          <cell r="C438">
            <v>2</v>
          </cell>
          <cell r="D438">
            <v>1</v>
          </cell>
          <cell r="E438">
            <v>0.25</v>
          </cell>
          <cell r="F438">
            <v>0.25</v>
          </cell>
          <cell r="G438">
            <v>2.65</v>
          </cell>
          <cell r="Q438" t="str">
            <v>3/8"</v>
          </cell>
          <cell r="R438">
            <v>14</v>
          </cell>
          <cell r="S438">
            <v>1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15.680000000000001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</row>
        <row r="439">
          <cell r="C439">
            <v>1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</row>
        <row r="440">
          <cell r="B440" t="str">
            <v>B1-PL-05</v>
          </cell>
          <cell r="C440">
            <v>1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</row>
        <row r="441">
          <cell r="B441" t="str">
            <v>Acero Vert</v>
          </cell>
          <cell r="C441">
            <v>1</v>
          </cell>
          <cell r="D441">
            <v>1</v>
          </cell>
          <cell r="E441">
            <v>2.2999999999999998</v>
          </cell>
          <cell r="F441">
            <v>0.25</v>
          </cell>
          <cell r="G441">
            <v>2.65</v>
          </cell>
          <cell r="H441">
            <v>280</v>
          </cell>
          <cell r="I441">
            <v>0</v>
          </cell>
          <cell r="J441">
            <v>1.5237499999999999</v>
          </cell>
          <cell r="K441">
            <v>0</v>
          </cell>
          <cell r="L441">
            <v>1.5237499999999999</v>
          </cell>
          <cell r="M441">
            <v>5.0999999999999996</v>
          </cell>
          <cell r="N441">
            <v>2.4499999999999997</v>
          </cell>
          <cell r="O441">
            <v>12.494999999999997</v>
          </cell>
          <cell r="P441" t="str">
            <v>V</v>
          </cell>
          <cell r="Q441" t="str">
            <v>3/8"</v>
          </cell>
          <cell r="R441">
            <v>20</v>
          </cell>
          <cell r="S441">
            <v>3.15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40.880000000000003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</row>
        <row r="442">
          <cell r="B442" t="str">
            <v>Acero Hor</v>
          </cell>
          <cell r="C442">
            <v>1</v>
          </cell>
          <cell r="D442">
            <v>1</v>
          </cell>
          <cell r="G442">
            <v>2.65</v>
          </cell>
          <cell r="P442" t="str">
            <v>H</v>
          </cell>
          <cell r="Q442" t="str">
            <v>3/8"</v>
          </cell>
          <cell r="R442">
            <v>28</v>
          </cell>
          <cell r="S442">
            <v>2.5999999999999996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40.767999999999994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</row>
        <row r="443">
          <cell r="B443" t="str">
            <v>Nucleo A</v>
          </cell>
          <cell r="C443">
            <v>1</v>
          </cell>
          <cell r="D443">
            <v>1</v>
          </cell>
          <cell r="E443">
            <v>0.25</v>
          </cell>
          <cell r="F443">
            <v>0.25</v>
          </cell>
          <cell r="G443">
            <v>2.65</v>
          </cell>
          <cell r="P443" t="str">
            <v>V</v>
          </cell>
          <cell r="Q443" t="str">
            <v>1"</v>
          </cell>
          <cell r="R443">
            <v>2</v>
          </cell>
          <cell r="S443">
            <v>2.65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25.408000000000001</v>
          </cell>
          <cell r="AD443">
            <v>0</v>
          </cell>
        </row>
        <row r="444">
          <cell r="B444" t="str">
            <v>Nucleo A</v>
          </cell>
          <cell r="C444">
            <v>1</v>
          </cell>
          <cell r="D444">
            <v>1</v>
          </cell>
          <cell r="G444">
            <v>2.65</v>
          </cell>
          <cell r="P444" t="str">
            <v>V</v>
          </cell>
          <cell r="Q444" t="str">
            <v>3/4"</v>
          </cell>
          <cell r="R444">
            <v>2</v>
          </cell>
          <cell r="S444">
            <v>2.65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13.440000000000001</v>
          </cell>
          <cell r="AC444">
            <v>0</v>
          </cell>
          <cell r="AD444">
            <v>0</v>
          </cell>
        </row>
        <row r="445">
          <cell r="B445" t="str">
            <v>Est</v>
          </cell>
          <cell r="C445">
            <v>1</v>
          </cell>
          <cell r="D445">
            <v>1</v>
          </cell>
          <cell r="E445">
            <v>0.25</v>
          </cell>
          <cell r="F445">
            <v>0.25</v>
          </cell>
          <cell r="G445">
            <v>2.65</v>
          </cell>
          <cell r="Q445" t="str">
            <v>3/8"</v>
          </cell>
          <cell r="R445">
            <v>14</v>
          </cell>
          <cell r="S445">
            <v>1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7.8400000000000007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</row>
        <row r="446">
          <cell r="B446" t="str">
            <v>Nucleo A</v>
          </cell>
          <cell r="C446">
            <v>1</v>
          </cell>
          <cell r="D446">
            <v>1</v>
          </cell>
          <cell r="E446">
            <v>0.25</v>
          </cell>
          <cell r="F446">
            <v>0.25</v>
          </cell>
          <cell r="G446">
            <v>2.65</v>
          </cell>
          <cell r="P446" t="str">
            <v>V</v>
          </cell>
          <cell r="Q446" t="str">
            <v>1"</v>
          </cell>
          <cell r="R446">
            <v>2</v>
          </cell>
          <cell r="S446">
            <v>2.65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25.408000000000001</v>
          </cell>
          <cell r="AD446">
            <v>0</v>
          </cell>
        </row>
        <row r="447">
          <cell r="B447" t="str">
            <v>Nucleo A</v>
          </cell>
          <cell r="C447">
            <v>1</v>
          </cell>
          <cell r="D447">
            <v>1</v>
          </cell>
          <cell r="G447">
            <v>2.65</v>
          </cell>
          <cell r="P447" t="str">
            <v>V</v>
          </cell>
          <cell r="Q447" t="str">
            <v>3/4"</v>
          </cell>
          <cell r="R447">
            <v>2</v>
          </cell>
          <cell r="S447">
            <v>2.65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13.440000000000001</v>
          </cell>
          <cell r="AC447">
            <v>0</v>
          </cell>
          <cell r="AD447">
            <v>0</v>
          </cell>
        </row>
        <row r="448">
          <cell r="B448" t="str">
            <v>Est</v>
          </cell>
          <cell r="C448">
            <v>1</v>
          </cell>
          <cell r="D448">
            <v>1</v>
          </cell>
          <cell r="E448">
            <v>0.25</v>
          </cell>
          <cell r="F448">
            <v>0.25</v>
          </cell>
          <cell r="G448">
            <v>2.65</v>
          </cell>
          <cell r="Q448" t="str">
            <v>3/8"</v>
          </cell>
          <cell r="R448">
            <v>14</v>
          </cell>
          <cell r="S448">
            <v>1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7.8400000000000007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</row>
        <row r="449">
          <cell r="B449" t="str">
            <v>B1-PL-06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</row>
        <row r="450">
          <cell r="B450" t="str">
            <v>Acero Vert</v>
          </cell>
          <cell r="C450">
            <v>1</v>
          </cell>
          <cell r="D450">
            <v>1</v>
          </cell>
          <cell r="E450">
            <v>4</v>
          </cell>
          <cell r="F450">
            <v>0.15</v>
          </cell>
          <cell r="G450">
            <v>2.65</v>
          </cell>
          <cell r="H450">
            <v>280</v>
          </cell>
          <cell r="I450">
            <v>0</v>
          </cell>
          <cell r="J450">
            <v>1.5899999999999999</v>
          </cell>
          <cell r="K450">
            <v>0</v>
          </cell>
          <cell r="L450">
            <v>1.5899999999999999</v>
          </cell>
          <cell r="M450">
            <v>8.3000000000000007</v>
          </cell>
          <cell r="N450">
            <v>2.4499999999999997</v>
          </cell>
          <cell r="O450">
            <v>20.335000000000001</v>
          </cell>
          <cell r="P450" t="str">
            <v>V</v>
          </cell>
          <cell r="Q450" t="str">
            <v>3/8"</v>
          </cell>
          <cell r="R450">
            <v>24</v>
          </cell>
          <cell r="S450">
            <v>3.15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49.056000000000004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</row>
        <row r="451">
          <cell r="B451" t="str">
            <v>Acero Hor</v>
          </cell>
          <cell r="C451">
            <v>1</v>
          </cell>
          <cell r="D451">
            <v>1</v>
          </cell>
          <cell r="G451">
            <v>4.16</v>
          </cell>
          <cell r="P451" t="str">
            <v>H</v>
          </cell>
          <cell r="Q451" t="str">
            <v>3/8"</v>
          </cell>
          <cell r="R451">
            <v>20</v>
          </cell>
          <cell r="S451">
            <v>4.3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48.160000000000004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</row>
        <row r="452">
          <cell r="B452" t="str">
            <v>Nucleo A</v>
          </cell>
          <cell r="C452">
            <v>1</v>
          </cell>
          <cell r="D452">
            <v>1</v>
          </cell>
          <cell r="E452">
            <v>0.4</v>
          </cell>
          <cell r="F452">
            <v>0.15</v>
          </cell>
          <cell r="G452">
            <v>2.65</v>
          </cell>
          <cell r="P452" t="str">
            <v>V</v>
          </cell>
          <cell r="Q452" t="str">
            <v>5/8"</v>
          </cell>
          <cell r="R452">
            <v>4</v>
          </cell>
          <cell r="S452">
            <v>2.65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18.29</v>
          </cell>
          <cell r="AB452">
            <v>0</v>
          </cell>
          <cell r="AC452">
            <v>0</v>
          </cell>
          <cell r="AD452">
            <v>0</v>
          </cell>
        </row>
        <row r="453">
          <cell r="B453" t="str">
            <v>Est</v>
          </cell>
          <cell r="C453">
            <v>1</v>
          </cell>
          <cell r="D453">
            <v>1</v>
          </cell>
          <cell r="E453">
            <v>0.4</v>
          </cell>
          <cell r="F453">
            <v>0.15</v>
          </cell>
          <cell r="G453">
            <v>2.65</v>
          </cell>
          <cell r="Q453" t="str">
            <v>3/8"</v>
          </cell>
          <cell r="R453">
            <v>14</v>
          </cell>
          <cell r="S453">
            <v>1.1000000000000001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8.6240000000000023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</row>
        <row r="454">
          <cell r="B454" t="str">
            <v>Nucleo A</v>
          </cell>
          <cell r="C454">
            <v>1</v>
          </cell>
          <cell r="D454">
            <v>1</v>
          </cell>
          <cell r="E454">
            <v>0.2</v>
          </cell>
          <cell r="F454">
            <v>0.15</v>
          </cell>
          <cell r="G454">
            <v>2.65</v>
          </cell>
          <cell r="P454" t="str">
            <v>V</v>
          </cell>
          <cell r="Q454" t="str">
            <v>5/8"</v>
          </cell>
          <cell r="R454">
            <v>4</v>
          </cell>
          <cell r="S454">
            <v>2.65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18.29</v>
          </cell>
          <cell r="AB454">
            <v>0</v>
          </cell>
          <cell r="AC454">
            <v>0</v>
          </cell>
          <cell r="AD454">
            <v>0</v>
          </cell>
        </row>
        <row r="455">
          <cell r="B455" t="str">
            <v>Est</v>
          </cell>
          <cell r="C455">
            <v>1</v>
          </cell>
          <cell r="D455">
            <v>1</v>
          </cell>
          <cell r="E455">
            <v>0.2</v>
          </cell>
          <cell r="F455">
            <v>0.15</v>
          </cell>
          <cell r="G455">
            <v>2.65</v>
          </cell>
          <cell r="Q455" t="str">
            <v>3/8"</v>
          </cell>
          <cell r="R455">
            <v>14</v>
          </cell>
          <cell r="S455">
            <v>0.7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5.4879999999999995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</row>
        <row r="456">
          <cell r="B456" t="str">
            <v>Nucleo B</v>
          </cell>
          <cell r="C456">
            <v>1</v>
          </cell>
          <cell r="D456">
            <v>1</v>
          </cell>
          <cell r="E456">
            <v>1.76</v>
          </cell>
          <cell r="F456">
            <v>0.25</v>
          </cell>
          <cell r="G456">
            <v>2.65</v>
          </cell>
          <cell r="L456">
            <v>1.1659999999999999</v>
          </cell>
          <cell r="M456">
            <v>4.0199999999999996</v>
          </cell>
          <cell r="N456">
            <v>2.4499999999999997</v>
          </cell>
          <cell r="O456">
            <v>9.8489999999999984</v>
          </cell>
          <cell r="P456" t="str">
            <v>V</v>
          </cell>
          <cell r="Q456" t="str">
            <v>3/4"</v>
          </cell>
          <cell r="R456">
            <v>12</v>
          </cell>
          <cell r="S456">
            <v>2.65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80.640000000000015</v>
          </cell>
          <cell r="AC456">
            <v>0</v>
          </cell>
          <cell r="AD456">
            <v>0</v>
          </cell>
        </row>
        <row r="457">
          <cell r="B457" t="str">
            <v>Nucleo A</v>
          </cell>
          <cell r="C457">
            <v>1</v>
          </cell>
          <cell r="D457">
            <v>1</v>
          </cell>
          <cell r="G457">
            <v>2.65</v>
          </cell>
          <cell r="H457">
            <v>280</v>
          </cell>
          <cell r="I457">
            <v>0</v>
          </cell>
          <cell r="J457">
            <v>2.65</v>
          </cell>
          <cell r="K457">
            <v>0</v>
          </cell>
          <cell r="P457" t="str">
            <v>V</v>
          </cell>
          <cell r="Q457" t="str">
            <v>5/8"</v>
          </cell>
          <cell r="R457">
            <v>10</v>
          </cell>
          <cell r="S457">
            <v>2.65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45.725000000000001</v>
          </cell>
          <cell r="AB457">
            <v>0</v>
          </cell>
          <cell r="AC457">
            <v>0</v>
          </cell>
          <cell r="AD457">
            <v>0</v>
          </cell>
        </row>
        <row r="458">
          <cell r="B458" t="str">
            <v>Est</v>
          </cell>
          <cell r="C458">
            <v>1</v>
          </cell>
          <cell r="D458">
            <v>1</v>
          </cell>
          <cell r="E458">
            <v>1.1000000000000001</v>
          </cell>
          <cell r="F458">
            <v>0.25</v>
          </cell>
          <cell r="G458">
            <v>2.65</v>
          </cell>
          <cell r="Q458" t="str">
            <v>3/8"</v>
          </cell>
          <cell r="R458">
            <v>25</v>
          </cell>
          <cell r="S458">
            <v>2.7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37.800000000000004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</row>
        <row r="459">
          <cell r="B459" t="str">
            <v>Est</v>
          </cell>
          <cell r="C459">
            <v>1</v>
          </cell>
          <cell r="D459">
            <v>1</v>
          </cell>
          <cell r="E459">
            <v>1.1000000000000001</v>
          </cell>
          <cell r="F459">
            <v>0.25</v>
          </cell>
          <cell r="G459">
            <v>2.65</v>
          </cell>
          <cell r="Q459" t="str">
            <v>3/8"</v>
          </cell>
          <cell r="R459">
            <v>25</v>
          </cell>
          <cell r="S459">
            <v>2.7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37.800000000000004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</row>
        <row r="460">
          <cell r="B460" t="str">
            <v>Est</v>
          </cell>
          <cell r="C460">
            <v>1</v>
          </cell>
          <cell r="D460">
            <v>1</v>
          </cell>
          <cell r="E460">
            <v>1.1000000000000001</v>
          </cell>
          <cell r="F460">
            <v>0.25</v>
          </cell>
          <cell r="G460">
            <v>2.65</v>
          </cell>
          <cell r="Q460" t="str">
            <v>3/8"</v>
          </cell>
          <cell r="R460">
            <v>25</v>
          </cell>
          <cell r="S460">
            <v>2.7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37.800000000000004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</row>
        <row r="461">
          <cell r="B461" t="str">
            <v>Est</v>
          </cell>
          <cell r="C461">
            <v>1</v>
          </cell>
          <cell r="D461">
            <v>5</v>
          </cell>
          <cell r="E461">
            <v>0.15</v>
          </cell>
          <cell r="F461">
            <v>0.25</v>
          </cell>
          <cell r="G461">
            <v>2.65</v>
          </cell>
          <cell r="Q461" t="str">
            <v>3/8"</v>
          </cell>
          <cell r="R461">
            <v>25</v>
          </cell>
          <cell r="S461">
            <v>0.55000000000000004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38.500000000000007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</row>
        <row r="462">
          <cell r="B462" t="str">
            <v>Acero Vert</v>
          </cell>
          <cell r="C462">
            <v>1</v>
          </cell>
          <cell r="D462">
            <v>1</v>
          </cell>
          <cell r="E462">
            <v>5</v>
          </cell>
          <cell r="F462">
            <v>0.4</v>
          </cell>
          <cell r="G462">
            <v>2.65</v>
          </cell>
          <cell r="H462">
            <v>280</v>
          </cell>
          <cell r="I462">
            <v>0</v>
          </cell>
          <cell r="J462">
            <v>5.3</v>
          </cell>
          <cell r="K462">
            <v>0</v>
          </cell>
          <cell r="L462">
            <v>5.3</v>
          </cell>
          <cell r="M462">
            <v>10.8</v>
          </cell>
          <cell r="N462">
            <v>2.4499999999999997</v>
          </cell>
          <cell r="O462">
            <v>26.459999999999997</v>
          </cell>
          <cell r="P462" t="str">
            <v>V</v>
          </cell>
          <cell r="Q462" t="str">
            <v>1/2"</v>
          </cell>
          <cell r="R462">
            <v>42</v>
          </cell>
          <cell r="S462">
            <v>3.15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141.37199999999999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</row>
        <row r="463">
          <cell r="B463" t="str">
            <v>Acero Hor</v>
          </cell>
          <cell r="C463">
            <v>1</v>
          </cell>
          <cell r="D463">
            <v>1</v>
          </cell>
          <cell r="G463">
            <v>2.65</v>
          </cell>
          <cell r="P463" t="str">
            <v>H</v>
          </cell>
          <cell r="Q463" t="str">
            <v>1/2"</v>
          </cell>
          <cell r="R463">
            <v>24</v>
          </cell>
          <cell r="S463">
            <v>5.9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140.18400000000003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</row>
        <row r="464">
          <cell r="B464" t="str">
            <v>Acero Vert</v>
          </cell>
          <cell r="C464">
            <v>1</v>
          </cell>
          <cell r="D464">
            <v>1</v>
          </cell>
          <cell r="E464">
            <v>2.3199999999999998</v>
          </cell>
          <cell r="F464">
            <v>0.2</v>
          </cell>
          <cell r="G464">
            <v>2.65</v>
          </cell>
          <cell r="H464">
            <v>280</v>
          </cell>
          <cell r="I464">
            <v>0</v>
          </cell>
          <cell r="J464">
            <v>1.2295999999999998</v>
          </cell>
          <cell r="K464">
            <v>0</v>
          </cell>
          <cell r="L464">
            <v>1.2295999999999998</v>
          </cell>
          <cell r="M464">
            <v>5.04</v>
          </cell>
          <cell r="N464">
            <v>2.4499999999999997</v>
          </cell>
          <cell r="O464">
            <v>12.347999999999999</v>
          </cell>
          <cell r="P464" t="str">
            <v>V</v>
          </cell>
          <cell r="Q464" t="str">
            <v>3/8"</v>
          </cell>
          <cell r="R464">
            <v>16</v>
          </cell>
          <cell r="S464">
            <v>3.15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32.704000000000001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</row>
        <row r="465">
          <cell r="B465" t="str">
            <v>Acero Hor</v>
          </cell>
          <cell r="C465">
            <v>1</v>
          </cell>
          <cell r="D465">
            <v>1</v>
          </cell>
          <cell r="G465">
            <v>2.65</v>
          </cell>
          <cell r="P465" t="str">
            <v>H</v>
          </cell>
          <cell r="Q465" t="str">
            <v>3/8"</v>
          </cell>
          <cell r="R465">
            <v>28</v>
          </cell>
          <cell r="S465">
            <v>2.6199999999999997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41.081599999999995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</row>
        <row r="466">
          <cell r="B466" t="str">
            <v>Nucleo A</v>
          </cell>
          <cell r="C466">
            <v>1</v>
          </cell>
          <cell r="D466">
            <v>2</v>
          </cell>
          <cell r="E466">
            <v>0.25</v>
          </cell>
          <cell r="F466">
            <v>0.25</v>
          </cell>
          <cell r="G466">
            <v>2.65</v>
          </cell>
          <cell r="P466" t="str">
            <v>V</v>
          </cell>
          <cell r="Q466" t="str">
            <v>3/4"</v>
          </cell>
          <cell r="R466">
            <v>2</v>
          </cell>
          <cell r="S466">
            <v>2.65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25.312000000000001</v>
          </cell>
          <cell r="AC466">
            <v>0</v>
          </cell>
          <cell r="AD466">
            <v>0</v>
          </cell>
        </row>
        <row r="467">
          <cell r="B467" t="str">
            <v>Nucleo A</v>
          </cell>
          <cell r="C467">
            <v>1</v>
          </cell>
          <cell r="D467">
            <v>2</v>
          </cell>
          <cell r="G467">
            <v>2.65</v>
          </cell>
          <cell r="P467" t="str">
            <v>V</v>
          </cell>
          <cell r="Q467" t="str">
            <v>1"</v>
          </cell>
          <cell r="R467">
            <v>2</v>
          </cell>
          <cell r="S467">
            <v>2.65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46.448999999999998</v>
          </cell>
          <cell r="AD467">
            <v>0</v>
          </cell>
        </row>
        <row r="468">
          <cell r="B468" t="str">
            <v>Est</v>
          </cell>
          <cell r="C468">
            <v>1</v>
          </cell>
          <cell r="D468">
            <v>2</v>
          </cell>
          <cell r="E468">
            <v>0.25</v>
          </cell>
          <cell r="F468">
            <v>0.25</v>
          </cell>
          <cell r="G468">
            <v>2.65</v>
          </cell>
          <cell r="Q468" t="str">
            <v>3/8"</v>
          </cell>
          <cell r="R468">
            <v>14</v>
          </cell>
          <cell r="S468">
            <v>1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15.680000000000001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</row>
        <row r="469"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</row>
        <row r="470">
          <cell r="B470" t="str">
            <v>5 PISO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</row>
        <row r="471">
          <cell r="C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</row>
        <row r="472">
          <cell r="B472" t="str">
            <v>B1-PL-01</v>
          </cell>
          <cell r="C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</row>
        <row r="473">
          <cell r="B473" t="str">
            <v>Acero Vert</v>
          </cell>
          <cell r="C473">
            <v>1</v>
          </cell>
          <cell r="D473">
            <v>1</v>
          </cell>
          <cell r="E473">
            <v>4.2300000000000004</v>
          </cell>
          <cell r="F473">
            <v>0.2</v>
          </cell>
          <cell r="G473">
            <v>2.65</v>
          </cell>
          <cell r="H473">
            <v>280</v>
          </cell>
          <cell r="I473">
            <v>0</v>
          </cell>
          <cell r="J473">
            <v>2.2419000000000002</v>
          </cell>
          <cell r="K473">
            <v>0</v>
          </cell>
          <cell r="L473">
            <v>2.2419000000000002</v>
          </cell>
          <cell r="M473">
            <v>8.8600000000000012</v>
          </cell>
          <cell r="N473">
            <v>2.4499999999999997</v>
          </cell>
          <cell r="O473">
            <v>21.707000000000001</v>
          </cell>
          <cell r="P473" t="str">
            <v>V</v>
          </cell>
          <cell r="Q473" t="str">
            <v>3/8"</v>
          </cell>
          <cell r="R473">
            <v>32</v>
          </cell>
          <cell r="S473">
            <v>3.15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65.408000000000001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</row>
        <row r="474">
          <cell r="B474" t="str">
            <v>Acero Hor</v>
          </cell>
          <cell r="C474">
            <v>1</v>
          </cell>
          <cell r="D474">
            <v>1</v>
          </cell>
          <cell r="G474">
            <v>2.65</v>
          </cell>
          <cell r="P474" t="str">
            <v>H</v>
          </cell>
          <cell r="Q474" t="str">
            <v>3/8"</v>
          </cell>
          <cell r="R474">
            <v>24</v>
          </cell>
          <cell r="S474">
            <v>4.53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60.883200000000002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</row>
        <row r="475">
          <cell r="B475" t="str">
            <v>Nucleo A</v>
          </cell>
          <cell r="C475">
            <v>1</v>
          </cell>
          <cell r="D475">
            <v>1</v>
          </cell>
          <cell r="E475">
            <v>0.55000000000000004</v>
          </cell>
          <cell r="F475">
            <v>0.2</v>
          </cell>
          <cell r="G475">
            <v>2.65</v>
          </cell>
          <cell r="P475" t="str">
            <v>V</v>
          </cell>
          <cell r="Q475" t="str">
            <v>1"</v>
          </cell>
          <cell r="R475">
            <v>8</v>
          </cell>
          <cell r="S475">
            <v>2.65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101.63200000000001</v>
          </cell>
          <cell r="AD475">
            <v>0</v>
          </cell>
        </row>
        <row r="476">
          <cell r="B476" t="str">
            <v>Est</v>
          </cell>
          <cell r="C476">
            <v>1</v>
          </cell>
          <cell r="D476">
            <v>1</v>
          </cell>
          <cell r="E476">
            <v>0.4</v>
          </cell>
          <cell r="F476">
            <v>0.2</v>
          </cell>
          <cell r="G476">
            <v>2.65</v>
          </cell>
          <cell r="Q476" t="str">
            <v>3/8"</v>
          </cell>
          <cell r="R476">
            <v>14</v>
          </cell>
          <cell r="S476">
            <v>1.2000000000000002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9.408000000000003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</row>
        <row r="477">
          <cell r="B477" t="str">
            <v>Est</v>
          </cell>
          <cell r="C477">
            <v>1</v>
          </cell>
          <cell r="D477">
            <v>1</v>
          </cell>
          <cell r="E477">
            <v>0.4</v>
          </cell>
          <cell r="F477">
            <v>0.2</v>
          </cell>
          <cell r="G477">
            <v>2.65</v>
          </cell>
          <cell r="Q477" t="str">
            <v>3/8"</v>
          </cell>
          <cell r="R477">
            <v>14</v>
          </cell>
          <cell r="S477">
            <v>1.2000000000000002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9.408000000000003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</row>
        <row r="478">
          <cell r="B478" t="str">
            <v>Acero Vert</v>
          </cell>
          <cell r="C478">
            <v>1</v>
          </cell>
          <cell r="D478">
            <v>1</v>
          </cell>
          <cell r="E478">
            <v>5.3999999999999995</v>
          </cell>
          <cell r="F478">
            <v>0.2</v>
          </cell>
          <cell r="G478">
            <v>2.65</v>
          </cell>
          <cell r="H478">
            <v>280</v>
          </cell>
          <cell r="I478">
            <v>0</v>
          </cell>
          <cell r="J478">
            <v>2.8619999999999997</v>
          </cell>
          <cell r="K478">
            <v>0</v>
          </cell>
          <cell r="L478">
            <v>2.8619999999999997</v>
          </cell>
          <cell r="M478">
            <v>11.2</v>
          </cell>
          <cell r="N478">
            <v>2.4499999999999997</v>
          </cell>
          <cell r="O478">
            <v>27.439999999999994</v>
          </cell>
          <cell r="P478" t="str">
            <v>V</v>
          </cell>
          <cell r="Q478" t="str">
            <v>3/8"</v>
          </cell>
          <cell r="R478">
            <v>42</v>
          </cell>
          <cell r="S478">
            <v>3.15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85.847999999999999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</row>
        <row r="479">
          <cell r="B479" t="str">
            <v>Acero Hor</v>
          </cell>
          <cell r="C479">
            <v>1</v>
          </cell>
          <cell r="D479">
            <v>1</v>
          </cell>
          <cell r="G479">
            <v>2.65</v>
          </cell>
          <cell r="P479" t="str">
            <v>H</v>
          </cell>
          <cell r="Q479" t="str">
            <v>3/8"</v>
          </cell>
          <cell r="R479">
            <v>24</v>
          </cell>
          <cell r="S479">
            <v>5.8999999999999995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79.296000000000006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</row>
        <row r="480">
          <cell r="B480" t="str">
            <v>Nucleo A</v>
          </cell>
          <cell r="C480">
            <v>1</v>
          </cell>
          <cell r="D480">
            <v>1</v>
          </cell>
          <cell r="E480">
            <v>0.25</v>
          </cell>
          <cell r="F480">
            <v>0.2</v>
          </cell>
          <cell r="G480">
            <v>2.65</v>
          </cell>
          <cell r="P480" t="str">
            <v>V</v>
          </cell>
          <cell r="Q480" t="str">
            <v>1"</v>
          </cell>
          <cell r="R480">
            <v>4</v>
          </cell>
          <cell r="S480">
            <v>2.65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50.816000000000003</v>
          </cell>
          <cell r="AD480">
            <v>0</v>
          </cell>
        </row>
        <row r="481">
          <cell r="B481" t="str">
            <v>Est</v>
          </cell>
          <cell r="C481">
            <v>1</v>
          </cell>
          <cell r="D481">
            <v>1</v>
          </cell>
          <cell r="E481">
            <v>0.25</v>
          </cell>
          <cell r="F481">
            <v>0.2</v>
          </cell>
          <cell r="G481">
            <v>2.65</v>
          </cell>
          <cell r="Q481" t="str">
            <v>3/8"</v>
          </cell>
          <cell r="R481">
            <v>14</v>
          </cell>
          <cell r="S481">
            <v>0.9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7.056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</row>
        <row r="482">
          <cell r="B482" t="str">
            <v>Nucleo A</v>
          </cell>
          <cell r="C482">
            <v>1</v>
          </cell>
          <cell r="D482">
            <v>1</v>
          </cell>
          <cell r="E482">
            <v>0.2</v>
          </cell>
          <cell r="F482">
            <v>0.2</v>
          </cell>
          <cell r="G482">
            <v>2.65</v>
          </cell>
          <cell r="P482" t="str">
            <v>V</v>
          </cell>
          <cell r="Q482" t="str">
            <v>3/4"</v>
          </cell>
          <cell r="R482">
            <v>4</v>
          </cell>
          <cell r="S482">
            <v>2.65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26.880000000000003</v>
          </cell>
          <cell r="AC482">
            <v>0</v>
          </cell>
          <cell r="AD482">
            <v>0</v>
          </cell>
        </row>
        <row r="483">
          <cell r="B483" t="str">
            <v>Est</v>
          </cell>
          <cell r="C483">
            <v>1</v>
          </cell>
          <cell r="D483">
            <v>1</v>
          </cell>
          <cell r="E483">
            <v>0.2</v>
          </cell>
          <cell r="F483">
            <v>0.2</v>
          </cell>
          <cell r="G483">
            <v>2.65</v>
          </cell>
          <cell r="Q483" t="str">
            <v>3/8"</v>
          </cell>
          <cell r="R483">
            <v>14</v>
          </cell>
          <cell r="S483">
            <v>0.8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6.2720000000000011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</row>
        <row r="484">
          <cell r="C484">
            <v>1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</row>
        <row r="485">
          <cell r="B485" t="str">
            <v>B1-PL-02</v>
          </cell>
          <cell r="C485">
            <v>1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</row>
        <row r="486">
          <cell r="B486" t="str">
            <v>Acero Vert</v>
          </cell>
          <cell r="C486">
            <v>1</v>
          </cell>
          <cell r="D486">
            <v>1</v>
          </cell>
          <cell r="E486">
            <v>8.64</v>
          </cell>
          <cell r="F486">
            <v>0.2</v>
          </cell>
          <cell r="G486">
            <v>2.65</v>
          </cell>
          <cell r="H486">
            <v>280</v>
          </cell>
          <cell r="I486">
            <v>0</v>
          </cell>
          <cell r="J486">
            <v>4.5792000000000002</v>
          </cell>
          <cell r="K486">
            <v>0</v>
          </cell>
          <cell r="L486">
            <v>4.5792000000000002</v>
          </cell>
          <cell r="M486">
            <v>17.68</v>
          </cell>
          <cell r="N486">
            <v>2.4499999999999997</v>
          </cell>
          <cell r="O486">
            <v>43.315999999999995</v>
          </cell>
          <cell r="P486" t="str">
            <v>V</v>
          </cell>
          <cell r="Q486" t="str">
            <v>3/8"</v>
          </cell>
          <cell r="R486">
            <v>68</v>
          </cell>
          <cell r="S486">
            <v>3.15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138.99200000000002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</row>
        <row r="487">
          <cell r="B487" t="str">
            <v>Acero Hor</v>
          </cell>
          <cell r="C487">
            <v>1</v>
          </cell>
          <cell r="D487">
            <v>1</v>
          </cell>
          <cell r="G487">
            <v>2.65</v>
          </cell>
          <cell r="P487" t="str">
            <v>H</v>
          </cell>
          <cell r="Q487" t="str">
            <v>3/8"</v>
          </cell>
          <cell r="R487">
            <v>24</v>
          </cell>
          <cell r="S487">
            <v>9.14</v>
          </cell>
          <cell r="T487">
            <v>1</v>
          </cell>
          <cell r="U487">
            <v>0</v>
          </cell>
          <cell r="V487">
            <v>0</v>
          </cell>
          <cell r="W487">
            <v>0</v>
          </cell>
          <cell r="X487">
            <v>128.2176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</row>
        <row r="488">
          <cell r="B488" t="str">
            <v>Nucleo A</v>
          </cell>
          <cell r="C488">
            <v>1</v>
          </cell>
          <cell r="D488">
            <v>1</v>
          </cell>
          <cell r="E488">
            <v>0.25</v>
          </cell>
          <cell r="F488">
            <v>0.2</v>
          </cell>
          <cell r="G488">
            <v>2.65</v>
          </cell>
          <cell r="P488" t="str">
            <v>V</v>
          </cell>
          <cell r="Q488" t="str">
            <v>1"</v>
          </cell>
          <cell r="R488">
            <v>4</v>
          </cell>
          <cell r="S488">
            <v>2.65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50.816000000000003</v>
          </cell>
          <cell r="AD488">
            <v>0</v>
          </cell>
        </row>
        <row r="489">
          <cell r="B489" t="str">
            <v>Est</v>
          </cell>
          <cell r="C489">
            <v>1</v>
          </cell>
          <cell r="D489">
            <v>1</v>
          </cell>
          <cell r="E489">
            <v>0.25</v>
          </cell>
          <cell r="F489">
            <v>0.2</v>
          </cell>
          <cell r="G489">
            <v>2.65</v>
          </cell>
          <cell r="Q489" t="str">
            <v>3/8"</v>
          </cell>
          <cell r="R489">
            <v>11</v>
          </cell>
          <cell r="S489">
            <v>0.9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5.5440000000000005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</row>
        <row r="490">
          <cell r="B490" t="str">
            <v>Nucleo A</v>
          </cell>
          <cell r="C490">
            <v>1</v>
          </cell>
          <cell r="D490">
            <v>1</v>
          </cell>
          <cell r="E490">
            <v>0.25</v>
          </cell>
          <cell r="F490">
            <v>0.2</v>
          </cell>
          <cell r="G490">
            <v>2.65</v>
          </cell>
          <cell r="P490" t="str">
            <v>V</v>
          </cell>
          <cell r="Q490" t="str">
            <v>1"</v>
          </cell>
          <cell r="R490">
            <v>4</v>
          </cell>
          <cell r="S490">
            <v>2.65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50.816000000000003</v>
          </cell>
          <cell r="AD490">
            <v>0</v>
          </cell>
        </row>
        <row r="491">
          <cell r="B491" t="str">
            <v>Est</v>
          </cell>
          <cell r="C491">
            <v>1</v>
          </cell>
          <cell r="D491">
            <v>1</v>
          </cell>
          <cell r="E491">
            <v>0.25</v>
          </cell>
          <cell r="F491">
            <v>0.2</v>
          </cell>
          <cell r="G491">
            <v>2.65</v>
          </cell>
          <cell r="Q491" t="str">
            <v>3/8"</v>
          </cell>
          <cell r="R491">
            <v>11</v>
          </cell>
          <cell r="S491">
            <v>0.9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5.5440000000000005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</row>
        <row r="492">
          <cell r="C492">
            <v>1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</row>
        <row r="493">
          <cell r="B493" t="str">
            <v>B1-PL-03</v>
          </cell>
          <cell r="C493">
            <v>1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</row>
        <row r="494">
          <cell r="B494" t="str">
            <v>Acero Vert</v>
          </cell>
          <cell r="C494">
            <v>1</v>
          </cell>
          <cell r="D494">
            <v>1</v>
          </cell>
          <cell r="E494">
            <v>9</v>
          </cell>
          <cell r="F494">
            <v>0.2</v>
          </cell>
          <cell r="G494">
            <v>2.65</v>
          </cell>
          <cell r="H494">
            <v>280</v>
          </cell>
          <cell r="I494">
            <v>0</v>
          </cell>
          <cell r="J494">
            <v>4.7699999999999996</v>
          </cell>
          <cell r="K494">
            <v>0</v>
          </cell>
          <cell r="L494">
            <v>4.7699999999999996</v>
          </cell>
          <cell r="M494">
            <v>18.399999999999999</v>
          </cell>
          <cell r="N494">
            <v>2.4499999999999997</v>
          </cell>
          <cell r="O494">
            <v>45.079999999999991</v>
          </cell>
          <cell r="P494" t="str">
            <v>V</v>
          </cell>
          <cell r="Q494" t="str">
            <v>3/8"</v>
          </cell>
          <cell r="R494">
            <v>68</v>
          </cell>
          <cell r="S494">
            <v>3.15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138.99200000000002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</row>
        <row r="495">
          <cell r="B495" t="str">
            <v>Acero Hor</v>
          </cell>
          <cell r="C495">
            <v>1</v>
          </cell>
          <cell r="D495">
            <v>1</v>
          </cell>
          <cell r="E495">
            <v>0.3</v>
          </cell>
          <cell r="F495">
            <v>0.4</v>
          </cell>
          <cell r="G495">
            <v>2.65</v>
          </cell>
          <cell r="H495">
            <v>280</v>
          </cell>
          <cell r="I495">
            <v>0</v>
          </cell>
          <cell r="J495">
            <v>0.318</v>
          </cell>
          <cell r="K495">
            <v>0</v>
          </cell>
          <cell r="L495">
            <v>0.318</v>
          </cell>
          <cell r="M495">
            <v>1.4</v>
          </cell>
          <cell r="N495">
            <v>2.4499999999999997</v>
          </cell>
          <cell r="O495">
            <v>3.4299999999999993</v>
          </cell>
          <cell r="P495" t="str">
            <v>H</v>
          </cell>
          <cell r="Q495" t="str">
            <v>3/8"</v>
          </cell>
          <cell r="R495">
            <v>24</v>
          </cell>
          <cell r="S495">
            <v>9.3000000000000007</v>
          </cell>
          <cell r="T495">
            <v>1</v>
          </cell>
          <cell r="U495">
            <v>0</v>
          </cell>
          <cell r="V495">
            <v>0</v>
          </cell>
          <cell r="W495">
            <v>0</v>
          </cell>
          <cell r="X495">
            <v>130.36800000000002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</row>
        <row r="496">
          <cell r="B496" t="str">
            <v>Nucleo A</v>
          </cell>
          <cell r="C496">
            <v>1</v>
          </cell>
          <cell r="D496">
            <v>1</v>
          </cell>
          <cell r="E496">
            <v>0.4</v>
          </cell>
          <cell r="F496">
            <v>0.5</v>
          </cell>
          <cell r="G496">
            <v>2.65</v>
          </cell>
          <cell r="P496" t="str">
            <v>V</v>
          </cell>
          <cell r="Q496" t="str">
            <v>1"</v>
          </cell>
          <cell r="R496">
            <v>8</v>
          </cell>
          <cell r="S496">
            <v>2.65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101.63200000000001</v>
          </cell>
          <cell r="AD496">
            <v>0</v>
          </cell>
        </row>
        <row r="497">
          <cell r="B497" t="str">
            <v>Nucleo A</v>
          </cell>
          <cell r="C497">
            <v>1</v>
          </cell>
          <cell r="D497">
            <v>1</v>
          </cell>
          <cell r="G497">
            <v>2.65</v>
          </cell>
          <cell r="P497" t="str">
            <v>V</v>
          </cell>
          <cell r="Q497" t="str">
            <v>3/4"</v>
          </cell>
          <cell r="R497">
            <v>4</v>
          </cell>
          <cell r="S497">
            <v>2.65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26.880000000000003</v>
          </cell>
          <cell r="AC497">
            <v>0</v>
          </cell>
          <cell r="AD497">
            <v>0</v>
          </cell>
        </row>
        <row r="498">
          <cell r="B498" t="str">
            <v>Est</v>
          </cell>
          <cell r="C498">
            <v>1</v>
          </cell>
          <cell r="D498">
            <v>1</v>
          </cell>
          <cell r="E498">
            <v>0.4</v>
          </cell>
          <cell r="F498">
            <v>0.5</v>
          </cell>
          <cell r="G498">
            <v>2.65</v>
          </cell>
          <cell r="Q498" t="str">
            <v>3/8"</v>
          </cell>
          <cell r="R498">
            <v>11</v>
          </cell>
          <cell r="S498">
            <v>1.8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11.088000000000001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</row>
        <row r="499">
          <cell r="B499" t="str">
            <v>Est</v>
          </cell>
          <cell r="C499">
            <v>1</v>
          </cell>
          <cell r="D499">
            <v>1</v>
          </cell>
          <cell r="E499">
            <v>0.25</v>
          </cell>
          <cell r="F499">
            <v>0.5</v>
          </cell>
          <cell r="G499">
            <v>2.65</v>
          </cell>
          <cell r="Q499" t="str">
            <v>3/8"</v>
          </cell>
          <cell r="R499">
            <v>11</v>
          </cell>
          <cell r="S499">
            <v>1.5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9.24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</row>
        <row r="500">
          <cell r="B500" t="str">
            <v>Est</v>
          </cell>
          <cell r="C500">
            <v>1</v>
          </cell>
          <cell r="D500">
            <v>1</v>
          </cell>
          <cell r="E500">
            <v>0.4</v>
          </cell>
          <cell r="F500">
            <v>0.1</v>
          </cell>
          <cell r="G500">
            <v>2.65</v>
          </cell>
          <cell r="Q500" t="str">
            <v>3/8"</v>
          </cell>
          <cell r="R500">
            <v>11</v>
          </cell>
          <cell r="S500">
            <v>0.5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3.08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</row>
        <row r="501">
          <cell r="B501" t="str">
            <v>Nucleo A</v>
          </cell>
          <cell r="C501">
            <v>1</v>
          </cell>
          <cell r="D501">
            <v>1</v>
          </cell>
          <cell r="E501">
            <v>0.25</v>
          </cell>
          <cell r="F501">
            <v>0.2</v>
          </cell>
          <cell r="G501">
            <v>2.65</v>
          </cell>
          <cell r="P501" t="str">
            <v>V</v>
          </cell>
          <cell r="Q501" t="str">
            <v>1"</v>
          </cell>
          <cell r="R501">
            <v>4</v>
          </cell>
          <cell r="S501">
            <v>2.65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50.816000000000003</v>
          </cell>
          <cell r="AD501">
            <v>0</v>
          </cell>
        </row>
        <row r="502">
          <cell r="B502" t="str">
            <v>Est</v>
          </cell>
          <cell r="C502">
            <v>1</v>
          </cell>
          <cell r="D502">
            <v>1</v>
          </cell>
          <cell r="E502">
            <v>0.25</v>
          </cell>
          <cell r="F502">
            <v>0.2</v>
          </cell>
          <cell r="G502">
            <v>2.65</v>
          </cell>
          <cell r="Q502" t="str">
            <v>3/8"</v>
          </cell>
          <cell r="R502">
            <v>11</v>
          </cell>
          <cell r="S502">
            <v>0.9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5.5440000000000005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</row>
        <row r="503">
          <cell r="C503">
            <v>1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</row>
        <row r="504">
          <cell r="B504" t="str">
            <v>B1-PL-04</v>
          </cell>
          <cell r="C504">
            <v>1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</row>
        <row r="505">
          <cell r="B505" t="str">
            <v>Acero Vert</v>
          </cell>
          <cell r="C505">
            <v>2</v>
          </cell>
          <cell r="D505">
            <v>1</v>
          </cell>
          <cell r="E505">
            <v>2.2999999999999998</v>
          </cell>
          <cell r="F505">
            <v>0.25</v>
          </cell>
          <cell r="G505">
            <v>2.65</v>
          </cell>
          <cell r="H505">
            <v>280</v>
          </cell>
          <cell r="I505">
            <v>0</v>
          </cell>
          <cell r="J505">
            <v>3.0474999999999999</v>
          </cell>
          <cell r="K505">
            <v>0</v>
          </cell>
          <cell r="L505">
            <v>3.0474999999999999</v>
          </cell>
          <cell r="M505">
            <v>5.0999999999999996</v>
          </cell>
          <cell r="N505">
            <v>2.4499999999999997</v>
          </cell>
          <cell r="O505">
            <v>24.989999999999995</v>
          </cell>
          <cell r="P505" t="str">
            <v>V</v>
          </cell>
          <cell r="Q505" t="str">
            <v>3/8"</v>
          </cell>
          <cell r="R505">
            <v>18</v>
          </cell>
          <cell r="S505">
            <v>3.15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73.583999999999989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</row>
        <row r="506">
          <cell r="B506" t="str">
            <v>Acero Hor</v>
          </cell>
          <cell r="C506">
            <v>2</v>
          </cell>
          <cell r="D506">
            <v>1</v>
          </cell>
          <cell r="E506">
            <v>0.25</v>
          </cell>
          <cell r="F506">
            <v>0.4</v>
          </cell>
          <cell r="G506">
            <v>2.65</v>
          </cell>
          <cell r="H506">
            <v>280</v>
          </cell>
          <cell r="I506">
            <v>0</v>
          </cell>
          <cell r="J506">
            <v>0.53</v>
          </cell>
          <cell r="K506">
            <v>0</v>
          </cell>
          <cell r="L506">
            <v>0.53</v>
          </cell>
          <cell r="M506">
            <v>1.3</v>
          </cell>
          <cell r="N506">
            <v>2.4499999999999997</v>
          </cell>
          <cell r="O506">
            <v>6.3699999999999992</v>
          </cell>
          <cell r="P506" t="str">
            <v>H</v>
          </cell>
          <cell r="Q506" t="str">
            <v>3/8"</v>
          </cell>
          <cell r="R506">
            <v>28</v>
          </cell>
          <cell r="S506">
            <v>2.5999999999999996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81.535999999999987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</row>
        <row r="507">
          <cell r="B507" t="str">
            <v>Nucleo A</v>
          </cell>
          <cell r="C507">
            <v>2</v>
          </cell>
          <cell r="D507">
            <v>1</v>
          </cell>
          <cell r="E507">
            <v>0.4</v>
          </cell>
          <cell r="F507">
            <v>0.45</v>
          </cell>
          <cell r="G507">
            <v>2.65</v>
          </cell>
          <cell r="P507" t="str">
            <v>V</v>
          </cell>
          <cell r="Q507" t="str">
            <v>3/4"</v>
          </cell>
          <cell r="R507">
            <v>4</v>
          </cell>
          <cell r="S507">
            <v>2.65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53.760000000000005</v>
          </cell>
          <cell r="AC507">
            <v>0</v>
          </cell>
          <cell r="AD507">
            <v>0</v>
          </cell>
        </row>
        <row r="508">
          <cell r="B508" t="str">
            <v>Nucleo A</v>
          </cell>
          <cell r="C508">
            <v>2</v>
          </cell>
          <cell r="D508">
            <v>1</v>
          </cell>
          <cell r="G508">
            <v>2.65</v>
          </cell>
          <cell r="P508" t="str">
            <v>V</v>
          </cell>
          <cell r="Q508" t="str">
            <v>3/4"</v>
          </cell>
          <cell r="R508">
            <v>8</v>
          </cell>
          <cell r="S508">
            <v>2.65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107.52000000000001</v>
          </cell>
          <cell r="AC508">
            <v>0</v>
          </cell>
          <cell r="AD508">
            <v>0</v>
          </cell>
        </row>
        <row r="509">
          <cell r="B509" t="str">
            <v>Est</v>
          </cell>
          <cell r="C509">
            <v>2</v>
          </cell>
          <cell r="D509">
            <v>1</v>
          </cell>
          <cell r="E509">
            <v>0.4</v>
          </cell>
          <cell r="F509">
            <v>0.45</v>
          </cell>
          <cell r="G509">
            <v>2.65</v>
          </cell>
          <cell r="Q509" t="str">
            <v>3/8"</v>
          </cell>
          <cell r="R509">
            <v>14</v>
          </cell>
          <cell r="S509">
            <v>1.7000000000000002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26.656000000000006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</row>
        <row r="510">
          <cell r="B510" t="str">
            <v>Est</v>
          </cell>
          <cell r="C510">
            <v>2</v>
          </cell>
          <cell r="D510">
            <v>1</v>
          </cell>
          <cell r="E510">
            <v>0.25</v>
          </cell>
          <cell r="F510">
            <v>0.45</v>
          </cell>
          <cell r="G510">
            <v>2.65</v>
          </cell>
          <cell r="Q510" t="str">
            <v>3/8"</v>
          </cell>
          <cell r="R510">
            <v>14</v>
          </cell>
          <cell r="S510">
            <v>1.4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21.951999999999998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</row>
        <row r="511">
          <cell r="B511" t="str">
            <v>Est</v>
          </cell>
          <cell r="C511">
            <v>2</v>
          </cell>
          <cell r="D511">
            <v>1</v>
          </cell>
          <cell r="E511">
            <v>0.4</v>
          </cell>
          <cell r="F511">
            <v>0.1</v>
          </cell>
          <cell r="G511">
            <v>2.65</v>
          </cell>
          <cell r="Q511" t="str">
            <v>3/8"</v>
          </cell>
          <cell r="R511">
            <v>14</v>
          </cell>
          <cell r="S511">
            <v>0.5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7.8400000000000007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</row>
        <row r="512">
          <cell r="B512" t="str">
            <v>Nucleo A</v>
          </cell>
          <cell r="C512">
            <v>2</v>
          </cell>
          <cell r="D512">
            <v>1</v>
          </cell>
          <cell r="E512">
            <v>0.25</v>
          </cell>
          <cell r="F512">
            <v>0.25</v>
          </cell>
          <cell r="G512">
            <v>2.65</v>
          </cell>
          <cell r="P512" t="str">
            <v>V</v>
          </cell>
          <cell r="Q512" t="str">
            <v>3/4"</v>
          </cell>
          <cell r="R512">
            <v>2</v>
          </cell>
          <cell r="S512">
            <v>2.65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26.880000000000003</v>
          </cell>
          <cell r="AC512">
            <v>0</v>
          </cell>
          <cell r="AD512">
            <v>0</v>
          </cell>
        </row>
        <row r="513">
          <cell r="B513" t="str">
            <v>Nucleo A</v>
          </cell>
          <cell r="C513">
            <v>2</v>
          </cell>
          <cell r="D513">
            <v>1</v>
          </cell>
          <cell r="G513">
            <v>2.65</v>
          </cell>
          <cell r="P513" t="str">
            <v>V</v>
          </cell>
          <cell r="Q513" t="str">
            <v>3/4"</v>
          </cell>
          <cell r="R513">
            <v>2</v>
          </cell>
          <cell r="S513">
            <v>2.65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26.880000000000003</v>
          </cell>
          <cell r="AC513">
            <v>0</v>
          </cell>
          <cell r="AD513">
            <v>0</v>
          </cell>
        </row>
        <row r="514">
          <cell r="B514" t="str">
            <v>Est</v>
          </cell>
          <cell r="C514">
            <v>2</v>
          </cell>
          <cell r="D514">
            <v>1</v>
          </cell>
          <cell r="E514">
            <v>0.25</v>
          </cell>
          <cell r="F514">
            <v>0.25</v>
          </cell>
          <cell r="G514">
            <v>2.65</v>
          </cell>
          <cell r="Q514" t="str">
            <v>3/8"</v>
          </cell>
          <cell r="R514">
            <v>14</v>
          </cell>
          <cell r="S514">
            <v>1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15.680000000000001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</row>
        <row r="515">
          <cell r="C515">
            <v>1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</row>
        <row r="516">
          <cell r="B516" t="str">
            <v>B1-PL-05</v>
          </cell>
          <cell r="C516">
            <v>1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</row>
        <row r="517">
          <cell r="B517" t="str">
            <v>Acero Vert</v>
          </cell>
          <cell r="C517">
            <v>1</v>
          </cell>
          <cell r="D517">
            <v>1</v>
          </cell>
          <cell r="E517">
            <v>2.2999999999999998</v>
          </cell>
          <cell r="F517">
            <v>0.25</v>
          </cell>
          <cell r="G517">
            <v>2.65</v>
          </cell>
          <cell r="H517">
            <v>280</v>
          </cell>
          <cell r="I517">
            <v>0</v>
          </cell>
          <cell r="J517">
            <v>1.5237499999999999</v>
          </cell>
          <cell r="K517">
            <v>0</v>
          </cell>
          <cell r="L517">
            <v>1.5237499999999999</v>
          </cell>
          <cell r="M517">
            <v>5.0999999999999996</v>
          </cell>
          <cell r="N517">
            <v>2.4499999999999997</v>
          </cell>
          <cell r="O517">
            <v>12.494999999999997</v>
          </cell>
          <cell r="P517" t="str">
            <v>V</v>
          </cell>
          <cell r="Q517" t="str">
            <v>3/8"</v>
          </cell>
          <cell r="R517">
            <v>20</v>
          </cell>
          <cell r="S517">
            <v>3.15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40.880000000000003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</row>
        <row r="518">
          <cell r="B518" t="str">
            <v>Acero Hor</v>
          </cell>
          <cell r="C518">
            <v>1</v>
          </cell>
          <cell r="D518">
            <v>1</v>
          </cell>
          <cell r="G518">
            <v>2.65</v>
          </cell>
          <cell r="P518" t="str">
            <v>H</v>
          </cell>
          <cell r="Q518" t="str">
            <v>3/8"</v>
          </cell>
          <cell r="R518">
            <v>28</v>
          </cell>
          <cell r="S518">
            <v>2.5999999999999996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40.767999999999994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</row>
        <row r="519">
          <cell r="B519" t="str">
            <v>Nucleo A</v>
          </cell>
          <cell r="C519">
            <v>1</v>
          </cell>
          <cell r="D519">
            <v>1</v>
          </cell>
          <cell r="E519">
            <v>0.25</v>
          </cell>
          <cell r="F519">
            <v>0.25</v>
          </cell>
          <cell r="G519">
            <v>2.65</v>
          </cell>
          <cell r="P519" t="str">
            <v>V</v>
          </cell>
          <cell r="Q519" t="str">
            <v>1"</v>
          </cell>
          <cell r="R519">
            <v>2</v>
          </cell>
          <cell r="S519">
            <v>2.65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25.408000000000001</v>
          </cell>
          <cell r="AD519">
            <v>0</v>
          </cell>
        </row>
        <row r="520">
          <cell r="B520" t="str">
            <v>Nucleo A</v>
          </cell>
          <cell r="C520">
            <v>1</v>
          </cell>
          <cell r="D520">
            <v>1</v>
          </cell>
          <cell r="G520">
            <v>2.65</v>
          </cell>
          <cell r="P520" t="str">
            <v>V</v>
          </cell>
          <cell r="Q520" t="str">
            <v>3/4"</v>
          </cell>
          <cell r="R520">
            <v>2</v>
          </cell>
          <cell r="S520">
            <v>2.65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13.440000000000001</v>
          </cell>
          <cell r="AC520">
            <v>0</v>
          </cell>
          <cell r="AD520">
            <v>0</v>
          </cell>
        </row>
        <row r="521">
          <cell r="B521" t="str">
            <v>Est</v>
          </cell>
          <cell r="C521">
            <v>1</v>
          </cell>
          <cell r="D521">
            <v>1</v>
          </cell>
          <cell r="E521">
            <v>0.25</v>
          </cell>
          <cell r="F521">
            <v>0.25</v>
          </cell>
          <cell r="G521">
            <v>2.65</v>
          </cell>
          <cell r="Q521" t="str">
            <v>3/8"</v>
          </cell>
          <cell r="R521">
            <v>14</v>
          </cell>
          <cell r="S521">
            <v>1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7.8400000000000007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</row>
        <row r="522">
          <cell r="B522" t="str">
            <v>Nucleo A</v>
          </cell>
          <cell r="C522">
            <v>1</v>
          </cell>
          <cell r="D522">
            <v>1</v>
          </cell>
          <cell r="E522">
            <v>0.25</v>
          </cell>
          <cell r="F522">
            <v>0.25</v>
          </cell>
          <cell r="G522">
            <v>2.65</v>
          </cell>
          <cell r="P522" t="str">
            <v>V</v>
          </cell>
          <cell r="Q522" t="str">
            <v>1"</v>
          </cell>
          <cell r="R522">
            <v>2</v>
          </cell>
          <cell r="S522">
            <v>2.65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25.408000000000001</v>
          </cell>
          <cell r="AD522">
            <v>0</v>
          </cell>
        </row>
        <row r="523">
          <cell r="B523" t="str">
            <v>Nucleo A</v>
          </cell>
          <cell r="C523">
            <v>1</v>
          </cell>
          <cell r="D523">
            <v>1</v>
          </cell>
          <cell r="G523">
            <v>2.65</v>
          </cell>
          <cell r="P523" t="str">
            <v>V</v>
          </cell>
          <cell r="Q523" t="str">
            <v>3/4"</v>
          </cell>
          <cell r="R523">
            <v>2</v>
          </cell>
          <cell r="S523">
            <v>2.65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13.440000000000001</v>
          </cell>
          <cell r="AC523">
            <v>0</v>
          </cell>
          <cell r="AD523">
            <v>0</v>
          </cell>
        </row>
        <row r="524">
          <cell r="B524" t="str">
            <v>Est</v>
          </cell>
          <cell r="C524">
            <v>1</v>
          </cell>
          <cell r="D524">
            <v>1</v>
          </cell>
          <cell r="E524">
            <v>0.25</v>
          </cell>
          <cell r="F524">
            <v>0.25</v>
          </cell>
          <cell r="G524">
            <v>2.65</v>
          </cell>
          <cell r="Q524" t="str">
            <v>3/8"</v>
          </cell>
          <cell r="R524">
            <v>14</v>
          </cell>
          <cell r="S524">
            <v>1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7.8400000000000007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</row>
        <row r="525"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</row>
        <row r="526">
          <cell r="B526" t="str">
            <v>B1-PL-06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</row>
        <row r="527">
          <cell r="B527" t="str">
            <v>Acero Vert</v>
          </cell>
          <cell r="C527">
            <v>1</v>
          </cell>
          <cell r="D527">
            <v>1</v>
          </cell>
          <cell r="E527">
            <v>4</v>
          </cell>
          <cell r="F527">
            <v>0.15</v>
          </cell>
          <cell r="G527">
            <v>2.65</v>
          </cell>
          <cell r="H527">
            <v>280</v>
          </cell>
          <cell r="I527">
            <v>0</v>
          </cell>
          <cell r="J527">
            <v>1.5899999999999999</v>
          </cell>
          <cell r="K527">
            <v>0</v>
          </cell>
          <cell r="L527">
            <v>1.5899999999999999</v>
          </cell>
          <cell r="M527">
            <v>8.3000000000000007</v>
          </cell>
          <cell r="N527">
            <v>2.4499999999999997</v>
          </cell>
          <cell r="O527">
            <v>20.335000000000001</v>
          </cell>
          <cell r="P527" t="str">
            <v>V</v>
          </cell>
          <cell r="Q527" t="str">
            <v>3/8"</v>
          </cell>
          <cell r="R527">
            <v>24</v>
          </cell>
          <cell r="S527">
            <v>3.15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49.056000000000004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</row>
        <row r="528">
          <cell r="B528" t="str">
            <v>Acero Hor</v>
          </cell>
          <cell r="C528">
            <v>1</v>
          </cell>
          <cell r="D528">
            <v>1</v>
          </cell>
          <cell r="G528">
            <v>4.16</v>
          </cell>
          <cell r="P528" t="str">
            <v>H</v>
          </cell>
          <cell r="Q528" t="str">
            <v>3/8"</v>
          </cell>
          <cell r="R528">
            <v>20</v>
          </cell>
          <cell r="S528">
            <v>4.3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48.160000000000004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</row>
        <row r="529">
          <cell r="B529" t="str">
            <v>Nucleo A</v>
          </cell>
          <cell r="C529">
            <v>1</v>
          </cell>
          <cell r="D529">
            <v>1</v>
          </cell>
          <cell r="E529">
            <v>0.4</v>
          </cell>
          <cell r="F529">
            <v>0.15</v>
          </cell>
          <cell r="G529">
            <v>2.65</v>
          </cell>
          <cell r="P529" t="str">
            <v>V</v>
          </cell>
          <cell r="Q529" t="str">
            <v>5/8"</v>
          </cell>
          <cell r="R529">
            <v>4</v>
          </cell>
          <cell r="S529">
            <v>2.65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18.29</v>
          </cell>
          <cell r="AB529">
            <v>0</v>
          </cell>
          <cell r="AC529">
            <v>0</v>
          </cell>
          <cell r="AD529">
            <v>0</v>
          </cell>
        </row>
        <row r="530">
          <cell r="B530" t="str">
            <v>Est</v>
          </cell>
          <cell r="C530">
            <v>1</v>
          </cell>
          <cell r="D530">
            <v>1</v>
          </cell>
          <cell r="E530">
            <v>0.4</v>
          </cell>
          <cell r="F530">
            <v>0.15</v>
          </cell>
          <cell r="G530">
            <v>2.65</v>
          </cell>
          <cell r="Q530" t="str">
            <v>3/8"</v>
          </cell>
          <cell r="R530">
            <v>14</v>
          </cell>
          <cell r="S530">
            <v>1.1000000000000001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8.6240000000000023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</row>
        <row r="531">
          <cell r="B531" t="str">
            <v>Nucleo A</v>
          </cell>
          <cell r="C531">
            <v>1</v>
          </cell>
          <cell r="D531">
            <v>1</v>
          </cell>
          <cell r="E531">
            <v>0.2</v>
          </cell>
          <cell r="F531">
            <v>0.15</v>
          </cell>
          <cell r="G531">
            <v>2.65</v>
          </cell>
          <cell r="P531" t="str">
            <v>V</v>
          </cell>
          <cell r="Q531" t="str">
            <v>5/8"</v>
          </cell>
          <cell r="R531">
            <v>4</v>
          </cell>
          <cell r="S531">
            <v>2.65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18.29</v>
          </cell>
          <cell r="AB531">
            <v>0</v>
          </cell>
          <cell r="AC531">
            <v>0</v>
          </cell>
          <cell r="AD531">
            <v>0</v>
          </cell>
        </row>
        <row r="532">
          <cell r="B532" t="str">
            <v>Est</v>
          </cell>
          <cell r="C532">
            <v>1</v>
          </cell>
          <cell r="D532">
            <v>1</v>
          </cell>
          <cell r="E532">
            <v>0.2</v>
          </cell>
          <cell r="F532">
            <v>0.15</v>
          </cell>
          <cell r="G532">
            <v>2.65</v>
          </cell>
          <cell r="Q532" t="str">
            <v>3/8"</v>
          </cell>
          <cell r="R532">
            <v>14</v>
          </cell>
          <cell r="S532">
            <v>0.7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5.4879999999999995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</row>
        <row r="533">
          <cell r="B533" t="str">
            <v>Nucleo B</v>
          </cell>
          <cell r="C533">
            <v>1</v>
          </cell>
          <cell r="D533">
            <v>1</v>
          </cell>
          <cell r="E533">
            <v>1.76</v>
          </cell>
          <cell r="F533">
            <v>0.25</v>
          </cell>
          <cell r="G533">
            <v>2.65</v>
          </cell>
          <cell r="H533">
            <v>280</v>
          </cell>
          <cell r="I533">
            <v>0</v>
          </cell>
          <cell r="J533">
            <v>1.1659999999999999</v>
          </cell>
          <cell r="K533">
            <v>0</v>
          </cell>
          <cell r="L533">
            <v>1.1659999999999999</v>
          </cell>
          <cell r="M533">
            <v>4.0199999999999996</v>
          </cell>
          <cell r="N533">
            <v>2.4499999999999997</v>
          </cell>
          <cell r="O533">
            <v>9.8489999999999984</v>
          </cell>
          <cell r="P533" t="str">
            <v>V</v>
          </cell>
          <cell r="Q533" t="str">
            <v>3/4"</v>
          </cell>
          <cell r="R533">
            <v>12</v>
          </cell>
          <cell r="S533">
            <v>2.65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80.640000000000015</v>
          </cell>
          <cell r="AC533">
            <v>0</v>
          </cell>
          <cell r="AD533">
            <v>0</v>
          </cell>
        </row>
        <row r="534">
          <cell r="B534" t="str">
            <v>Nucleo A</v>
          </cell>
          <cell r="C534">
            <v>1</v>
          </cell>
          <cell r="D534">
            <v>1</v>
          </cell>
          <cell r="G534">
            <v>2.65</v>
          </cell>
          <cell r="P534" t="str">
            <v>V</v>
          </cell>
          <cell r="Q534" t="str">
            <v>5/8"</v>
          </cell>
          <cell r="R534">
            <v>10</v>
          </cell>
          <cell r="S534">
            <v>2.65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45.725000000000001</v>
          </cell>
          <cell r="AB534">
            <v>0</v>
          </cell>
          <cell r="AC534">
            <v>0</v>
          </cell>
          <cell r="AD534">
            <v>0</v>
          </cell>
        </row>
        <row r="535">
          <cell r="B535" t="str">
            <v>Est</v>
          </cell>
          <cell r="C535">
            <v>1</v>
          </cell>
          <cell r="D535">
            <v>1</v>
          </cell>
          <cell r="E535">
            <v>1.1000000000000001</v>
          </cell>
          <cell r="F535">
            <v>0.25</v>
          </cell>
          <cell r="G535">
            <v>2.65</v>
          </cell>
          <cell r="Q535" t="str">
            <v>3/8"</v>
          </cell>
          <cell r="R535">
            <v>25</v>
          </cell>
          <cell r="S535">
            <v>2.7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37.800000000000004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</row>
        <row r="536">
          <cell r="B536" t="str">
            <v>Est</v>
          </cell>
          <cell r="C536">
            <v>1</v>
          </cell>
          <cell r="D536">
            <v>1</v>
          </cell>
          <cell r="E536">
            <v>1.1000000000000001</v>
          </cell>
          <cell r="F536">
            <v>0.25</v>
          </cell>
          <cell r="G536">
            <v>2.65</v>
          </cell>
          <cell r="Q536" t="str">
            <v>3/8"</v>
          </cell>
          <cell r="R536">
            <v>25</v>
          </cell>
          <cell r="S536">
            <v>2.7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37.800000000000004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</row>
        <row r="537">
          <cell r="B537" t="str">
            <v>Est</v>
          </cell>
          <cell r="C537">
            <v>1</v>
          </cell>
          <cell r="D537">
            <v>1</v>
          </cell>
          <cell r="E537">
            <v>1.1000000000000001</v>
          </cell>
          <cell r="F537">
            <v>0.25</v>
          </cell>
          <cell r="G537">
            <v>2.65</v>
          </cell>
          <cell r="Q537" t="str">
            <v>3/8"</v>
          </cell>
          <cell r="R537">
            <v>25</v>
          </cell>
          <cell r="S537">
            <v>2.7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37.800000000000004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</row>
        <row r="538">
          <cell r="B538" t="str">
            <v>Est</v>
          </cell>
          <cell r="C538">
            <v>1</v>
          </cell>
          <cell r="D538">
            <v>5</v>
          </cell>
          <cell r="E538">
            <v>0.15</v>
          </cell>
          <cell r="F538">
            <v>0.25</v>
          </cell>
          <cell r="G538">
            <v>2.65</v>
          </cell>
          <cell r="Q538" t="str">
            <v>3/8"</v>
          </cell>
          <cell r="R538">
            <v>25</v>
          </cell>
          <cell r="S538">
            <v>0.55000000000000004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38.500000000000007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</row>
        <row r="539">
          <cell r="B539" t="str">
            <v>Acero Vert</v>
          </cell>
          <cell r="C539">
            <v>1</v>
          </cell>
          <cell r="D539">
            <v>1</v>
          </cell>
          <cell r="E539">
            <v>5</v>
          </cell>
          <cell r="F539">
            <v>0.4</v>
          </cell>
          <cell r="G539">
            <v>2.65</v>
          </cell>
          <cell r="H539">
            <v>280</v>
          </cell>
          <cell r="I539">
            <v>0</v>
          </cell>
          <cell r="J539">
            <v>5.3</v>
          </cell>
          <cell r="K539">
            <v>0</v>
          </cell>
          <cell r="L539">
            <v>5.3</v>
          </cell>
          <cell r="M539">
            <v>10.8</v>
          </cell>
          <cell r="N539">
            <v>2.4499999999999997</v>
          </cell>
          <cell r="O539">
            <v>26.459999999999997</v>
          </cell>
          <cell r="P539" t="str">
            <v>V</v>
          </cell>
          <cell r="Q539" t="str">
            <v>1/2"</v>
          </cell>
          <cell r="R539">
            <v>42</v>
          </cell>
          <cell r="S539">
            <v>3.15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141.37199999999999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</row>
        <row r="540">
          <cell r="B540" t="str">
            <v>Acero Hor</v>
          </cell>
          <cell r="C540">
            <v>1</v>
          </cell>
          <cell r="D540">
            <v>1</v>
          </cell>
          <cell r="G540">
            <v>2.65</v>
          </cell>
          <cell r="P540" t="str">
            <v>H</v>
          </cell>
          <cell r="Q540" t="str">
            <v>1/2"</v>
          </cell>
          <cell r="R540">
            <v>24</v>
          </cell>
          <cell r="S540">
            <v>5.9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140.18400000000003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</row>
        <row r="541">
          <cell r="B541" t="str">
            <v>Acero Vert</v>
          </cell>
          <cell r="C541">
            <v>1</v>
          </cell>
          <cell r="D541">
            <v>1</v>
          </cell>
          <cell r="E541">
            <v>2.3199999999999998</v>
          </cell>
          <cell r="F541">
            <v>0.2</v>
          </cell>
          <cell r="G541">
            <v>2.65</v>
          </cell>
          <cell r="H541">
            <v>280</v>
          </cell>
          <cell r="I541">
            <v>0</v>
          </cell>
          <cell r="J541">
            <v>1.2295999999999998</v>
          </cell>
          <cell r="K541">
            <v>0</v>
          </cell>
          <cell r="L541">
            <v>1.2295999999999998</v>
          </cell>
          <cell r="M541">
            <v>5.04</v>
          </cell>
          <cell r="N541">
            <v>2.4499999999999997</v>
          </cell>
          <cell r="O541">
            <v>12.347999999999999</v>
          </cell>
          <cell r="P541" t="str">
            <v>V</v>
          </cell>
          <cell r="Q541" t="str">
            <v>3/8"</v>
          </cell>
          <cell r="R541">
            <v>16</v>
          </cell>
          <cell r="S541">
            <v>3.15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32.704000000000001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</row>
        <row r="542">
          <cell r="B542" t="str">
            <v>Acero Hor</v>
          </cell>
          <cell r="C542">
            <v>1</v>
          </cell>
          <cell r="D542">
            <v>1</v>
          </cell>
          <cell r="G542">
            <v>2.65</v>
          </cell>
          <cell r="P542" t="str">
            <v>H</v>
          </cell>
          <cell r="Q542" t="str">
            <v>3/8"</v>
          </cell>
          <cell r="R542">
            <v>28</v>
          </cell>
          <cell r="S542">
            <v>2.6199999999999997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41.081599999999995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</row>
        <row r="543">
          <cell r="B543" t="str">
            <v>Nucleo A</v>
          </cell>
          <cell r="C543">
            <v>1</v>
          </cell>
          <cell r="D543">
            <v>2</v>
          </cell>
          <cell r="E543">
            <v>0.25</v>
          </cell>
          <cell r="F543">
            <v>0.25</v>
          </cell>
          <cell r="G543">
            <v>2.65</v>
          </cell>
          <cell r="P543" t="str">
            <v>V</v>
          </cell>
          <cell r="Q543" t="str">
            <v>3/4"</v>
          </cell>
          <cell r="R543">
            <v>2</v>
          </cell>
          <cell r="S543">
            <v>2.65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25.312000000000001</v>
          </cell>
          <cell r="AC543">
            <v>0</v>
          </cell>
          <cell r="AD543">
            <v>0</v>
          </cell>
        </row>
        <row r="544">
          <cell r="B544" t="str">
            <v>Nucleo A</v>
          </cell>
          <cell r="C544">
            <v>1</v>
          </cell>
          <cell r="D544">
            <v>2</v>
          </cell>
          <cell r="G544">
            <v>2.65</v>
          </cell>
          <cell r="P544" t="str">
            <v>V</v>
          </cell>
          <cell r="Q544" t="str">
            <v>1"</v>
          </cell>
          <cell r="R544">
            <v>2</v>
          </cell>
          <cell r="S544">
            <v>2.65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46.448999999999998</v>
          </cell>
          <cell r="AD544">
            <v>0</v>
          </cell>
        </row>
        <row r="545">
          <cell r="B545" t="str">
            <v>Est</v>
          </cell>
          <cell r="C545">
            <v>1</v>
          </cell>
          <cell r="D545">
            <v>2</v>
          </cell>
          <cell r="E545">
            <v>0.25</v>
          </cell>
          <cell r="F545">
            <v>0.25</v>
          </cell>
          <cell r="G545">
            <v>2.65</v>
          </cell>
          <cell r="Q545" t="str">
            <v>3/8"</v>
          </cell>
          <cell r="R545">
            <v>14</v>
          </cell>
          <cell r="S545">
            <v>1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15.680000000000001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</row>
        <row r="546"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</row>
        <row r="547">
          <cell r="B547" t="str">
            <v>6 PISO</v>
          </cell>
          <cell r="H547">
            <v>280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</row>
        <row r="548">
          <cell r="C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</row>
        <row r="549">
          <cell r="B549" t="str">
            <v>B1-PL-01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</row>
        <row r="550">
          <cell r="B550" t="str">
            <v>Acero Vert</v>
          </cell>
          <cell r="C550">
            <v>1</v>
          </cell>
          <cell r="D550">
            <v>1</v>
          </cell>
          <cell r="E550">
            <v>4.2300000000000004</v>
          </cell>
          <cell r="F550">
            <v>0.2</v>
          </cell>
          <cell r="G550">
            <v>2.65</v>
          </cell>
          <cell r="H550">
            <v>280</v>
          </cell>
          <cell r="I550">
            <v>0</v>
          </cell>
          <cell r="J550">
            <v>2.2419000000000002</v>
          </cell>
          <cell r="K550">
            <v>0</v>
          </cell>
          <cell r="L550">
            <v>2.2419000000000002</v>
          </cell>
          <cell r="M550">
            <v>8.8600000000000012</v>
          </cell>
          <cell r="N550">
            <v>2.4499999999999997</v>
          </cell>
          <cell r="O550">
            <v>21.707000000000001</v>
          </cell>
          <cell r="P550" t="str">
            <v>V</v>
          </cell>
          <cell r="Q550" t="str">
            <v>3/8"</v>
          </cell>
          <cell r="R550">
            <v>32</v>
          </cell>
          <cell r="S550">
            <v>3.15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65.408000000000001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</row>
        <row r="551">
          <cell r="B551" t="str">
            <v>Acero Hor</v>
          </cell>
          <cell r="C551">
            <v>1</v>
          </cell>
          <cell r="D551">
            <v>1</v>
          </cell>
          <cell r="G551">
            <v>2.65</v>
          </cell>
          <cell r="P551" t="str">
            <v>H</v>
          </cell>
          <cell r="Q551" t="str">
            <v>3/8"</v>
          </cell>
          <cell r="R551">
            <v>24</v>
          </cell>
          <cell r="S551">
            <v>4.53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60.883200000000002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</row>
        <row r="552">
          <cell r="B552" t="str">
            <v>Nucleo A</v>
          </cell>
          <cell r="C552">
            <v>1</v>
          </cell>
          <cell r="D552">
            <v>1</v>
          </cell>
          <cell r="E552">
            <v>0.55000000000000004</v>
          </cell>
          <cell r="F552">
            <v>0.2</v>
          </cell>
          <cell r="G552">
            <v>2.65</v>
          </cell>
          <cell r="P552" t="str">
            <v>V</v>
          </cell>
          <cell r="Q552" t="str">
            <v>1"</v>
          </cell>
          <cell r="R552">
            <v>8</v>
          </cell>
          <cell r="S552">
            <v>2.65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101.63200000000001</v>
          </cell>
          <cell r="AD552">
            <v>0</v>
          </cell>
        </row>
        <row r="553">
          <cell r="B553" t="str">
            <v>Est</v>
          </cell>
          <cell r="C553">
            <v>1</v>
          </cell>
          <cell r="D553">
            <v>1</v>
          </cell>
          <cell r="E553">
            <v>0.4</v>
          </cell>
          <cell r="F553">
            <v>0.2</v>
          </cell>
          <cell r="G553">
            <v>2.65</v>
          </cell>
          <cell r="Q553" t="str">
            <v>3/8"</v>
          </cell>
          <cell r="R553">
            <v>14</v>
          </cell>
          <cell r="S553">
            <v>1.2000000000000002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9.408000000000003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</row>
        <row r="554">
          <cell r="B554" t="str">
            <v>Est</v>
          </cell>
          <cell r="C554">
            <v>1</v>
          </cell>
          <cell r="D554">
            <v>1</v>
          </cell>
          <cell r="E554">
            <v>0.4</v>
          </cell>
          <cell r="F554">
            <v>0.2</v>
          </cell>
          <cell r="G554">
            <v>2.65</v>
          </cell>
          <cell r="Q554" t="str">
            <v>3/8"</v>
          </cell>
          <cell r="R554">
            <v>14</v>
          </cell>
          <cell r="S554">
            <v>1.2000000000000002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9.408000000000003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</row>
        <row r="555">
          <cell r="B555" t="str">
            <v>Acero Vert</v>
          </cell>
          <cell r="C555">
            <v>1</v>
          </cell>
          <cell r="D555">
            <v>1</v>
          </cell>
          <cell r="E555">
            <v>5.3999999999999995</v>
          </cell>
          <cell r="F555">
            <v>0.2</v>
          </cell>
          <cell r="G555">
            <v>2.65</v>
          </cell>
          <cell r="H555">
            <v>280</v>
          </cell>
          <cell r="I555">
            <v>0</v>
          </cell>
          <cell r="J555">
            <v>2.8619999999999997</v>
          </cell>
          <cell r="K555">
            <v>0</v>
          </cell>
          <cell r="L555">
            <v>2.8619999999999997</v>
          </cell>
          <cell r="M555">
            <v>11.2</v>
          </cell>
          <cell r="N555">
            <v>2.4499999999999997</v>
          </cell>
          <cell r="O555">
            <v>27.439999999999994</v>
          </cell>
          <cell r="P555" t="str">
            <v>V</v>
          </cell>
          <cell r="Q555" t="str">
            <v>3/8"</v>
          </cell>
          <cell r="R555">
            <v>42</v>
          </cell>
          <cell r="S555">
            <v>3.15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85.847999999999999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</row>
        <row r="556">
          <cell r="B556" t="str">
            <v>Acero Hor</v>
          </cell>
          <cell r="C556">
            <v>1</v>
          </cell>
          <cell r="D556">
            <v>1</v>
          </cell>
          <cell r="G556">
            <v>2.65</v>
          </cell>
          <cell r="P556" t="str">
            <v>H</v>
          </cell>
          <cell r="Q556" t="str">
            <v>3/8"</v>
          </cell>
          <cell r="R556">
            <v>24</v>
          </cell>
          <cell r="S556">
            <v>5.8999999999999995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79.296000000000006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</row>
        <row r="557">
          <cell r="B557" t="str">
            <v>Nucleo A</v>
          </cell>
          <cell r="C557">
            <v>1</v>
          </cell>
          <cell r="D557">
            <v>1</v>
          </cell>
          <cell r="E557">
            <v>0.25</v>
          </cell>
          <cell r="F557">
            <v>0.2</v>
          </cell>
          <cell r="G557">
            <v>2.65</v>
          </cell>
          <cell r="P557" t="str">
            <v>V</v>
          </cell>
          <cell r="Q557" t="str">
            <v>1"</v>
          </cell>
          <cell r="R557">
            <v>4</v>
          </cell>
          <cell r="S557">
            <v>2.65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50.816000000000003</v>
          </cell>
          <cell r="AD557">
            <v>0</v>
          </cell>
        </row>
        <row r="558">
          <cell r="B558" t="str">
            <v>Est</v>
          </cell>
          <cell r="C558">
            <v>1</v>
          </cell>
          <cell r="D558">
            <v>1</v>
          </cell>
          <cell r="E558">
            <v>0.25</v>
          </cell>
          <cell r="F558">
            <v>0.2</v>
          </cell>
          <cell r="G558">
            <v>2.65</v>
          </cell>
          <cell r="Q558" t="str">
            <v>3/8"</v>
          </cell>
          <cell r="R558">
            <v>14</v>
          </cell>
          <cell r="S558">
            <v>0.9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7.056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</row>
        <row r="559">
          <cell r="B559" t="str">
            <v>Nucleo A</v>
          </cell>
          <cell r="C559">
            <v>1</v>
          </cell>
          <cell r="D559">
            <v>1</v>
          </cell>
          <cell r="E559">
            <v>0.2</v>
          </cell>
          <cell r="F559">
            <v>0.2</v>
          </cell>
          <cell r="G559">
            <v>2.65</v>
          </cell>
          <cell r="P559" t="str">
            <v>V</v>
          </cell>
          <cell r="Q559" t="str">
            <v>3/4"</v>
          </cell>
          <cell r="R559">
            <v>4</v>
          </cell>
          <cell r="S559">
            <v>2.65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26.880000000000003</v>
          </cell>
          <cell r="AC559">
            <v>0</v>
          </cell>
          <cell r="AD559">
            <v>0</v>
          </cell>
        </row>
        <row r="560">
          <cell r="B560" t="str">
            <v>Est</v>
          </cell>
          <cell r="C560">
            <v>1</v>
          </cell>
          <cell r="D560">
            <v>1</v>
          </cell>
          <cell r="E560">
            <v>0.2</v>
          </cell>
          <cell r="F560">
            <v>0.2</v>
          </cell>
          <cell r="G560">
            <v>2.65</v>
          </cell>
          <cell r="Q560" t="str">
            <v>3/8"</v>
          </cell>
          <cell r="R560">
            <v>14</v>
          </cell>
          <cell r="S560">
            <v>0.8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6.2720000000000011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</row>
        <row r="561">
          <cell r="C561">
            <v>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</row>
        <row r="562">
          <cell r="B562" t="str">
            <v>B1-PL-02</v>
          </cell>
          <cell r="C562">
            <v>1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</row>
        <row r="563">
          <cell r="B563" t="str">
            <v>Acero Vert</v>
          </cell>
          <cell r="C563">
            <v>1</v>
          </cell>
          <cell r="D563">
            <v>1</v>
          </cell>
          <cell r="E563">
            <v>8.64</v>
          </cell>
          <cell r="F563">
            <v>0.2</v>
          </cell>
          <cell r="G563">
            <v>2.65</v>
          </cell>
          <cell r="H563">
            <v>280</v>
          </cell>
          <cell r="I563">
            <v>0</v>
          </cell>
          <cell r="J563">
            <v>4.5792000000000002</v>
          </cell>
          <cell r="K563">
            <v>0</v>
          </cell>
          <cell r="L563">
            <v>4.5792000000000002</v>
          </cell>
          <cell r="M563">
            <v>17.68</v>
          </cell>
          <cell r="N563">
            <v>2.4499999999999997</v>
          </cell>
          <cell r="O563">
            <v>43.315999999999995</v>
          </cell>
          <cell r="P563" t="str">
            <v>V</v>
          </cell>
          <cell r="Q563" t="str">
            <v>3/8"</v>
          </cell>
          <cell r="R563">
            <v>68</v>
          </cell>
          <cell r="S563">
            <v>3.15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138.99200000000002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</row>
        <row r="564">
          <cell r="B564" t="str">
            <v>Acero Hor</v>
          </cell>
          <cell r="C564">
            <v>1</v>
          </cell>
          <cell r="D564">
            <v>1</v>
          </cell>
          <cell r="G564">
            <v>2.65</v>
          </cell>
          <cell r="P564" t="str">
            <v>H</v>
          </cell>
          <cell r="Q564" t="str">
            <v>3/8"</v>
          </cell>
          <cell r="R564">
            <v>24</v>
          </cell>
          <cell r="S564">
            <v>9.14</v>
          </cell>
          <cell r="T564">
            <v>1</v>
          </cell>
          <cell r="U564">
            <v>0</v>
          </cell>
          <cell r="V564">
            <v>0</v>
          </cell>
          <cell r="W564">
            <v>0</v>
          </cell>
          <cell r="X564">
            <v>128.2176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</row>
        <row r="565">
          <cell r="B565" t="str">
            <v>Nucleo A</v>
          </cell>
          <cell r="C565">
            <v>1</v>
          </cell>
          <cell r="D565">
            <v>1</v>
          </cell>
          <cell r="E565">
            <v>0.25</v>
          </cell>
          <cell r="F565">
            <v>0.2</v>
          </cell>
          <cell r="G565">
            <v>2.65</v>
          </cell>
          <cell r="P565" t="str">
            <v>V</v>
          </cell>
          <cell r="Q565" t="str">
            <v>1"</v>
          </cell>
          <cell r="R565">
            <v>4</v>
          </cell>
          <cell r="S565">
            <v>2.65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50.816000000000003</v>
          </cell>
          <cell r="AD565">
            <v>0</v>
          </cell>
        </row>
        <row r="566">
          <cell r="B566" t="str">
            <v>Est</v>
          </cell>
          <cell r="C566">
            <v>1</v>
          </cell>
          <cell r="D566">
            <v>1</v>
          </cell>
          <cell r="E566">
            <v>0.25</v>
          </cell>
          <cell r="F566">
            <v>0.2</v>
          </cell>
          <cell r="G566">
            <v>2.65</v>
          </cell>
          <cell r="Q566" t="str">
            <v>3/8"</v>
          </cell>
          <cell r="R566">
            <v>11</v>
          </cell>
          <cell r="S566">
            <v>0.9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5.5440000000000005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</row>
        <row r="567">
          <cell r="B567" t="str">
            <v>Nucleo A</v>
          </cell>
          <cell r="C567">
            <v>1</v>
          </cell>
          <cell r="D567">
            <v>1</v>
          </cell>
          <cell r="E567">
            <v>0.25</v>
          </cell>
          <cell r="F567">
            <v>0.2</v>
          </cell>
          <cell r="G567">
            <v>2.65</v>
          </cell>
          <cell r="P567" t="str">
            <v>V</v>
          </cell>
          <cell r="Q567" t="str">
            <v>1"</v>
          </cell>
          <cell r="R567">
            <v>4</v>
          </cell>
          <cell r="S567">
            <v>2.65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50.816000000000003</v>
          </cell>
          <cell r="AD567">
            <v>0</v>
          </cell>
        </row>
        <row r="568">
          <cell r="B568" t="str">
            <v>Est</v>
          </cell>
          <cell r="C568">
            <v>1</v>
          </cell>
          <cell r="D568">
            <v>1</v>
          </cell>
          <cell r="E568">
            <v>0.25</v>
          </cell>
          <cell r="F568">
            <v>0.2</v>
          </cell>
          <cell r="G568">
            <v>2.65</v>
          </cell>
          <cell r="Q568" t="str">
            <v>3/8"</v>
          </cell>
          <cell r="R568">
            <v>11</v>
          </cell>
          <cell r="S568">
            <v>0.9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5.5440000000000005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</row>
        <row r="569">
          <cell r="C569">
            <v>1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</row>
        <row r="570">
          <cell r="B570" t="str">
            <v>B1-PL-03</v>
          </cell>
          <cell r="C570">
            <v>1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</row>
        <row r="571">
          <cell r="B571" t="str">
            <v>Acero Vert</v>
          </cell>
          <cell r="C571">
            <v>1</v>
          </cell>
          <cell r="D571">
            <v>1</v>
          </cell>
          <cell r="E571">
            <v>9</v>
          </cell>
          <cell r="F571">
            <v>0.2</v>
          </cell>
          <cell r="G571">
            <v>2.65</v>
          </cell>
          <cell r="H571">
            <v>280</v>
          </cell>
          <cell r="I571">
            <v>0</v>
          </cell>
          <cell r="J571">
            <v>4.7699999999999996</v>
          </cell>
          <cell r="K571">
            <v>0</v>
          </cell>
          <cell r="L571">
            <v>4.7699999999999996</v>
          </cell>
          <cell r="M571">
            <v>18.399999999999999</v>
          </cell>
          <cell r="N571">
            <v>2.4499999999999997</v>
          </cell>
          <cell r="O571">
            <v>45.079999999999991</v>
          </cell>
          <cell r="P571" t="str">
            <v>V</v>
          </cell>
          <cell r="Q571" t="str">
            <v>3/8"</v>
          </cell>
          <cell r="R571">
            <v>68</v>
          </cell>
          <cell r="S571">
            <v>3.15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138.99200000000002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</row>
        <row r="572">
          <cell r="B572" t="str">
            <v>Acero Hor</v>
          </cell>
          <cell r="C572">
            <v>1</v>
          </cell>
          <cell r="D572">
            <v>1</v>
          </cell>
          <cell r="E572">
            <v>0.3</v>
          </cell>
          <cell r="F572">
            <v>0.4</v>
          </cell>
          <cell r="G572">
            <v>2.65</v>
          </cell>
          <cell r="H572">
            <v>280</v>
          </cell>
          <cell r="I572">
            <v>0</v>
          </cell>
          <cell r="J572">
            <v>0.318</v>
          </cell>
          <cell r="K572">
            <v>0</v>
          </cell>
          <cell r="L572">
            <v>0.318</v>
          </cell>
          <cell r="M572">
            <v>1.4</v>
          </cell>
          <cell r="N572">
            <v>2.4499999999999997</v>
          </cell>
          <cell r="O572">
            <v>3.4299999999999993</v>
          </cell>
          <cell r="P572" t="str">
            <v>H</v>
          </cell>
          <cell r="Q572" t="str">
            <v>3/8"</v>
          </cell>
          <cell r="R572">
            <v>24</v>
          </cell>
          <cell r="S572">
            <v>9.3000000000000007</v>
          </cell>
          <cell r="T572">
            <v>1</v>
          </cell>
          <cell r="U572">
            <v>0</v>
          </cell>
          <cell r="V572">
            <v>0</v>
          </cell>
          <cell r="W572">
            <v>0</v>
          </cell>
          <cell r="X572">
            <v>130.36800000000002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</row>
        <row r="573">
          <cell r="B573" t="str">
            <v>Nucleo A</v>
          </cell>
          <cell r="C573">
            <v>1</v>
          </cell>
          <cell r="D573">
            <v>1</v>
          </cell>
          <cell r="E573">
            <v>0.4</v>
          </cell>
          <cell r="F573">
            <v>0.5</v>
          </cell>
          <cell r="G573">
            <v>2.65</v>
          </cell>
          <cell r="P573" t="str">
            <v>V</v>
          </cell>
          <cell r="Q573" t="str">
            <v>1"</v>
          </cell>
          <cell r="R573">
            <v>8</v>
          </cell>
          <cell r="S573">
            <v>2.65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101.63200000000001</v>
          </cell>
          <cell r="AD573">
            <v>0</v>
          </cell>
        </row>
        <row r="574">
          <cell r="B574" t="str">
            <v>Nucleo A</v>
          </cell>
          <cell r="C574">
            <v>1</v>
          </cell>
          <cell r="D574">
            <v>1</v>
          </cell>
          <cell r="G574">
            <v>2.65</v>
          </cell>
          <cell r="P574" t="str">
            <v>V</v>
          </cell>
          <cell r="Q574" t="str">
            <v>3/4"</v>
          </cell>
          <cell r="R574">
            <v>4</v>
          </cell>
          <cell r="S574">
            <v>2.65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26.880000000000003</v>
          </cell>
          <cell r="AC574">
            <v>0</v>
          </cell>
          <cell r="AD574">
            <v>0</v>
          </cell>
        </row>
        <row r="575">
          <cell r="B575" t="str">
            <v>Est</v>
          </cell>
          <cell r="C575">
            <v>1</v>
          </cell>
          <cell r="D575">
            <v>1</v>
          </cell>
          <cell r="E575">
            <v>0.4</v>
          </cell>
          <cell r="F575">
            <v>0.5</v>
          </cell>
          <cell r="G575">
            <v>2.65</v>
          </cell>
          <cell r="Q575" t="str">
            <v>3/8"</v>
          </cell>
          <cell r="R575">
            <v>11</v>
          </cell>
          <cell r="S575">
            <v>1.8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11.088000000000001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</row>
        <row r="576">
          <cell r="B576" t="str">
            <v>Est</v>
          </cell>
          <cell r="C576">
            <v>1</v>
          </cell>
          <cell r="D576">
            <v>1</v>
          </cell>
          <cell r="E576">
            <v>0.25</v>
          </cell>
          <cell r="F576">
            <v>0.5</v>
          </cell>
          <cell r="G576">
            <v>2.65</v>
          </cell>
          <cell r="Q576" t="str">
            <v>3/8"</v>
          </cell>
          <cell r="R576">
            <v>11</v>
          </cell>
          <cell r="S576">
            <v>1.5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9.24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</row>
        <row r="577">
          <cell r="B577" t="str">
            <v>Est</v>
          </cell>
          <cell r="C577">
            <v>1</v>
          </cell>
          <cell r="D577">
            <v>1</v>
          </cell>
          <cell r="E577">
            <v>0.4</v>
          </cell>
          <cell r="F577">
            <v>0.1</v>
          </cell>
          <cell r="G577">
            <v>2.65</v>
          </cell>
          <cell r="Q577" t="str">
            <v>3/8"</v>
          </cell>
          <cell r="R577">
            <v>11</v>
          </cell>
          <cell r="S577">
            <v>0.5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3.08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</row>
        <row r="578">
          <cell r="B578" t="str">
            <v>Nucleo A</v>
          </cell>
          <cell r="C578">
            <v>1</v>
          </cell>
          <cell r="D578">
            <v>1</v>
          </cell>
          <cell r="E578">
            <v>0.25</v>
          </cell>
          <cell r="F578">
            <v>0.2</v>
          </cell>
          <cell r="G578">
            <v>2.65</v>
          </cell>
          <cell r="P578" t="str">
            <v>V</v>
          </cell>
          <cell r="Q578" t="str">
            <v>1"</v>
          </cell>
          <cell r="R578">
            <v>4</v>
          </cell>
          <cell r="S578">
            <v>2.65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50.816000000000003</v>
          </cell>
          <cell r="AD578">
            <v>0</v>
          </cell>
        </row>
        <row r="579">
          <cell r="B579" t="str">
            <v>Est</v>
          </cell>
          <cell r="C579">
            <v>1</v>
          </cell>
          <cell r="D579">
            <v>1</v>
          </cell>
          <cell r="E579">
            <v>0.25</v>
          </cell>
          <cell r="F579">
            <v>0.2</v>
          </cell>
          <cell r="G579">
            <v>2.65</v>
          </cell>
          <cell r="Q579" t="str">
            <v>3/8"</v>
          </cell>
          <cell r="R579">
            <v>11</v>
          </cell>
          <cell r="S579">
            <v>0.9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5.5440000000000005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</row>
        <row r="580">
          <cell r="B580" t="str">
            <v>B1-PL-04</v>
          </cell>
          <cell r="C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</row>
        <row r="581">
          <cell r="B581" t="str">
            <v>Acero Vert</v>
          </cell>
          <cell r="C581">
            <v>2</v>
          </cell>
          <cell r="D581">
            <v>1</v>
          </cell>
          <cell r="E581">
            <v>2.2999999999999998</v>
          </cell>
          <cell r="F581">
            <v>0.25</v>
          </cell>
          <cell r="G581">
            <v>2.65</v>
          </cell>
          <cell r="H581">
            <v>280</v>
          </cell>
          <cell r="I581">
            <v>0</v>
          </cell>
          <cell r="J581">
            <v>3.0474999999999999</v>
          </cell>
          <cell r="K581">
            <v>0</v>
          </cell>
          <cell r="L581">
            <v>3.0474999999999999</v>
          </cell>
          <cell r="M581">
            <v>5.0999999999999996</v>
          </cell>
          <cell r="N581">
            <v>2.4499999999999997</v>
          </cell>
          <cell r="O581">
            <v>24.989999999999995</v>
          </cell>
          <cell r="P581" t="str">
            <v>V</v>
          </cell>
          <cell r="Q581" t="str">
            <v>3/8"</v>
          </cell>
          <cell r="R581">
            <v>18</v>
          </cell>
          <cell r="S581">
            <v>3.15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73.583999999999989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</row>
        <row r="582">
          <cell r="B582" t="str">
            <v>Acero Hor</v>
          </cell>
          <cell r="C582">
            <v>2</v>
          </cell>
          <cell r="D582">
            <v>1</v>
          </cell>
          <cell r="E582">
            <v>0.25</v>
          </cell>
          <cell r="F582">
            <v>0.4</v>
          </cell>
          <cell r="G582">
            <v>2.65</v>
          </cell>
          <cell r="H582">
            <v>280</v>
          </cell>
          <cell r="I582">
            <v>0</v>
          </cell>
          <cell r="J582">
            <v>0.53</v>
          </cell>
          <cell r="K582">
            <v>0</v>
          </cell>
          <cell r="L582">
            <v>0.53</v>
          </cell>
          <cell r="M582">
            <v>1.3</v>
          </cell>
          <cell r="N582">
            <v>2.4499999999999997</v>
          </cell>
          <cell r="O582">
            <v>6.3699999999999992</v>
          </cell>
          <cell r="P582" t="str">
            <v>H</v>
          </cell>
          <cell r="Q582" t="str">
            <v>3/8"</v>
          </cell>
          <cell r="R582">
            <v>28</v>
          </cell>
          <cell r="S582">
            <v>2.5999999999999996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81.535999999999987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</row>
        <row r="583">
          <cell r="B583" t="str">
            <v>Nucleo A</v>
          </cell>
          <cell r="C583">
            <v>2</v>
          </cell>
          <cell r="D583">
            <v>1</v>
          </cell>
          <cell r="E583">
            <v>0.4</v>
          </cell>
          <cell r="F583">
            <v>0.45</v>
          </cell>
          <cell r="G583">
            <v>2.65</v>
          </cell>
          <cell r="P583" t="str">
            <v>V</v>
          </cell>
          <cell r="Q583" t="str">
            <v>3/4"</v>
          </cell>
          <cell r="R583">
            <v>4</v>
          </cell>
          <cell r="S583">
            <v>2.65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53.760000000000005</v>
          </cell>
          <cell r="AC583">
            <v>0</v>
          </cell>
          <cell r="AD583">
            <v>0</v>
          </cell>
        </row>
        <row r="584">
          <cell r="B584" t="str">
            <v>Nucleo A</v>
          </cell>
          <cell r="C584">
            <v>2</v>
          </cell>
          <cell r="D584">
            <v>1</v>
          </cell>
          <cell r="G584">
            <v>2.65</v>
          </cell>
          <cell r="P584" t="str">
            <v>V</v>
          </cell>
          <cell r="Q584" t="str">
            <v>3/4"</v>
          </cell>
          <cell r="R584">
            <v>8</v>
          </cell>
          <cell r="S584">
            <v>2.65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107.52000000000001</v>
          </cell>
          <cell r="AC584">
            <v>0</v>
          </cell>
          <cell r="AD584">
            <v>0</v>
          </cell>
        </row>
        <row r="585">
          <cell r="B585" t="str">
            <v>Est</v>
          </cell>
          <cell r="C585">
            <v>2</v>
          </cell>
          <cell r="D585">
            <v>1</v>
          </cell>
          <cell r="E585">
            <v>0.4</v>
          </cell>
          <cell r="F585">
            <v>0.45</v>
          </cell>
          <cell r="G585">
            <v>2.65</v>
          </cell>
          <cell r="Q585" t="str">
            <v>3/8"</v>
          </cell>
          <cell r="R585">
            <v>14</v>
          </cell>
          <cell r="S585">
            <v>1.7000000000000002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26.656000000000006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</row>
        <row r="586">
          <cell r="B586" t="str">
            <v>Est</v>
          </cell>
          <cell r="C586">
            <v>2</v>
          </cell>
          <cell r="D586">
            <v>1</v>
          </cell>
          <cell r="E586">
            <v>0.25</v>
          </cell>
          <cell r="F586">
            <v>0.45</v>
          </cell>
          <cell r="G586">
            <v>2.65</v>
          </cell>
          <cell r="Q586" t="str">
            <v>3/8"</v>
          </cell>
          <cell r="R586">
            <v>14</v>
          </cell>
          <cell r="S586">
            <v>1.4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21.951999999999998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</row>
        <row r="587">
          <cell r="B587" t="str">
            <v>Est</v>
          </cell>
          <cell r="C587">
            <v>2</v>
          </cell>
          <cell r="D587">
            <v>1</v>
          </cell>
          <cell r="E587">
            <v>0.4</v>
          </cell>
          <cell r="F587">
            <v>0.1</v>
          </cell>
          <cell r="G587">
            <v>2.65</v>
          </cell>
          <cell r="Q587" t="str">
            <v>3/8"</v>
          </cell>
          <cell r="R587">
            <v>14</v>
          </cell>
          <cell r="S587">
            <v>0.5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7.8400000000000007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</row>
        <row r="588">
          <cell r="B588" t="str">
            <v>Nucleo A</v>
          </cell>
          <cell r="C588">
            <v>2</v>
          </cell>
          <cell r="D588">
            <v>1</v>
          </cell>
          <cell r="E588">
            <v>0.25</v>
          </cell>
          <cell r="F588">
            <v>0.25</v>
          </cell>
          <cell r="G588">
            <v>2.65</v>
          </cell>
          <cell r="P588" t="str">
            <v>V</v>
          </cell>
          <cell r="Q588" t="str">
            <v>3/4"</v>
          </cell>
          <cell r="R588">
            <v>2</v>
          </cell>
          <cell r="S588">
            <v>2.65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26.880000000000003</v>
          </cell>
          <cell r="AC588">
            <v>0</v>
          </cell>
          <cell r="AD588">
            <v>0</v>
          </cell>
        </row>
        <row r="589">
          <cell r="B589" t="str">
            <v>Nucleo A</v>
          </cell>
          <cell r="C589">
            <v>2</v>
          </cell>
          <cell r="D589">
            <v>1</v>
          </cell>
          <cell r="G589">
            <v>2.65</v>
          </cell>
          <cell r="P589" t="str">
            <v>V</v>
          </cell>
          <cell r="Q589" t="str">
            <v>3/4"</v>
          </cell>
          <cell r="R589">
            <v>2</v>
          </cell>
          <cell r="S589">
            <v>2.65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26.880000000000003</v>
          </cell>
          <cell r="AC589">
            <v>0</v>
          </cell>
          <cell r="AD589">
            <v>0</v>
          </cell>
        </row>
        <row r="590">
          <cell r="B590" t="str">
            <v>Est</v>
          </cell>
          <cell r="C590">
            <v>2</v>
          </cell>
          <cell r="D590">
            <v>1</v>
          </cell>
          <cell r="E590">
            <v>0.25</v>
          </cell>
          <cell r="F590">
            <v>0.25</v>
          </cell>
          <cell r="G590">
            <v>2.65</v>
          </cell>
          <cell r="Q590" t="str">
            <v>3/8"</v>
          </cell>
          <cell r="R590">
            <v>14</v>
          </cell>
          <cell r="S590">
            <v>1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15.680000000000001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</row>
        <row r="591">
          <cell r="C591">
            <v>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</row>
        <row r="592">
          <cell r="B592" t="str">
            <v>B1-PL-05</v>
          </cell>
          <cell r="C592">
            <v>1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</row>
        <row r="593">
          <cell r="B593" t="str">
            <v>Acero Vert</v>
          </cell>
          <cell r="C593">
            <v>1</v>
          </cell>
          <cell r="D593">
            <v>1</v>
          </cell>
          <cell r="E593">
            <v>2.2999999999999998</v>
          </cell>
          <cell r="F593">
            <v>0.25</v>
          </cell>
          <cell r="G593">
            <v>2.65</v>
          </cell>
          <cell r="H593">
            <v>280</v>
          </cell>
          <cell r="I593">
            <v>0</v>
          </cell>
          <cell r="J593">
            <v>1.5237499999999999</v>
          </cell>
          <cell r="K593">
            <v>0</v>
          </cell>
          <cell r="L593">
            <v>1.5237499999999999</v>
          </cell>
          <cell r="M593">
            <v>5.0999999999999996</v>
          </cell>
          <cell r="N593">
            <v>2.4499999999999997</v>
          </cell>
          <cell r="O593">
            <v>12.494999999999997</v>
          </cell>
          <cell r="P593" t="str">
            <v>V</v>
          </cell>
          <cell r="Q593" t="str">
            <v>3/8"</v>
          </cell>
          <cell r="R593">
            <v>20</v>
          </cell>
          <cell r="S593">
            <v>3.15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40.880000000000003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</row>
        <row r="594">
          <cell r="B594" t="str">
            <v>Acero Hor</v>
          </cell>
          <cell r="C594">
            <v>1</v>
          </cell>
          <cell r="D594">
            <v>1</v>
          </cell>
          <cell r="G594">
            <v>2.65</v>
          </cell>
          <cell r="P594" t="str">
            <v>H</v>
          </cell>
          <cell r="Q594" t="str">
            <v>3/8"</v>
          </cell>
          <cell r="R594">
            <v>28</v>
          </cell>
          <cell r="S594">
            <v>2.5999999999999996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40.767999999999994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</row>
        <row r="595">
          <cell r="B595" t="str">
            <v>Nucleo A</v>
          </cell>
          <cell r="C595">
            <v>1</v>
          </cell>
          <cell r="D595">
            <v>1</v>
          </cell>
          <cell r="E595">
            <v>0.25</v>
          </cell>
          <cell r="F595">
            <v>0.25</v>
          </cell>
          <cell r="G595">
            <v>2.65</v>
          </cell>
          <cell r="P595" t="str">
            <v>V</v>
          </cell>
          <cell r="Q595" t="str">
            <v>1"</v>
          </cell>
          <cell r="R595">
            <v>2</v>
          </cell>
          <cell r="S595">
            <v>2.65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25.408000000000001</v>
          </cell>
          <cell r="AD595">
            <v>0</v>
          </cell>
        </row>
        <row r="596">
          <cell r="B596" t="str">
            <v>Nucleo A</v>
          </cell>
          <cell r="C596">
            <v>1</v>
          </cell>
          <cell r="D596">
            <v>1</v>
          </cell>
          <cell r="G596">
            <v>2.65</v>
          </cell>
          <cell r="P596" t="str">
            <v>V</v>
          </cell>
          <cell r="Q596" t="str">
            <v>3/4"</v>
          </cell>
          <cell r="R596">
            <v>2</v>
          </cell>
          <cell r="S596">
            <v>2.65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13.440000000000001</v>
          </cell>
          <cell r="AC596">
            <v>0</v>
          </cell>
          <cell r="AD596">
            <v>0</v>
          </cell>
        </row>
        <row r="597">
          <cell r="B597" t="str">
            <v>Est</v>
          </cell>
          <cell r="C597">
            <v>1</v>
          </cell>
          <cell r="D597">
            <v>1</v>
          </cell>
          <cell r="E597">
            <v>0.25</v>
          </cell>
          <cell r="F597">
            <v>0.25</v>
          </cell>
          <cell r="G597">
            <v>2.65</v>
          </cell>
          <cell r="Q597" t="str">
            <v>3/8"</v>
          </cell>
          <cell r="R597">
            <v>14</v>
          </cell>
          <cell r="S597">
            <v>1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7.8400000000000007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</row>
        <row r="598">
          <cell r="B598" t="str">
            <v>Nucleo A</v>
          </cell>
          <cell r="C598">
            <v>1</v>
          </cell>
          <cell r="D598">
            <v>1</v>
          </cell>
          <cell r="E598">
            <v>0.25</v>
          </cell>
          <cell r="F598">
            <v>0.25</v>
          </cell>
          <cell r="G598">
            <v>2.65</v>
          </cell>
          <cell r="P598" t="str">
            <v>V</v>
          </cell>
          <cell r="Q598" t="str">
            <v>1"</v>
          </cell>
          <cell r="R598">
            <v>2</v>
          </cell>
          <cell r="S598">
            <v>2.65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25.408000000000001</v>
          </cell>
          <cell r="AD598">
            <v>0</v>
          </cell>
        </row>
        <row r="599">
          <cell r="B599" t="str">
            <v>Nucleo A</v>
          </cell>
          <cell r="C599">
            <v>1</v>
          </cell>
          <cell r="D599">
            <v>1</v>
          </cell>
          <cell r="G599">
            <v>2.65</v>
          </cell>
          <cell r="P599" t="str">
            <v>V</v>
          </cell>
          <cell r="Q599" t="str">
            <v>3/4"</v>
          </cell>
          <cell r="R599">
            <v>2</v>
          </cell>
          <cell r="S599">
            <v>2.65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13.440000000000001</v>
          </cell>
          <cell r="AC599">
            <v>0</v>
          </cell>
          <cell r="AD599">
            <v>0</v>
          </cell>
        </row>
        <row r="600">
          <cell r="B600" t="str">
            <v>Est</v>
          </cell>
          <cell r="C600">
            <v>1</v>
          </cell>
          <cell r="D600">
            <v>1</v>
          </cell>
          <cell r="E600">
            <v>0.25</v>
          </cell>
          <cell r="F600">
            <v>0.25</v>
          </cell>
          <cell r="G600">
            <v>2.65</v>
          </cell>
          <cell r="Q600" t="str">
            <v>3/8"</v>
          </cell>
          <cell r="R600">
            <v>14</v>
          </cell>
          <cell r="S600">
            <v>1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7.8400000000000007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</row>
        <row r="601"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</row>
        <row r="602">
          <cell r="B602" t="str">
            <v>B1-PL-06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</row>
        <row r="603">
          <cell r="B603" t="str">
            <v>Acero Vert</v>
          </cell>
          <cell r="C603">
            <v>1</v>
          </cell>
          <cell r="D603">
            <v>1</v>
          </cell>
          <cell r="E603">
            <v>4</v>
          </cell>
          <cell r="F603">
            <v>0.15</v>
          </cell>
          <cell r="G603">
            <v>2.65</v>
          </cell>
          <cell r="H603">
            <v>280</v>
          </cell>
          <cell r="I603">
            <v>0</v>
          </cell>
          <cell r="J603">
            <v>1.5899999999999999</v>
          </cell>
          <cell r="K603">
            <v>0</v>
          </cell>
          <cell r="L603">
            <v>1.5899999999999999</v>
          </cell>
          <cell r="M603">
            <v>8.3000000000000007</v>
          </cell>
          <cell r="N603">
            <v>2.4499999999999997</v>
          </cell>
          <cell r="O603">
            <v>20.335000000000001</v>
          </cell>
          <cell r="P603" t="str">
            <v>V</v>
          </cell>
          <cell r="Q603" t="str">
            <v>3/8"</v>
          </cell>
          <cell r="R603">
            <v>24</v>
          </cell>
          <cell r="S603">
            <v>3.15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49.056000000000004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</row>
        <row r="604">
          <cell r="B604" t="str">
            <v>Acero Hor</v>
          </cell>
          <cell r="C604">
            <v>1</v>
          </cell>
          <cell r="D604">
            <v>1</v>
          </cell>
          <cell r="G604">
            <v>4.16</v>
          </cell>
          <cell r="P604" t="str">
            <v>H</v>
          </cell>
          <cell r="Q604" t="str">
            <v>3/8"</v>
          </cell>
          <cell r="R604">
            <v>20</v>
          </cell>
          <cell r="S604">
            <v>4.3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48.160000000000004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</row>
        <row r="605">
          <cell r="B605" t="str">
            <v>Nucleo A</v>
          </cell>
          <cell r="C605">
            <v>1</v>
          </cell>
          <cell r="D605">
            <v>1</v>
          </cell>
          <cell r="E605">
            <v>0.4</v>
          </cell>
          <cell r="F605">
            <v>0.15</v>
          </cell>
          <cell r="G605">
            <v>2.65</v>
          </cell>
          <cell r="P605" t="str">
            <v>V</v>
          </cell>
          <cell r="Q605" t="str">
            <v>5/8"</v>
          </cell>
          <cell r="R605">
            <v>4</v>
          </cell>
          <cell r="S605">
            <v>2.65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18.29</v>
          </cell>
          <cell r="AB605">
            <v>0</v>
          </cell>
          <cell r="AC605">
            <v>0</v>
          </cell>
          <cell r="AD605">
            <v>0</v>
          </cell>
        </row>
        <row r="606">
          <cell r="B606" t="str">
            <v>Est</v>
          </cell>
          <cell r="C606">
            <v>1</v>
          </cell>
          <cell r="D606">
            <v>1</v>
          </cell>
          <cell r="E606">
            <v>0.4</v>
          </cell>
          <cell r="F606">
            <v>0.15</v>
          </cell>
          <cell r="G606">
            <v>2.65</v>
          </cell>
          <cell r="Q606" t="str">
            <v>3/8"</v>
          </cell>
          <cell r="R606">
            <v>14</v>
          </cell>
          <cell r="S606">
            <v>1.1000000000000001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8.6240000000000023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</row>
        <row r="607">
          <cell r="B607" t="str">
            <v>Nucleo A</v>
          </cell>
          <cell r="C607">
            <v>1</v>
          </cell>
          <cell r="D607">
            <v>1</v>
          </cell>
          <cell r="E607">
            <v>0.2</v>
          </cell>
          <cell r="F607">
            <v>0.15</v>
          </cell>
          <cell r="G607">
            <v>2.65</v>
          </cell>
          <cell r="P607" t="str">
            <v>V</v>
          </cell>
          <cell r="Q607" t="str">
            <v>5/8"</v>
          </cell>
          <cell r="R607">
            <v>4</v>
          </cell>
          <cell r="S607">
            <v>2.65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18.29</v>
          </cell>
          <cell r="AB607">
            <v>0</v>
          </cell>
          <cell r="AC607">
            <v>0</v>
          </cell>
          <cell r="AD607">
            <v>0</v>
          </cell>
        </row>
        <row r="608">
          <cell r="B608" t="str">
            <v>Est</v>
          </cell>
          <cell r="C608">
            <v>1</v>
          </cell>
          <cell r="D608">
            <v>1</v>
          </cell>
          <cell r="E608">
            <v>0.2</v>
          </cell>
          <cell r="F608">
            <v>0.15</v>
          </cell>
          <cell r="G608">
            <v>2.65</v>
          </cell>
          <cell r="Q608" t="str">
            <v>3/8"</v>
          </cell>
          <cell r="R608">
            <v>14</v>
          </cell>
          <cell r="S608">
            <v>0.7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5.4879999999999995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</row>
        <row r="609">
          <cell r="B609" t="str">
            <v>Nucleo B</v>
          </cell>
          <cell r="C609">
            <v>1</v>
          </cell>
          <cell r="D609">
            <v>1</v>
          </cell>
          <cell r="E609">
            <v>1.76</v>
          </cell>
          <cell r="F609">
            <v>0.25</v>
          </cell>
          <cell r="G609">
            <v>2.65</v>
          </cell>
          <cell r="H609">
            <v>280</v>
          </cell>
          <cell r="I609">
            <v>0</v>
          </cell>
          <cell r="J609">
            <v>1.1659999999999999</v>
          </cell>
          <cell r="K609">
            <v>0</v>
          </cell>
          <cell r="L609">
            <v>1.1659999999999999</v>
          </cell>
          <cell r="M609">
            <v>4.0199999999999996</v>
          </cell>
          <cell r="N609">
            <v>2.4499999999999997</v>
          </cell>
          <cell r="O609">
            <v>9.8489999999999984</v>
          </cell>
          <cell r="P609" t="str">
            <v>V</v>
          </cell>
          <cell r="Q609" t="str">
            <v>3/4"</v>
          </cell>
          <cell r="R609">
            <v>12</v>
          </cell>
          <cell r="S609">
            <v>2.65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80.640000000000015</v>
          </cell>
          <cell r="AC609">
            <v>0</v>
          </cell>
          <cell r="AD609">
            <v>0</v>
          </cell>
        </row>
        <row r="610">
          <cell r="B610" t="str">
            <v>Nucleo A</v>
          </cell>
          <cell r="C610">
            <v>1</v>
          </cell>
          <cell r="D610">
            <v>1</v>
          </cell>
          <cell r="G610">
            <v>2.65</v>
          </cell>
          <cell r="P610" t="str">
            <v>V</v>
          </cell>
          <cell r="Q610" t="str">
            <v>5/8"</v>
          </cell>
          <cell r="R610">
            <v>10</v>
          </cell>
          <cell r="S610">
            <v>2.65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45.725000000000001</v>
          </cell>
          <cell r="AB610">
            <v>0</v>
          </cell>
          <cell r="AC610">
            <v>0</v>
          </cell>
          <cell r="AD610">
            <v>0</v>
          </cell>
        </row>
        <row r="611">
          <cell r="B611" t="str">
            <v>Est</v>
          </cell>
          <cell r="C611">
            <v>1</v>
          </cell>
          <cell r="D611">
            <v>1</v>
          </cell>
          <cell r="E611">
            <v>1.1000000000000001</v>
          </cell>
          <cell r="F611">
            <v>0.25</v>
          </cell>
          <cell r="G611">
            <v>2.65</v>
          </cell>
          <cell r="Q611" t="str">
            <v>3/8"</v>
          </cell>
          <cell r="R611">
            <v>25</v>
          </cell>
          <cell r="S611">
            <v>2.7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37.800000000000004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</row>
        <row r="612">
          <cell r="B612" t="str">
            <v>Est</v>
          </cell>
          <cell r="C612">
            <v>1</v>
          </cell>
          <cell r="D612">
            <v>1</v>
          </cell>
          <cell r="E612">
            <v>1.1000000000000001</v>
          </cell>
          <cell r="F612">
            <v>0.25</v>
          </cell>
          <cell r="G612">
            <v>2.65</v>
          </cell>
          <cell r="Q612" t="str">
            <v>3/8"</v>
          </cell>
          <cell r="R612">
            <v>25</v>
          </cell>
          <cell r="S612">
            <v>2.7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37.800000000000004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</row>
        <row r="613">
          <cell r="B613" t="str">
            <v>Est</v>
          </cell>
          <cell r="C613">
            <v>1</v>
          </cell>
          <cell r="D613">
            <v>1</v>
          </cell>
          <cell r="E613">
            <v>1.1000000000000001</v>
          </cell>
          <cell r="F613">
            <v>0.25</v>
          </cell>
          <cell r="G613">
            <v>2.65</v>
          </cell>
          <cell r="Q613" t="str">
            <v>3/8"</v>
          </cell>
          <cell r="R613">
            <v>25</v>
          </cell>
          <cell r="S613">
            <v>2.7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37.800000000000004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</row>
        <row r="614">
          <cell r="B614" t="str">
            <v>Est</v>
          </cell>
          <cell r="C614">
            <v>1</v>
          </cell>
          <cell r="D614">
            <v>5</v>
          </cell>
          <cell r="E614">
            <v>0.15</v>
          </cell>
          <cell r="F614">
            <v>0.25</v>
          </cell>
          <cell r="G614">
            <v>2.65</v>
          </cell>
          <cell r="Q614" t="str">
            <v>3/8"</v>
          </cell>
          <cell r="R614">
            <v>25</v>
          </cell>
          <cell r="S614">
            <v>0.55000000000000004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38.500000000000007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</row>
        <row r="615">
          <cell r="B615" t="str">
            <v>Acero Vert</v>
          </cell>
          <cell r="C615">
            <v>1</v>
          </cell>
          <cell r="D615">
            <v>1</v>
          </cell>
          <cell r="E615">
            <v>5</v>
          </cell>
          <cell r="F615">
            <v>0.4</v>
          </cell>
          <cell r="G615">
            <v>2.65</v>
          </cell>
          <cell r="H615">
            <v>280</v>
          </cell>
          <cell r="I615">
            <v>0</v>
          </cell>
          <cell r="J615">
            <v>5.3</v>
          </cell>
          <cell r="K615">
            <v>0</v>
          </cell>
          <cell r="L615">
            <v>5.3</v>
          </cell>
          <cell r="M615">
            <v>10.8</v>
          </cell>
          <cell r="N615">
            <v>2.4499999999999997</v>
          </cell>
          <cell r="O615">
            <v>26.459999999999997</v>
          </cell>
          <cell r="P615" t="str">
            <v>V</v>
          </cell>
          <cell r="Q615" t="str">
            <v>1/2"</v>
          </cell>
          <cell r="R615">
            <v>42</v>
          </cell>
          <cell r="S615">
            <v>3.15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141.37199999999999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</row>
        <row r="616">
          <cell r="B616" t="str">
            <v>Acero Hor</v>
          </cell>
          <cell r="C616">
            <v>1</v>
          </cell>
          <cell r="D616">
            <v>1</v>
          </cell>
          <cell r="G616">
            <v>2.65</v>
          </cell>
          <cell r="P616" t="str">
            <v>H</v>
          </cell>
          <cell r="Q616" t="str">
            <v>1/2"</v>
          </cell>
          <cell r="R616">
            <v>24</v>
          </cell>
          <cell r="S616">
            <v>5.9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140.18400000000003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</row>
        <row r="617">
          <cell r="B617" t="str">
            <v>Acero Vert</v>
          </cell>
          <cell r="C617">
            <v>1</v>
          </cell>
          <cell r="D617">
            <v>1</v>
          </cell>
          <cell r="E617">
            <v>2.3199999999999998</v>
          </cell>
          <cell r="F617">
            <v>0.2</v>
          </cell>
          <cell r="G617">
            <v>2.65</v>
          </cell>
          <cell r="H617">
            <v>280</v>
          </cell>
          <cell r="I617">
            <v>0</v>
          </cell>
          <cell r="J617">
            <v>1.2295999999999998</v>
          </cell>
          <cell r="K617">
            <v>0</v>
          </cell>
          <cell r="L617">
            <v>1.2295999999999998</v>
          </cell>
          <cell r="M617">
            <v>5.04</v>
          </cell>
          <cell r="N617">
            <v>2.4499999999999997</v>
          </cell>
          <cell r="O617">
            <v>12.347999999999999</v>
          </cell>
          <cell r="P617" t="str">
            <v>V</v>
          </cell>
          <cell r="Q617" t="str">
            <v>3/8"</v>
          </cell>
          <cell r="R617">
            <v>16</v>
          </cell>
          <cell r="S617">
            <v>3.15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32.704000000000001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</row>
        <row r="618">
          <cell r="B618" t="str">
            <v>Acero Hor</v>
          </cell>
          <cell r="C618">
            <v>1</v>
          </cell>
          <cell r="D618">
            <v>1</v>
          </cell>
          <cell r="G618">
            <v>2.65</v>
          </cell>
          <cell r="P618" t="str">
            <v>H</v>
          </cell>
          <cell r="Q618" t="str">
            <v>3/8"</v>
          </cell>
          <cell r="R618">
            <v>28</v>
          </cell>
          <cell r="S618">
            <v>2.6199999999999997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41.081599999999995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</row>
        <row r="619">
          <cell r="B619" t="str">
            <v>Nucleo A</v>
          </cell>
          <cell r="C619">
            <v>1</v>
          </cell>
          <cell r="D619">
            <v>2</v>
          </cell>
          <cell r="E619">
            <v>0.25</v>
          </cell>
          <cell r="F619">
            <v>0.25</v>
          </cell>
          <cell r="G619">
            <v>2.65</v>
          </cell>
          <cell r="P619" t="str">
            <v>V</v>
          </cell>
          <cell r="Q619" t="str">
            <v>3/4"</v>
          </cell>
          <cell r="R619">
            <v>2</v>
          </cell>
          <cell r="S619">
            <v>2.65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25.312000000000001</v>
          </cell>
          <cell r="AC619">
            <v>0</v>
          </cell>
          <cell r="AD619">
            <v>0</v>
          </cell>
        </row>
        <row r="620">
          <cell r="B620" t="str">
            <v>Nucleo A</v>
          </cell>
          <cell r="C620">
            <v>1</v>
          </cell>
          <cell r="D620">
            <v>2</v>
          </cell>
          <cell r="G620">
            <v>2.65</v>
          </cell>
          <cell r="P620" t="str">
            <v>V</v>
          </cell>
          <cell r="Q620" t="str">
            <v>1"</v>
          </cell>
          <cell r="R620">
            <v>2</v>
          </cell>
          <cell r="S620">
            <v>2.65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46.448999999999998</v>
          </cell>
          <cell r="AD620">
            <v>0</v>
          </cell>
        </row>
        <row r="621">
          <cell r="B621" t="str">
            <v>Est</v>
          </cell>
          <cell r="C621">
            <v>1</v>
          </cell>
          <cell r="D621">
            <v>2</v>
          </cell>
          <cell r="E621">
            <v>0.25</v>
          </cell>
          <cell r="F621">
            <v>0.25</v>
          </cell>
          <cell r="G621">
            <v>2.65</v>
          </cell>
          <cell r="Q621" t="str">
            <v>3/8"</v>
          </cell>
          <cell r="R621">
            <v>14</v>
          </cell>
          <cell r="S621">
            <v>1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15.680000000000001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</row>
        <row r="622"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</row>
        <row r="623">
          <cell r="B623" t="str">
            <v>7 PISO</v>
          </cell>
          <cell r="H623">
            <v>210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</row>
        <row r="624"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</row>
        <row r="625">
          <cell r="B625" t="str">
            <v>B1-PL-01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</row>
        <row r="626">
          <cell r="B626" t="str">
            <v>Acero Vert</v>
          </cell>
          <cell r="C626">
            <v>1</v>
          </cell>
          <cell r="D626">
            <v>1</v>
          </cell>
          <cell r="E626">
            <v>4.2300000000000004</v>
          </cell>
          <cell r="F626">
            <v>0.2</v>
          </cell>
          <cell r="G626">
            <v>2.65</v>
          </cell>
          <cell r="H626">
            <v>210</v>
          </cell>
          <cell r="I626">
            <v>2.2419000000000002</v>
          </cell>
          <cell r="J626">
            <v>0</v>
          </cell>
          <cell r="K626">
            <v>0</v>
          </cell>
          <cell r="L626">
            <v>2.2419000000000002</v>
          </cell>
          <cell r="M626">
            <v>8.8600000000000012</v>
          </cell>
          <cell r="N626">
            <v>2.4499999999999997</v>
          </cell>
          <cell r="O626">
            <v>21.707000000000001</v>
          </cell>
          <cell r="P626" t="str">
            <v>V</v>
          </cell>
          <cell r="Q626" t="str">
            <v>3/8"</v>
          </cell>
          <cell r="R626">
            <v>32</v>
          </cell>
          <cell r="S626">
            <v>3.15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65.408000000000001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</row>
        <row r="627">
          <cell r="B627" t="str">
            <v>Acero Hor</v>
          </cell>
          <cell r="C627">
            <v>1</v>
          </cell>
          <cell r="D627">
            <v>1</v>
          </cell>
          <cell r="G627">
            <v>2.65</v>
          </cell>
          <cell r="P627" t="str">
            <v>H</v>
          </cell>
          <cell r="Q627" t="str">
            <v>3/8"</v>
          </cell>
          <cell r="R627">
            <v>24</v>
          </cell>
          <cell r="S627">
            <v>4.53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60.883200000000002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</row>
        <row r="628">
          <cell r="B628" t="str">
            <v>Nucleo A</v>
          </cell>
          <cell r="C628">
            <v>1</v>
          </cell>
          <cell r="D628">
            <v>1</v>
          </cell>
          <cell r="E628">
            <v>0.55000000000000004</v>
          </cell>
          <cell r="F628">
            <v>0.2</v>
          </cell>
          <cell r="G628">
            <v>2.65</v>
          </cell>
          <cell r="P628" t="str">
            <v>V</v>
          </cell>
          <cell r="Q628" t="str">
            <v>1"</v>
          </cell>
          <cell r="R628">
            <v>8</v>
          </cell>
          <cell r="S628">
            <v>2.65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101.63200000000001</v>
          </cell>
          <cell r="AD628">
            <v>0</v>
          </cell>
        </row>
        <row r="629">
          <cell r="B629" t="str">
            <v>Est</v>
          </cell>
          <cell r="C629">
            <v>1</v>
          </cell>
          <cell r="D629">
            <v>1</v>
          </cell>
          <cell r="E629">
            <v>0.4</v>
          </cell>
          <cell r="F629">
            <v>0.2</v>
          </cell>
          <cell r="G629">
            <v>2.65</v>
          </cell>
          <cell r="Q629" t="str">
            <v>3/8"</v>
          </cell>
          <cell r="R629">
            <v>14</v>
          </cell>
          <cell r="S629">
            <v>1.2000000000000002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9.408000000000003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</row>
        <row r="630">
          <cell r="B630" t="str">
            <v>Est</v>
          </cell>
          <cell r="C630">
            <v>1</v>
          </cell>
          <cell r="D630">
            <v>1</v>
          </cell>
          <cell r="E630">
            <v>0.4</v>
          </cell>
          <cell r="F630">
            <v>0.2</v>
          </cell>
          <cell r="G630">
            <v>2.65</v>
          </cell>
          <cell r="Q630" t="str">
            <v>3/8"</v>
          </cell>
          <cell r="R630">
            <v>14</v>
          </cell>
          <cell r="S630">
            <v>1.2000000000000002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9.408000000000003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</row>
        <row r="631">
          <cell r="B631" t="str">
            <v>Acero Vert</v>
          </cell>
          <cell r="C631">
            <v>1</v>
          </cell>
          <cell r="D631">
            <v>1</v>
          </cell>
          <cell r="E631">
            <v>5.3999999999999995</v>
          </cell>
          <cell r="F631">
            <v>0.2</v>
          </cell>
          <cell r="G631">
            <v>2.65</v>
          </cell>
          <cell r="H631">
            <v>210</v>
          </cell>
          <cell r="I631">
            <v>2.8619999999999997</v>
          </cell>
          <cell r="J631">
            <v>0</v>
          </cell>
          <cell r="K631">
            <v>0</v>
          </cell>
          <cell r="L631">
            <v>2.8619999999999997</v>
          </cell>
          <cell r="M631">
            <v>11.2</v>
          </cell>
          <cell r="N631">
            <v>2.4499999999999997</v>
          </cell>
          <cell r="O631">
            <v>27.439999999999994</v>
          </cell>
          <cell r="P631" t="str">
            <v>V</v>
          </cell>
          <cell r="Q631" t="str">
            <v>3/8"</v>
          </cell>
          <cell r="R631">
            <v>42</v>
          </cell>
          <cell r="S631">
            <v>3.15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85.847999999999999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</row>
        <row r="632">
          <cell r="B632" t="str">
            <v>Acero Hor</v>
          </cell>
          <cell r="C632">
            <v>1</v>
          </cell>
          <cell r="D632">
            <v>1</v>
          </cell>
          <cell r="G632">
            <v>2.65</v>
          </cell>
          <cell r="P632" t="str">
            <v>H</v>
          </cell>
          <cell r="Q632" t="str">
            <v>3/8"</v>
          </cell>
          <cell r="R632">
            <v>24</v>
          </cell>
          <cell r="S632">
            <v>5.8999999999999995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79.296000000000006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</row>
        <row r="633">
          <cell r="B633" t="str">
            <v>Nucleo A</v>
          </cell>
          <cell r="C633">
            <v>1</v>
          </cell>
          <cell r="D633">
            <v>1</v>
          </cell>
          <cell r="E633">
            <v>0.25</v>
          </cell>
          <cell r="F633">
            <v>0.2</v>
          </cell>
          <cell r="G633">
            <v>2.65</v>
          </cell>
          <cell r="P633" t="str">
            <v>V</v>
          </cell>
          <cell r="Q633" t="str">
            <v>1"</v>
          </cell>
          <cell r="R633">
            <v>4</v>
          </cell>
          <cell r="S633">
            <v>2.65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50.816000000000003</v>
          </cell>
          <cell r="AD633">
            <v>0</v>
          </cell>
        </row>
        <row r="634">
          <cell r="B634" t="str">
            <v>Est</v>
          </cell>
          <cell r="C634">
            <v>1</v>
          </cell>
          <cell r="D634">
            <v>1</v>
          </cell>
          <cell r="E634">
            <v>0.25</v>
          </cell>
          <cell r="F634">
            <v>0.2</v>
          </cell>
          <cell r="G634">
            <v>2.65</v>
          </cell>
          <cell r="Q634" t="str">
            <v>3/8"</v>
          </cell>
          <cell r="R634">
            <v>14</v>
          </cell>
          <cell r="S634">
            <v>0.9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7.056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</row>
        <row r="635">
          <cell r="B635" t="str">
            <v>Nucleo A</v>
          </cell>
          <cell r="C635">
            <v>1</v>
          </cell>
          <cell r="D635">
            <v>1</v>
          </cell>
          <cell r="E635">
            <v>0.2</v>
          </cell>
          <cell r="F635">
            <v>0.2</v>
          </cell>
          <cell r="G635">
            <v>2.65</v>
          </cell>
          <cell r="P635" t="str">
            <v>V</v>
          </cell>
          <cell r="Q635" t="str">
            <v>3/4"</v>
          </cell>
          <cell r="R635">
            <v>4</v>
          </cell>
          <cell r="S635">
            <v>2.65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26.880000000000003</v>
          </cell>
          <cell r="AC635">
            <v>0</v>
          </cell>
          <cell r="AD635">
            <v>0</v>
          </cell>
        </row>
        <row r="636">
          <cell r="B636" t="str">
            <v>Est</v>
          </cell>
          <cell r="C636">
            <v>1</v>
          </cell>
          <cell r="D636">
            <v>1</v>
          </cell>
          <cell r="E636">
            <v>0.2</v>
          </cell>
          <cell r="F636">
            <v>0.2</v>
          </cell>
          <cell r="G636">
            <v>2.65</v>
          </cell>
          <cell r="Q636" t="str">
            <v>3/8"</v>
          </cell>
          <cell r="R636">
            <v>14</v>
          </cell>
          <cell r="S636">
            <v>0.8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6.2720000000000011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</row>
        <row r="637"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</row>
        <row r="638">
          <cell r="B638" t="str">
            <v>B1-PL-02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</row>
        <row r="639">
          <cell r="B639" t="str">
            <v>Acero Vert</v>
          </cell>
          <cell r="C639">
            <v>1</v>
          </cell>
          <cell r="D639">
            <v>1</v>
          </cell>
          <cell r="E639">
            <v>8.64</v>
          </cell>
          <cell r="F639">
            <v>0.2</v>
          </cell>
          <cell r="G639">
            <v>2.65</v>
          </cell>
          <cell r="H639">
            <v>210</v>
          </cell>
          <cell r="I639">
            <v>4.5792000000000002</v>
          </cell>
          <cell r="J639">
            <v>0</v>
          </cell>
          <cell r="K639">
            <v>0</v>
          </cell>
          <cell r="L639">
            <v>4.5792000000000002</v>
          </cell>
          <cell r="M639">
            <v>17.68</v>
          </cell>
          <cell r="N639">
            <v>2.4499999999999997</v>
          </cell>
          <cell r="O639">
            <v>43.315999999999995</v>
          </cell>
          <cell r="P639" t="str">
            <v>V</v>
          </cell>
          <cell r="Q639" t="str">
            <v>3/8"</v>
          </cell>
          <cell r="R639">
            <v>56</v>
          </cell>
          <cell r="S639">
            <v>3.15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114.46400000000001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</row>
        <row r="640">
          <cell r="B640" t="str">
            <v>Acero Hor</v>
          </cell>
          <cell r="C640">
            <v>1</v>
          </cell>
          <cell r="D640">
            <v>1</v>
          </cell>
          <cell r="G640">
            <v>2.65</v>
          </cell>
          <cell r="P640" t="str">
            <v>H</v>
          </cell>
          <cell r="Q640" t="str">
            <v>3/8"</v>
          </cell>
          <cell r="R640">
            <v>20</v>
          </cell>
          <cell r="S640">
            <v>9.14</v>
          </cell>
          <cell r="T640">
            <v>1</v>
          </cell>
          <cell r="U640">
            <v>0</v>
          </cell>
          <cell r="V640">
            <v>0</v>
          </cell>
          <cell r="W640">
            <v>0</v>
          </cell>
          <cell r="X640">
            <v>106.84800000000001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</row>
        <row r="641">
          <cell r="B641" t="str">
            <v>Nucleo A</v>
          </cell>
          <cell r="C641">
            <v>1</v>
          </cell>
          <cell r="D641">
            <v>1</v>
          </cell>
          <cell r="E641">
            <v>0.25</v>
          </cell>
          <cell r="F641">
            <v>0.2</v>
          </cell>
          <cell r="G641">
            <v>2.65</v>
          </cell>
          <cell r="P641" t="str">
            <v>V</v>
          </cell>
          <cell r="Q641" t="str">
            <v>1"</v>
          </cell>
          <cell r="R641">
            <v>2</v>
          </cell>
          <cell r="S641">
            <v>2.65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25.408000000000001</v>
          </cell>
          <cell r="AD641">
            <v>0</v>
          </cell>
        </row>
        <row r="642">
          <cell r="C642">
            <v>1</v>
          </cell>
          <cell r="D642">
            <v>1</v>
          </cell>
          <cell r="F642">
            <v>0</v>
          </cell>
          <cell r="G642">
            <v>2.65</v>
          </cell>
          <cell r="P642" t="str">
            <v>V</v>
          </cell>
          <cell r="Q642" t="str">
            <v>3/4"</v>
          </cell>
          <cell r="R642">
            <v>2</v>
          </cell>
          <cell r="S642">
            <v>2.65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13.440000000000001</v>
          </cell>
          <cell r="AC642">
            <v>0</v>
          </cell>
          <cell r="AD642">
            <v>0</v>
          </cell>
        </row>
        <row r="643">
          <cell r="B643" t="str">
            <v>Est</v>
          </cell>
          <cell r="C643">
            <v>1</v>
          </cell>
          <cell r="D643">
            <v>1</v>
          </cell>
          <cell r="E643">
            <v>0.25</v>
          </cell>
          <cell r="F643">
            <v>0.2</v>
          </cell>
          <cell r="G643">
            <v>2.65</v>
          </cell>
          <cell r="Q643" t="str">
            <v>3/8"</v>
          </cell>
          <cell r="R643">
            <v>10</v>
          </cell>
          <cell r="S643">
            <v>0.9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5.0400000000000009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</row>
        <row r="644">
          <cell r="B644" t="str">
            <v>Nucleo A</v>
          </cell>
          <cell r="C644">
            <v>1</v>
          </cell>
          <cell r="D644">
            <v>1</v>
          </cell>
          <cell r="E644">
            <v>0.25</v>
          </cell>
          <cell r="F644">
            <v>0.2</v>
          </cell>
          <cell r="G644">
            <v>2.65</v>
          </cell>
          <cell r="P644" t="str">
            <v>V</v>
          </cell>
          <cell r="Q644" t="str">
            <v>1"</v>
          </cell>
          <cell r="R644">
            <v>2</v>
          </cell>
          <cell r="S644">
            <v>2.65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25.408000000000001</v>
          </cell>
          <cell r="AD644">
            <v>0</v>
          </cell>
        </row>
        <row r="645">
          <cell r="C645">
            <v>1</v>
          </cell>
          <cell r="D645">
            <v>1</v>
          </cell>
          <cell r="F645">
            <v>0.2</v>
          </cell>
          <cell r="G645">
            <v>2.65</v>
          </cell>
          <cell r="P645" t="str">
            <v>V</v>
          </cell>
          <cell r="Q645" t="str">
            <v>3/4"</v>
          </cell>
          <cell r="R645">
            <v>2</v>
          </cell>
          <cell r="S645">
            <v>2.65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13.440000000000001</v>
          </cell>
          <cell r="AC645">
            <v>0</v>
          </cell>
          <cell r="AD645">
            <v>0</v>
          </cell>
        </row>
        <row r="646">
          <cell r="B646" t="str">
            <v>Est</v>
          </cell>
          <cell r="C646">
            <v>1</v>
          </cell>
          <cell r="D646">
            <v>1</v>
          </cell>
          <cell r="E646">
            <v>0.25</v>
          </cell>
          <cell r="F646">
            <v>0.2</v>
          </cell>
          <cell r="G646">
            <v>2.65</v>
          </cell>
          <cell r="Q646" t="str">
            <v>3/8"</v>
          </cell>
          <cell r="R646">
            <v>10</v>
          </cell>
          <cell r="S646">
            <v>0.9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5.0400000000000009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</row>
        <row r="647"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</row>
        <row r="648">
          <cell r="B648" t="str">
            <v>B1-PL-03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</row>
        <row r="649">
          <cell r="B649" t="str">
            <v>Acero Vert</v>
          </cell>
          <cell r="C649">
            <v>1</v>
          </cell>
          <cell r="D649">
            <v>1</v>
          </cell>
          <cell r="E649">
            <v>9</v>
          </cell>
          <cell r="F649">
            <v>0.2</v>
          </cell>
          <cell r="G649">
            <v>2.65</v>
          </cell>
          <cell r="H649">
            <v>210</v>
          </cell>
          <cell r="I649">
            <v>4.7699999999999996</v>
          </cell>
          <cell r="J649">
            <v>0</v>
          </cell>
          <cell r="K649">
            <v>0</v>
          </cell>
          <cell r="L649">
            <v>4.7699999999999996</v>
          </cell>
          <cell r="M649">
            <v>18.399999999999999</v>
          </cell>
          <cell r="N649">
            <v>2.4499999999999997</v>
          </cell>
          <cell r="O649">
            <v>45.079999999999991</v>
          </cell>
          <cell r="P649" t="str">
            <v>V</v>
          </cell>
          <cell r="Q649" t="str">
            <v>3/8"</v>
          </cell>
          <cell r="R649">
            <v>68</v>
          </cell>
          <cell r="S649">
            <v>3.15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138.99200000000002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</row>
        <row r="650">
          <cell r="B650" t="str">
            <v>Acero Hor</v>
          </cell>
          <cell r="C650">
            <v>1</v>
          </cell>
          <cell r="D650">
            <v>1</v>
          </cell>
          <cell r="E650">
            <v>0.3</v>
          </cell>
          <cell r="F650">
            <v>0.4</v>
          </cell>
          <cell r="G650">
            <v>2.65</v>
          </cell>
          <cell r="H650">
            <v>210</v>
          </cell>
          <cell r="I650">
            <v>0.318</v>
          </cell>
          <cell r="J650">
            <v>0</v>
          </cell>
          <cell r="K650">
            <v>0</v>
          </cell>
          <cell r="L650">
            <v>0.318</v>
          </cell>
          <cell r="M650">
            <v>1.4</v>
          </cell>
          <cell r="N650">
            <v>2.4499999999999997</v>
          </cell>
          <cell r="O650">
            <v>3.4299999999999993</v>
          </cell>
          <cell r="P650" t="str">
            <v>H</v>
          </cell>
          <cell r="Q650" t="str">
            <v>3/8"</v>
          </cell>
          <cell r="R650">
            <v>24</v>
          </cell>
          <cell r="S650">
            <v>9.3000000000000007</v>
          </cell>
          <cell r="T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130.36800000000002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</row>
        <row r="651">
          <cell r="B651" t="str">
            <v>Nucleo A</v>
          </cell>
          <cell r="C651">
            <v>1</v>
          </cell>
          <cell r="D651">
            <v>1</v>
          </cell>
          <cell r="E651">
            <v>0.4</v>
          </cell>
          <cell r="F651">
            <v>0.5</v>
          </cell>
          <cell r="G651">
            <v>2.65</v>
          </cell>
          <cell r="P651" t="str">
            <v>V</v>
          </cell>
          <cell r="Q651" t="str">
            <v>1"</v>
          </cell>
          <cell r="R651">
            <v>8</v>
          </cell>
          <cell r="S651">
            <v>2.65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101.63200000000001</v>
          </cell>
          <cell r="AD651">
            <v>0</v>
          </cell>
        </row>
        <row r="652">
          <cell r="B652" t="str">
            <v>Nucleo A</v>
          </cell>
          <cell r="C652">
            <v>1</v>
          </cell>
          <cell r="D652">
            <v>1</v>
          </cell>
          <cell r="G652">
            <v>2.65</v>
          </cell>
          <cell r="P652" t="str">
            <v>V</v>
          </cell>
          <cell r="Q652" t="str">
            <v>3/4"</v>
          </cell>
          <cell r="R652">
            <v>4</v>
          </cell>
          <cell r="S652">
            <v>2.65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26.880000000000003</v>
          </cell>
          <cell r="AC652">
            <v>0</v>
          </cell>
          <cell r="AD652">
            <v>0</v>
          </cell>
        </row>
        <row r="653">
          <cell r="B653" t="str">
            <v>Est</v>
          </cell>
          <cell r="C653">
            <v>1</v>
          </cell>
          <cell r="D653">
            <v>1</v>
          </cell>
          <cell r="E653">
            <v>0.4</v>
          </cell>
          <cell r="F653">
            <v>0.5</v>
          </cell>
          <cell r="G653">
            <v>2.65</v>
          </cell>
          <cell r="Q653" t="str">
            <v>3/8"</v>
          </cell>
          <cell r="R653">
            <v>11</v>
          </cell>
          <cell r="S653">
            <v>1.8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11.088000000000001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</row>
        <row r="654">
          <cell r="B654" t="str">
            <v>Est</v>
          </cell>
          <cell r="C654">
            <v>1</v>
          </cell>
          <cell r="D654">
            <v>1</v>
          </cell>
          <cell r="E654">
            <v>0.25</v>
          </cell>
          <cell r="F654">
            <v>0.5</v>
          </cell>
          <cell r="G654">
            <v>2.65</v>
          </cell>
          <cell r="Q654" t="str">
            <v>3/8"</v>
          </cell>
          <cell r="R654">
            <v>11</v>
          </cell>
          <cell r="S654">
            <v>1.5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9.24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</row>
        <row r="655">
          <cell r="B655" t="str">
            <v>Est</v>
          </cell>
          <cell r="C655">
            <v>1</v>
          </cell>
          <cell r="D655">
            <v>1</v>
          </cell>
          <cell r="E655">
            <v>0.4</v>
          </cell>
          <cell r="F655">
            <v>0.1</v>
          </cell>
          <cell r="G655">
            <v>2.65</v>
          </cell>
          <cell r="Q655" t="str">
            <v>3/8"</v>
          </cell>
          <cell r="R655">
            <v>11</v>
          </cell>
          <cell r="S655">
            <v>0.5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3.08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</row>
        <row r="656">
          <cell r="B656" t="str">
            <v>Nucleo A</v>
          </cell>
          <cell r="C656">
            <v>1</v>
          </cell>
          <cell r="D656">
            <v>1</v>
          </cell>
          <cell r="E656">
            <v>0.25</v>
          </cell>
          <cell r="F656">
            <v>0.2</v>
          </cell>
          <cell r="G656">
            <v>2.65</v>
          </cell>
          <cell r="P656" t="str">
            <v>V</v>
          </cell>
          <cell r="Q656" t="str">
            <v>1"</v>
          </cell>
          <cell r="R656">
            <v>4</v>
          </cell>
          <cell r="S656">
            <v>2.65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50.816000000000003</v>
          </cell>
          <cell r="AD656">
            <v>0</v>
          </cell>
        </row>
        <row r="657">
          <cell r="B657" t="str">
            <v>Est</v>
          </cell>
          <cell r="C657">
            <v>1</v>
          </cell>
          <cell r="D657">
            <v>1</v>
          </cell>
          <cell r="E657">
            <v>0.25</v>
          </cell>
          <cell r="F657">
            <v>0.2</v>
          </cell>
          <cell r="G657">
            <v>2.65</v>
          </cell>
          <cell r="Q657" t="str">
            <v>3/8"</v>
          </cell>
          <cell r="R657">
            <v>11</v>
          </cell>
          <cell r="S657">
            <v>0.9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5.5440000000000005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</row>
        <row r="658"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</row>
        <row r="659">
          <cell r="B659" t="str">
            <v>B1-PL-04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</row>
        <row r="660">
          <cell r="B660" t="str">
            <v>Acero Vert</v>
          </cell>
          <cell r="C660">
            <v>2</v>
          </cell>
          <cell r="D660">
            <v>1</v>
          </cell>
          <cell r="E660">
            <v>2.2999999999999998</v>
          </cell>
          <cell r="F660">
            <v>0.25</v>
          </cell>
          <cell r="G660">
            <v>2.65</v>
          </cell>
          <cell r="H660">
            <v>210</v>
          </cell>
          <cell r="I660">
            <v>3.0474999999999999</v>
          </cell>
          <cell r="J660">
            <v>0</v>
          </cell>
          <cell r="K660">
            <v>0</v>
          </cell>
          <cell r="L660">
            <v>3.0474999999999999</v>
          </cell>
          <cell r="M660">
            <v>5.0999999999999996</v>
          </cell>
          <cell r="N660">
            <v>2.4499999999999997</v>
          </cell>
          <cell r="O660">
            <v>24.989999999999995</v>
          </cell>
          <cell r="P660" t="str">
            <v>V</v>
          </cell>
          <cell r="Q660" t="str">
            <v>3/8"</v>
          </cell>
          <cell r="R660">
            <v>18</v>
          </cell>
          <cell r="S660">
            <v>3.15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73.583999999999989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</row>
        <row r="661">
          <cell r="B661" t="str">
            <v>Acero Hor</v>
          </cell>
          <cell r="C661">
            <v>2</v>
          </cell>
          <cell r="D661">
            <v>1</v>
          </cell>
          <cell r="E661">
            <v>0.25</v>
          </cell>
          <cell r="F661">
            <v>0.4</v>
          </cell>
          <cell r="G661">
            <v>2.65</v>
          </cell>
          <cell r="H661">
            <v>210</v>
          </cell>
          <cell r="I661">
            <v>0.53</v>
          </cell>
          <cell r="J661">
            <v>0</v>
          </cell>
          <cell r="K661">
            <v>0</v>
          </cell>
          <cell r="L661">
            <v>0.53</v>
          </cell>
          <cell r="M661">
            <v>1.3</v>
          </cell>
          <cell r="N661">
            <v>2.4499999999999997</v>
          </cell>
          <cell r="O661">
            <v>6.3699999999999992</v>
          </cell>
          <cell r="P661" t="str">
            <v>H</v>
          </cell>
          <cell r="Q661" t="str">
            <v>3/8"</v>
          </cell>
          <cell r="R661">
            <v>28</v>
          </cell>
          <cell r="S661">
            <v>2.5999999999999996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81.535999999999987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</row>
        <row r="662">
          <cell r="B662" t="str">
            <v>Nucleo A</v>
          </cell>
          <cell r="C662">
            <v>2</v>
          </cell>
          <cell r="D662">
            <v>1</v>
          </cell>
          <cell r="E662">
            <v>0.4</v>
          </cell>
          <cell r="F662">
            <v>0.45</v>
          </cell>
          <cell r="G662">
            <v>2.65</v>
          </cell>
          <cell r="P662" t="str">
            <v>V</v>
          </cell>
          <cell r="Q662" t="str">
            <v>3/4"</v>
          </cell>
          <cell r="R662">
            <v>4</v>
          </cell>
          <cell r="S662">
            <v>2.65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53.760000000000005</v>
          </cell>
          <cell r="AC662">
            <v>0</v>
          </cell>
          <cell r="AD662">
            <v>0</v>
          </cell>
        </row>
        <row r="663">
          <cell r="B663" t="str">
            <v>Nucleo A</v>
          </cell>
          <cell r="C663">
            <v>2</v>
          </cell>
          <cell r="D663">
            <v>1</v>
          </cell>
          <cell r="G663">
            <v>2.65</v>
          </cell>
          <cell r="P663" t="str">
            <v>V</v>
          </cell>
          <cell r="Q663" t="str">
            <v>3/4"</v>
          </cell>
          <cell r="R663">
            <v>8</v>
          </cell>
          <cell r="S663">
            <v>2.65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107.52000000000001</v>
          </cell>
          <cell r="AC663">
            <v>0</v>
          </cell>
          <cell r="AD663">
            <v>0</v>
          </cell>
        </row>
        <row r="664">
          <cell r="B664" t="str">
            <v>Est</v>
          </cell>
          <cell r="C664">
            <v>2</v>
          </cell>
          <cell r="D664">
            <v>1</v>
          </cell>
          <cell r="E664">
            <v>0.4</v>
          </cell>
          <cell r="F664">
            <v>0.45</v>
          </cell>
          <cell r="G664">
            <v>2.65</v>
          </cell>
          <cell r="Q664" t="str">
            <v>3/8"</v>
          </cell>
          <cell r="R664">
            <v>14</v>
          </cell>
          <cell r="S664">
            <v>1.7000000000000002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26.656000000000006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</row>
        <row r="665">
          <cell r="B665" t="str">
            <v>Est</v>
          </cell>
          <cell r="C665">
            <v>2</v>
          </cell>
          <cell r="D665">
            <v>1</v>
          </cell>
          <cell r="E665">
            <v>0.25</v>
          </cell>
          <cell r="F665">
            <v>0.45</v>
          </cell>
          <cell r="G665">
            <v>2.65</v>
          </cell>
          <cell r="Q665" t="str">
            <v>3/8"</v>
          </cell>
          <cell r="R665">
            <v>14</v>
          </cell>
          <cell r="S665">
            <v>1.4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21.951999999999998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</row>
        <row r="666">
          <cell r="B666" t="str">
            <v>Est</v>
          </cell>
          <cell r="C666">
            <v>2</v>
          </cell>
          <cell r="D666">
            <v>1</v>
          </cell>
          <cell r="E666">
            <v>0.4</v>
          </cell>
          <cell r="F666">
            <v>0.1</v>
          </cell>
          <cell r="G666">
            <v>2.65</v>
          </cell>
          <cell r="Q666" t="str">
            <v>3/8"</v>
          </cell>
          <cell r="R666">
            <v>14</v>
          </cell>
          <cell r="S666">
            <v>0.5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7.8400000000000007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</row>
        <row r="667">
          <cell r="B667" t="str">
            <v>Nucleo A</v>
          </cell>
          <cell r="C667">
            <v>2</v>
          </cell>
          <cell r="D667">
            <v>1</v>
          </cell>
          <cell r="E667">
            <v>0.25</v>
          </cell>
          <cell r="F667">
            <v>0.25</v>
          </cell>
          <cell r="G667">
            <v>2.65</v>
          </cell>
          <cell r="P667" t="str">
            <v>V</v>
          </cell>
          <cell r="Q667" t="str">
            <v>3/4"</v>
          </cell>
          <cell r="R667">
            <v>2</v>
          </cell>
          <cell r="S667">
            <v>2.65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26.880000000000003</v>
          </cell>
          <cell r="AC667">
            <v>0</v>
          </cell>
          <cell r="AD667">
            <v>0</v>
          </cell>
        </row>
        <row r="668">
          <cell r="B668" t="str">
            <v>Nucleo A</v>
          </cell>
          <cell r="C668">
            <v>2</v>
          </cell>
          <cell r="D668">
            <v>1</v>
          </cell>
          <cell r="G668">
            <v>2.65</v>
          </cell>
          <cell r="P668" t="str">
            <v>V</v>
          </cell>
          <cell r="Q668" t="str">
            <v>3/4"</v>
          </cell>
          <cell r="R668">
            <v>2</v>
          </cell>
          <cell r="S668">
            <v>2.65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26.880000000000003</v>
          </cell>
          <cell r="AC668">
            <v>0</v>
          </cell>
          <cell r="AD668">
            <v>0</v>
          </cell>
        </row>
        <row r="669">
          <cell r="B669" t="str">
            <v>Est</v>
          </cell>
          <cell r="C669">
            <v>2</v>
          </cell>
          <cell r="D669">
            <v>1</v>
          </cell>
          <cell r="E669">
            <v>0.25</v>
          </cell>
          <cell r="F669">
            <v>0.25</v>
          </cell>
          <cell r="G669">
            <v>2.65</v>
          </cell>
          <cell r="Q669" t="str">
            <v>3/8"</v>
          </cell>
          <cell r="R669">
            <v>14</v>
          </cell>
          <cell r="S669">
            <v>1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15.680000000000001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</row>
        <row r="670">
          <cell r="C670">
            <v>1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</row>
        <row r="671">
          <cell r="B671" t="str">
            <v>B1-PL-05</v>
          </cell>
          <cell r="C671">
            <v>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</row>
        <row r="672">
          <cell r="B672" t="str">
            <v>Acero Vert</v>
          </cell>
          <cell r="C672">
            <v>1</v>
          </cell>
          <cell r="D672">
            <v>1</v>
          </cell>
          <cell r="E672">
            <v>2.2999999999999998</v>
          </cell>
          <cell r="F672">
            <v>0.25</v>
          </cell>
          <cell r="G672">
            <v>2.65</v>
          </cell>
          <cell r="H672">
            <v>210</v>
          </cell>
          <cell r="I672">
            <v>1.5237499999999999</v>
          </cell>
          <cell r="J672">
            <v>0</v>
          </cell>
          <cell r="K672">
            <v>0</v>
          </cell>
          <cell r="L672">
            <v>1.5237499999999999</v>
          </cell>
          <cell r="M672">
            <v>5.0999999999999996</v>
          </cell>
          <cell r="N672">
            <v>2.4499999999999997</v>
          </cell>
          <cell r="O672">
            <v>12.494999999999997</v>
          </cell>
          <cell r="P672" t="str">
            <v>V</v>
          </cell>
          <cell r="Q672" t="str">
            <v>3/8"</v>
          </cell>
          <cell r="R672">
            <v>20</v>
          </cell>
          <cell r="S672">
            <v>3.15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40.880000000000003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</row>
        <row r="673">
          <cell r="B673" t="str">
            <v>Acero Hor</v>
          </cell>
          <cell r="C673">
            <v>1</v>
          </cell>
          <cell r="D673">
            <v>1</v>
          </cell>
          <cell r="G673">
            <v>2.65</v>
          </cell>
          <cell r="P673" t="str">
            <v>H</v>
          </cell>
          <cell r="Q673" t="str">
            <v>3/8"</v>
          </cell>
          <cell r="R673">
            <v>28</v>
          </cell>
          <cell r="S673">
            <v>2.5999999999999996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40.767999999999994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</row>
        <row r="674">
          <cell r="B674" t="str">
            <v>Nucleo A</v>
          </cell>
          <cell r="C674">
            <v>1</v>
          </cell>
          <cell r="D674">
            <v>1</v>
          </cell>
          <cell r="E674">
            <v>0.25</v>
          </cell>
          <cell r="F674">
            <v>0.25</v>
          </cell>
          <cell r="G674">
            <v>2.65</v>
          </cell>
          <cell r="P674" t="str">
            <v>V</v>
          </cell>
          <cell r="Q674" t="str">
            <v>1"</v>
          </cell>
          <cell r="R674">
            <v>2</v>
          </cell>
          <cell r="S674">
            <v>2.65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25.408000000000001</v>
          </cell>
          <cell r="AD674">
            <v>0</v>
          </cell>
        </row>
        <row r="675">
          <cell r="B675" t="str">
            <v>Nucleo A</v>
          </cell>
          <cell r="C675">
            <v>1</v>
          </cell>
          <cell r="D675">
            <v>1</v>
          </cell>
          <cell r="G675">
            <v>2.65</v>
          </cell>
          <cell r="P675" t="str">
            <v>V</v>
          </cell>
          <cell r="Q675" t="str">
            <v>3/4"</v>
          </cell>
          <cell r="R675">
            <v>2</v>
          </cell>
          <cell r="S675">
            <v>2.65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13.440000000000001</v>
          </cell>
          <cell r="AC675">
            <v>0</v>
          </cell>
          <cell r="AD675">
            <v>0</v>
          </cell>
        </row>
        <row r="676">
          <cell r="B676" t="str">
            <v>Est</v>
          </cell>
          <cell r="C676">
            <v>1</v>
          </cell>
          <cell r="D676">
            <v>1</v>
          </cell>
          <cell r="E676">
            <v>0.25</v>
          </cell>
          <cell r="F676">
            <v>0.25</v>
          </cell>
          <cell r="G676">
            <v>2.65</v>
          </cell>
          <cell r="Q676" t="str">
            <v>3/8"</v>
          </cell>
          <cell r="R676">
            <v>14</v>
          </cell>
          <cell r="S676">
            <v>1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7.8400000000000007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</row>
        <row r="677">
          <cell r="B677" t="str">
            <v>Nucleo A</v>
          </cell>
          <cell r="C677">
            <v>1</v>
          </cell>
          <cell r="D677">
            <v>1</v>
          </cell>
          <cell r="E677">
            <v>0.25</v>
          </cell>
          <cell r="F677">
            <v>0.25</v>
          </cell>
          <cell r="G677">
            <v>2.65</v>
          </cell>
          <cell r="P677" t="str">
            <v>V</v>
          </cell>
          <cell r="Q677" t="str">
            <v>1"</v>
          </cell>
          <cell r="R677">
            <v>2</v>
          </cell>
          <cell r="S677">
            <v>2.65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25.408000000000001</v>
          </cell>
          <cell r="AD677">
            <v>0</v>
          </cell>
        </row>
        <row r="678">
          <cell r="B678" t="str">
            <v>Nucleo A</v>
          </cell>
          <cell r="C678">
            <v>1</v>
          </cell>
          <cell r="D678">
            <v>1</v>
          </cell>
          <cell r="G678">
            <v>2.65</v>
          </cell>
          <cell r="P678" t="str">
            <v>V</v>
          </cell>
          <cell r="Q678" t="str">
            <v>3/4"</v>
          </cell>
          <cell r="R678">
            <v>2</v>
          </cell>
          <cell r="S678">
            <v>2.65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13.440000000000001</v>
          </cell>
          <cell r="AC678">
            <v>0</v>
          </cell>
          <cell r="AD678">
            <v>0</v>
          </cell>
        </row>
        <row r="679">
          <cell r="B679" t="str">
            <v>Est</v>
          </cell>
          <cell r="C679">
            <v>1</v>
          </cell>
          <cell r="D679">
            <v>1</v>
          </cell>
          <cell r="E679">
            <v>0.25</v>
          </cell>
          <cell r="F679">
            <v>0.25</v>
          </cell>
          <cell r="G679">
            <v>2.65</v>
          </cell>
          <cell r="Q679" t="str">
            <v>3/8"</v>
          </cell>
          <cell r="R679">
            <v>14</v>
          </cell>
          <cell r="S679">
            <v>1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7.8400000000000007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</row>
        <row r="680"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</row>
        <row r="681">
          <cell r="B681" t="str">
            <v>B1-PL-06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</row>
        <row r="682">
          <cell r="B682" t="str">
            <v>Acero Vert</v>
          </cell>
          <cell r="C682">
            <v>1</v>
          </cell>
          <cell r="D682">
            <v>1</v>
          </cell>
          <cell r="E682">
            <v>4</v>
          </cell>
          <cell r="F682">
            <v>0.15</v>
          </cell>
          <cell r="G682">
            <v>2.65</v>
          </cell>
          <cell r="H682">
            <v>210</v>
          </cell>
          <cell r="I682">
            <v>1.5899999999999999</v>
          </cell>
          <cell r="J682">
            <v>0</v>
          </cell>
          <cell r="K682">
            <v>0</v>
          </cell>
          <cell r="L682">
            <v>1.5899999999999999</v>
          </cell>
          <cell r="M682">
            <v>8.3000000000000007</v>
          </cell>
          <cell r="N682">
            <v>2.4499999999999997</v>
          </cell>
          <cell r="O682">
            <v>20.335000000000001</v>
          </cell>
          <cell r="P682" t="str">
            <v>V</v>
          </cell>
          <cell r="Q682" t="str">
            <v>3/8"</v>
          </cell>
          <cell r="R682">
            <v>24</v>
          </cell>
          <cell r="S682">
            <v>3.15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49.056000000000004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</row>
        <row r="683">
          <cell r="B683" t="str">
            <v>Acero Hor</v>
          </cell>
          <cell r="C683">
            <v>1</v>
          </cell>
          <cell r="D683">
            <v>1</v>
          </cell>
          <cell r="G683">
            <v>4.16</v>
          </cell>
          <cell r="P683" t="str">
            <v>H</v>
          </cell>
          <cell r="Q683" t="str">
            <v>3/8"</v>
          </cell>
          <cell r="R683">
            <v>20</v>
          </cell>
          <cell r="S683">
            <v>4.3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48.160000000000004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</row>
        <row r="684">
          <cell r="B684" t="str">
            <v>Nucleo A</v>
          </cell>
          <cell r="C684">
            <v>1</v>
          </cell>
          <cell r="D684">
            <v>1</v>
          </cell>
          <cell r="E684">
            <v>0.4</v>
          </cell>
          <cell r="F684">
            <v>0.15</v>
          </cell>
          <cell r="G684">
            <v>2.65</v>
          </cell>
          <cell r="P684" t="str">
            <v>V</v>
          </cell>
          <cell r="Q684" t="str">
            <v>5/8"</v>
          </cell>
          <cell r="R684">
            <v>4</v>
          </cell>
          <cell r="S684">
            <v>2.65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18.29</v>
          </cell>
          <cell r="AB684">
            <v>0</v>
          </cell>
          <cell r="AC684">
            <v>0</v>
          </cell>
          <cell r="AD684">
            <v>0</v>
          </cell>
        </row>
        <row r="685">
          <cell r="B685" t="str">
            <v>Est</v>
          </cell>
          <cell r="C685">
            <v>1</v>
          </cell>
          <cell r="D685">
            <v>1</v>
          </cell>
          <cell r="E685">
            <v>0.4</v>
          </cell>
          <cell r="F685">
            <v>0.15</v>
          </cell>
          <cell r="G685">
            <v>2.65</v>
          </cell>
          <cell r="Q685" t="str">
            <v>3/8"</v>
          </cell>
          <cell r="R685">
            <v>14</v>
          </cell>
          <cell r="S685">
            <v>1.1000000000000001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8.6240000000000023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</row>
        <row r="686">
          <cell r="B686" t="str">
            <v>Nucleo A</v>
          </cell>
          <cell r="C686">
            <v>1</v>
          </cell>
          <cell r="D686">
            <v>1</v>
          </cell>
          <cell r="E686">
            <v>0.2</v>
          </cell>
          <cell r="F686">
            <v>0.15</v>
          </cell>
          <cell r="G686">
            <v>2.65</v>
          </cell>
          <cell r="P686" t="str">
            <v>V</v>
          </cell>
          <cell r="Q686" t="str">
            <v>5/8"</v>
          </cell>
          <cell r="R686">
            <v>4</v>
          </cell>
          <cell r="S686">
            <v>2.65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18.29</v>
          </cell>
          <cell r="AB686">
            <v>0</v>
          </cell>
          <cell r="AC686">
            <v>0</v>
          </cell>
          <cell r="AD686">
            <v>0</v>
          </cell>
        </row>
        <row r="687">
          <cell r="B687" t="str">
            <v>Est</v>
          </cell>
          <cell r="C687">
            <v>1</v>
          </cell>
          <cell r="D687">
            <v>1</v>
          </cell>
          <cell r="E687">
            <v>0.2</v>
          </cell>
          <cell r="F687">
            <v>0.15</v>
          </cell>
          <cell r="G687">
            <v>2.65</v>
          </cell>
          <cell r="Q687" t="str">
            <v>3/8"</v>
          </cell>
          <cell r="R687">
            <v>14</v>
          </cell>
          <cell r="S687">
            <v>0.7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5.4879999999999995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</row>
        <row r="688">
          <cell r="B688" t="str">
            <v>Nucleo B</v>
          </cell>
          <cell r="C688">
            <v>1</v>
          </cell>
          <cell r="D688">
            <v>1</v>
          </cell>
          <cell r="E688">
            <v>1.76</v>
          </cell>
          <cell r="F688">
            <v>0.25</v>
          </cell>
          <cell r="G688">
            <v>2.65</v>
          </cell>
          <cell r="H688">
            <v>210</v>
          </cell>
          <cell r="I688">
            <v>1.1659999999999999</v>
          </cell>
          <cell r="J688">
            <v>0</v>
          </cell>
          <cell r="K688">
            <v>0</v>
          </cell>
          <cell r="L688">
            <v>1.1659999999999999</v>
          </cell>
          <cell r="M688">
            <v>4.0199999999999996</v>
          </cell>
          <cell r="N688">
            <v>2.4499999999999997</v>
          </cell>
          <cell r="O688">
            <v>9.8489999999999984</v>
          </cell>
          <cell r="P688" t="str">
            <v>V</v>
          </cell>
          <cell r="Q688" t="str">
            <v>3/4"</v>
          </cell>
          <cell r="R688">
            <v>12</v>
          </cell>
          <cell r="S688">
            <v>2.65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80.640000000000015</v>
          </cell>
          <cell r="AC688">
            <v>0</v>
          </cell>
          <cell r="AD688">
            <v>0</v>
          </cell>
        </row>
        <row r="689">
          <cell r="B689" t="str">
            <v>Nucleo A</v>
          </cell>
          <cell r="C689">
            <v>1</v>
          </cell>
          <cell r="D689">
            <v>1</v>
          </cell>
          <cell r="G689">
            <v>2.65</v>
          </cell>
          <cell r="P689" t="str">
            <v>V</v>
          </cell>
          <cell r="Q689" t="str">
            <v>5/8"</v>
          </cell>
          <cell r="R689">
            <v>10</v>
          </cell>
          <cell r="S689">
            <v>2.65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45.725000000000001</v>
          </cell>
          <cell r="AB689">
            <v>0</v>
          </cell>
          <cell r="AC689">
            <v>0</v>
          </cell>
          <cell r="AD689">
            <v>0</v>
          </cell>
        </row>
        <row r="690">
          <cell r="B690" t="str">
            <v>Est</v>
          </cell>
          <cell r="C690">
            <v>1</v>
          </cell>
          <cell r="D690">
            <v>1</v>
          </cell>
          <cell r="E690">
            <v>1.1000000000000001</v>
          </cell>
          <cell r="F690">
            <v>0.25</v>
          </cell>
          <cell r="G690">
            <v>2.65</v>
          </cell>
          <cell r="P690" t="str">
            <v>V</v>
          </cell>
          <cell r="Q690" t="str">
            <v>3/8"</v>
          </cell>
          <cell r="R690">
            <v>25</v>
          </cell>
          <cell r="S690">
            <v>2.7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44.800000000000004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</row>
        <row r="691">
          <cell r="B691" t="str">
            <v>Est</v>
          </cell>
          <cell r="C691">
            <v>1</v>
          </cell>
          <cell r="D691">
            <v>1</v>
          </cell>
          <cell r="E691">
            <v>1.1000000000000001</v>
          </cell>
          <cell r="F691">
            <v>0.25</v>
          </cell>
          <cell r="G691">
            <v>2.65</v>
          </cell>
          <cell r="Q691" t="str">
            <v>3/8"</v>
          </cell>
          <cell r="R691">
            <v>25</v>
          </cell>
          <cell r="S691">
            <v>2.7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37.800000000000004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</row>
        <row r="692">
          <cell r="B692" t="str">
            <v>Est</v>
          </cell>
          <cell r="C692">
            <v>1</v>
          </cell>
          <cell r="D692">
            <v>1</v>
          </cell>
          <cell r="E692">
            <v>1.1000000000000001</v>
          </cell>
          <cell r="F692">
            <v>0.25</v>
          </cell>
          <cell r="G692">
            <v>2.65</v>
          </cell>
          <cell r="Q692" t="str">
            <v>3/8"</v>
          </cell>
          <cell r="R692">
            <v>25</v>
          </cell>
          <cell r="S692">
            <v>2.7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37.800000000000004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</row>
        <row r="693">
          <cell r="B693" t="str">
            <v>Est</v>
          </cell>
          <cell r="C693">
            <v>1</v>
          </cell>
          <cell r="D693">
            <v>5</v>
          </cell>
          <cell r="E693">
            <v>0.15</v>
          </cell>
          <cell r="F693">
            <v>0.25</v>
          </cell>
          <cell r="G693">
            <v>2.65</v>
          </cell>
          <cell r="Q693" t="str">
            <v>3/8"</v>
          </cell>
          <cell r="R693">
            <v>25</v>
          </cell>
          <cell r="S693">
            <v>0.55000000000000004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38.500000000000007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</row>
        <row r="694">
          <cell r="B694" t="str">
            <v>Acero Vert</v>
          </cell>
          <cell r="C694">
            <v>1</v>
          </cell>
          <cell r="D694">
            <v>1</v>
          </cell>
          <cell r="E694">
            <v>5</v>
          </cell>
          <cell r="F694">
            <v>0.4</v>
          </cell>
          <cell r="G694">
            <v>2.65</v>
          </cell>
          <cell r="H694">
            <v>210</v>
          </cell>
          <cell r="I694">
            <v>5.3</v>
          </cell>
          <cell r="J694">
            <v>0</v>
          </cell>
          <cell r="K694">
            <v>0</v>
          </cell>
          <cell r="L694">
            <v>5.3</v>
          </cell>
          <cell r="M694">
            <v>10.8</v>
          </cell>
          <cell r="N694">
            <v>2.4499999999999997</v>
          </cell>
          <cell r="O694">
            <v>26.459999999999997</v>
          </cell>
          <cell r="P694" t="str">
            <v>V</v>
          </cell>
          <cell r="Q694" t="str">
            <v>1/2"</v>
          </cell>
          <cell r="R694">
            <v>42</v>
          </cell>
          <cell r="S694">
            <v>3.15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141.37199999999999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</row>
        <row r="695">
          <cell r="B695" t="str">
            <v>Acero Hor</v>
          </cell>
          <cell r="C695">
            <v>1</v>
          </cell>
          <cell r="D695">
            <v>1</v>
          </cell>
          <cell r="G695">
            <v>2.65</v>
          </cell>
          <cell r="P695" t="str">
            <v>H</v>
          </cell>
          <cell r="Q695" t="str">
            <v>1/2"</v>
          </cell>
          <cell r="R695">
            <v>24</v>
          </cell>
          <cell r="S695">
            <v>5.9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140.18400000000003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</row>
        <row r="696">
          <cell r="B696" t="str">
            <v>Acero Vert</v>
          </cell>
          <cell r="C696">
            <v>1</v>
          </cell>
          <cell r="D696">
            <v>1</v>
          </cell>
          <cell r="E696">
            <v>2.3199999999999998</v>
          </cell>
          <cell r="F696">
            <v>0.2</v>
          </cell>
          <cell r="G696">
            <v>2.65</v>
          </cell>
          <cell r="H696">
            <v>210</v>
          </cell>
          <cell r="I696">
            <v>1.2295999999999998</v>
          </cell>
          <cell r="J696">
            <v>0</v>
          </cell>
          <cell r="K696">
            <v>0</v>
          </cell>
          <cell r="L696">
            <v>1.2295999999999998</v>
          </cell>
          <cell r="M696">
            <v>5.04</v>
          </cell>
          <cell r="N696">
            <v>2.4499999999999997</v>
          </cell>
          <cell r="O696">
            <v>12.347999999999999</v>
          </cell>
          <cell r="P696" t="str">
            <v>V</v>
          </cell>
          <cell r="Q696" t="str">
            <v>3/8"</v>
          </cell>
          <cell r="R696">
            <v>16</v>
          </cell>
          <cell r="S696">
            <v>3.15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32.704000000000001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</row>
        <row r="697">
          <cell r="B697" t="str">
            <v>Acero Hor</v>
          </cell>
          <cell r="C697">
            <v>1</v>
          </cell>
          <cell r="D697">
            <v>1</v>
          </cell>
          <cell r="G697">
            <v>2.65</v>
          </cell>
          <cell r="P697" t="str">
            <v>H</v>
          </cell>
          <cell r="Q697" t="str">
            <v>3/8"</v>
          </cell>
          <cell r="R697">
            <v>28</v>
          </cell>
          <cell r="S697">
            <v>2.6199999999999997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41.081599999999995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</row>
        <row r="698">
          <cell r="B698" t="str">
            <v>Nucleo A</v>
          </cell>
          <cell r="C698">
            <v>1</v>
          </cell>
          <cell r="D698">
            <v>2</v>
          </cell>
          <cell r="E698">
            <v>0.25</v>
          </cell>
          <cell r="F698">
            <v>0.25</v>
          </cell>
          <cell r="G698">
            <v>2.65</v>
          </cell>
          <cell r="P698" t="str">
            <v>V</v>
          </cell>
          <cell r="Q698" t="str">
            <v>3/4"</v>
          </cell>
          <cell r="R698">
            <v>2</v>
          </cell>
          <cell r="S698">
            <v>2.65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25.312000000000001</v>
          </cell>
          <cell r="AC698">
            <v>0</v>
          </cell>
          <cell r="AD698">
            <v>0</v>
          </cell>
        </row>
        <row r="699">
          <cell r="B699" t="str">
            <v>Nucleo A</v>
          </cell>
          <cell r="C699">
            <v>1</v>
          </cell>
          <cell r="D699">
            <v>2</v>
          </cell>
          <cell r="G699">
            <v>2.65</v>
          </cell>
          <cell r="P699" t="str">
            <v>V</v>
          </cell>
          <cell r="Q699" t="str">
            <v>1"</v>
          </cell>
          <cell r="R699">
            <v>2</v>
          </cell>
          <cell r="S699">
            <v>2.65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46.448999999999998</v>
          </cell>
          <cell r="AD699">
            <v>0</v>
          </cell>
        </row>
        <row r="700">
          <cell r="B700" t="str">
            <v>Est</v>
          </cell>
          <cell r="C700">
            <v>1</v>
          </cell>
          <cell r="D700">
            <v>2</v>
          </cell>
          <cell r="E700">
            <v>0.25</v>
          </cell>
          <cell r="F700">
            <v>0.25</v>
          </cell>
          <cell r="G700">
            <v>2.65</v>
          </cell>
          <cell r="Q700" t="str">
            <v>3/8"</v>
          </cell>
          <cell r="R700">
            <v>14</v>
          </cell>
          <cell r="S700">
            <v>1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15.680000000000001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</row>
        <row r="701"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</row>
        <row r="702">
          <cell r="B702" t="str">
            <v>8 PISO</v>
          </cell>
          <cell r="H702">
            <v>210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</row>
        <row r="703"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</row>
        <row r="704">
          <cell r="B704" t="str">
            <v>B1-PL-01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</row>
        <row r="705">
          <cell r="B705" t="str">
            <v>Acero Vert</v>
          </cell>
          <cell r="C705">
            <v>1</v>
          </cell>
          <cell r="D705">
            <v>1</v>
          </cell>
          <cell r="E705">
            <v>4.2300000000000004</v>
          </cell>
          <cell r="F705">
            <v>0.2</v>
          </cell>
          <cell r="G705">
            <v>2.65</v>
          </cell>
          <cell r="H705">
            <v>210</v>
          </cell>
          <cell r="I705">
            <v>2.2419000000000002</v>
          </cell>
          <cell r="J705">
            <v>0</v>
          </cell>
          <cell r="K705">
            <v>0</v>
          </cell>
          <cell r="L705">
            <v>2.2419000000000002</v>
          </cell>
          <cell r="M705">
            <v>8.8600000000000012</v>
          </cell>
          <cell r="N705">
            <v>2.4499999999999997</v>
          </cell>
          <cell r="O705">
            <v>21.707000000000001</v>
          </cell>
          <cell r="P705" t="str">
            <v>V</v>
          </cell>
          <cell r="Q705" t="str">
            <v>3/8"</v>
          </cell>
          <cell r="R705">
            <v>28</v>
          </cell>
          <cell r="S705">
            <v>3.15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57.232000000000006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</row>
        <row r="706">
          <cell r="B706" t="str">
            <v>Acero Hor</v>
          </cell>
          <cell r="C706">
            <v>1</v>
          </cell>
          <cell r="D706">
            <v>1</v>
          </cell>
          <cell r="G706">
            <v>2.65</v>
          </cell>
          <cell r="P706" t="str">
            <v>H</v>
          </cell>
          <cell r="Q706" t="str">
            <v>3/8"</v>
          </cell>
          <cell r="R706">
            <v>20</v>
          </cell>
          <cell r="S706">
            <v>4.53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50.736000000000011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</row>
        <row r="707">
          <cell r="B707" t="str">
            <v>Nucleo A</v>
          </cell>
          <cell r="C707">
            <v>1</v>
          </cell>
          <cell r="D707">
            <v>1</v>
          </cell>
          <cell r="E707">
            <v>0.25</v>
          </cell>
          <cell r="F707">
            <v>0.2</v>
          </cell>
          <cell r="G707">
            <v>2.65</v>
          </cell>
          <cell r="P707" t="str">
            <v>V</v>
          </cell>
          <cell r="Q707" t="str">
            <v>1"</v>
          </cell>
          <cell r="R707">
            <v>4</v>
          </cell>
          <cell r="S707">
            <v>2.65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50.816000000000003</v>
          </cell>
          <cell r="AD707">
            <v>0</v>
          </cell>
        </row>
        <row r="708">
          <cell r="B708" t="str">
            <v>Est</v>
          </cell>
          <cell r="C708">
            <v>1</v>
          </cell>
          <cell r="D708">
            <v>1</v>
          </cell>
          <cell r="E708">
            <v>0.25</v>
          </cell>
          <cell r="F708">
            <v>0.2</v>
          </cell>
          <cell r="G708">
            <v>2.65</v>
          </cell>
          <cell r="Q708" t="str">
            <v>3/8"</v>
          </cell>
          <cell r="R708">
            <v>10</v>
          </cell>
          <cell r="S708">
            <v>0.9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5.0400000000000009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</row>
        <row r="709">
          <cell r="B709" t="str">
            <v>Acero Vert</v>
          </cell>
          <cell r="C709">
            <v>1</v>
          </cell>
          <cell r="D709">
            <v>1</v>
          </cell>
          <cell r="E709">
            <v>5.3999999999999995</v>
          </cell>
          <cell r="F709">
            <v>0.2</v>
          </cell>
          <cell r="G709">
            <v>2.65</v>
          </cell>
          <cell r="H709">
            <v>210</v>
          </cell>
          <cell r="I709">
            <v>2.8619999999999997</v>
          </cell>
          <cell r="J709">
            <v>0</v>
          </cell>
          <cell r="K709">
            <v>0</v>
          </cell>
          <cell r="L709">
            <v>2.8619999999999997</v>
          </cell>
          <cell r="M709">
            <v>11.2</v>
          </cell>
          <cell r="N709">
            <v>2.4499999999999997</v>
          </cell>
          <cell r="O709">
            <v>27.439999999999994</v>
          </cell>
          <cell r="P709" t="str">
            <v>V</v>
          </cell>
          <cell r="Q709" t="str">
            <v>3/8"</v>
          </cell>
          <cell r="R709">
            <v>36</v>
          </cell>
          <cell r="S709">
            <v>3.15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73.583999999999989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</row>
        <row r="710">
          <cell r="B710" t="str">
            <v>Acero Hor</v>
          </cell>
          <cell r="C710">
            <v>1</v>
          </cell>
          <cell r="D710">
            <v>1</v>
          </cell>
          <cell r="G710">
            <v>2.65</v>
          </cell>
          <cell r="P710" t="str">
            <v>H</v>
          </cell>
          <cell r="Q710" t="str">
            <v>3/8"</v>
          </cell>
          <cell r="R710">
            <v>20</v>
          </cell>
          <cell r="S710">
            <v>5.8999999999999995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66.08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</row>
        <row r="711">
          <cell r="B711" t="str">
            <v>Nucleo A</v>
          </cell>
          <cell r="C711">
            <v>1</v>
          </cell>
          <cell r="D711">
            <v>1</v>
          </cell>
          <cell r="E711">
            <v>0.25</v>
          </cell>
          <cell r="F711">
            <v>0.2</v>
          </cell>
          <cell r="G711">
            <v>2.65</v>
          </cell>
          <cell r="P711" t="str">
            <v>V</v>
          </cell>
          <cell r="Q711" t="str">
            <v>1"</v>
          </cell>
          <cell r="R711">
            <v>2</v>
          </cell>
          <cell r="S711">
            <v>2.65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25.408000000000001</v>
          </cell>
          <cell r="AD711">
            <v>0</v>
          </cell>
        </row>
        <row r="712">
          <cell r="C712">
            <v>1</v>
          </cell>
          <cell r="D712">
            <v>1</v>
          </cell>
          <cell r="F712">
            <v>0</v>
          </cell>
          <cell r="G712">
            <v>2.65</v>
          </cell>
          <cell r="P712" t="str">
            <v>V</v>
          </cell>
          <cell r="Q712" t="str">
            <v>3/4"</v>
          </cell>
          <cell r="R712">
            <v>2</v>
          </cell>
          <cell r="S712">
            <v>2.65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13.440000000000001</v>
          </cell>
          <cell r="AC712">
            <v>0</v>
          </cell>
          <cell r="AD712">
            <v>0</v>
          </cell>
        </row>
        <row r="713">
          <cell r="B713" t="str">
            <v>Est</v>
          </cell>
          <cell r="C713">
            <v>1</v>
          </cell>
          <cell r="D713">
            <v>1</v>
          </cell>
          <cell r="E713">
            <v>0.25</v>
          </cell>
          <cell r="F713">
            <v>0.2</v>
          </cell>
          <cell r="G713">
            <v>2.65</v>
          </cell>
          <cell r="Q713" t="str">
            <v>3/8"</v>
          </cell>
          <cell r="R713">
            <v>10</v>
          </cell>
          <cell r="S713">
            <v>0.9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5.0400000000000009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</row>
        <row r="714">
          <cell r="B714" t="str">
            <v>Nucleo A</v>
          </cell>
          <cell r="C714">
            <v>1</v>
          </cell>
          <cell r="D714">
            <v>1</v>
          </cell>
          <cell r="E714">
            <v>0.2</v>
          </cell>
          <cell r="F714">
            <v>0.2</v>
          </cell>
          <cell r="G714">
            <v>2.65</v>
          </cell>
          <cell r="P714" t="str">
            <v>V</v>
          </cell>
          <cell r="Q714" t="str">
            <v>3/4"</v>
          </cell>
          <cell r="R714">
            <v>4</v>
          </cell>
          <cell r="S714">
            <v>2.65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26.880000000000003</v>
          </cell>
          <cell r="AC714">
            <v>0</v>
          </cell>
          <cell r="AD714">
            <v>0</v>
          </cell>
        </row>
        <row r="715">
          <cell r="B715" t="str">
            <v>Est</v>
          </cell>
          <cell r="C715">
            <v>1</v>
          </cell>
          <cell r="D715">
            <v>1</v>
          </cell>
          <cell r="E715">
            <v>0.2</v>
          </cell>
          <cell r="F715">
            <v>0.2</v>
          </cell>
          <cell r="G715">
            <v>2.65</v>
          </cell>
          <cell r="Q715" t="str">
            <v>3/8"</v>
          </cell>
          <cell r="R715">
            <v>10</v>
          </cell>
          <cell r="S715">
            <v>0.8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4.4800000000000004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</row>
        <row r="716">
          <cell r="C716">
            <v>1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</row>
        <row r="717">
          <cell r="B717" t="str">
            <v>B1-PL-02</v>
          </cell>
          <cell r="C717">
            <v>1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</row>
        <row r="718">
          <cell r="B718" t="str">
            <v>Acero Vert</v>
          </cell>
          <cell r="C718">
            <v>1</v>
          </cell>
          <cell r="D718">
            <v>1</v>
          </cell>
          <cell r="E718">
            <v>8.64</v>
          </cell>
          <cell r="F718">
            <v>0.2</v>
          </cell>
          <cell r="G718">
            <v>2.65</v>
          </cell>
          <cell r="H718">
            <v>210</v>
          </cell>
          <cell r="I718">
            <v>4.5792000000000002</v>
          </cell>
          <cell r="J718">
            <v>0</v>
          </cell>
          <cell r="K718">
            <v>0</v>
          </cell>
          <cell r="L718">
            <v>4.5792000000000002</v>
          </cell>
          <cell r="M718">
            <v>17.68</v>
          </cell>
          <cell r="N718">
            <v>2.4499999999999997</v>
          </cell>
          <cell r="O718">
            <v>43.315999999999995</v>
          </cell>
          <cell r="P718" t="str">
            <v>V</v>
          </cell>
          <cell r="Q718" t="str">
            <v>3/8"</v>
          </cell>
          <cell r="R718">
            <v>56</v>
          </cell>
          <cell r="S718">
            <v>3.15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114.46400000000001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</row>
        <row r="719">
          <cell r="B719" t="str">
            <v>Acero Hor</v>
          </cell>
          <cell r="C719">
            <v>1</v>
          </cell>
          <cell r="D719">
            <v>1</v>
          </cell>
          <cell r="G719">
            <v>2.65</v>
          </cell>
          <cell r="P719" t="str">
            <v>H</v>
          </cell>
          <cell r="Q719" t="str">
            <v>3/8"</v>
          </cell>
          <cell r="R719">
            <v>20</v>
          </cell>
          <cell r="S719">
            <v>9.14</v>
          </cell>
          <cell r="T719">
            <v>1</v>
          </cell>
          <cell r="U719">
            <v>0</v>
          </cell>
          <cell r="V719">
            <v>0</v>
          </cell>
          <cell r="W719">
            <v>0</v>
          </cell>
          <cell r="X719">
            <v>106.84800000000001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</row>
        <row r="720">
          <cell r="B720" t="str">
            <v>Nucleo A</v>
          </cell>
          <cell r="C720">
            <v>1</v>
          </cell>
          <cell r="D720">
            <v>1</v>
          </cell>
          <cell r="E720">
            <v>0.25</v>
          </cell>
          <cell r="F720">
            <v>0.2</v>
          </cell>
          <cell r="G720">
            <v>2.65</v>
          </cell>
          <cell r="P720" t="str">
            <v>V</v>
          </cell>
          <cell r="Q720" t="str">
            <v>1"</v>
          </cell>
          <cell r="R720">
            <v>2</v>
          </cell>
          <cell r="S720">
            <v>2.65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25.408000000000001</v>
          </cell>
          <cell r="AD720">
            <v>0</v>
          </cell>
        </row>
        <row r="721">
          <cell r="C721">
            <v>1</v>
          </cell>
          <cell r="D721">
            <v>1</v>
          </cell>
          <cell r="F721">
            <v>0</v>
          </cell>
          <cell r="G721">
            <v>2.65</v>
          </cell>
          <cell r="P721" t="str">
            <v>V</v>
          </cell>
          <cell r="Q721" t="str">
            <v>3/4"</v>
          </cell>
          <cell r="R721">
            <v>2</v>
          </cell>
          <cell r="S721">
            <v>2.65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13.440000000000001</v>
          </cell>
          <cell r="AC721">
            <v>0</v>
          </cell>
          <cell r="AD721">
            <v>0</v>
          </cell>
        </row>
        <row r="722">
          <cell r="B722" t="str">
            <v>Est</v>
          </cell>
          <cell r="C722">
            <v>1</v>
          </cell>
          <cell r="D722">
            <v>1</v>
          </cell>
          <cell r="E722">
            <v>0.25</v>
          </cell>
          <cell r="F722">
            <v>0.2</v>
          </cell>
          <cell r="G722">
            <v>2.65</v>
          </cell>
          <cell r="Q722" t="str">
            <v>3/8"</v>
          </cell>
          <cell r="R722">
            <v>10</v>
          </cell>
          <cell r="S722">
            <v>0.9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5.0400000000000009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</row>
        <row r="723">
          <cell r="B723" t="str">
            <v>Nucleo A</v>
          </cell>
          <cell r="C723">
            <v>1</v>
          </cell>
          <cell r="D723">
            <v>1</v>
          </cell>
          <cell r="E723">
            <v>0.25</v>
          </cell>
          <cell r="F723">
            <v>0.2</v>
          </cell>
          <cell r="G723">
            <v>2.65</v>
          </cell>
          <cell r="P723" t="str">
            <v>V</v>
          </cell>
          <cell r="Q723" t="str">
            <v>1"</v>
          </cell>
          <cell r="R723">
            <v>2</v>
          </cell>
          <cell r="S723">
            <v>2.65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25.408000000000001</v>
          </cell>
          <cell r="AD723">
            <v>0</v>
          </cell>
        </row>
        <row r="724">
          <cell r="C724">
            <v>1</v>
          </cell>
          <cell r="D724">
            <v>1</v>
          </cell>
          <cell r="F724">
            <v>0.2</v>
          </cell>
          <cell r="G724">
            <v>2.65</v>
          </cell>
          <cell r="P724" t="str">
            <v>V</v>
          </cell>
          <cell r="Q724" t="str">
            <v>3/4"</v>
          </cell>
          <cell r="R724">
            <v>2</v>
          </cell>
          <cell r="S724">
            <v>2.65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13.440000000000001</v>
          </cell>
          <cell r="AC724">
            <v>0</v>
          </cell>
          <cell r="AD724">
            <v>0</v>
          </cell>
        </row>
        <row r="725">
          <cell r="B725" t="str">
            <v>Est</v>
          </cell>
          <cell r="C725">
            <v>1</v>
          </cell>
          <cell r="D725">
            <v>1</v>
          </cell>
          <cell r="E725">
            <v>0.25</v>
          </cell>
          <cell r="F725">
            <v>0.2</v>
          </cell>
          <cell r="G725">
            <v>2.65</v>
          </cell>
          <cell r="Q725" t="str">
            <v>3/8"</v>
          </cell>
          <cell r="R725">
            <v>10</v>
          </cell>
          <cell r="S725">
            <v>0.9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5.0400000000000009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</row>
        <row r="726">
          <cell r="C726">
            <v>1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</row>
        <row r="727">
          <cell r="B727" t="str">
            <v>B1-PL-03</v>
          </cell>
          <cell r="C727">
            <v>1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</row>
        <row r="728">
          <cell r="B728" t="str">
            <v>Acero Vert</v>
          </cell>
          <cell r="C728">
            <v>1</v>
          </cell>
          <cell r="D728">
            <v>1</v>
          </cell>
          <cell r="E728">
            <v>9</v>
          </cell>
          <cell r="F728">
            <v>0.2</v>
          </cell>
          <cell r="G728">
            <v>2.65</v>
          </cell>
          <cell r="H728">
            <v>210</v>
          </cell>
          <cell r="I728">
            <v>4.7699999999999996</v>
          </cell>
          <cell r="J728">
            <v>0</v>
          </cell>
          <cell r="K728">
            <v>0</v>
          </cell>
          <cell r="L728">
            <v>4.7699999999999996</v>
          </cell>
          <cell r="M728">
            <v>18.399999999999999</v>
          </cell>
          <cell r="N728">
            <v>2.4499999999999997</v>
          </cell>
          <cell r="O728">
            <v>45.079999999999991</v>
          </cell>
          <cell r="P728" t="str">
            <v>V</v>
          </cell>
          <cell r="Q728" t="str">
            <v>3/8"</v>
          </cell>
          <cell r="R728">
            <v>58</v>
          </cell>
          <cell r="S728">
            <v>3.15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118.55200000000001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</row>
        <row r="729">
          <cell r="B729" t="str">
            <v>Acero Hor</v>
          </cell>
          <cell r="C729">
            <v>1</v>
          </cell>
          <cell r="D729">
            <v>1</v>
          </cell>
          <cell r="E729">
            <v>0.3</v>
          </cell>
          <cell r="F729">
            <v>0.4</v>
          </cell>
          <cell r="G729">
            <v>2.65</v>
          </cell>
          <cell r="H729">
            <v>210</v>
          </cell>
          <cell r="I729">
            <v>0.318</v>
          </cell>
          <cell r="J729">
            <v>0</v>
          </cell>
          <cell r="K729">
            <v>0</v>
          </cell>
          <cell r="L729">
            <v>0.318</v>
          </cell>
          <cell r="M729">
            <v>1.4</v>
          </cell>
          <cell r="N729">
            <v>2.4499999999999997</v>
          </cell>
          <cell r="O729">
            <v>3.4299999999999993</v>
          </cell>
          <cell r="P729" t="str">
            <v>H</v>
          </cell>
          <cell r="Q729" t="str">
            <v>3/8"</v>
          </cell>
          <cell r="R729">
            <v>20</v>
          </cell>
          <cell r="S729">
            <v>9.3000000000000007</v>
          </cell>
          <cell r="T729">
            <v>1</v>
          </cell>
          <cell r="U729">
            <v>0</v>
          </cell>
          <cell r="V729">
            <v>0</v>
          </cell>
          <cell r="W729">
            <v>0</v>
          </cell>
          <cell r="X729">
            <v>108.64000000000001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</row>
        <row r="730">
          <cell r="B730" t="str">
            <v>Nucleo A</v>
          </cell>
          <cell r="C730">
            <v>1</v>
          </cell>
          <cell r="D730">
            <v>1</v>
          </cell>
          <cell r="E730">
            <v>0.4</v>
          </cell>
          <cell r="F730">
            <v>0.5</v>
          </cell>
          <cell r="G730">
            <v>2.65</v>
          </cell>
          <cell r="P730" t="str">
            <v>V</v>
          </cell>
          <cell r="Q730" t="str">
            <v>1"</v>
          </cell>
          <cell r="R730">
            <v>8</v>
          </cell>
          <cell r="S730">
            <v>2.65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101.63200000000001</v>
          </cell>
          <cell r="AD730">
            <v>0</v>
          </cell>
        </row>
        <row r="731">
          <cell r="B731" t="str">
            <v>Nucleo A</v>
          </cell>
          <cell r="C731">
            <v>1</v>
          </cell>
          <cell r="D731">
            <v>1</v>
          </cell>
          <cell r="G731">
            <v>2.65</v>
          </cell>
          <cell r="P731" t="str">
            <v>V</v>
          </cell>
          <cell r="Q731" t="str">
            <v>3/4"</v>
          </cell>
          <cell r="R731">
            <v>4</v>
          </cell>
          <cell r="S731">
            <v>2.65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26.880000000000003</v>
          </cell>
          <cell r="AC731">
            <v>0</v>
          </cell>
          <cell r="AD731">
            <v>0</v>
          </cell>
        </row>
        <row r="732">
          <cell r="B732" t="str">
            <v>Est</v>
          </cell>
          <cell r="C732">
            <v>1</v>
          </cell>
          <cell r="D732">
            <v>1</v>
          </cell>
          <cell r="E732">
            <v>0.4</v>
          </cell>
          <cell r="F732">
            <v>0.5</v>
          </cell>
          <cell r="G732">
            <v>2.65</v>
          </cell>
          <cell r="Q732" t="str">
            <v>3/8"</v>
          </cell>
          <cell r="R732">
            <v>10</v>
          </cell>
          <cell r="S732">
            <v>1.8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10.080000000000002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</row>
        <row r="733">
          <cell r="B733" t="str">
            <v>Est</v>
          </cell>
          <cell r="C733">
            <v>1</v>
          </cell>
          <cell r="D733">
            <v>1</v>
          </cell>
          <cell r="E733">
            <v>0.25</v>
          </cell>
          <cell r="F733">
            <v>0.5</v>
          </cell>
          <cell r="G733">
            <v>2.65</v>
          </cell>
          <cell r="Q733" t="str">
            <v>3/8"</v>
          </cell>
          <cell r="R733">
            <v>10</v>
          </cell>
          <cell r="S733">
            <v>1.5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8.4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</row>
        <row r="734">
          <cell r="B734" t="str">
            <v>Est</v>
          </cell>
          <cell r="C734">
            <v>1</v>
          </cell>
          <cell r="D734">
            <v>1</v>
          </cell>
          <cell r="E734">
            <v>0.4</v>
          </cell>
          <cell r="F734">
            <v>0.1</v>
          </cell>
          <cell r="G734">
            <v>2.65</v>
          </cell>
          <cell r="Q734" t="str">
            <v>3/8"</v>
          </cell>
          <cell r="R734">
            <v>10</v>
          </cell>
          <cell r="S734">
            <v>0.5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2.8000000000000003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</row>
        <row r="735">
          <cell r="B735" t="str">
            <v>Nucleo A</v>
          </cell>
          <cell r="C735">
            <v>1</v>
          </cell>
          <cell r="D735">
            <v>1</v>
          </cell>
          <cell r="E735">
            <v>0.25</v>
          </cell>
          <cell r="F735">
            <v>0.2</v>
          </cell>
          <cell r="G735">
            <v>2.65</v>
          </cell>
          <cell r="P735" t="str">
            <v>V</v>
          </cell>
          <cell r="Q735" t="str">
            <v>1"</v>
          </cell>
          <cell r="R735">
            <v>2</v>
          </cell>
          <cell r="S735">
            <v>2.65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25.408000000000001</v>
          </cell>
          <cell r="AD735">
            <v>0</v>
          </cell>
        </row>
        <row r="736">
          <cell r="B736" t="str">
            <v>Nucleo A</v>
          </cell>
          <cell r="C736">
            <v>1</v>
          </cell>
          <cell r="D736">
            <v>1</v>
          </cell>
          <cell r="G736">
            <v>2.65</v>
          </cell>
          <cell r="P736" t="str">
            <v>V</v>
          </cell>
          <cell r="Q736" t="str">
            <v>3/4"</v>
          </cell>
          <cell r="R736">
            <v>2</v>
          </cell>
          <cell r="S736">
            <v>2.65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13.440000000000001</v>
          </cell>
          <cell r="AC736">
            <v>0</v>
          </cell>
          <cell r="AD736">
            <v>0</v>
          </cell>
        </row>
        <row r="737">
          <cell r="B737" t="str">
            <v>Est</v>
          </cell>
          <cell r="C737">
            <v>1</v>
          </cell>
          <cell r="D737">
            <v>1</v>
          </cell>
          <cell r="E737">
            <v>0.25</v>
          </cell>
          <cell r="F737">
            <v>0.2</v>
          </cell>
          <cell r="G737">
            <v>2.65</v>
          </cell>
          <cell r="Q737" t="str">
            <v>3/8"</v>
          </cell>
          <cell r="R737">
            <v>10</v>
          </cell>
          <cell r="S737">
            <v>0.9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5.0400000000000009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</row>
        <row r="738">
          <cell r="C738">
            <v>1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</row>
        <row r="739">
          <cell r="B739" t="str">
            <v>B1-PL-04</v>
          </cell>
          <cell r="C739">
            <v>2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</row>
        <row r="740">
          <cell r="B740" t="str">
            <v>Acero Vert</v>
          </cell>
          <cell r="C740">
            <v>2</v>
          </cell>
          <cell r="D740">
            <v>1</v>
          </cell>
          <cell r="E740">
            <v>2.2999999999999998</v>
          </cell>
          <cell r="F740">
            <v>0.25</v>
          </cell>
          <cell r="G740">
            <v>2.65</v>
          </cell>
          <cell r="H740">
            <v>210</v>
          </cell>
          <cell r="I740">
            <v>3.0474999999999999</v>
          </cell>
          <cell r="J740">
            <v>0</v>
          </cell>
          <cell r="K740">
            <v>0</v>
          </cell>
          <cell r="L740">
            <v>3.0474999999999999</v>
          </cell>
          <cell r="M740">
            <v>5.0999999999999996</v>
          </cell>
          <cell r="N740">
            <v>2.4499999999999997</v>
          </cell>
          <cell r="O740">
            <v>24.989999999999995</v>
          </cell>
          <cell r="P740" t="str">
            <v>V</v>
          </cell>
          <cell r="Q740" t="str">
            <v>3/8"</v>
          </cell>
          <cell r="R740">
            <v>16</v>
          </cell>
          <cell r="S740">
            <v>3.15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65.408000000000001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</row>
        <row r="741">
          <cell r="B741" t="str">
            <v>Acero Hor</v>
          </cell>
          <cell r="C741">
            <v>2</v>
          </cell>
          <cell r="D741">
            <v>1</v>
          </cell>
          <cell r="E741">
            <v>0.25</v>
          </cell>
          <cell r="F741">
            <v>0.4</v>
          </cell>
          <cell r="G741">
            <v>2.65</v>
          </cell>
          <cell r="H741">
            <v>210</v>
          </cell>
          <cell r="I741">
            <v>0.53</v>
          </cell>
          <cell r="J741">
            <v>0</v>
          </cell>
          <cell r="K741">
            <v>0</v>
          </cell>
          <cell r="L741">
            <v>0.53</v>
          </cell>
          <cell r="M741">
            <v>1.3</v>
          </cell>
          <cell r="N741">
            <v>2.4499999999999997</v>
          </cell>
          <cell r="O741">
            <v>6.3699999999999992</v>
          </cell>
          <cell r="P741" t="str">
            <v>H</v>
          </cell>
          <cell r="Q741" t="str">
            <v>3/8"</v>
          </cell>
          <cell r="R741">
            <v>24</v>
          </cell>
          <cell r="S741">
            <v>2.5999999999999996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69.887999999999991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</row>
        <row r="742">
          <cell r="B742" t="str">
            <v>Nucleo A</v>
          </cell>
          <cell r="C742">
            <v>2</v>
          </cell>
          <cell r="D742">
            <v>1</v>
          </cell>
          <cell r="E742">
            <v>0.4</v>
          </cell>
          <cell r="F742">
            <v>0.45</v>
          </cell>
          <cell r="G742">
            <v>2.65</v>
          </cell>
          <cell r="P742" t="str">
            <v>V</v>
          </cell>
          <cell r="Q742" t="str">
            <v>3/4"</v>
          </cell>
          <cell r="R742">
            <v>4</v>
          </cell>
          <cell r="S742">
            <v>2.65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53.760000000000005</v>
          </cell>
          <cell r="AC742">
            <v>0</v>
          </cell>
          <cell r="AD742">
            <v>0</v>
          </cell>
        </row>
        <row r="743">
          <cell r="B743" t="str">
            <v>Nucleo A</v>
          </cell>
          <cell r="C743">
            <v>2</v>
          </cell>
          <cell r="D743">
            <v>1</v>
          </cell>
          <cell r="G743">
            <v>2.65</v>
          </cell>
          <cell r="P743" t="str">
            <v>V</v>
          </cell>
          <cell r="Q743" t="str">
            <v>3/4"</v>
          </cell>
          <cell r="R743">
            <v>8</v>
          </cell>
          <cell r="S743">
            <v>2.65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107.52000000000001</v>
          </cell>
          <cell r="AC743">
            <v>0</v>
          </cell>
          <cell r="AD743">
            <v>0</v>
          </cell>
        </row>
        <row r="744">
          <cell r="B744" t="str">
            <v>Est</v>
          </cell>
          <cell r="C744">
            <v>2</v>
          </cell>
          <cell r="D744">
            <v>1</v>
          </cell>
          <cell r="E744">
            <v>0.4</v>
          </cell>
          <cell r="F744">
            <v>0.45</v>
          </cell>
          <cell r="G744">
            <v>2.65</v>
          </cell>
          <cell r="Q744" t="str">
            <v>3/8"</v>
          </cell>
          <cell r="R744">
            <v>11</v>
          </cell>
          <cell r="S744">
            <v>1.7000000000000002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20.944000000000006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</row>
        <row r="745">
          <cell r="B745" t="str">
            <v>Est</v>
          </cell>
          <cell r="C745">
            <v>2</v>
          </cell>
          <cell r="D745">
            <v>1</v>
          </cell>
          <cell r="E745">
            <v>0.25</v>
          </cell>
          <cell r="F745">
            <v>0.45</v>
          </cell>
          <cell r="G745">
            <v>2.65</v>
          </cell>
          <cell r="Q745" t="str">
            <v>3/8"</v>
          </cell>
          <cell r="R745">
            <v>11</v>
          </cell>
          <cell r="S745">
            <v>1.4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17.248000000000001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</row>
        <row r="746">
          <cell r="B746" t="str">
            <v>Est</v>
          </cell>
          <cell r="C746">
            <v>2</v>
          </cell>
          <cell r="D746">
            <v>1</v>
          </cell>
          <cell r="E746">
            <v>0.4</v>
          </cell>
          <cell r="F746">
            <v>0.1</v>
          </cell>
          <cell r="G746">
            <v>2.65</v>
          </cell>
          <cell r="Q746" t="str">
            <v>3/8"</v>
          </cell>
          <cell r="R746">
            <v>11</v>
          </cell>
          <cell r="S746">
            <v>0.5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6.16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</row>
        <row r="747">
          <cell r="B747" t="str">
            <v>Nucleo A</v>
          </cell>
          <cell r="C747">
            <v>2</v>
          </cell>
          <cell r="D747">
            <v>1</v>
          </cell>
          <cell r="E747">
            <v>0.25</v>
          </cell>
          <cell r="F747">
            <v>0.25</v>
          </cell>
          <cell r="G747">
            <v>2.65</v>
          </cell>
          <cell r="P747" t="str">
            <v>V</v>
          </cell>
          <cell r="Q747" t="str">
            <v>3/4"</v>
          </cell>
          <cell r="R747">
            <v>2</v>
          </cell>
          <cell r="S747">
            <v>2.65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26.880000000000003</v>
          </cell>
          <cell r="AC747">
            <v>0</v>
          </cell>
          <cell r="AD747">
            <v>0</v>
          </cell>
        </row>
        <row r="748">
          <cell r="B748" t="str">
            <v>Nucleo A</v>
          </cell>
          <cell r="C748">
            <v>2</v>
          </cell>
          <cell r="D748">
            <v>1</v>
          </cell>
          <cell r="G748">
            <v>2.65</v>
          </cell>
          <cell r="P748" t="str">
            <v>V</v>
          </cell>
          <cell r="Q748" t="str">
            <v>3/4"</v>
          </cell>
          <cell r="R748">
            <v>2</v>
          </cell>
          <cell r="S748">
            <v>2.65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26.880000000000003</v>
          </cell>
          <cell r="AC748">
            <v>0</v>
          </cell>
          <cell r="AD748">
            <v>0</v>
          </cell>
        </row>
        <row r="749">
          <cell r="B749" t="str">
            <v>Est</v>
          </cell>
          <cell r="C749">
            <v>2</v>
          </cell>
          <cell r="D749">
            <v>1</v>
          </cell>
          <cell r="E749">
            <v>0.25</v>
          </cell>
          <cell r="F749">
            <v>0.25</v>
          </cell>
          <cell r="G749">
            <v>2.65</v>
          </cell>
          <cell r="Q749" t="str">
            <v>3/8"</v>
          </cell>
          <cell r="R749">
            <v>11</v>
          </cell>
          <cell r="S749">
            <v>1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12.32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</row>
        <row r="750">
          <cell r="C750">
            <v>1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</row>
        <row r="751">
          <cell r="B751" t="str">
            <v>B1-PL-05</v>
          </cell>
          <cell r="C751">
            <v>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</row>
        <row r="752">
          <cell r="B752" t="str">
            <v>Acero Vert</v>
          </cell>
          <cell r="C752">
            <v>1</v>
          </cell>
          <cell r="D752">
            <v>1</v>
          </cell>
          <cell r="E752">
            <v>2.2999999999999998</v>
          </cell>
          <cell r="F752">
            <v>0.25</v>
          </cell>
          <cell r="G752">
            <v>2.65</v>
          </cell>
          <cell r="H752">
            <v>210</v>
          </cell>
          <cell r="I752">
            <v>1.5237499999999999</v>
          </cell>
          <cell r="J752">
            <v>0</v>
          </cell>
          <cell r="K752">
            <v>0</v>
          </cell>
          <cell r="L752">
            <v>1.5237499999999999</v>
          </cell>
          <cell r="M752">
            <v>5.0999999999999996</v>
          </cell>
          <cell r="N752">
            <v>2.4499999999999997</v>
          </cell>
          <cell r="O752">
            <v>12.494999999999997</v>
          </cell>
          <cell r="P752" t="str">
            <v>V</v>
          </cell>
          <cell r="Q752" t="str">
            <v>3/8"</v>
          </cell>
          <cell r="R752">
            <v>16</v>
          </cell>
          <cell r="S752">
            <v>3.15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32.704000000000001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</row>
        <row r="753">
          <cell r="B753" t="str">
            <v>Acero Hor</v>
          </cell>
          <cell r="C753">
            <v>1</v>
          </cell>
          <cell r="D753">
            <v>1</v>
          </cell>
          <cell r="G753">
            <v>2.65</v>
          </cell>
          <cell r="P753" t="str">
            <v>H</v>
          </cell>
          <cell r="Q753" t="str">
            <v>3/8"</v>
          </cell>
          <cell r="R753">
            <v>24</v>
          </cell>
          <cell r="S753">
            <v>2.5999999999999996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34.943999999999996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</row>
        <row r="754">
          <cell r="B754" t="str">
            <v>Nucleo A</v>
          </cell>
          <cell r="C754">
            <v>1</v>
          </cell>
          <cell r="D754">
            <v>1</v>
          </cell>
          <cell r="E754">
            <v>0.25</v>
          </cell>
          <cell r="F754">
            <v>0.25</v>
          </cell>
          <cell r="G754">
            <v>2.65</v>
          </cell>
          <cell r="P754" t="str">
            <v>V</v>
          </cell>
          <cell r="Q754" t="str">
            <v>3/4"</v>
          </cell>
          <cell r="R754">
            <v>2</v>
          </cell>
          <cell r="S754">
            <v>2.65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13.440000000000001</v>
          </cell>
          <cell r="AC754">
            <v>0</v>
          </cell>
          <cell r="AD754">
            <v>0</v>
          </cell>
        </row>
        <row r="755">
          <cell r="B755" t="str">
            <v>Nucleo A</v>
          </cell>
          <cell r="C755">
            <v>1</v>
          </cell>
          <cell r="D755">
            <v>1</v>
          </cell>
          <cell r="G755">
            <v>2.65</v>
          </cell>
          <cell r="P755" t="str">
            <v>V</v>
          </cell>
          <cell r="Q755" t="str">
            <v>3/4"</v>
          </cell>
          <cell r="R755">
            <v>2</v>
          </cell>
          <cell r="S755">
            <v>2.65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13.440000000000001</v>
          </cell>
          <cell r="AC755">
            <v>0</v>
          </cell>
          <cell r="AD755">
            <v>0</v>
          </cell>
        </row>
        <row r="756">
          <cell r="B756" t="str">
            <v>Est</v>
          </cell>
          <cell r="C756">
            <v>1</v>
          </cell>
          <cell r="D756">
            <v>1</v>
          </cell>
          <cell r="E756">
            <v>0.25</v>
          </cell>
          <cell r="F756">
            <v>0.25</v>
          </cell>
          <cell r="G756">
            <v>2.65</v>
          </cell>
          <cell r="Q756" t="str">
            <v>3/8"</v>
          </cell>
          <cell r="R756">
            <v>11</v>
          </cell>
          <cell r="S756">
            <v>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6.16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</row>
        <row r="757">
          <cell r="B757" t="str">
            <v>Nucleo A</v>
          </cell>
          <cell r="C757">
            <v>1</v>
          </cell>
          <cell r="D757">
            <v>1</v>
          </cell>
          <cell r="E757">
            <v>0.25</v>
          </cell>
          <cell r="F757">
            <v>0.25</v>
          </cell>
          <cell r="G757">
            <v>2.65</v>
          </cell>
          <cell r="P757" t="str">
            <v>V</v>
          </cell>
          <cell r="Q757" t="str">
            <v>3/4"</v>
          </cell>
          <cell r="R757">
            <v>2</v>
          </cell>
          <cell r="S757">
            <v>2.65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13.440000000000001</v>
          </cell>
          <cell r="AC757">
            <v>0</v>
          </cell>
          <cell r="AD757">
            <v>0</v>
          </cell>
        </row>
        <row r="758">
          <cell r="B758" t="str">
            <v>Nucleo A</v>
          </cell>
          <cell r="C758">
            <v>1</v>
          </cell>
          <cell r="D758">
            <v>1</v>
          </cell>
          <cell r="G758">
            <v>2.65</v>
          </cell>
          <cell r="P758" t="str">
            <v>V</v>
          </cell>
          <cell r="Q758" t="str">
            <v>3/4"</v>
          </cell>
          <cell r="R758">
            <v>2</v>
          </cell>
          <cell r="S758">
            <v>2.65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13.440000000000001</v>
          </cell>
          <cell r="AC758">
            <v>0</v>
          </cell>
          <cell r="AD758">
            <v>0</v>
          </cell>
        </row>
        <row r="759">
          <cell r="B759" t="str">
            <v>Est</v>
          </cell>
          <cell r="C759">
            <v>1</v>
          </cell>
          <cell r="D759">
            <v>1</v>
          </cell>
          <cell r="E759">
            <v>0.25</v>
          </cell>
          <cell r="F759">
            <v>0.25</v>
          </cell>
          <cell r="G759">
            <v>2.65</v>
          </cell>
          <cell r="Q759" t="str">
            <v>3/8"</v>
          </cell>
          <cell r="R759">
            <v>11</v>
          </cell>
          <cell r="S759">
            <v>1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6.16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</row>
        <row r="760"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</row>
        <row r="761">
          <cell r="B761" t="str">
            <v>B1-PL-06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</row>
        <row r="762">
          <cell r="B762" t="str">
            <v>Acero Vert</v>
          </cell>
          <cell r="C762">
            <v>1</v>
          </cell>
          <cell r="D762">
            <v>1</v>
          </cell>
          <cell r="E762">
            <v>4</v>
          </cell>
          <cell r="F762">
            <v>0.15</v>
          </cell>
          <cell r="G762">
            <v>2.65</v>
          </cell>
          <cell r="H762">
            <v>210</v>
          </cell>
          <cell r="I762">
            <v>1.5899999999999999</v>
          </cell>
          <cell r="J762">
            <v>0</v>
          </cell>
          <cell r="K762">
            <v>0</v>
          </cell>
          <cell r="L762">
            <v>1.5899999999999999</v>
          </cell>
          <cell r="M762">
            <v>8.3000000000000007</v>
          </cell>
          <cell r="N762">
            <v>2.4499999999999997</v>
          </cell>
          <cell r="O762">
            <v>20.335000000000001</v>
          </cell>
          <cell r="P762" t="str">
            <v>V</v>
          </cell>
          <cell r="Q762" t="str">
            <v>3/8"</v>
          </cell>
          <cell r="R762">
            <v>24</v>
          </cell>
          <cell r="S762">
            <v>3.15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49.056000000000004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</row>
        <row r="763">
          <cell r="B763" t="str">
            <v>Acero Hor</v>
          </cell>
          <cell r="C763">
            <v>1</v>
          </cell>
          <cell r="D763">
            <v>1</v>
          </cell>
          <cell r="G763">
            <v>4.16</v>
          </cell>
          <cell r="P763" t="str">
            <v>H</v>
          </cell>
          <cell r="Q763" t="str">
            <v>3/8"</v>
          </cell>
          <cell r="R763">
            <v>20</v>
          </cell>
          <cell r="S763">
            <v>4.3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48.160000000000004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</row>
        <row r="764">
          <cell r="B764" t="str">
            <v>Nucleo A</v>
          </cell>
          <cell r="C764">
            <v>1</v>
          </cell>
          <cell r="D764">
            <v>1</v>
          </cell>
          <cell r="E764">
            <v>0.4</v>
          </cell>
          <cell r="F764">
            <v>0.15</v>
          </cell>
          <cell r="G764">
            <v>2.65</v>
          </cell>
          <cell r="P764" t="str">
            <v>V</v>
          </cell>
          <cell r="Q764" t="str">
            <v>5/8"</v>
          </cell>
          <cell r="R764">
            <v>4</v>
          </cell>
          <cell r="S764">
            <v>2.65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18.29</v>
          </cell>
          <cell r="AB764">
            <v>0</v>
          </cell>
          <cell r="AC764">
            <v>0</v>
          </cell>
          <cell r="AD764">
            <v>0</v>
          </cell>
        </row>
        <row r="765">
          <cell r="B765" t="str">
            <v>Est</v>
          </cell>
          <cell r="C765">
            <v>1</v>
          </cell>
          <cell r="D765">
            <v>1</v>
          </cell>
          <cell r="E765">
            <v>0.4</v>
          </cell>
          <cell r="F765">
            <v>0.15</v>
          </cell>
          <cell r="G765">
            <v>2.65</v>
          </cell>
          <cell r="Q765" t="str">
            <v>3/8"</v>
          </cell>
          <cell r="R765">
            <v>10</v>
          </cell>
          <cell r="S765">
            <v>1.1000000000000001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6.16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</row>
        <row r="766">
          <cell r="B766" t="str">
            <v>Nucleo A</v>
          </cell>
          <cell r="C766">
            <v>1</v>
          </cell>
          <cell r="D766">
            <v>1</v>
          </cell>
          <cell r="E766">
            <v>0.2</v>
          </cell>
          <cell r="F766">
            <v>0.15</v>
          </cell>
          <cell r="G766">
            <v>2.65</v>
          </cell>
          <cell r="P766" t="str">
            <v>V</v>
          </cell>
          <cell r="Q766" t="str">
            <v>5/8"</v>
          </cell>
          <cell r="R766">
            <v>4</v>
          </cell>
          <cell r="S766">
            <v>2.65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18.29</v>
          </cell>
          <cell r="AB766">
            <v>0</v>
          </cell>
          <cell r="AC766">
            <v>0</v>
          </cell>
          <cell r="AD766">
            <v>0</v>
          </cell>
        </row>
        <row r="767">
          <cell r="B767" t="str">
            <v>Est</v>
          </cell>
          <cell r="C767">
            <v>1</v>
          </cell>
          <cell r="D767">
            <v>1</v>
          </cell>
          <cell r="E767">
            <v>0.2</v>
          </cell>
          <cell r="F767">
            <v>0.15</v>
          </cell>
          <cell r="G767">
            <v>2.65</v>
          </cell>
          <cell r="Q767" t="str">
            <v>3/8"</v>
          </cell>
          <cell r="R767">
            <v>10</v>
          </cell>
          <cell r="S767">
            <v>0.7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3.9200000000000004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</row>
        <row r="768">
          <cell r="B768" t="str">
            <v>Nucleo B</v>
          </cell>
          <cell r="C768">
            <v>1</v>
          </cell>
          <cell r="D768">
            <v>1</v>
          </cell>
          <cell r="E768">
            <v>1.76</v>
          </cell>
          <cell r="F768">
            <v>0.25</v>
          </cell>
          <cell r="G768">
            <v>2.65</v>
          </cell>
          <cell r="H768">
            <v>210</v>
          </cell>
          <cell r="I768">
            <v>1.1659999999999999</v>
          </cell>
          <cell r="J768">
            <v>0</v>
          </cell>
          <cell r="K768">
            <v>0</v>
          </cell>
          <cell r="L768">
            <v>1.1659999999999999</v>
          </cell>
          <cell r="M768">
            <v>4.0199999999999996</v>
          </cell>
          <cell r="N768">
            <v>2.4499999999999997</v>
          </cell>
          <cell r="O768">
            <v>9.8489999999999984</v>
          </cell>
          <cell r="P768" t="str">
            <v>V</v>
          </cell>
          <cell r="Q768" t="str">
            <v>3/4"</v>
          </cell>
          <cell r="R768">
            <v>4</v>
          </cell>
          <cell r="S768">
            <v>2.65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26.880000000000003</v>
          </cell>
          <cell r="AC768">
            <v>0</v>
          </cell>
          <cell r="AD768">
            <v>0</v>
          </cell>
        </row>
        <row r="769">
          <cell r="B769" t="str">
            <v>Nucleo A</v>
          </cell>
          <cell r="C769">
            <v>1</v>
          </cell>
          <cell r="D769">
            <v>1</v>
          </cell>
          <cell r="G769">
            <v>2.65</v>
          </cell>
          <cell r="P769" t="str">
            <v>V</v>
          </cell>
          <cell r="Q769" t="str">
            <v>5/8"</v>
          </cell>
          <cell r="R769">
            <v>18</v>
          </cell>
          <cell r="S769">
            <v>2.65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82.304999999999993</v>
          </cell>
          <cell r="AB769">
            <v>0</v>
          </cell>
          <cell r="AC769">
            <v>0</v>
          </cell>
          <cell r="AD769">
            <v>0</v>
          </cell>
        </row>
        <row r="770">
          <cell r="B770" t="str">
            <v>Est</v>
          </cell>
          <cell r="C770">
            <v>1</v>
          </cell>
          <cell r="D770">
            <v>1</v>
          </cell>
          <cell r="E770">
            <v>1.1000000000000001</v>
          </cell>
          <cell r="F770">
            <v>0.25</v>
          </cell>
          <cell r="G770">
            <v>2.65</v>
          </cell>
          <cell r="Q770" t="str">
            <v>3/8"</v>
          </cell>
          <cell r="R770">
            <v>24</v>
          </cell>
          <cell r="S770">
            <v>2.7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36.288000000000011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</row>
        <row r="771">
          <cell r="B771" t="str">
            <v>Est</v>
          </cell>
          <cell r="C771">
            <v>1</v>
          </cell>
          <cell r="D771">
            <v>1</v>
          </cell>
          <cell r="E771">
            <v>1.1000000000000001</v>
          </cell>
          <cell r="F771">
            <v>0.25</v>
          </cell>
          <cell r="G771">
            <v>2.65</v>
          </cell>
          <cell r="Q771" t="str">
            <v>3/8"</v>
          </cell>
          <cell r="R771">
            <v>24</v>
          </cell>
          <cell r="S771">
            <v>2.7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36.288000000000011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</row>
        <row r="772">
          <cell r="B772" t="str">
            <v>Est</v>
          </cell>
          <cell r="C772">
            <v>1</v>
          </cell>
          <cell r="D772">
            <v>1</v>
          </cell>
          <cell r="E772">
            <v>1.1000000000000001</v>
          </cell>
          <cell r="F772">
            <v>0.25</v>
          </cell>
          <cell r="G772">
            <v>2.65</v>
          </cell>
          <cell r="Q772" t="str">
            <v>3/8"</v>
          </cell>
          <cell r="R772">
            <v>24</v>
          </cell>
          <cell r="S772">
            <v>2.7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36.288000000000011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</row>
        <row r="773">
          <cell r="B773" t="str">
            <v>Est</v>
          </cell>
          <cell r="C773">
            <v>1</v>
          </cell>
          <cell r="D773">
            <v>5</v>
          </cell>
          <cell r="E773">
            <v>0.15</v>
          </cell>
          <cell r="F773">
            <v>0.25</v>
          </cell>
          <cell r="G773">
            <v>2.65</v>
          </cell>
          <cell r="Q773" t="str">
            <v>3/8"</v>
          </cell>
          <cell r="R773">
            <v>24</v>
          </cell>
          <cell r="S773">
            <v>0.55000000000000004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36.96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</row>
        <row r="774">
          <cell r="B774" t="str">
            <v>Acero Vert</v>
          </cell>
          <cell r="C774">
            <v>1</v>
          </cell>
          <cell r="D774">
            <v>1</v>
          </cell>
          <cell r="E774">
            <v>5</v>
          </cell>
          <cell r="F774">
            <v>0.4</v>
          </cell>
          <cell r="G774">
            <v>2.65</v>
          </cell>
          <cell r="H774">
            <v>210</v>
          </cell>
          <cell r="I774">
            <v>5.3</v>
          </cell>
          <cell r="J774">
            <v>0</v>
          </cell>
          <cell r="K774">
            <v>0</v>
          </cell>
          <cell r="L774">
            <v>5.3</v>
          </cell>
          <cell r="M774">
            <v>10.8</v>
          </cell>
          <cell r="N774">
            <v>2.4499999999999997</v>
          </cell>
          <cell r="O774">
            <v>26.459999999999997</v>
          </cell>
          <cell r="P774" t="str">
            <v>V</v>
          </cell>
          <cell r="Q774" t="str">
            <v>1/2"</v>
          </cell>
          <cell r="R774">
            <v>36</v>
          </cell>
          <cell r="S774">
            <v>3.15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121.17599999999999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</row>
        <row r="775">
          <cell r="B775" t="str">
            <v>Acero Hor</v>
          </cell>
          <cell r="C775">
            <v>1</v>
          </cell>
          <cell r="D775">
            <v>1</v>
          </cell>
          <cell r="G775">
            <v>2.65</v>
          </cell>
          <cell r="P775" t="str">
            <v>H</v>
          </cell>
          <cell r="Q775" t="str">
            <v>1/2"</v>
          </cell>
          <cell r="R775">
            <v>20</v>
          </cell>
          <cell r="S775">
            <v>5.9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116.82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</row>
        <row r="776">
          <cell r="B776" t="str">
            <v>Acero Vert</v>
          </cell>
          <cell r="C776">
            <v>1</v>
          </cell>
          <cell r="D776">
            <v>1</v>
          </cell>
          <cell r="E776">
            <v>2.3199999999999998</v>
          </cell>
          <cell r="F776">
            <v>0.2</v>
          </cell>
          <cell r="G776">
            <v>2.65</v>
          </cell>
          <cell r="H776">
            <v>210</v>
          </cell>
          <cell r="I776">
            <v>1.2295999999999998</v>
          </cell>
          <cell r="J776">
            <v>0</v>
          </cell>
          <cell r="K776">
            <v>0</v>
          </cell>
          <cell r="L776">
            <v>1.2295999999999998</v>
          </cell>
          <cell r="M776">
            <v>5.04</v>
          </cell>
          <cell r="N776">
            <v>2.4499999999999997</v>
          </cell>
          <cell r="O776">
            <v>12.347999999999999</v>
          </cell>
          <cell r="P776" t="str">
            <v>V</v>
          </cell>
          <cell r="Q776" t="str">
            <v>3/8"</v>
          </cell>
          <cell r="R776">
            <v>12</v>
          </cell>
          <cell r="S776">
            <v>3.15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24.528000000000002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</row>
        <row r="777">
          <cell r="B777" t="str">
            <v>Acero Hor</v>
          </cell>
          <cell r="C777">
            <v>1</v>
          </cell>
          <cell r="D777">
            <v>1</v>
          </cell>
          <cell r="G777">
            <v>2.65</v>
          </cell>
          <cell r="P777" t="str">
            <v>H</v>
          </cell>
          <cell r="Q777" t="str">
            <v>3/8"</v>
          </cell>
          <cell r="R777">
            <v>24</v>
          </cell>
          <cell r="S777">
            <v>2.6199999999999997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35.212800000000001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</row>
        <row r="778">
          <cell r="B778" t="str">
            <v>Nucleo A</v>
          </cell>
          <cell r="C778">
            <v>1</v>
          </cell>
          <cell r="D778">
            <v>2</v>
          </cell>
          <cell r="E778">
            <v>0.25</v>
          </cell>
          <cell r="F778">
            <v>0.25</v>
          </cell>
          <cell r="G778">
            <v>2.65</v>
          </cell>
          <cell r="P778" t="str">
            <v>V</v>
          </cell>
          <cell r="Q778" t="str">
            <v>3/4"</v>
          </cell>
          <cell r="R778">
            <v>2</v>
          </cell>
          <cell r="S778">
            <v>2.65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25.312000000000001</v>
          </cell>
          <cell r="AC778">
            <v>0</v>
          </cell>
          <cell r="AD778">
            <v>0</v>
          </cell>
        </row>
        <row r="779">
          <cell r="B779" t="str">
            <v>Nucleo A</v>
          </cell>
          <cell r="C779">
            <v>1</v>
          </cell>
          <cell r="D779">
            <v>2</v>
          </cell>
          <cell r="G779">
            <v>2.65</v>
          </cell>
          <cell r="P779" t="str">
            <v>V</v>
          </cell>
          <cell r="Q779" t="str">
            <v>3/4"</v>
          </cell>
          <cell r="R779">
            <v>2</v>
          </cell>
          <cell r="S779">
            <v>2.65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25.312000000000001</v>
          </cell>
          <cell r="AC779">
            <v>0</v>
          </cell>
          <cell r="AD779">
            <v>0</v>
          </cell>
        </row>
        <row r="780">
          <cell r="B780" t="str">
            <v>Est</v>
          </cell>
          <cell r="C780">
            <v>1</v>
          </cell>
          <cell r="D780">
            <v>2</v>
          </cell>
          <cell r="E780">
            <v>0.25</v>
          </cell>
          <cell r="F780">
            <v>0.25</v>
          </cell>
          <cell r="G780">
            <v>2.65</v>
          </cell>
          <cell r="Q780" t="str">
            <v>3/8"</v>
          </cell>
          <cell r="R780">
            <v>11</v>
          </cell>
          <cell r="S780">
            <v>1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12.32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</row>
        <row r="781"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</row>
        <row r="782">
          <cell r="B782" t="str">
            <v>9 PISO</v>
          </cell>
          <cell r="H782">
            <v>210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</row>
        <row r="783"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</row>
        <row r="784">
          <cell r="B784" t="str">
            <v>B1-PL-01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</row>
        <row r="785">
          <cell r="B785" t="str">
            <v>Acero Vert</v>
          </cell>
          <cell r="C785">
            <v>1</v>
          </cell>
          <cell r="D785">
            <v>1</v>
          </cell>
          <cell r="E785">
            <v>4.2300000000000004</v>
          </cell>
          <cell r="F785">
            <v>0.2</v>
          </cell>
          <cell r="G785">
            <v>2.65</v>
          </cell>
          <cell r="H785">
            <v>210</v>
          </cell>
          <cell r="I785">
            <v>2.2419000000000002</v>
          </cell>
          <cell r="J785">
            <v>0</v>
          </cell>
          <cell r="K785">
            <v>0</v>
          </cell>
          <cell r="L785">
            <v>2.2419000000000002</v>
          </cell>
          <cell r="M785">
            <v>8.8600000000000012</v>
          </cell>
          <cell r="N785">
            <v>2.4499999999999997</v>
          </cell>
          <cell r="O785">
            <v>21.707000000000001</v>
          </cell>
          <cell r="P785" t="str">
            <v>V</v>
          </cell>
          <cell r="Q785" t="str">
            <v>3/8"</v>
          </cell>
          <cell r="R785">
            <v>28</v>
          </cell>
          <cell r="S785">
            <v>3.15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57.232000000000006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</row>
        <row r="786">
          <cell r="B786" t="str">
            <v>Acero Hor</v>
          </cell>
          <cell r="C786">
            <v>1</v>
          </cell>
          <cell r="D786">
            <v>1</v>
          </cell>
          <cell r="G786">
            <v>2.65</v>
          </cell>
          <cell r="P786" t="str">
            <v>H</v>
          </cell>
          <cell r="Q786" t="str">
            <v>3/8"</v>
          </cell>
          <cell r="R786">
            <v>20</v>
          </cell>
          <cell r="S786">
            <v>4.53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50.736000000000011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</row>
        <row r="787">
          <cell r="B787" t="str">
            <v>Nucleo A</v>
          </cell>
          <cell r="C787">
            <v>1</v>
          </cell>
          <cell r="D787">
            <v>1</v>
          </cell>
          <cell r="E787">
            <v>0.25</v>
          </cell>
          <cell r="F787">
            <v>0.2</v>
          </cell>
          <cell r="G787">
            <v>2.65</v>
          </cell>
          <cell r="P787" t="str">
            <v>V</v>
          </cell>
          <cell r="Q787" t="str">
            <v>1"</v>
          </cell>
          <cell r="R787">
            <v>4</v>
          </cell>
          <cell r="S787">
            <v>2.65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50.816000000000003</v>
          </cell>
          <cell r="AD787">
            <v>0</v>
          </cell>
        </row>
        <row r="788">
          <cell r="B788" t="str">
            <v>Est</v>
          </cell>
          <cell r="C788">
            <v>1</v>
          </cell>
          <cell r="D788">
            <v>1</v>
          </cell>
          <cell r="E788">
            <v>0.25</v>
          </cell>
          <cell r="F788">
            <v>0.2</v>
          </cell>
          <cell r="G788">
            <v>2.65</v>
          </cell>
          <cell r="Q788" t="str">
            <v>3/8"</v>
          </cell>
          <cell r="R788">
            <v>10</v>
          </cell>
          <cell r="S788">
            <v>0.9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5.0400000000000009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</row>
        <row r="789">
          <cell r="B789" t="str">
            <v>Acero Vert</v>
          </cell>
          <cell r="C789">
            <v>1</v>
          </cell>
          <cell r="D789">
            <v>1</v>
          </cell>
          <cell r="E789">
            <v>5.3999999999999995</v>
          </cell>
          <cell r="F789">
            <v>0.2</v>
          </cell>
          <cell r="G789">
            <v>2.65</v>
          </cell>
          <cell r="H789">
            <v>210</v>
          </cell>
          <cell r="I789">
            <v>2.8619999999999997</v>
          </cell>
          <cell r="J789">
            <v>0</v>
          </cell>
          <cell r="K789">
            <v>0</v>
          </cell>
          <cell r="L789">
            <v>2.8619999999999997</v>
          </cell>
          <cell r="M789">
            <v>11.2</v>
          </cell>
          <cell r="N789">
            <v>2.4499999999999997</v>
          </cell>
          <cell r="O789">
            <v>27.439999999999994</v>
          </cell>
          <cell r="P789" t="str">
            <v>V</v>
          </cell>
          <cell r="Q789" t="str">
            <v>3/8"</v>
          </cell>
          <cell r="R789">
            <v>36</v>
          </cell>
          <cell r="S789">
            <v>3.15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73.583999999999989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</row>
        <row r="790">
          <cell r="B790" t="str">
            <v>Acero Hor</v>
          </cell>
          <cell r="C790">
            <v>1</v>
          </cell>
          <cell r="D790">
            <v>1</v>
          </cell>
          <cell r="G790">
            <v>2.65</v>
          </cell>
          <cell r="P790" t="str">
            <v>H</v>
          </cell>
          <cell r="Q790" t="str">
            <v>3/8"</v>
          </cell>
          <cell r="R790">
            <v>20</v>
          </cell>
          <cell r="S790">
            <v>5.8999999999999995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66.08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</row>
        <row r="791">
          <cell r="B791" t="str">
            <v>Nucleo A</v>
          </cell>
          <cell r="C791">
            <v>1</v>
          </cell>
          <cell r="D791">
            <v>1</v>
          </cell>
          <cell r="E791">
            <v>0.25</v>
          </cell>
          <cell r="F791">
            <v>0.2</v>
          </cell>
          <cell r="G791">
            <v>2.65</v>
          </cell>
          <cell r="P791" t="str">
            <v>V</v>
          </cell>
          <cell r="Q791" t="str">
            <v>1"</v>
          </cell>
          <cell r="R791">
            <v>2</v>
          </cell>
          <cell r="S791">
            <v>2.65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25.408000000000001</v>
          </cell>
          <cell r="AD791">
            <v>0</v>
          </cell>
        </row>
        <row r="792">
          <cell r="C792">
            <v>1</v>
          </cell>
          <cell r="D792">
            <v>1</v>
          </cell>
          <cell r="F792">
            <v>0</v>
          </cell>
          <cell r="G792">
            <v>2.65</v>
          </cell>
          <cell r="P792" t="str">
            <v>V</v>
          </cell>
          <cell r="Q792" t="str">
            <v>3/4"</v>
          </cell>
          <cell r="R792">
            <v>2</v>
          </cell>
          <cell r="S792">
            <v>2.65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13.440000000000001</v>
          </cell>
          <cell r="AC792">
            <v>0</v>
          </cell>
          <cell r="AD792">
            <v>0</v>
          </cell>
        </row>
        <row r="793">
          <cell r="B793" t="str">
            <v>Est</v>
          </cell>
          <cell r="C793">
            <v>1</v>
          </cell>
          <cell r="D793">
            <v>1</v>
          </cell>
          <cell r="E793">
            <v>0.25</v>
          </cell>
          <cell r="F793">
            <v>0.2</v>
          </cell>
          <cell r="G793">
            <v>2.65</v>
          </cell>
          <cell r="Q793" t="str">
            <v>3/8"</v>
          </cell>
          <cell r="R793">
            <v>10</v>
          </cell>
          <cell r="S793">
            <v>0.9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5.0400000000000009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</row>
        <row r="794">
          <cell r="B794" t="str">
            <v>Nucleo A</v>
          </cell>
          <cell r="C794">
            <v>1</v>
          </cell>
          <cell r="D794">
            <v>1</v>
          </cell>
          <cell r="E794">
            <v>0.2</v>
          </cell>
          <cell r="F794">
            <v>0.2</v>
          </cell>
          <cell r="G794">
            <v>2.65</v>
          </cell>
          <cell r="P794" t="str">
            <v>V</v>
          </cell>
          <cell r="Q794" t="str">
            <v>3/4"</v>
          </cell>
          <cell r="R794">
            <v>4</v>
          </cell>
          <cell r="S794">
            <v>2.65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26.880000000000003</v>
          </cell>
          <cell r="AC794">
            <v>0</v>
          </cell>
          <cell r="AD794">
            <v>0</v>
          </cell>
        </row>
        <row r="795">
          <cell r="B795" t="str">
            <v>Est</v>
          </cell>
          <cell r="C795">
            <v>1</v>
          </cell>
          <cell r="D795">
            <v>1</v>
          </cell>
          <cell r="E795">
            <v>0.2</v>
          </cell>
          <cell r="F795">
            <v>0.2</v>
          </cell>
          <cell r="G795">
            <v>2.65</v>
          </cell>
          <cell r="Q795" t="str">
            <v>3/8"</v>
          </cell>
          <cell r="R795">
            <v>10</v>
          </cell>
          <cell r="S795">
            <v>0.8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4.4800000000000004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</row>
        <row r="796"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</row>
        <row r="797">
          <cell r="B797" t="str">
            <v>B1-PL-02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</row>
        <row r="798">
          <cell r="B798" t="str">
            <v>Acero Vert</v>
          </cell>
          <cell r="C798">
            <v>1</v>
          </cell>
          <cell r="D798">
            <v>1</v>
          </cell>
          <cell r="E798">
            <v>8.64</v>
          </cell>
          <cell r="F798">
            <v>0.2</v>
          </cell>
          <cell r="G798">
            <v>2.65</v>
          </cell>
          <cell r="H798">
            <v>210</v>
          </cell>
          <cell r="I798">
            <v>4.5792000000000002</v>
          </cell>
          <cell r="J798">
            <v>0</v>
          </cell>
          <cell r="K798">
            <v>0</v>
          </cell>
          <cell r="L798">
            <v>4.5792000000000002</v>
          </cell>
          <cell r="M798">
            <v>17.68</v>
          </cell>
          <cell r="N798">
            <v>2.4499999999999997</v>
          </cell>
          <cell r="O798">
            <v>43.315999999999995</v>
          </cell>
          <cell r="P798" t="str">
            <v>V</v>
          </cell>
          <cell r="Q798" t="str">
            <v>3/8"</v>
          </cell>
          <cell r="R798">
            <v>56</v>
          </cell>
          <cell r="S798">
            <v>3.15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114.46400000000001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</row>
        <row r="799">
          <cell r="B799" t="str">
            <v>Acero Hor</v>
          </cell>
          <cell r="C799">
            <v>1</v>
          </cell>
          <cell r="D799">
            <v>1</v>
          </cell>
          <cell r="G799">
            <v>2.65</v>
          </cell>
          <cell r="P799" t="str">
            <v>H</v>
          </cell>
          <cell r="Q799" t="str">
            <v>3/8"</v>
          </cell>
          <cell r="R799">
            <v>20</v>
          </cell>
          <cell r="S799">
            <v>9.14</v>
          </cell>
          <cell r="T799">
            <v>1</v>
          </cell>
          <cell r="U799">
            <v>0</v>
          </cell>
          <cell r="V799">
            <v>0</v>
          </cell>
          <cell r="W799">
            <v>0</v>
          </cell>
          <cell r="X799">
            <v>106.84800000000001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</row>
        <row r="800">
          <cell r="B800" t="str">
            <v>Nucleo A</v>
          </cell>
          <cell r="C800">
            <v>1</v>
          </cell>
          <cell r="D800">
            <v>1</v>
          </cell>
          <cell r="E800">
            <v>0.25</v>
          </cell>
          <cell r="F800">
            <v>0.2</v>
          </cell>
          <cell r="G800">
            <v>2.65</v>
          </cell>
          <cell r="P800" t="str">
            <v>V</v>
          </cell>
          <cell r="Q800" t="str">
            <v>1"</v>
          </cell>
          <cell r="R800">
            <v>2</v>
          </cell>
          <cell r="S800">
            <v>2.65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25.408000000000001</v>
          </cell>
          <cell r="AD800">
            <v>0</v>
          </cell>
        </row>
        <row r="801">
          <cell r="C801">
            <v>1</v>
          </cell>
          <cell r="D801">
            <v>1</v>
          </cell>
          <cell r="F801">
            <v>0</v>
          </cell>
          <cell r="G801">
            <v>2.65</v>
          </cell>
          <cell r="P801" t="str">
            <v>V</v>
          </cell>
          <cell r="Q801" t="str">
            <v>3/4"</v>
          </cell>
          <cell r="R801">
            <v>2</v>
          </cell>
          <cell r="S801">
            <v>2.65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13.440000000000001</v>
          </cell>
          <cell r="AC801">
            <v>0</v>
          </cell>
          <cell r="AD801">
            <v>0</v>
          </cell>
        </row>
        <row r="802">
          <cell r="B802" t="str">
            <v>Est</v>
          </cell>
          <cell r="C802">
            <v>1</v>
          </cell>
          <cell r="D802">
            <v>1</v>
          </cell>
          <cell r="E802">
            <v>0.25</v>
          </cell>
          <cell r="F802">
            <v>0.2</v>
          </cell>
          <cell r="G802">
            <v>2.65</v>
          </cell>
          <cell r="Q802" t="str">
            <v>3/8"</v>
          </cell>
          <cell r="R802">
            <v>10</v>
          </cell>
          <cell r="S802">
            <v>0.9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5.0400000000000009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</row>
        <row r="803">
          <cell r="B803" t="str">
            <v>Nucleo A</v>
          </cell>
          <cell r="C803">
            <v>1</v>
          </cell>
          <cell r="D803">
            <v>1</v>
          </cell>
          <cell r="E803">
            <v>0.25</v>
          </cell>
          <cell r="F803">
            <v>0.2</v>
          </cell>
          <cell r="G803">
            <v>2.65</v>
          </cell>
          <cell r="P803" t="str">
            <v>V</v>
          </cell>
          <cell r="Q803" t="str">
            <v>1"</v>
          </cell>
          <cell r="R803">
            <v>2</v>
          </cell>
          <cell r="S803">
            <v>2.65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25.408000000000001</v>
          </cell>
          <cell r="AD803">
            <v>0</v>
          </cell>
        </row>
        <row r="804">
          <cell r="C804">
            <v>1</v>
          </cell>
          <cell r="D804">
            <v>1</v>
          </cell>
          <cell r="F804">
            <v>0.2</v>
          </cell>
          <cell r="G804">
            <v>2.65</v>
          </cell>
          <cell r="P804" t="str">
            <v>V</v>
          </cell>
          <cell r="Q804" t="str">
            <v>3/4"</v>
          </cell>
          <cell r="R804">
            <v>2</v>
          </cell>
          <cell r="S804">
            <v>2.65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13.440000000000001</v>
          </cell>
          <cell r="AC804">
            <v>0</v>
          </cell>
          <cell r="AD804">
            <v>0</v>
          </cell>
        </row>
        <row r="805">
          <cell r="B805" t="str">
            <v>Est</v>
          </cell>
          <cell r="C805">
            <v>1</v>
          </cell>
          <cell r="D805">
            <v>1</v>
          </cell>
          <cell r="E805">
            <v>0.25</v>
          </cell>
          <cell r="F805">
            <v>0.2</v>
          </cell>
          <cell r="G805">
            <v>2.65</v>
          </cell>
          <cell r="Q805" t="str">
            <v>3/8"</v>
          </cell>
          <cell r="R805">
            <v>10</v>
          </cell>
          <cell r="S805">
            <v>0.9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5.0400000000000009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</row>
        <row r="806"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</row>
        <row r="807">
          <cell r="B807" t="str">
            <v>B1-PL-03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</row>
        <row r="808">
          <cell r="B808" t="str">
            <v>Acero Vert</v>
          </cell>
          <cell r="C808">
            <v>1</v>
          </cell>
          <cell r="D808">
            <v>1</v>
          </cell>
          <cell r="E808">
            <v>9</v>
          </cell>
          <cell r="F808">
            <v>0.2</v>
          </cell>
          <cell r="G808">
            <v>2.65</v>
          </cell>
          <cell r="H808">
            <v>210</v>
          </cell>
          <cell r="I808">
            <v>4.7699999999999996</v>
          </cell>
          <cell r="J808">
            <v>0</v>
          </cell>
          <cell r="K808">
            <v>0</v>
          </cell>
          <cell r="L808">
            <v>4.7699999999999996</v>
          </cell>
          <cell r="M808">
            <v>18.399999999999999</v>
          </cell>
          <cell r="N808">
            <v>2.4499999999999997</v>
          </cell>
          <cell r="O808">
            <v>45.079999999999991</v>
          </cell>
          <cell r="P808" t="str">
            <v>V</v>
          </cell>
          <cell r="Q808" t="str">
            <v>3/8"</v>
          </cell>
          <cell r="R808">
            <v>58</v>
          </cell>
          <cell r="S808">
            <v>3.15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118.55200000000001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</row>
        <row r="809">
          <cell r="B809" t="str">
            <v>Acero Hor</v>
          </cell>
          <cell r="C809">
            <v>1</v>
          </cell>
          <cell r="D809">
            <v>1</v>
          </cell>
          <cell r="E809">
            <v>0.3</v>
          </cell>
          <cell r="F809">
            <v>0.4</v>
          </cell>
          <cell r="G809">
            <v>2.65</v>
          </cell>
          <cell r="H809">
            <v>210</v>
          </cell>
          <cell r="I809">
            <v>0.318</v>
          </cell>
          <cell r="J809">
            <v>0</v>
          </cell>
          <cell r="K809">
            <v>0</v>
          </cell>
          <cell r="L809">
            <v>0.318</v>
          </cell>
          <cell r="M809">
            <v>1.4</v>
          </cell>
          <cell r="N809">
            <v>2.4499999999999997</v>
          </cell>
          <cell r="O809">
            <v>3.4299999999999993</v>
          </cell>
          <cell r="P809" t="str">
            <v>H</v>
          </cell>
          <cell r="Q809" t="str">
            <v>3/8"</v>
          </cell>
          <cell r="R809">
            <v>20</v>
          </cell>
          <cell r="S809">
            <v>9.3000000000000007</v>
          </cell>
          <cell r="T809">
            <v>1</v>
          </cell>
          <cell r="U809">
            <v>0</v>
          </cell>
          <cell r="V809">
            <v>0</v>
          </cell>
          <cell r="W809">
            <v>0</v>
          </cell>
          <cell r="X809">
            <v>108.64000000000001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</row>
        <row r="810">
          <cell r="B810" t="str">
            <v>Nucleo A</v>
          </cell>
          <cell r="C810">
            <v>1</v>
          </cell>
          <cell r="D810">
            <v>1</v>
          </cell>
          <cell r="E810">
            <v>0.4</v>
          </cell>
          <cell r="F810">
            <v>0.5</v>
          </cell>
          <cell r="G810">
            <v>2.65</v>
          </cell>
          <cell r="P810" t="str">
            <v>V</v>
          </cell>
          <cell r="Q810" t="str">
            <v>1"</v>
          </cell>
          <cell r="R810">
            <v>8</v>
          </cell>
          <cell r="S810">
            <v>2.65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101.63200000000001</v>
          </cell>
          <cell r="AD810">
            <v>0</v>
          </cell>
        </row>
        <row r="811">
          <cell r="B811" t="str">
            <v>Nucleo A</v>
          </cell>
          <cell r="C811">
            <v>1</v>
          </cell>
          <cell r="D811">
            <v>1</v>
          </cell>
          <cell r="G811">
            <v>2.65</v>
          </cell>
          <cell r="P811" t="str">
            <v>V</v>
          </cell>
          <cell r="Q811" t="str">
            <v>3/4"</v>
          </cell>
          <cell r="R811">
            <v>4</v>
          </cell>
          <cell r="S811">
            <v>2.65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26.880000000000003</v>
          </cell>
          <cell r="AC811">
            <v>0</v>
          </cell>
          <cell r="AD811">
            <v>0</v>
          </cell>
        </row>
        <row r="812">
          <cell r="B812" t="str">
            <v>Est</v>
          </cell>
          <cell r="C812">
            <v>1</v>
          </cell>
          <cell r="D812">
            <v>1</v>
          </cell>
          <cell r="E812">
            <v>0.4</v>
          </cell>
          <cell r="F812">
            <v>0.5</v>
          </cell>
          <cell r="G812">
            <v>2.65</v>
          </cell>
          <cell r="Q812" t="str">
            <v>3/8"</v>
          </cell>
          <cell r="R812">
            <v>10</v>
          </cell>
          <cell r="S812">
            <v>1.8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10.080000000000002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</row>
        <row r="813">
          <cell r="B813" t="str">
            <v>Est</v>
          </cell>
          <cell r="C813">
            <v>1</v>
          </cell>
          <cell r="D813">
            <v>1</v>
          </cell>
          <cell r="E813">
            <v>0.25</v>
          </cell>
          <cell r="F813">
            <v>0.5</v>
          </cell>
          <cell r="G813">
            <v>2.65</v>
          </cell>
          <cell r="Q813" t="str">
            <v>3/8"</v>
          </cell>
          <cell r="R813">
            <v>10</v>
          </cell>
          <cell r="S813">
            <v>1.5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8.4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</row>
        <row r="814">
          <cell r="B814" t="str">
            <v>Est</v>
          </cell>
          <cell r="C814">
            <v>1</v>
          </cell>
          <cell r="D814">
            <v>1</v>
          </cell>
          <cell r="E814">
            <v>0.4</v>
          </cell>
          <cell r="F814">
            <v>0.1</v>
          </cell>
          <cell r="G814">
            <v>2.65</v>
          </cell>
          <cell r="Q814" t="str">
            <v>3/8"</v>
          </cell>
          <cell r="R814">
            <v>10</v>
          </cell>
          <cell r="S814">
            <v>0.5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2.8000000000000003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</row>
        <row r="815">
          <cell r="B815" t="str">
            <v>Nucleo A</v>
          </cell>
          <cell r="C815">
            <v>1</v>
          </cell>
          <cell r="D815">
            <v>1</v>
          </cell>
          <cell r="E815">
            <v>0.25</v>
          </cell>
          <cell r="F815">
            <v>0.2</v>
          </cell>
          <cell r="G815">
            <v>2.65</v>
          </cell>
          <cell r="P815" t="str">
            <v>V</v>
          </cell>
          <cell r="Q815" t="str">
            <v>1"</v>
          </cell>
          <cell r="R815">
            <v>2</v>
          </cell>
          <cell r="S815">
            <v>2.65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25.408000000000001</v>
          </cell>
          <cell r="AD815">
            <v>0</v>
          </cell>
        </row>
        <row r="816">
          <cell r="B816" t="str">
            <v>Nucleo A</v>
          </cell>
          <cell r="C816">
            <v>1</v>
          </cell>
          <cell r="D816">
            <v>1</v>
          </cell>
          <cell r="G816">
            <v>2.65</v>
          </cell>
          <cell r="P816" t="str">
            <v>V</v>
          </cell>
          <cell r="Q816" t="str">
            <v>3/4"</v>
          </cell>
          <cell r="R816">
            <v>2</v>
          </cell>
          <cell r="S816">
            <v>2.65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13.440000000000001</v>
          </cell>
          <cell r="AC816">
            <v>0</v>
          </cell>
          <cell r="AD816">
            <v>0</v>
          </cell>
        </row>
        <row r="817">
          <cell r="B817" t="str">
            <v>Est</v>
          </cell>
          <cell r="C817">
            <v>1</v>
          </cell>
          <cell r="D817">
            <v>1</v>
          </cell>
          <cell r="E817">
            <v>0.25</v>
          </cell>
          <cell r="F817">
            <v>0.2</v>
          </cell>
          <cell r="G817">
            <v>2.65</v>
          </cell>
          <cell r="Q817" t="str">
            <v>3/8"</v>
          </cell>
          <cell r="R817">
            <v>10</v>
          </cell>
          <cell r="S817">
            <v>0.9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5.0400000000000009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</row>
        <row r="818"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</row>
        <row r="819">
          <cell r="B819" t="str">
            <v>B1-PL-04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</row>
        <row r="820">
          <cell r="B820" t="str">
            <v>Acero Vert</v>
          </cell>
          <cell r="C820">
            <v>2</v>
          </cell>
          <cell r="D820">
            <v>1</v>
          </cell>
          <cell r="E820">
            <v>2.2999999999999998</v>
          </cell>
          <cell r="F820">
            <v>0.25</v>
          </cell>
          <cell r="G820">
            <v>2.65</v>
          </cell>
          <cell r="H820">
            <v>210</v>
          </cell>
          <cell r="I820">
            <v>3.0474999999999999</v>
          </cell>
          <cell r="J820">
            <v>0</v>
          </cell>
          <cell r="K820">
            <v>0</v>
          </cell>
          <cell r="L820">
            <v>3.0474999999999999</v>
          </cell>
          <cell r="M820">
            <v>5.0999999999999996</v>
          </cell>
          <cell r="N820">
            <v>2.4499999999999997</v>
          </cell>
          <cell r="O820">
            <v>24.989999999999995</v>
          </cell>
          <cell r="P820" t="str">
            <v>V</v>
          </cell>
          <cell r="Q820" t="str">
            <v>3/8"</v>
          </cell>
          <cell r="R820">
            <v>16</v>
          </cell>
          <cell r="S820">
            <v>3.15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65.408000000000001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</row>
        <row r="821">
          <cell r="B821" t="str">
            <v>Acero Hor</v>
          </cell>
          <cell r="C821">
            <v>2</v>
          </cell>
          <cell r="D821">
            <v>1</v>
          </cell>
          <cell r="E821">
            <v>0.25</v>
          </cell>
          <cell r="F821">
            <v>0.4</v>
          </cell>
          <cell r="G821">
            <v>2.65</v>
          </cell>
          <cell r="H821">
            <v>210</v>
          </cell>
          <cell r="I821">
            <v>0.53</v>
          </cell>
          <cell r="J821">
            <v>0</v>
          </cell>
          <cell r="K821">
            <v>0</v>
          </cell>
          <cell r="L821">
            <v>0.53</v>
          </cell>
          <cell r="M821">
            <v>1.3</v>
          </cell>
          <cell r="N821">
            <v>2.4499999999999997</v>
          </cell>
          <cell r="O821">
            <v>6.3699999999999992</v>
          </cell>
          <cell r="P821" t="str">
            <v>H</v>
          </cell>
          <cell r="Q821" t="str">
            <v>3/8"</v>
          </cell>
          <cell r="R821">
            <v>24</v>
          </cell>
          <cell r="S821">
            <v>2.5999999999999996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69.887999999999991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</row>
        <row r="822">
          <cell r="B822" t="str">
            <v>Nucleo A</v>
          </cell>
          <cell r="C822">
            <v>2</v>
          </cell>
          <cell r="D822">
            <v>1</v>
          </cell>
          <cell r="E822">
            <v>0.4</v>
          </cell>
          <cell r="F822">
            <v>0.45</v>
          </cell>
          <cell r="G822">
            <v>2.65</v>
          </cell>
          <cell r="P822" t="str">
            <v>V</v>
          </cell>
          <cell r="Q822" t="str">
            <v>3/4"</v>
          </cell>
          <cell r="R822">
            <v>4</v>
          </cell>
          <cell r="S822">
            <v>2.65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53.760000000000005</v>
          </cell>
          <cell r="AC822">
            <v>0</v>
          </cell>
          <cell r="AD822">
            <v>0</v>
          </cell>
        </row>
        <row r="823">
          <cell r="B823" t="str">
            <v>Nucleo A</v>
          </cell>
          <cell r="C823">
            <v>2</v>
          </cell>
          <cell r="D823">
            <v>1</v>
          </cell>
          <cell r="G823">
            <v>2.65</v>
          </cell>
          <cell r="P823" t="str">
            <v>V</v>
          </cell>
          <cell r="Q823" t="str">
            <v>3/4"</v>
          </cell>
          <cell r="R823">
            <v>8</v>
          </cell>
          <cell r="S823">
            <v>2.65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107.52000000000001</v>
          </cell>
          <cell r="AC823">
            <v>0</v>
          </cell>
          <cell r="AD823">
            <v>0</v>
          </cell>
        </row>
        <row r="824">
          <cell r="B824" t="str">
            <v>Est</v>
          </cell>
          <cell r="C824">
            <v>2</v>
          </cell>
          <cell r="D824">
            <v>1</v>
          </cell>
          <cell r="E824">
            <v>0.4</v>
          </cell>
          <cell r="F824">
            <v>0.45</v>
          </cell>
          <cell r="G824">
            <v>2.65</v>
          </cell>
          <cell r="Q824" t="str">
            <v>3/8"</v>
          </cell>
          <cell r="R824">
            <v>11</v>
          </cell>
          <cell r="S824">
            <v>1.7000000000000002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20.944000000000006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</row>
        <row r="825">
          <cell r="B825" t="str">
            <v>Est</v>
          </cell>
          <cell r="C825">
            <v>2</v>
          </cell>
          <cell r="D825">
            <v>1</v>
          </cell>
          <cell r="E825">
            <v>0.25</v>
          </cell>
          <cell r="F825">
            <v>0.45</v>
          </cell>
          <cell r="G825">
            <v>2.65</v>
          </cell>
          <cell r="Q825" t="str">
            <v>3/8"</v>
          </cell>
          <cell r="R825">
            <v>11</v>
          </cell>
          <cell r="S825">
            <v>1.4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17.248000000000001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</row>
        <row r="826">
          <cell r="B826" t="str">
            <v>Est</v>
          </cell>
          <cell r="C826">
            <v>2</v>
          </cell>
          <cell r="D826">
            <v>1</v>
          </cell>
          <cell r="E826">
            <v>0.4</v>
          </cell>
          <cell r="F826">
            <v>0.1</v>
          </cell>
          <cell r="G826">
            <v>2.65</v>
          </cell>
          <cell r="Q826" t="str">
            <v>3/8"</v>
          </cell>
          <cell r="R826">
            <v>11</v>
          </cell>
          <cell r="S826">
            <v>0.5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6.16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</row>
        <row r="827">
          <cell r="B827" t="str">
            <v>Nucleo A</v>
          </cell>
          <cell r="C827">
            <v>2</v>
          </cell>
          <cell r="D827">
            <v>1</v>
          </cell>
          <cell r="E827">
            <v>0.25</v>
          </cell>
          <cell r="F827">
            <v>0.25</v>
          </cell>
          <cell r="G827">
            <v>2.65</v>
          </cell>
          <cell r="P827" t="str">
            <v>V</v>
          </cell>
          <cell r="Q827" t="str">
            <v>3/4"</v>
          </cell>
          <cell r="R827">
            <v>2</v>
          </cell>
          <cell r="S827">
            <v>2.65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26.880000000000003</v>
          </cell>
          <cell r="AC827">
            <v>0</v>
          </cell>
          <cell r="AD827">
            <v>0</v>
          </cell>
        </row>
        <row r="828">
          <cell r="B828" t="str">
            <v>Nucleo A</v>
          </cell>
          <cell r="C828">
            <v>2</v>
          </cell>
          <cell r="D828">
            <v>1</v>
          </cell>
          <cell r="G828">
            <v>2.65</v>
          </cell>
          <cell r="P828" t="str">
            <v>V</v>
          </cell>
          <cell r="Q828" t="str">
            <v>3/4"</v>
          </cell>
          <cell r="R828">
            <v>2</v>
          </cell>
          <cell r="S828">
            <v>2.65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26.880000000000003</v>
          </cell>
          <cell r="AC828">
            <v>0</v>
          </cell>
          <cell r="AD828">
            <v>0</v>
          </cell>
        </row>
        <row r="829">
          <cell r="B829" t="str">
            <v>Est</v>
          </cell>
          <cell r="C829">
            <v>2</v>
          </cell>
          <cell r="D829">
            <v>1</v>
          </cell>
          <cell r="E829">
            <v>0.25</v>
          </cell>
          <cell r="F829">
            <v>0.25</v>
          </cell>
          <cell r="G829">
            <v>2.65</v>
          </cell>
          <cell r="Q829" t="str">
            <v>3/8"</v>
          </cell>
          <cell r="R829">
            <v>11</v>
          </cell>
          <cell r="S829">
            <v>1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12.32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</row>
        <row r="830">
          <cell r="C830">
            <v>1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</row>
        <row r="831">
          <cell r="B831" t="str">
            <v>B1-PL-05</v>
          </cell>
          <cell r="C831">
            <v>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</row>
        <row r="832">
          <cell r="B832" t="str">
            <v>Acero Vert</v>
          </cell>
          <cell r="C832">
            <v>1</v>
          </cell>
          <cell r="D832">
            <v>1</v>
          </cell>
          <cell r="E832">
            <v>2.2999999999999998</v>
          </cell>
          <cell r="F832">
            <v>0.25</v>
          </cell>
          <cell r="G832">
            <v>2.65</v>
          </cell>
          <cell r="H832">
            <v>210</v>
          </cell>
          <cell r="I832">
            <v>1.5237499999999999</v>
          </cell>
          <cell r="J832">
            <v>0</v>
          </cell>
          <cell r="K832">
            <v>0</v>
          </cell>
          <cell r="L832">
            <v>1.5237499999999999</v>
          </cell>
          <cell r="M832">
            <v>5.0999999999999996</v>
          </cell>
          <cell r="N832">
            <v>2.4499999999999997</v>
          </cell>
          <cell r="O832">
            <v>12.494999999999997</v>
          </cell>
          <cell r="P832" t="str">
            <v>V</v>
          </cell>
          <cell r="Q832" t="str">
            <v>3/8"</v>
          </cell>
          <cell r="R832">
            <v>16</v>
          </cell>
          <cell r="S832">
            <v>3.15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32.704000000000001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</row>
        <row r="833">
          <cell r="B833" t="str">
            <v>Acero Hor</v>
          </cell>
          <cell r="C833">
            <v>1</v>
          </cell>
          <cell r="D833">
            <v>1</v>
          </cell>
          <cell r="G833">
            <v>2.65</v>
          </cell>
          <cell r="P833" t="str">
            <v>H</v>
          </cell>
          <cell r="Q833" t="str">
            <v>3/8"</v>
          </cell>
          <cell r="R833">
            <v>24</v>
          </cell>
          <cell r="S833">
            <v>2.5999999999999996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34.943999999999996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</row>
        <row r="834">
          <cell r="B834" t="str">
            <v>Nucleo A</v>
          </cell>
          <cell r="C834">
            <v>1</v>
          </cell>
          <cell r="D834">
            <v>1</v>
          </cell>
          <cell r="E834">
            <v>0.25</v>
          </cell>
          <cell r="F834">
            <v>0.25</v>
          </cell>
          <cell r="G834">
            <v>2.65</v>
          </cell>
          <cell r="P834" t="str">
            <v>V</v>
          </cell>
          <cell r="Q834" t="str">
            <v>3/4"</v>
          </cell>
          <cell r="R834">
            <v>2</v>
          </cell>
          <cell r="S834">
            <v>2.65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13.440000000000001</v>
          </cell>
          <cell r="AC834">
            <v>0</v>
          </cell>
          <cell r="AD834">
            <v>0</v>
          </cell>
        </row>
        <row r="835">
          <cell r="B835" t="str">
            <v>Nucleo A</v>
          </cell>
          <cell r="C835">
            <v>1</v>
          </cell>
          <cell r="D835">
            <v>1</v>
          </cell>
          <cell r="G835">
            <v>2.65</v>
          </cell>
          <cell r="P835" t="str">
            <v>V</v>
          </cell>
          <cell r="Q835" t="str">
            <v>3/4"</v>
          </cell>
          <cell r="R835">
            <v>2</v>
          </cell>
          <cell r="S835">
            <v>2.65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13.440000000000001</v>
          </cell>
          <cell r="AC835">
            <v>0</v>
          </cell>
          <cell r="AD835">
            <v>0</v>
          </cell>
        </row>
        <row r="836">
          <cell r="B836" t="str">
            <v>Est</v>
          </cell>
          <cell r="C836">
            <v>1</v>
          </cell>
          <cell r="D836">
            <v>1</v>
          </cell>
          <cell r="E836">
            <v>0.25</v>
          </cell>
          <cell r="F836">
            <v>0.25</v>
          </cell>
          <cell r="G836">
            <v>2.65</v>
          </cell>
          <cell r="Q836" t="str">
            <v>3/8"</v>
          </cell>
          <cell r="R836">
            <v>11</v>
          </cell>
          <cell r="S836">
            <v>1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6.16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</row>
        <row r="837">
          <cell r="B837" t="str">
            <v>Nucleo A</v>
          </cell>
          <cell r="C837">
            <v>1</v>
          </cell>
          <cell r="D837">
            <v>1</v>
          </cell>
          <cell r="E837">
            <v>0.25</v>
          </cell>
          <cell r="F837">
            <v>0.25</v>
          </cell>
          <cell r="G837">
            <v>2.65</v>
          </cell>
          <cell r="P837" t="str">
            <v>V</v>
          </cell>
          <cell r="Q837" t="str">
            <v>3/4"</v>
          </cell>
          <cell r="R837">
            <v>2</v>
          </cell>
          <cell r="S837">
            <v>2.65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13.440000000000001</v>
          </cell>
          <cell r="AC837">
            <v>0</v>
          </cell>
          <cell r="AD837">
            <v>0</v>
          </cell>
        </row>
        <row r="838">
          <cell r="B838" t="str">
            <v>Nucleo A</v>
          </cell>
          <cell r="C838">
            <v>1</v>
          </cell>
          <cell r="D838">
            <v>1</v>
          </cell>
          <cell r="G838">
            <v>2.65</v>
          </cell>
          <cell r="P838" t="str">
            <v>V</v>
          </cell>
          <cell r="Q838" t="str">
            <v>3/4"</v>
          </cell>
          <cell r="R838">
            <v>2</v>
          </cell>
          <cell r="S838">
            <v>2.65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13.440000000000001</v>
          </cell>
          <cell r="AC838">
            <v>0</v>
          </cell>
          <cell r="AD838">
            <v>0</v>
          </cell>
        </row>
        <row r="839">
          <cell r="B839" t="str">
            <v>Est</v>
          </cell>
          <cell r="C839">
            <v>1</v>
          </cell>
          <cell r="D839">
            <v>1</v>
          </cell>
          <cell r="E839">
            <v>0.25</v>
          </cell>
          <cell r="F839">
            <v>0.25</v>
          </cell>
          <cell r="G839">
            <v>2.65</v>
          </cell>
          <cell r="Q839" t="str">
            <v>3/8"</v>
          </cell>
          <cell r="R839">
            <v>11</v>
          </cell>
          <cell r="S839">
            <v>1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6.16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</row>
        <row r="840">
          <cell r="B840" t="str">
            <v>B1-PL-06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</row>
        <row r="841">
          <cell r="B841" t="str">
            <v>Acero Vert</v>
          </cell>
          <cell r="C841">
            <v>1</v>
          </cell>
          <cell r="D841">
            <v>1</v>
          </cell>
          <cell r="E841">
            <v>4</v>
          </cell>
          <cell r="F841">
            <v>0.15</v>
          </cell>
          <cell r="G841">
            <v>2.65</v>
          </cell>
          <cell r="H841">
            <v>210</v>
          </cell>
          <cell r="I841">
            <v>1.5899999999999999</v>
          </cell>
          <cell r="J841">
            <v>0</v>
          </cell>
          <cell r="K841">
            <v>0</v>
          </cell>
          <cell r="L841">
            <v>1.5899999999999999</v>
          </cell>
          <cell r="M841">
            <v>8.3000000000000007</v>
          </cell>
          <cell r="N841">
            <v>2.4499999999999997</v>
          </cell>
          <cell r="O841">
            <v>20.335000000000001</v>
          </cell>
          <cell r="P841" t="str">
            <v>V</v>
          </cell>
          <cell r="Q841" t="str">
            <v>3/8"</v>
          </cell>
          <cell r="R841">
            <v>24</v>
          </cell>
          <cell r="S841">
            <v>3.15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49.056000000000004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</row>
        <row r="842">
          <cell r="B842" t="str">
            <v>Acero Hor</v>
          </cell>
          <cell r="C842">
            <v>1</v>
          </cell>
          <cell r="D842">
            <v>1</v>
          </cell>
          <cell r="G842">
            <v>4.16</v>
          </cell>
          <cell r="P842" t="str">
            <v>H</v>
          </cell>
          <cell r="Q842" t="str">
            <v>3/8"</v>
          </cell>
          <cell r="R842">
            <v>20</v>
          </cell>
          <cell r="S842">
            <v>4.3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48.160000000000004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</row>
        <row r="843">
          <cell r="B843" t="str">
            <v>Nucleo A</v>
          </cell>
          <cell r="C843">
            <v>1</v>
          </cell>
          <cell r="D843">
            <v>1</v>
          </cell>
          <cell r="E843">
            <v>0.4</v>
          </cell>
          <cell r="F843">
            <v>0.15</v>
          </cell>
          <cell r="G843">
            <v>2.65</v>
          </cell>
          <cell r="P843" t="str">
            <v>V</v>
          </cell>
          <cell r="Q843" t="str">
            <v>5/8"</v>
          </cell>
          <cell r="R843">
            <v>4</v>
          </cell>
          <cell r="S843">
            <v>2.65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18.29</v>
          </cell>
          <cell r="AB843">
            <v>0</v>
          </cell>
          <cell r="AC843">
            <v>0</v>
          </cell>
          <cell r="AD843">
            <v>0</v>
          </cell>
        </row>
        <row r="844">
          <cell r="B844" t="str">
            <v>Est</v>
          </cell>
          <cell r="C844">
            <v>1</v>
          </cell>
          <cell r="D844">
            <v>1</v>
          </cell>
          <cell r="E844">
            <v>0.4</v>
          </cell>
          <cell r="F844">
            <v>0.15</v>
          </cell>
          <cell r="G844">
            <v>2.65</v>
          </cell>
          <cell r="Q844" t="str">
            <v>3/8"</v>
          </cell>
          <cell r="R844">
            <v>10</v>
          </cell>
          <cell r="S844">
            <v>1.1000000000000001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6.16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</row>
        <row r="845">
          <cell r="B845" t="str">
            <v>Nucleo A</v>
          </cell>
          <cell r="C845">
            <v>1</v>
          </cell>
          <cell r="D845">
            <v>1</v>
          </cell>
          <cell r="E845">
            <v>0.2</v>
          </cell>
          <cell r="F845">
            <v>0.15</v>
          </cell>
          <cell r="G845">
            <v>2.65</v>
          </cell>
          <cell r="P845" t="str">
            <v>V</v>
          </cell>
          <cell r="Q845" t="str">
            <v>5/8"</v>
          </cell>
          <cell r="R845">
            <v>4</v>
          </cell>
          <cell r="S845">
            <v>2.65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18.29</v>
          </cell>
          <cell r="AB845">
            <v>0</v>
          </cell>
          <cell r="AC845">
            <v>0</v>
          </cell>
          <cell r="AD845">
            <v>0</v>
          </cell>
        </row>
        <row r="846">
          <cell r="B846" t="str">
            <v>Est</v>
          </cell>
          <cell r="C846">
            <v>1</v>
          </cell>
          <cell r="D846">
            <v>1</v>
          </cell>
          <cell r="E846">
            <v>0.2</v>
          </cell>
          <cell r="F846">
            <v>0.15</v>
          </cell>
          <cell r="G846">
            <v>2.65</v>
          </cell>
          <cell r="Q846" t="str">
            <v>3/8"</v>
          </cell>
          <cell r="R846">
            <v>10</v>
          </cell>
          <cell r="S846">
            <v>0.7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3.9200000000000004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</row>
        <row r="847">
          <cell r="B847" t="str">
            <v>Nucleo B</v>
          </cell>
          <cell r="C847">
            <v>1</v>
          </cell>
          <cell r="D847">
            <v>1</v>
          </cell>
          <cell r="E847">
            <v>1.76</v>
          </cell>
          <cell r="F847">
            <v>0.25</v>
          </cell>
          <cell r="G847">
            <v>2.65</v>
          </cell>
          <cell r="H847">
            <v>210</v>
          </cell>
          <cell r="I847">
            <v>1.1659999999999999</v>
          </cell>
          <cell r="J847">
            <v>0</v>
          </cell>
          <cell r="K847">
            <v>0</v>
          </cell>
          <cell r="L847">
            <v>1.1659999999999999</v>
          </cell>
          <cell r="M847">
            <v>4.0199999999999996</v>
          </cell>
          <cell r="N847">
            <v>2.4499999999999997</v>
          </cell>
          <cell r="O847">
            <v>9.8489999999999984</v>
          </cell>
          <cell r="P847" t="str">
            <v>V</v>
          </cell>
          <cell r="Q847" t="str">
            <v>3/4"</v>
          </cell>
          <cell r="R847">
            <v>4</v>
          </cell>
          <cell r="S847">
            <v>2.65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26.880000000000003</v>
          </cell>
          <cell r="AC847">
            <v>0</v>
          </cell>
          <cell r="AD847">
            <v>0</v>
          </cell>
        </row>
        <row r="848">
          <cell r="B848" t="str">
            <v>Nucleo A</v>
          </cell>
          <cell r="C848">
            <v>1</v>
          </cell>
          <cell r="D848">
            <v>1</v>
          </cell>
          <cell r="G848">
            <v>2.65</v>
          </cell>
          <cell r="P848" t="str">
            <v>V</v>
          </cell>
          <cell r="Q848" t="str">
            <v>5/8"</v>
          </cell>
          <cell r="R848">
            <v>18</v>
          </cell>
          <cell r="S848">
            <v>2.65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82.304999999999993</v>
          </cell>
          <cell r="AB848">
            <v>0</v>
          </cell>
          <cell r="AC848">
            <v>0</v>
          </cell>
          <cell r="AD848">
            <v>0</v>
          </cell>
        </row>
        <row r="849">
          <cell r="B849" t="str">
            <v>Est</v>
          </cell>
          <cell r="C849">
            <v>1</v>
          </cell>
          <cell r="D849">
            <v>1</v>
          </cell>
          <cell r="E849">
            <v>1.1000000000000001</v>
          </cell>
          <cell r="F849">
            <v>0.25</v>
          </cell>
          <cell r="G849">
            <v>2.65</v>
          </cell>
          <cell r="Q849" t="str">
            <v>3/8"</v>
          </cell>
          <cell r="R849">
            <v>24</v>
          </cell>
          <cell r="S849">
            <v>2.7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36.288000000000011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</row>
        <row r="850">
          <cell r="B850" t="str">
            <v>Est</v>
          </cell>
          <cell r="C850">
            <v>1</v>
          </cell>
          <cell r="D850">
            <v>1</v>
          </cell>
          <cell r="E850">
            <v>1.1000000000000001</v>
          </cell>
          <cell r="F850">
            <v>0.25</v>
          </cell>
          <cell r="G850">
            <v>2.65</v>
          </cell>
          <cell r="Q850" t="str">
            <v>3/8"</v>
          </cell>
          <cell r="R850">
            <v>24</v>
          </cell>
          <cell r="S850">
            <v>2.7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36.288000000000011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</row>
        <row r="851">
          <cell r="B851" t="str">
            <v>Est</v>
          </cell>
          <cell r="C851">
            <v>1</v>
          </cell>
          <cell r="D851">
            <v>1</v>
          </cell>
          <cell r="E851">
            <v>1.1000000000000001</v>
          </cell>
          <cell r="F851">
            <v>0.25</v>
          </cell>
          <cell r="G851">
            <v>2.65</v>
          </cell>
          <cell r="Q851" t="str">
            <v>3/8"</v>
          </cell>
          <cell r="R851">
            <v>24</v>
          </cell>
          <cell r="S851">
            <v>2.7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36.288000000000011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</row>
        <row r="852">
          <cell r="B852" t="str">
            <v>Est</v>
          </cell>
          <cell r="C852">
            <v>1</v>
          </cell>
          <cell r="D852">
            <v>5</v>
          </cell>
          <cell r="E852">
            <v>0.15</v>
          </cell>
          <cell r="F852">
            <v>0.25</v>
          </cell>
          <cell r="G852">
            <v>2.65</v>
          </cell>
          <cell r="Q852" t="str">
            <v>3/8"</v>
          </cell>
          <cell r="R852">
            <v>24</v>
          </cell>
          <cell r="S852">
            <v>0.55000000000000004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36.96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</row>
        <row r="853">
          <cell r="B853" t="str">
            <v>Acero Vert</v>
          </cell>
          <cell r="C853">
            <v>1</v>
          </cell>
          <cell r="D853">
            <v>1</v>
          </cell>
          <cell r="E853">
            <v>5</v>
          </cell>
          <cell r="F853">
            <v>0.4</v>
          </cell>
          <cell r="G853">
            <v>2.65</v>
          </cell>
          <cell r="H853">
            <v>210</v>
          </cell>
          <cell r="I853">
            <v>5.3</v>
          </cell>
          <cell r="J853">
            <v>0</v>
          </cell>
          <cell r="K853">
            <v>0</v>
          </cell>
          <cell r="L853">
            <v>5.3</v>
          </cell>
          <cell r="M853">
            <v>10.8</v>
          </cell>
          <cell r="N853">
            <v>2.4499999999999997</v>
          </cell>
          <cell r="O853">
            <v>26.459999999999997</v>
          </cell>
          <cell r="P853" t="str">
            <v>V</v>
          </cell>
          <cell r="Q853" t="str">
            <v>1/2"</v>
          </cell>
          <cell r="R853">
            <v>36</v>
          </cell>
          <cell r="S853">
            <v>3.15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121.17599999999999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</row>
        <row r="854">
          <cell r="B854" t="str">
            <v>Acero Hor</v>
          </cell>
          <cell r="C854">
            <v>1</v>
          </cell>
          <cell r="D854">
            <v>1</v>
          </cell>
          <cell r="G854">
            <v>2.65</v>
          </cell>
          <cell r="P854" t="str">
            <v>H</v>
          </cell>
          <cell r="Q854" t="str">
            <v>1/2"</v>
          </cell>
          <cell r="R854">
            <v>20</v>
          </cell>
          <cell r="S854">
            <v>5.9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116.82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</row>
        <row r="855">
          <cell r="B855" t="str">
            <v>Acero Vert</v>
          </cell>
          <cell r="C855">
            <v>1</v>
          </cell>
          <cell r="D855">
            <v>1</v>
          </cell>
          <cell r="E855">
            <v>2.3199999999999998</v>
          </cell>
          <cell r="F855">
            <v>0.2</v>
          </cell>
          <cell r="G855">
            <v>2.65</v>
          </cell>
          <cell r="H855">
            <v>210</v>
          </cell>
          <cell r="I855">
            <v>1.2295999999999998</v>
          </cell>
          <cell r="J855">
            <v>0</v>
          </cell>
          <cell r="K855">
            <v>0</v>
          </cell>
          <cell r="L855">
            <v>1.2295999999999998</v>
          </cell>
          <cell r="M855">
            <v>5.04</v>
          </cell>
          <cell r="N855">
            <v>2.4499999999999997</v>
          </cell>
          <cell r="O855">
            <v>12.347999999999999</v>
          </cell>
          <cell r="P855" t="str">
            <v>V</v>
          </cell>
          <cell r="Q855" t="str">
            <v>3/8"</v>
          </cell>
          <cell r="R855">
            <v>12</v>
          </cell>
          <cell r="S855">
            <v>3.15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24.528000000000002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</row>
        <row r="856">
          <cell r="B856" t="str">
            <v>Acero Hor</v>
          </cell>
          <cell r="C856">
            <v>1</v>
          </cell>
          <cell r="D856">
            <v>1</v>
          </cell>
          <cell r="G856">
            <v>2.65</v>
          </cell>
          <cell r="P856" t="str">
            <v>H</v>
          </cell>
          <cell r="Q856" t="str">
            <v>3/8"</v>
          </cell>
          <cell r="R856">
            <v>24</v>
          </cell>
          <cell r="S856">
            <v>2.6199999999999997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35.212800000000001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</row>
        <row r="857">
          <cell r="B857" t="str">
            <v>Nucleo A</v>
          </cell>
          <cell r="C857">
            <v>1</v>
          </cell>
          <cell r="D857">
            <v>2</v>
          </cell>
          <cell r="E857">
            <v>0.25</v>
          </cell>
          <cell r="F857">
            <v>0.25</v>
          </cell>
          <cell r="G857">
            <v>2.65</v>
          </cell>
          <cell r="P857" t="str">
            <v>V</v>
          </cell>
          <cell r="Q857" t="str">
            <v>3/4"</v>
          </cell>
          <cell r="R857">
            <v>2</v>
          </cell>
          <cell r="S857">
            <v>2.65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25.312000000000001</v>
          </cell>
          <cell r="AC857">
            <v>0</v>
          </cell>
          <cell r="AD857">
            <v>0</v>
          </cell>
        </row>
        <row r="858">
          <cell r="B858" t="str">
            <v>Nucleo A</v>
          </cell>
          <cell r="C858">
            <v>1</v>
          </cell>
          <cell r="D858">
            <v>2</v>
          </cell>
          <cell r="G858">
            <v>2.65</v>
          </cell>
          <cell r="P858" t="str">
            <v>V</v>
          </cell>
          <cell r="Q858" t="str">
            <v>3/4"</v>
          </cell>
          <cell r="R858">
            <v>2</v>
          </cell>
          <cell r="S858">
            <v>2.65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25.312000000000001</v>
          </cell>
          <cell r="AC858">
            <v>0</v>
          </cell>
          <cell r="AD858">
            <v>0</v>
          </cell>
        </row>
        <row r="859">
          <cell r="B859" t="str">
            <v>Est</v>
          </cell>
          <cell r="C859">
            <v>1</v>
          </cell>
          <cell r="D859">
            <v>2</v>
          </cell>
          <cell r="E859">
            <v>0.25</v>
          </cell>
          <cell r="F859">
            <v>0.25</v>
          </cell>
          <cell r="G859">
            <v>2.65</v>
          </cell>
          <cell r="Q859" t="str">
            <v>3/8"</v>
          </cell>
          <cell r="R859">
            <v>11</v>
          </cell>
          <cell r="S859">
            <v>1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12.32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</row>
        <row r="860"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</row>
        <row r="861">
          <cell r="B861" t="str">
            <v>10 PISO</v>
          </cell>
          <cell r="H861">
            <v>210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</row>
        <row r="862"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</row>
        <row r="863">
          <cell r="B863" t="str">
            <v>B1-PL-01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</row>
        <row r="864">
          <cell r="B864" t="str">
            <v>Acero Vert</v>
          </cell>
          <cell r="C864">
            <v>1</v>
          </cell>
          <cell r="D864">
            <v>1</v>
          </cell>
          <cell r="E864">
            <v>4.2300000000000004</v>
          </cell>
          <cell r="F864">
            <v>0.2</v>
          </cell>
          <cell r="G864">
            <v>2.65</v>
          </cell>
          <cell r="H864">
            <v>210</v>
          </cell>
          <cell r="I864">
            <v>2.2419000000000002</v>
          </cell>
          <cell r="J864">
            <v>0</v>
          </cell>
          <cell r="K864">
            <v>0</v>
          </cell>
          <cell r="L864">
            <v>2.2419000000000002</v>
          </cell>
          <cell r="M864">
            <v>8.8600000000000012</v>
          </cell>
          <cell r="N864">
            <v>2.4499999999999997</v>
          </cell>
          <cell r="O864">
            <v>21.707000000000001</v>
          </cell>
          <cell r="P864" t="str">
            <v>V</v>
          </cell>
          <cell r="Q864" t="str">
            <v>3/8"</v>
          </cell>
          <cell r="R864">
            <v>28</v>
          </cell>
          <cell r="S864">
            <v>3.15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57.232000000000006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</row>
        <row r="865">
          <cell r="B865" t="str">
            <v>Acero Hor</v>
          </cell>
          <cell r="C865">
            <v>1</v>
          </cell>
          <cell r="D865">
            <v>1</v>
          </cell>
          <cell r="G865">
            <v>2.65</v>
          </cell>
          <cell r="P865" t="str">
            <v>H</v>
          </cell>
          <cell r="Q865" t="str">
            <v>3/8"</v>
          </cell>
          <cell r="R865">
            <v>20</v>
          </cell>
          <cell r="S865">
            <v>4.53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50.736000000000011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</row>
        <row r="866">
          <cell r="B866" t="str">
            <v>Nucleo A</v>
          </cell>
          <cell r="C866">
            <v>1</v>
          </cell>
          <cell r="D866">
            <v>1</v>
          </cell>
          <cell r="E866">
            <v>0.25</v>
          </cell>
          <cell r="F866">
            <v>0.2</v>
          </cell>
          <cell r="G866">
            <v>2.65</v>
          </cell>
          <cell r="P866" t="str">
            <v>V</v>
          </cell>
          <cell r="Q866" t="str">
            <v>1"</v>
          </cell>
          <cell r="R866">
            <v>4</v>
          </cell>
          <cell r="S866">
            <v>2.65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50.816000000000003</v>
          </cell>
          <cell r="AD866">
            <v>0</v>
          </cell>
        </row>
        <row r="867">
          <cell r="B867" t="str">
            <v>Est</v>
          </cell>
          <cell r="C867">
            <v>1</v>
          </cell>
          <cell r="D867">
            <v>1</v>
          </cell>
          <cell r="E867">
            <v>0.25</v>
          </cell>
          <cell r="F867">
            <v>0.2</v>
          </cell>
          <cell r="G867">
            <v>2.65</v>
          </cell>
          <cell r="Q867" t="str">
            <v>3/8"</v>
          </cell>
          <cell r="R867">
            <v>10</v>
          </cell>
          <cell r="S867">
            <v>0.9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5.0400000000000009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</row>
        <row r="868">
          <cell r="B868" t="str">
            <v>Acero Vert</v>
          </cell>
          <cell r="C868">
            <v>1</v>
          </cell>
          <cell r="D868">
            <v>1</v>
          </cell>
          <cell r="E868">
            <v>5.3999999999999995</v>
          </cell>
          <cell r="F868">
            <v>0.2</v>
          </cell>
          <cell r="G868">
            <v>2.65</v>
          </cell>
          <cell r="H868">
            <v>210</v>
          </cell>
          <cell r="I868">
            <v>2.8619999999999997</v>
          </cell>
          <cell r="J868">
            <v>0</v>
          </cell>
          <cell r="K868">
            <v>0</v>
          </cell>
          <cell r="L868">
            <v>2.8619999999999997</v>
          </cell>
          <cell r="M868">
            <v>11.2</v>
          </cell>
          <cell r="N868">
            <v>2.4499999999999997</v>
          </cell>
          <cell r="O868">
            <v>27.439999999999994</v>
          </cell>
          <cell r="P868" t="str">
            <v>V</v>
          </cell>
          <cell r="Q868" t="str">
            <v>3/8"</v>
          </cell>
          <cell r="R868">
            <v>36</v>
          </cell>
          <cell r="S868">
            <v>3.15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73.583999999999989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</row>
        <row r="869">
          <cell r="B869" t="str">
            <v>Acero Hor</v>
          </cell>
          <cell r="C869">
            <v>1</v>
          </cell>
          <cell r="D869">
            <v>1</v>
          </cell>
          <cell r="G869">
            <v>2.65</v>
          </cell>
          <cell r="P869" t="str">
            <v>H</v>
          </cell>
          <cell r="Q869" t="str">
            <v>3/8"</v>
          </cell>
          <cell r="R869">
            <v>20</v>
          </cell>
          <cell r="S869">
            <v>5.8999999999999995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66.08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</row>
        <row r="870">
          <cell r="B870" t="str">
            <v>Nucleo A</v>
          </cell>
          <cell r="C870">
            <v>1</v>
          </cell>
          <cell r="D870">
            <v>1</v>
          </cell>
          <cell r="E870">
            <v>0.25</v>
          </cell>
          <cell r="F870">
            <v>0.2</v>
          </cell>
          <cell r="G870">
            <v>2.65</v>
          </cell>
          <cell r="P870" t="str">
            <v>V</v>
          </cell>
          <cell r="Q870" t="str">
            <v>1"</v>
          </cell>
          <cell r="R870">
            <v>2</v>
          </cell>
          <cell r="S870">
            <v>2.65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25.408000000000001</v>
          </cell>
          <cell r="AD870">
            <v>0</v>
          </cell>
        </row>
        <row r="871">
          <cell r="C871">
            <v>1</v>
          </cell>
          <cell r="D871">
            <v>1</v>
          </cell>
          <cell r="F871">
            <v>0</v>
          </cell>
          <cell r="G871">
            <v>2.65</v>
          </cell>
          <cell r="P871" t="str">
            <v>V</v>
          </cell>
          <cell r="Q871" t="str">
            <v>3/4"</v>
          </cell>
          <cell r="R871">
            <v>2</v>
          </cell>
          <cell r="S871">
            <v>2.65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13.440000000000001</v>
          </cell>
          <cell r="AC871">
            <v>0</v>
          </cell>
          <cell r="AD871">
            <v>0</v>
          </cell>
        </row>
        <row r="872">
          <cell r="B872" t="str">
            <v>Est</v>
          </cell>
          <cell r="C872">
            <v>1</v>
          </cell>
          <cell r="D872">
            <v>1</v>
          </cell>
          <cell r="E872">
            <v>0.25</v>
          </cell>
          <cell r="F872">
            <v>0.2</v>
          </cell>
          <cell r="G872">
            <v>2.65</v>
          </cell>
          <cell r="Q872" t="str">
            <v>3/8"</v>
          </cell>
          <cell r="R872">
            <v>10</v>
          </cell>
          <cell r="S872">
            <v>0.9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5.0400000000000009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</row>
        <row r="873">
          <cell r="B873" t="str">
            <v>Nucleo A</v>
          </cell>
          <cell r="C873">
            <v>1</v>
          </cell>
          <cell r="D873">
            <v>1</v>
          </cell>
          <cell r="E873">
            <v>0.2</v>
          </cell>
          <cell r="F873">
            <v>0.2</v>
          </cell>
          <cell r="G873">
            <v>2.65</v>
          </cell>
          <cell r="P873" t="str">
            <v>V</v>
          </cell>
          <cell r="Q873" t="str">
            <v>3/4"</v>
          </cell>
          <cell r="R873">
            <v>4</v>
          </cell>
          <cell r="S873">
            <v>2.65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26.880000000000003</v>
          </cell>
          <cell r="AC873">
            <v>0</v>
          </cell>
          <cell r="AD873">
            <v>0</v>
          </cell>
        </row>
        <row r="874">
          <cell r="B874" t="str">
            <v>Est</v>
          </cell>
          <cell r="C874">
            <v>1</v>
          </cell>
          <cell r="D874">
            <v>1</v>
          </cell>
          <cell r="E874">
            <v>0.2</v>
          </cell>
          <cell r="F874">
            <v>0.2</v>
          </cell>
          <cell r="G874">
            <v>2.65</v>
          </cell>
          <cell r="Q874" t="str">
            <v>3/8"</v>
          </cell>
          <cell r="R874">
            <v>10</v>
          </cell>
          <cell r="S874">
            <v>0.8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4.4800000000000004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</row>
        <row r="875"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</row>
        <row r="876">
          <cell r="B876" t="str">
            <v>B1-PL-02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</row>
        <row r="877">
          <cell r="B877" t="str">
            <v>Acero Vert</v>
          </cell>
          <cell r="C877">
            <v>1</v>
          </cell>
          <cell r="D877">
            <v>1</v>
          </cell>
          <cell r="E877">
            <v>8.64</v>
          </cell>
          <cell r="F877">
            <v>0.2</v>
          </cell>
          <cell r="G877">
            <v>2.65</v>
          </cell>
          <cell r="H877">
            <v>210</v>
          </cell>
          <cell r="I877">
            <v>4.5792000000000002</v>
          </cell>
          <cell r="J877">
            <v>0</v>
          </cell>
          <cell r="K877">
            <v>0</v>
          </cell>
          <cell r="L877">
            <v>4.5792000000000002</v>
          </cell>
          <cell r="M877">
            <v>17.68</v>
          </cell>
          <cell r="N877">
            <v>2.4499999999999997</v>
          </cell>
          <cell r="O877">
            <v>43.315999999999995</v>
          </cell>
          <cell r="P877" t="str">
            <v>V</v>
          </cell>
          <cell r="Q877" t="str">
            <v>3/8"</v>
          </cell>
          <cell r="R877">
            <v>56</v>
          </cell>
          <cell r="S877">
            <v>3.15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114.46400000000001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</row>
        <row r="878">
          <cell r="B878" t="str">
            <v>Acero Hor</v>
          </cell>
          <cell r="C878">
            <v>1</v>
          </cell>
          <cell r="D878">
            <v>1</v>
          </cell>
          <cell r="G878">
            <v>2.65</v>
          </cell>
          <cell r="P878" t="str">
            <v>H</v>
          </cell>
          <cell r="Q878" t="str">
            <v>3/8"</v>
          </cell>
          <cell r="R878">
            <v>20</v>
          </cell>
          <cell r="S878">
            <v>9.14</v>
          </cell>
          <cell r="T878">
            <v>1</v>
          </cell>
          <cell r="U878">
            <v>0</v>
          </cell>
          <cell r="V878">
            <v>0</v>
          </cell>
          <cell r="W878">
            <v>0</v>
          </cell>
          <cell r="X878">
            <v>106.84800000000001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</row>
        <row r="879">
          <cell r="B879" t="str">
            <v>Nucleo A</v>
          </cell>
          <cell r="C879">
            <v>1</v>
          </cell>
          <cell r="D879">
            <v>1</v>
          </cell>
          <cell r="E879">
            <v>0.25</v>
          </cell>
          <cell r="F879">
            <v>0.2</v>
          </cell>
          <cell r="G879">
            <v>2.65</v>
          </cell>
          <cell r="P879" t="str">
            <v>V</v>
          </cell>
          <cell r="Q879" t="str">
            <v>1"</v>
          </cell>
          <cell r="R879">
            <v>2</v>
          </cell>
          <cell r="S879">
            <v>2.65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25.408000000000001</v>
          </cell>
          <cell r="AD879">
            <v>0</v>
          </cell>
        </row>
        <row r="880">
          <cell r="C880">
            <v>1</v>
          </cell>
          <cell r="D880">
            <v>1</v>
          </cell>
          <cell r="F880">
            <v>0</v>
          </cell>
          <cell r="G880">
            <v>2.65</v>
          </cell>
          <cell r="P880" t="str">
            <v>V</v>
          </cell>
          <cell r="Q880" t="str">
            <v>3/4"</v>
          </cell>
          <cell r="R880">
            <v>2</v>
          </cell>
          <cell r="S880">
            <v>2.65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13.440000000000001</v>
          </cell>
          <cell r="AC880">
            <v>0</v>
          </cell>
          <cell r="AD880">
            <v>0</v>
          </cell>
        </row>
        <row r="881">
          <cell r="B881" t="str">
            <v>Est</v>
          </cell>
          <cell r="C881">
            <v>1</v>
          </cell>
          <cell r="D881">
            <v>1</v>
          </cell>
          <cell r="E881">
            <v>0.25</v>
          </cell>
          <cell r="F881">
            <v>0.2</v>
          </cell>
          <cell r="G881">
            <v>2.65</v>
          </cell>
          <cell r="Q881" t="str">
            <v>3/8"</v>
          </cell>
          <cell r="R881">
            <v>10</v>
          </cell>
          <cell r="S881">
            <v>0.9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5.0400000000000009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</row>
        <row r="882">
          <cell r="B882" t="str">
            <v>Nucleo A</v>
          </cell>
          <cell r="C882">
            <v>1</v>
          </cell>
          <cell r="D882">
            <v>1</v>
          </cell>
          <cell r="E882">
            <v>0.25</v>
          </cell>
          <cell r="F882">
            <v>0.2</v>
          </cell>
          <cell r="G882">
            <v>2.65</v>
          </cell>
          <cell r="P882" t="str">
            <v>V</v>
          </cell>
          <cell r="Q882" t="str">
            <v>1"</v>
          </cell>
          <cell r="R882">
            <v>2</v>
          </cell>
          <cell r="S882">
            <v>2.65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25.408000000000001</v>
          </cell>
          <cell r="AD882">
            <v>0</v>
          </cell>
        </row>
        <row r="883">
          <cell r="C883">
            <v>1</v>
          </cell>
          <cell r="D883">
            <v>1</v>
          </cell>
          <cell r="F883">
            <v>0.2</v>
          </cell>
          <cell r="G883">
            <v>2.65</v>
          </cell>
          <cell r="P883" t="str">
            <v>V</v>
          </cell>
          <cell r="Q883" t="str">
            <v>3/4"</v>
          </cell>
          <cell r="R883">
            <v>2</v>
          </cell>
          <cell r="S883">
            <v>2.65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13.440000000000001</v>
          </cell>
          <cell r="AC883">
            <v>0</v>
          </cell>
          <cell r="AD883">
            <v>0</v>
          </cell>
        </row>
        <row r="884">
          <cell r="B884" t="str">
            <v>Est</v>
          </cell>
          <cell r="C884">
            <v>1</v>
          </cell>
          <cell r="D884">
            <v>1</v>
          </cell>
          <cell r="E884">
            <v>0.25</v>
          </cell>
          <cell r="F884">
            <v>0.2</v>
          </cell>
          <cell r="G884">
            <v>2.65</v>
          </cell>
          <cell r="Q884" t="str">
            <v>3/8"</v>
          </cell>
          <cell r="R884">
            <v>10</v>
          </cell>
          <cell r="S884">
            <v>0.9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5.0400000000000009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</row>
        <row r="885"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</row>
        <row r="886">
          <cell r="B886" t="str">
            <v>B1-PL-03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</row>
        <row r="887">
          <cell r="B887" t="str">
            <v>Acero Vert</v>
          </cell>
          <cell r="C887">
            <v>1</v>
          </cell>
          <cell r="D887">
            <v>1</v>
          </cell>
          <cell r="E887">
            <v>9</v>
          </cell>
          <cell r="F887">
            <v>0.2</v>
          </cell>
          <cell r="G887">
            <v>2.65</v>
          </cell>
          <cell r="H887">
            <v>210</v>
          </cell>
          <cell r="I887">
            <v>4.7699999999999996</v>
          </cell>
          <cell r="J887">
            <v>0</v>
          </cell>
          <cell r="K887">
            <v>0</v>
          </cell>
          <cell r="L887">
            <v>4.7699999999999996</v>
          </cell>
          <cell r="M887">
            <v>18.399999999999999</v>
          </cell>
          <cell r="N887">
            <v>2.4499999999999997</v>
          </cell>
          <cell r="O887">
            <v>45.079999999999991</v>
          </cell>
          <cell r="P887" t="str">
            <v>V</v>
          </cell>
          <cell r="Q887" t="str">
            <v>3/8"</v>
          </cell>
          <cell r="R887">
            <v>58</v>
          </cell>
          <cell r="S887">
            <v>3.15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118.55200000000001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</row>
        <row r="888">
          <cell r="B888" t="str">
            <v>Acero Hor</v>
          </cell>
          <cell r="C888">
            <v>1</v>
          </cell>
          <cell r="D888">
            <v>1</v>
          </cell>
          <cell r="E888">
            <v>0.3</v>
          </cell>
          <cell r="F888">
            <v>0.4</v>
          </cell>
          <cell r="G888">
            <v>2.65</v>
          </cell>
          <cell r="H888">
            <v>210</v>
          </cell>
          <cell r="I888">
            <v>0.318</v>
          </cell>
          <cell r="J888">
            <v>0</v>
          </cell>
          <cell r="K888">
            <v>0</v>
          </cell>
          <cell r="L888">
            <v>0.318</v>
          </cell>
          <cell r="M888">
            <v>1.4</v>
          </cell>
          <cell r="N888">
            <v>2.4499999999999997</v>
          </cell>
          <cell r="O888">
            <v>3.4299999999999993</v>
          </cell>
          <cell r="P888" t="str">
            <v>H</v>
          </cell>
          <cell r="Q888" t="str">
            <v>3/8"</v>
          </cell>
          <cell r="R888">
            <v>20</v>
          </cell>
          <cell r="S888">
            <v>9.3000000000000007</v>
          </cell>
          <cell r="T888">
            <v>1</v>
          </cell>
          <cell r="U888">
            <v>0</v>
          </cell>
          <cell r="V888">
            <v>0</v>
          </cell>
          <cell r="W888">
            <v>0</v>
          </cell>
          <cell r="X888">
            <v>108.64000000000001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</row>
        <row r="889">
          <cell r="B889" t="str">
            <v>Nucleo A</v>
          </cell>
          <cell r="C889">
            <v>1</v>
          </cell>
          <cell r="D889">
            <v>1</v>
          </cell>
          <cell r="E889">
            <v>0.4</v>
          </cell>
          <cell r="F889">
            <v>0.5</v>
          </cell>
          <cell r="G889">
            <v>2.65</v>
          </cell>
          <cell r="P889" t="str">
            <v>V</v>
          </cell>
          <cell r="Q889" t="str">
            <v>1"</v>
          </cell>
          <cell r="R889">
            <v>8</v>
          </cell>
          <cell r="S889">
            <v>2.65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101.63200000000001</v>
          </cell>
          <cell r="AD889">
            <v>0</v>
          </cell>
        </row>
        <row r="890">
          <cell r="B890" t="str">
            <v>Nucleo A</v>
          </cell>
          <cell r="C890">
            <v>1</v>
          </cell>
          <cell r="D890">
            <v>1</v>
          </cell>
          <cell r="G890">
            <v>2.65</v>
          </cell>
          <cell r="P890" t="str">
            <v>V</v>
          </cell>
          <cell r="Q890" t="str">
            <v>3/4"</v>
          </cell>
          <cell r="R890">
            <v>4</v>
          </cell>
          <cell r="S890">
            <v>2.65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26.880000000000003</v>
          </cell>
          <cell r="AC890">
            <v>0</v>
          </cell>
          <cell r="AD890">
            <v>0</v>
          </cell>
        </row>
        <row r="891">
          <cell r="B891" t="str">
            <v>Est</v>
          </cell>
          <cell r="C891">
            <v>1</v>
          </cell>
          <cell r="D891">
            <v>1</v>
          </cell>
          <cell r="E891">
            <v>0.4</v>
          </cell>
          <cell r="F891">
            <v>0.5</v>
          </cell>
          <cell r="G891">
            <v>2.65</v>
          </cell>
          <cell r="Q891" t="str">
            <v>3/8"</v>
          </cell>
          <cell r="R891">
            <v>10</v>
          </cell>
          <cell r="S891">
            <v>1.8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10.080000000000002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</row>
        <row r="892">
          <cell r="B892" t="str">
            <v>Est</v>
          </cell>
          <cell r="C892">
            <v>1</v>
          </cell>
          <cell r="D892">
            <v>1</v>
          </cell>
          <cell r="E892">
            <v>0.25</v>
          </cell>
          <cell r="F892">
            <v>0.5</v>
          </cell>
          <cell r="G892">
            <v>2.65</v>
          </cell>
          <cell r="Q892" t="str">
            <v>3/8"</v>
          </cell>
          <cell r="R892">
            <v>10</v>
          </cell>
          <cell r="S892">
            <v>1.5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8.4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</row>
        <row r="893">
          <cell r="B893" t="str">
            <v>Est</v>
          </cell>
          <cell r="C893">
            <v>1</v>
          </cell>
          <cell r="D893">
            <v>1</v>
          </cell>
          <cell r="E893">
            <v>0.4</v>
          </cell>
          <cell r="F893">
            <v>0.1</v>
          </cell>
          <cell r="G893">
            <v>2.65</v>
          </cell>
          <cell r="Q893" t="str">
            <v>3/8"</v>
          </cell>
          <cell r="R893">
            <v>10</v>
          </cell>
          <cell r="S893">
            <v>0.5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2.8000000000000003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</row>
        <row r="894">
          <cell r="B894" t="str">
            <v>Nucleo A</v>
          </cell>
          <cell r="C894">
            <v>1</v>
          </cell>
          <cell r="D894">
            <v>1</v>
          </cell>
          <cell r="E894">
            <v>0.25</v>
          </cell>
          <cell r="F894">
            <v>0.2</v>
          </cell>
          <cell r="G894">
            <v>2.65</v>
          </cell>
          <cell r="P894" t="str">
            <v>V</v>
          </cell>
          <cell r="Q894" t="str">
            <v>1"</v>
          </cell>
          <cell r="R894">
            <v>2</v>
          </cell>
          <cell r="S894">
            <v>2.65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25.408000000000001</v>
          </cell>
          <cell r="AD894">
            <v>0</v>
          </cell>
        </row>
        <row r="895">
          <cell r="B895" t="str">
            <v>Nucleo A</v>
          </cell>
          <cell r="C895">
            <v>1</v>
          </cell>
          <cell r="D895">
            <v>1</v>
          </cell>
          <cell r="G895">
            <v>2.65</v>
          </cell>
          <cell r="P895" t="str">
            <v>V</v>
          </cell>
          <cell r="Q895" t="str">
            <v>3/4"</v>
          </cell>
          <cell r="R895">
            <v>2</v>
          </cell>
          <cell r="S895">
            <v>2.65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13.440000000000001</v>
          </cell>
          <cell r="AC895">
            <v>0</v>
          </cell>
          <cell r="AD895">
            <v>0</v>
          </cell>
        </row>
        <row r="896">
          <cell r="B896" t="str">
            <v>Est</v>
          </cell>
          <cell r="C896">
            <v>1</v>
          </cell>
          <cell r="D896">
            <v>1</v>
          </cell>
          <cell r="E896">
            <v>0.25</v>
          </cell>
          <cell r="F896">
            <v>0.2</v>
          </cell>
          <cell r="G896">
            <v>2.65</v>
          </cell>
          <cell r="Q896" t="str">
            <v>3/8"</v>
          </cell>
          <cell r="R896">
            <v>10</v>
          </cell>
          <cell r="S896">
            <v>0.9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5.0400000000000009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</row>
        <row r="897"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</row>
        <row r="898">
          <cell r="B898" t="str">
            <v>B1-PL-04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</row>
        <row r="899">
          <cell r="B899" t="str">
            <v>Acero Vert</v>
          </cell>
          <cell r="C899">
            <v>2</v>
          </cell>
          <cell r="D899">
            <v>1</v>
          </cell>
          <cell r="E899">
            <v>2.2999999999999998</v>
          </cell>
          <cell r="F899">
            <v>0.25</v>
          </cell>
          <cell r="G899">
            <v>2.65</v>
          </cell>
          <cell r="H899">
            <v>210</v>
          </cell>
          <cell r="I899">
            <v>3.0474999999999999</v>
          </cell>
          <cell r="J899">
            <v>0</v>
          </cell>
          <cell r="K899">
            <v>0</v>
          </cell>
          <cell r="L899">
            <v>3.0474999999999999</v>
          </cell>
          <cell r="M899">
            <v>5.0999999999999996</v>
          </cell>
          <cell r="N899">
            <v>2.4499999999999997</v>
          </cell>
          <cell r="O899">
            <v>24.989999999999995</v>
          </cell>
          <cell r="P899" t="str">
            <v>V</v>
          </cell>
          <cell r="Q899" t="str">
            <v>3/8"</v>
          </cell>
          <cell r="R899">
            <v>16</v>
          </cell>
          <cell r="S899">
            <v>3.15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65.408000000000001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</row>
        <row r="900">
          <cell r="B900" t="str">
            <v>Acero Hor</v>
          </cell>
          <cell r="C900">
            <v>2</v>
          </cell>
          <cell r="D900">
            <v>1</v>
          </cell>
          <cell r="E900">
            <v>0.25</v>
          </cell>
          <cell r="F900">
            <v>0.4</v>
          </cell>
          <cell r="G900">
            <v>2.65</v>
          </cell>
          <cell r="H900">
            <v>210</v>
          </cell>
          <cell r="I900">
            <v>0.53</v>
          </cell>
          <cell r="J900">
            <v>0</v>
          </cell>
          <cell r="K900">
            <v>0</v>
          </cell>
          <cell r="L900">
            <v>0.53</v>
          </cell>
          <cell r="M900">
            <v>1.3</v>
          </cell>
          <cell r="N900">
            <v>2.4499999999999997</v>
          </cell>
          <cell r="O900">
            <v>6.3699999999999992</v>
          </cell>
          <cell r="P900" t="str">
            <v>H</v>
          </cell>
          <cell r="Q900" t="str">
            <v>3/8"</v>
          </cell>
          <cell r="R900">
            <v>24</v>
          </cell>
          <cell r="S900">
            <v>2.5999999999999996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69.887999999999991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</row>
        <row r="901">
          <cell r="B901" t="str">
            <v>Nucleo A</v>
          </cell>
          <cell r="C901">
            <v>2</v>
          </cell>
          <cell r="D901">
            <v>1</v>
          </cell>
          <cell r="E901">
            <v>0.4</v>
          </cell>
          <cell r="F901">
            <v>0.45</v>
          </cell>
          <cell r="G901">
            <v>2.65</v>
          </cell>
          <cell r="P901" t="str">
            <v>V</v>
          </cell>
          <cell r="Q901" t="str">
            <v>3/4"</v>
          </cell>
          <cell r="R901">
            <v>4</v>
          </cell>
          <cell r="S901">
            <v>2.65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53.760000000000005</v>
          </cell>
          <cell r="AC901">
            <v>0</v>
          </cell>
          <cell r="AD901">
            <v>0</v>
          </cell>
        </row>
        <row r="902">
          <cell r="B902" t="str">
            <v>Nucleo A</v>
          </cell>
          <cell r="C902">
            <v>2</v>
          </cell>
          <cell r="D902">
            <v>1</v>
          </cell>
          <cell r="G902">
            <v>2.65</v>
          </cell>
          <cell r="P902" t="str">
            <v>V</v>
          </cell>
          <cell r="Q902" t="str">
            <v>3/4"</v>
          </cell>
          <cell r="R902">
            <v>8</v>
          </cell>
          <cell r="S902">
            <v>2.65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107.52000000000001</v>
          </cell>
          <cell r="AC902">
            <v>0</v>
          </cell>
          <cell r="AD902">
            <v>0</v>
          </cell>
        </row>
        <row r="903">
          <cell r="B903" t="str">
            <v>Est</v>
          </cell>
          <cell r="C903">
            <v>2</v>
          </cell>
          <cell r="D903">
            <v>1</v>
          </cell>
          <cell r="E903">
            <v>0.4</v>
          </cell>
          <cell r="F903">
            <v>0.45</v>
          </cell>
          <cell r="G903">
            <v>2.65</v>
          </cell>
          <cell r="Q903" t="str">
            <v>3/8"</v>
          </cell>
          <cell r="R903">
            <v>11</v>
          </cell>
          <cell r="S903">
            <v>1.7000000000000002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20.944000000000006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</row>
        <row r="904">
          <cell r="B904" t="str">
            <v>Est</v>
          </cell>
          <cell r="C904">
            <v>2</v>
          </cell>
          <cell r="D904">
            <v>1</v>
          </cell>
          <cell r="E904">
            <v>0.25</v>
          </cell>
          <cell r="F904">
            <v>0.45</v>
          </cell>
          <cell r="G904">
            <v>2.65</v>
          </cell>
          <cell r="Q904" t="str">
            <v>3/8"</v>
          </cell>
          <cell r="R904">
            <v>11</v>
          </cell>
          <cell r="S904">
            <v>1.4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17.248000000000001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</row>
        <row r="905">
          <cell r="B905" t="str">
            <v>Est</v>
          </cell>
          <cell r="C905">
            <v>2</v>
          </cell>
          <cell r="D905">
            <v>1</v>
          </cell>
          <cell r="E905">
            <v>0.4</v>
          </cell>
          <cell r="F905">
            <v>0.1</v>
          </cell>
          <cell r="G905">
            <v>2.65</v>
          </cell>
          <cell r="Q905" t="str">
            <v>3/8"</v>
          </cell>
          <cell r="R905">
            <v>11</v>
          </cell>
          <cell r="S905">
            <v>0.5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6.16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</row>
        <row r="906">
          <cell r="B906" t="str">
            <v>Nucleo A</v>
          </cell>
          <cell r="C906">
            <v>2</v>
          </cell>
          <cell r="D906">
            <v>1</v>
          </cell>
          <cell r="E906">
            <v>0.25</v>
          </cell>
          <cell r="F906">
            <v>0.25</v>
          </cell>
          <cell r="G906">
            <v>2.65</v>
          </cell>
          <cell r="P906" t="str">
            <v>V</v>
          </cell>
          <cell r="Q906" t="str">
            <v>3/4"</v>
          </cell>
          <cell r="R906">
            <v>2</v>
          </cell>
          <cell r="S906">
            <v>2.65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26.880000000000003</v>
          </cell>
          <cell r="AC906">
            <v>0</v>
          </cell>
          <cell r="AD906">
            <v>0</v>
          </cell>
        </row>
        <row r="907">
          <cell r="B907" t="str">
            <v>Nucleo A</v>
          </cell>
          <cell r="C907">
            <v>2</v>
          </cell>
          <cell r="D907">
            <v>1</v>
          </cell>
          <cell r="G907">
            <v>2.65</v>
          </cell>
          <cell r="P907" t="str">
            <v>V</v>
          </cell>
          <cell r="Q907" t="str">
            <v>3/4"</v>
          </cell>
          <cell r="R907">
            <v>2</v>
          </cell>
          <cell r="S907">
            <v>2.65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26.880000000000003</v>
          </cell>
          <cell r="AC907">
            <v>0</v>
          </cell>
          <cell r="AD907">
            <v>0</v>
          </cell>
        </row>
        <row r="908">
          <cell r="B908" t="str">
            <v>Est</v>
          </cell>
          <cell r="C908">
            <v>2</v>
          </cell>
          <cell r="D908">
            <v>1</v>
          </cell>
          <cell r="E908">
            <v>0.25</v>
          </cell>
          <cell r="F908">
            <v>0.25</v>
          </cell>
          <cell r="G908">
            <v>2.65</v>
          </cell>
          <cell r="Q908" t="str">
            <v>3/8"</v>
          </cell>
          <cell r="R908">
            <v>11</v>
          </cell>
          <cell r="S908">
            <v>1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12.32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</row>
        <row r="909">
          <cell r="C909">
            <v>1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</row>
        <row r="910">
          <cell r="B910" t="str">
            <v>B1-PL-05</v>
          </cell>
          <cell r="C910">
            <v>1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</row>
        <row r="911">
          <cell r="B911" t="str">
            <v>Acero Vert</v>
          </cell>
          <cell r="C911">
            <v>1</v>
          </cell>
          <cell r="D911">
            <v>1</v>
          </cell>
          <cell r="E911">
            <v>2.2999999999999998</v>
          </cell>
          <cell r="F911">
            <v>0.25</v>
          </cell>
          <cell r="G911">
            <v>2.65</v>
          </cell>
          <cell r="H911">
            <v>210</v>
          </cell>
          <cell r="I911">
            <v>1.5237499999999999</v>
          </cell>
          <cell r="J911">
            <v>0</v>
          </cell>
          <cell r="K911">
            <v>0</v>
          </cell>
          <cell r="L911">
            <v>1.5237499999999999</v>
          </cell>
          <cell r="M911">
            <v>5.0999999999999996</v>
          </cell>
          <cell r="N911">
            <v>2.4499999999999997</v>
          </cell>
          <cell r="O911">
            <v>12.494999999999997</v>
          </cell>
          <cell r="P911" t="str">
            <v>V</v>
          </cell>
          <cell r="Q911" t="str">
            <v>3/8"</v>
          </cell>
          <cell r="R911">
            <v>16</v>
          </cell>
          <cell r="S911">
            <v>3.15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32.704000000000001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</row>
        <row r="912">
          <cell r="B912" t="str">
            <v>Acero Hor</v>
          </cell>
          <cell r="C912">
            <v>1</v>
          </cell>
          <cell r="D912">
            <v>1</v>
          </cell>
          <cell r="G912">
            <v>2.65</v>
          </cell>
          <cell r="P912" t="str">
            <v>H</v>
          </cell>
          <cell r="Q912" t="str">
            <v>3/8"</v>
          </cell>
          <cell r="R912">
            <v>24</v>
          </cell>
          <cell r="S912">
            <v>2.5999999999999996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34.943999999999996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</row>
        <row r="913">
          <cell r="B913" t="str">
            <v>Nucleo A</v>
          </cell>
          <cell r="C913">
            <v>1</v>
          </cell>
          <cell r="D913">
            <v>1</v>
          </cell>
          <cell r="E913">
            <v>0.25</v>
          </cell>
          <cell r="F913">
            <v>0.25</v>
          </cell>
          <cell r="G913">
            <v>2.65</v>
          </cell>
          <cell r="P913" t="str">
            <v>V</v>
          </cell>
          <cell r="Q913" t="str">
            <v>3/4"</v>
          </cell>
          <cell r="R913">
            <v>2</v>
          </cell>
          <cell r="S913">
            <v>2.65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13.440000000000001</v>
          </cell>
          <cell r="AC913">
            <v>0</v>
          </cell>
          <cell r="AD913">
            <v>0</v>
          </cell>
        </row>
        <row r="914">
          <cell r="B914" t="str">
            <v>Nucleo A</v>
          </cell>
          <cell r="C914">
            <v>1</v>
          </cell>
          <cell r="D914">
            <v>1</v>
          </cell>
          <cell r="G914">
            <v>2.65</v>
          </cell>
          <cell r="P914" t="str">
            <v>V</v>
          </cell>
          <cell r="Q914" t="str">
            <v>3/4"</v>
          </cell>
          <cell r="R914">
            <v>2</v>
          </cell>
          <cell r="S914">
            <v>2.65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13.440000000000001</v>
          </cell>
          <cell r="AC914">
            <v>0</v>
          </cell>
          <cell r="AD914">
            <v>0</v>
          </cell>
        </row>
        <row r="915">
          <cell r="B915" t="str">
            <v>Est</v>
          </cell>
          <cell r="C915">
            <v>1</v>
          </cell>
          <cell r="D915">
            <v>1</v>
          </cell>
          <cell r="E915">
            <v>0.25</v>
          </cell>
          <cell r="F915">
            <v>0.25</v>
          </cell>
          <cell r="G915">
            <v>2.65</v>
          </cell>
          <cell r="Q915" t="str">
            <v>3/8"</v>
          </cell>
          <cell r="R915">
            <v>11</v>
          </cell>
          <cell r="S915">
            <v>1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6.16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</row>
        <row r="916">
          <cell r="B916" t="str">
            <v>Nucleo A</v>
          </cell>
          <cell r="C916">
            <v>1</v>
          </cell>
          <cell r="D916">
            <v>1</v>
          </cell>
          <cell r="E916">
            <v>0.25</v>
          </cell>
          <cell r="F916">
            <v>0.25</v>
          </cell>
          <cell r="G916">
            <v>2.65</v>
          </cell>
          <cell r="P916" t="str">
            <v>V</v>
          </cell>
          <cell r="Q916" t="str">
            <v>3/4"</v>
          </cell>
          <cell r="R916">
            <v>2</v>
          </cell>
          <cell r="S916">
            <v>2.65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13.440000000000001</v>
          </cell>
          <cell r="AC916">
            <v>0</v>
          </cell>
          <cell r="AD916">
            <v>0</v>
          </cell>
        </row>
        <row r="917">
          <cell r="B917" t="str">
            <v>Nucleo A</v>
          </cell>
          <cell r="C917">
            <v>1</v>
          </cell>
          <cell r="D917">
            <v>1</v>
          </cell>
          <cell r="G917">
            <v>2.65</v>
          </cell>
          <cell r="P917" t="str">
            <v>V</v>
          </cell>
          <cell r="Q917" t="str">
            <v>3/4"</v>
          </cell>
          <cell r="R917">
            <v>2</v>
          </cell>
          <cell r="S917">
            <v>2.65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13.440000000000001</v>
          </cell>
          <cell r="AC917">
            <v>0</v>
          </cell>
          <cell r="AD917">
            <v>0</v>
          </cell>
        </row>
        <row r="918">
          <cell r="B918" t="str">
            <v>Est</v>
          </cell>
          <cell r="C918">
            <v>1</v>
          </cell>
          <cell r="D918">
            <v>1</v>
          </cell>
          <cell r="E918">
            <v>0.25</v>
          </cell>
          <cell r="F918">
            <v>0.25</v>
          </cell>
          <cell r="G918">
            <v>2.65</v>
          </cell>
          <cell r="Q918" t="str">
            <v>3/8"</v>
          </cell>
          <cell r="R918">
            <v>11</v>
          </cell>
          <cell r="S918">
            <v>1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6.16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</row>
        <row r="919">
          <cell r="B919" t="str">
            <v>B1-PL-06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</row>
        <row r="920">
          <cell r="B920" t="str">
            <v>Acero Vert</v>
          </cell>
          <cell r="C920">
            <v>1</v>
          </cell>
          <cell r="D920">
            <v>1</v>
          </cell>
          <cell r="E920">
            <v>4</v>
          </cell>
          <cell r="F920">
            <v>0.15</v>
          </cell>
          <cell r="G920">
            <v>2.65</v>
          </cell>
          <cell r="H920">
            <v>210</v>
          </cell>
          <cell r="I920">
            <v>1.5899999999999999</v>
          </cell>
          <cell r="J920">
            <v>0</v>
          </cell>
          <cell r="K920">
            <v>0</v>
          </cell>
          <cell r="L920">
            <v>1.5899999999999999</v>
          </cell>
          <cell r="M920">
            <v>8.3000000000000007</v>
          </cell>
          <cell r="N920">
            <v>2.4499999999999997</v>
          </cell>
          <cell r="O920">
            <v>20.335000000000001</v>
          </cell>
          <cell r="P920" t="str">
            <v>V</v>
          </cell>
          <cell r="Q920" t="str">
            <v>3/8"</v>
          </cell>
          <cell r="R920">
            <v>24</v>
          </cell>
          <cell r="S920">
            <v>3.15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49.056000000000004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</row>
        <row r="921">
          <cell r="B921" t="str">
            <v>Acero Hor</v>
          </cell>
          <cell r="C921">
            <v>1</v>
          </cell>
          <cell r="D921">
            <v>1</v>
          </cell>
          <cell r="G921">
            <v>4.16</v>
          </cell>
          <cell r="P921" t="str">
            <v>H</v>
          </cell>
          <cell r="Q921" t="str">
            <v>3/8"</v>
          </cell>
          <cell r="R921">
            <v>20</v>
          </cell>
          <cell r="S921">
            <v>4.3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48.160000000000004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</row>
        <row r="922">
          <cell r="B922" t="str">
            <v>Nucleo A</v>
          </cell>
          <cell r="C922">
            <v>1</v>
          </cell>
          <cell r="D922">
            <v>1</v>
          </cell>
          <cell r="E922">
            <v>0.4</v>
          </cell>
          <cell r="F922">
            <v>0.15</v>
          </cell>
          <cell r="G922">
            <v>2.65</v>
          </cell>
          <cell r="P922" t="str">
            <v>V</v>
          </cell>
          <cell r="Q922" t="str">
            <v>5/8"</v>
          </cell>
          <cell r="R922">
            <v>4</v>
          </cell>
          <cell r="S922">
            <v>2.65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18.29</v>
          </cell>
          <cell r="AB922">
            <v>0</v>
          </cell>
          <cell r="AC922">
            <v>0</v>
          </cell>
          <cell r="AD922">
            <v>0</v>
          </cell>
        </row>
        <row r="923">
          <cell r="B923" t="str">
            <v>Est</v>
          </cell>
          <cell r="C923">
            <v>1</v>
          </cell>
          <cell r="D923">
            <v>1</v>
          </cell>
          <cell r="E923">
            <v>0.4</v>
          </cell>
          <cell r="F923">
            <v>0.15</v>
          </cell>
          <cell r="G923">
            <v>2.65</v>
          </cell>
          <cell r="Q923" t="str">
            <v>3/8"</v>
          </cell>
          <cell r="R923">
            <v>10</v>
          </cell>
          <cell r="S923">
            <v>1.1000000000000001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6.16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</row>
        <row r="924">
          <cell r="B924" t="str">
            <v>Nucleo A</v>
          </cell>
          <cell r="C924">
            <v>1</v>
          </cell>
          <cell r="D924">
            <v>1</v>
          </cell>
          <cell r="E924">
            <v>0.2</v>
          </cell>
          <cell r="F924">
            <v>0.15</v>
          </cell>
          <cell r="G924">
            <v>2.65</v>
          </cell>
          <cell r="P924" t="str">
            <v>V</v>
          </cell>
          <cell r="Q924" t="str">
            <v>5/8"</v>
          </cell>
          <cell r="R924">
            <v>4</v>
          </cell>
          <cell r="S924">
            <v>2.65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18.29</v>
          </cell>
          <cell r="AB924">
            <v>0</v>
          </cell>
          <cell r="AC924">
            <v>0</v>
          </cell>
          <cell r="AD924">
            <v>0</v>
          </cell>
        </row>
        <row r="925">
          <cell r="B925" t="str">
            <v>Est</v>
          </cell>
          <cell r="C925">
            <v>1</v>
          </cell>
          <cell r="D925">
            <v>1</v>
          </cell>
          <cell r="E925">
            <v>0.2</v>
          </cell>
          <cell r="F925">
            <v>0.15</v>
          </cell>
          <cell r="G925">
            <v>2.65</v>
          </cell>
          <cell r="Q925" t="str">
            <v>3/8"</v>
          </cell>
          <cell r="R925">
            <v>10</v>
          </cell>
          <cell r="S925">
            <v>0.7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3.9200000000000004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</row>
        <row r="926">
          <cell r="B926" t="str">
            <v>Nucleo B</v>
          </cell>
          <cell r="C926">
            <v>1</v>
          </cell>
          <cell r="D926">
            <v>1</v>
          </cell>
          <cell r="E926">
            <v>1.76</v>
          </cell>
          <cell r="F926">
            <v>0.25</v>
          </cell>
          <cell r="G926">
            <v>2.65</v>
          </cell>
          <cell r="H926">
            <v>210</v>
          </cell>
          <cell r="I926">
            <v>1.1659999999999999</v>
          </cell>
          <cell r="J926">
            <v>0</v>
          </cell>
          <cell r="K926">
            <v>0</v>
          </cell>
          <cell r="L926">
            <v>1.1659999999999999</v>
          </cell>
          <cell r="M926">
            <v>4.0199999999999996</v>
          </cell>
          <cell r="N926">
            <v>2.4499999999999997</v>
          </cell>
          <cell r="O926">
            <v>9.8489999999999984</v>
          </cell>
          <cell r="P926" t="str">
            <v>V</v>
          </cell>
          <cell r="Q926" t="str">
            <v>3/4"</v>
          </cell>
          <cell r="R926">
            <v>4</v>
          </cell>
          <cell r="S926">
            <v>2.65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26.880000000000003</v>
          </cell>
          <cell r="AC926">
            <v>0</v>
          </cell>
          <cell r="AD926">
            <v>0</v>
          </cell>
        </row>
        <row r="927">
          <cell r="B927" t="str">
            <v>Nucleo A</v>
          </cell>
          <cell r="C927">
            <v>1</v>
          </cell>
          <cell r="D927">
            <v>1</v>
          </cell>
          <cell r="G927">
            <v>2.65</v>
          </cell>
          <cell r="P927" t="str">
            <v>V</v>
          </cell>
          <cell r="Q927" t="str">
            <v>5/8"</v>
          </cell>
          <cell r="R927">
            <v>18</v>
          </cell>
          <cell r="S927">
            <v>2.65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82.304999999999993</v>
          </cell>
          <cell r="AB927">
            <v>0</v>
          </cell>
          <cell r="AC927">
            <v>0</v>
          </cell>
          <cell r="AD927">
            <v>0</v>
          </cell>
        </row>
        <row r="928">
          <cell r="B928" t="str">
            <v>Est</v>
          </cell>
          <cell r="C928">
            <v>1</v>
          </cell>
          <cell r="D928">
            <v>1</v>
          </cell>
          <cell r="E928">
            <v>1.1000000000000001</v>
          </cell>
          <cell r="F928">
            <v>0.25</v>
          </cell>
          <cell r="G928">
            <v>2.65</v>
          </cell>
          <cell r="Q928" t="str">
            <v>3/8"</v>
          </cell>
          <cell r="R928">
            <v>24</v>
          </cell>
          <cell r="S928">
            <v>2.7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36.288000000000011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</row>
        <row r="929">
          <cell r="B929" t="str">
            <v>Est</v>
          </cell>
          <cell r="C929">
            <v>1</v>
          </cell>
          <cell r="D929">
            <v>1</v>
          </cell>
          <cell r="E929">
            <v>1.1000000000000001</v>
          </cell>
          <cell r="F929">
            <v>0.25</v>
          </cell>
          <cell r="G929">
            <v>2.65</v>
          </cell>
          <cell r="Q929" t="str">
            <v>3/8"</v>
          </cell>
          <cell r="R929">
            <v>24</v>
          </cell>
          <cell r="S929">
            <v>2.7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36.288000000000011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</row>
        <row r="930">
          <cell r="B930" t="str">
            <v>Est</v>
          </cell>
          <cell r="C930">
            <v>1</v>
          </cell>
          <cell r="D930">
            <v>1</v>
          </cell>
          <cell r="E930">
            <v>1.1000000000000001</v>
          </cell>
          <cell r="F930">
            <v>0.25</v>
          </cell>
          <cell r="G930">
            <v>2.65</v>
          </cell>
          <cell r="Q930" t="str">
            <v>3/8"</v>
          </cell>
          <cell r="R930">
            <v>24</v>
          </cell>
          <cell r="S930">
            <v>2.7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36.288000000000011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</row>
        <row r="931">
          <cell r="B931" t="str">
            <v>Est</v>
          </cell>
          <cell r="C931">
            <v>1</v>
          </cell>
          <cell r="D931">
            <v>5</v>
          </cell>
          <cell r="E931">
            <v>0.15</v>
          </cell>
          <cell r="F931">
            <v>0.25</v>
          </cell>
          <cell r="G931">
            <v>2.65</v>
          </cell>
          <cell r="Q931" t="str">
            <v>3/8"</v>
          </cell>
          <cell r="R931">
            <v>24</v>
          </cell>
          <cell r="S931">
            <v>0.55000000000000004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36.96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</row>
        <row r="932">
          <cell r="B932" t="str">
            <v>Acero Vert</v>
          </cell>
          <cell r="C932">
            <v>1</v>
          </cell>
          <cell r="D932">
            <v>1</v>
          </cell>
          <cell r="E932">
            <v>5</v>
          </cell>
          <cell r="F932">
            <v>0.4</v>
          </cell>
          <cell r="G932">
            <v>2.65</v>
          </cell>
          <cell r="H932">
            <v>210</v>
          </cell>
          <cell r="I932">
            <v>5.3</v>
          </cell>
          <cell r="J932">
            <v>0</v>
          </cell>
          <cell r="K932">
            <v>0</v>
          </cell>
          <cell r="L932">
            <v>5.3</v>
          </cell>
          <cell r="M932">
            <v>10.8</v>
          </cell>
          <cell r="N932">
            <v>2.4499999999999997</v>
          </cell>
          <cell r="O932">
            <v>26.459999999999997</v>
          </cell>
          <cell r="P932" t="str">
            <v>V</v>
          </cell>
          <cell r="Q932" t="str">
            <v>1/2"</v>
          </cell>
          <cell r="R932">
            <v>36</v>
          </cell>
          <cell r="S932">
            <v>3.15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121.17599999999999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</row>
        <row r="933">
          <cell r="B933" t="str">
            <v>Acero Hor</v>
          </cell>
          <cell r="C933">
            <v>1</v>
          </cell>
          <cell r="D933">
            <v>1</v>
          </cell>
          <cell r="G933">
            <v>2.65</v>
          </cell>
          <cell r="P933" t="str">
            <v>H</v>
          </cell>
          <cell r="Q933" t="str">
            <v>1/2"</v>
          </cell>
          <cell r="R933">
            <v>20</v>
          </cell>
          <cell r="S933">
            <v>5.9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116.82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</row>
        <row r="934">
          <cell r="B934" t="str">
            <v>Acero Vert</v>
          </cell>
          <cell r="C934">
            <v>1</v>
          </cell>
          <cell r="D934">
            <v>1</v>
          </cell>
          <cell r="E934">
            <v>2.3199999999999998</v>
          </cell>
          <cell r="F934">
            <v>0.2</v>
          </cell>
          <cell r="G934">
            <v>2.65</v>
          </cell>
          <cell r="H934">
            <v>210</v>
          </cell>
          <cell r="I934">
            <v>1.2295999999999998</v>
          </cell>
          <cell r="J934">
            <v>0</v>
          </cell>
          <cell r="K934">
            <v>0</v>
          </cell>
          <cell r="L934">
            <v>1.2295999999999998</v>
          </cell>
          <cell r="M934">
            <v>5.04</v>
          </cell>
          <cell r="N934">
            <v>2.4499999999999997</v>
          </cell>
          <cell r="O934">
            <v>12.347999999999999</v>
          </cell>
          <cell r="P934" t="str">
            <v>V</v>
          </cell>
          <cell r="Q934" t="str">
            <v>3/8"</v>
          </cell>
          <cell r="R934">
            <v>12</v>
          </cell>
          <cell r="S934">
            <v>3.15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24.528000000000002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</row>
        <row r="935">
          <cell r="B935" t="str">
            <v>Acero Hor</v>
          </cell>
          <cell r="C935">
            <v>1</v>
          </cell>
          <cell r="D935">
            <v>1</v>
          </cell>
          <cell r="G935">
            <v>2.65</v>
          </cell>
          <cell r="P935" t="str">
            <v>H</v>
          </cell>
          <cell r="Q935" t="str">
            <v>3/8"</v>
          </cell>
          <cell r="R935">
            <v>24</v>
          </cell>
          <cell r="S935">
            <v>2.6199999999999997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35.212800000000001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</row>
        <row r="936">
          <cell r="B936" t="str">
            <v>Nucleo A</v>
          </cell>
          <cell r="C936">
            <v>1</v>
          </cell>
          <cell r="D936">
            <v>2</v>
          </cell>
          <cell r="E936">
            <v>0.25</v>
          </cell>
          <cell r="F936">
            <v>0.25</v>
          </cell>
          <cell r="G936">
            <v>2.65</v>
          </cell>
          <cell r="P936" t="str">
            <v>V</v>
          </cell>
          <cell r="Q936" t="str">
            <v>3/4"</v>
          </cell>
          <cell r="R936">
            <v>2</v>
          </cell>
          <cell r="S936">
            <v>2.65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25.312000000000001</v>
          </cell>
          <cell r="AC936">
            <v>0</v>
          </cell>
          <cell r="AD936">
            <v>0</v>
          </cell>
        </row>
        <row r="937">
          <cell r="B937" t="str">
            <v>Nucleo A</v>
          </cell>
          <cell r="C937">
            <v>1</v>
          </cell>
          <cell r="D937">
            <v>2</v>
          </cell>
          <cell r="G937">
            <v>2.65</v>
          </cell>
          <cell r="P937" t="str">
            <v>V</v>
          </cell>
          <cell r="Q937" t="str">
            <v>3/4"</v>
          </cell>
          <cell r="R937">
            <v>2</v>
          </cell>
          <cell r="S937">
            <v>2.65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25.312000000000001</v>
          </cell>
          <cell r="AC937">
            <v>0</v>
          </cell>
          <cell r="AD937">
            <v>0</v>
          </cell>
        </row>
        <row r="938">
          <cell r="B938" t="str">
            <v>Est</v>
          </cell>
          <cell r="C938">
            <v>1</v>
          </cell>
          <cell r="D938">
            <v>2</v>
          </cell>
          <cell r="E938">
            <v>0.25</v>
          </cell>
          <cell r="F938">
            <v>0.25</v>
          </cell>
          <cell r="G938">
            <v>2.65</v>
          </cell>
          <cell r="Q938" t="str">
            <v>3/8"</v>
          </cell>
          <cell r="R938">
            <v>11</v>
          </cell>
          <cell r="S938">
            <v>1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12.32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</row>
        <row r="939"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</row>
        <row r="940">
          <cell r="B940" t="str">
            <v>11 PISO</v>
          </cell>
          <cell r="H940">
            <v>210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</row>
        <row r="941"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</row>
        <row r="942">
          <cell r="B942" t="str">
            <v>B1-PL-01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</row>
        <row r="943">
          <cell r="B943" t="str">
            <v>Acero Vert</v>
          </cell>
          <cell r="C943">
            <v>1</v>
          </cell>
          <cell r="D943">
            <v>1</v>
          </cell>
          <cell r="E943">
            <v>4.2300000000000004</v>
          </cell>
          <cell r="F943">
            <v>0.2</v>
          </cell>
          <cell r="G943">
            <v>2.65</v>
          </cell>
          <cell r="H943">
            <v>210</v>
          </cell>
          <cell r="I943">
            <v>2.2419000000000002</v>
          </cell>
          <cell r="J943">
            <v>0</v>
          </cell>
          <cell r="K943">
            <v>0</v>
          </cell>
          <cell r="L943">
            <v>2.2419000000000002</v>
          </cell>
          <cell r="M943">
            <v>8.8600000000000012</v>
          </cell>
          <cell r="N943">
            <v>2.4499999999999997</v>
          </cell>
          <cell r="O943">
            <v>21.707000000000001</v>
          </cell>
          <cell r="P943" t="str">
            <v>V</v>
          </cell>
          <cell r="Q943" t="str">
            <v>3/8"</v>
          </cell>
          <cell r="R943">
            <v>28</v>
          </cell>
          <cell r="S943">
            <v>3.15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57.232000000000006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</row>
        <row r="944">
          <cell r="B944" t="str">
            <v>Acero Hor</v>
          </cell>
          <cell r="C944">
            <v>1</v>
          </cell>
          <cell r="D944">
            <v>1</v>
          </cell>
          <cell r="G944">
            <v>2.65</v>
          </cell>
          <cell r="P944" t="str">
            <v>H</v>
          </cell>
          <cell r="Q944" t="str">
            <v>3/8"</v>
          </cell>
          <cell r="R944">
            <v>20</v>
          </cell>
          <cell r="S944">
            <v>4.53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50.736000000000011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</row>
        <row r="945">
          <cell r="B945" t="str">
            <v>Nucleo A</v>
          </cell>
          <cell r="C945">
            <v>1</v>
          </cell>
          <cell r="D945">
            <v>1</v>
          </cell>
          <cell r="E945">
            <v>0.25</v>
          </cell>
          <cell r="F945">
            <v>0.2</v>
          </cell>
          <cell r="G945">
            <v>2.65</v>
          </cell>
          <cell r="P945" t="str">
            <v>V</v>
          </cell>
          <cell r="Q945" t="str">
            <v>1"</v>
          </cell>
          <cell r="R945">
            <v>2</v>
          </cell>
          <cell r="S945">
            <v>2.65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25.408000000000001</v>
          </cell>
          <cell r="AD945">
            <v>0</v>
          </cell>
        </row>
        <row r="946">
          <cell r="C946">
            <v>1</v>
          </cell>
          <cell r="D946">
            <v>1</v>
          </cell>
          <cell r="F946">
            <v>0</v>
          </cell>
          <cell r="G946">
            <v>2.65</v>
          </cell>
          <cell r="P946" t="str">
            <v>V</v>
          </cell>
          <cell r="Q946" t="str">
            <v>3/4"</v>
          </cell>
          <cell r="R946">
            <v>2</v>
          </cell>
          <cell r="S946">
            <v>2.65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13.440000000000001</v>
          </cell>
          <cell r="AC946">
            <v>0</v>
          </cell>
          <cell r="AD946">
            <v>0</v>
          </cell>
        </row>
        <row r="947">
          <cell r="B947" t="str">
            <v>Est</v>
          </cell>
          <cell r="C947">
            <v>1</v>
          </cell>
          <cell r="D947">
            <v>1</v>
          </cell>
          <cell r="E947">
            <v>0.25</v>
          </cell>
          <cell r="F947">
            <v>0.2</v>
          </cell>
          <cell r="G947">
            <v>2.65</v>
          </cell>
          <cell r="Q947" t="str">
            <v>3/8"</v>
          </cell>
          <cell r="R947">
            <v>10</v>
          </cell>
          <cell r="S947">
            <v>0.9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5.0400000000000009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</row>
        <row r="948">
          <cell r="B948" t="str">
            <v>Acero Vert</v>
          </cell>
          <cell r="C948">
            <v>1</v>
          </cell>
          <cell r="D948">
            <v>1</v>
          </cell>
          <cell r="E948">
            <v>5.3999999999999995</v>
          </cell>
          <cell r="F948">
            <v>0.2</v>
          </cell>
          <cell r="G948">
            <v>2.65</v>
          </cell>
          <cell r="H948">
            <v>210</v>
          </cell>
          <cell r="I948">
            <v>2.8619999999999997</v>
          </cell>
          <cell r="J948">
            <v>0</v>
          </cell>
          <cell r="K948">
            <v>0</v>
          </cell>
          <cell r="L948">
            <v>2.8619999999999997</v>
          </cell>
          <cell r="M948">
            <v>11.2</v>
          </cell>
          <cell r="N948">
            <v>2.4499999999999997</v>
          </cell>
          <cell r="O948">
            <v>27.439999999999994</v>
          </cell>
          <cell r="P948" t="str">
            <v>V</v>
          </cell>
          <cell r="Q948" t="str">
            <v>3/8"</v>
          </cell>
          <cell r="R948">
            <v>36</v>
          </cell>
          <cell r="S948">
            <v>3.15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73.583999999999989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</row>
        <row r="949">
          <cell r="B949" t="str">
            <v>Acero Hor</v>
          </cell>
          <cell r="C949">
            <v>1</v>
          </cell>
          <cell r="D949">
            <v>1</v>
          </cell>
          <cell r="G949">
            <v>2.65</v>
          </cell>
          <cell r="P949" t="str">
            <v>H</v>
          </cell>
          <cell r="Q949" t="str">
            <v>3/8"</v>
          </cell>
          <cell r="R949">
            <v>20</v>
          </cell>
          <cell r="S949">
            <v>5.8999999999999995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66.08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</row>
        <row r="950">
          <cell r="B950" t="str">
            <v>Nucleo A</v>
          </cell>
          <cell r="C950">
            <v>1</v>
          </cell>
          <cell r="D950">
            <v>1</v>
          </cell>
          <cell r="E950">
            <v>0.25</v>
          </cell>
          <cell r="F950">
            <v>0.2</v>
          </cell>
          <cell r="G950">
            <v>2.65</v>
          </cell>
          <cell r="P950" t="str">
            <v>V</v>
          </cell>
          <cell r="Q950" t="str">
            <v>3/4"</v>
          </cell>
          <cell r="R950">
            <v>4</v>
          </cell>
          <cell r="S950">
            <v>2.65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26.880000000000003</v>
          </cell>
          <cell r="AC950">
            <v>0</v>
          </cell>
          <cell r="AD950">
            <v>0</v>
          </cell>
        </row>
        <row r="951">
          <cell r="B951" t="str">
            <v>Est</v>
          </cell>
          <cell r="C951">
            <v>1</v>
          </cell>
          <cell r="D951">
            <v>1</v>
          </cell>
          <cell r="E951">
            <v>0.25</v>
          </cell>
          <cell r="F951">
            <v>0.2</v>
          </cell>
          <cell r="G951">
            <v>2.65</v>
          </cell>
          <cell r="Q951" t="str">
            <v>3/8"</v>
          </cell>
          <cell r="R951">
            <v>10</v>
          </cell>
          <cell r="S951">
            <v>0.9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5.0400000000000009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</row>
        <row r="952">
          <cell r="B952" t="str">
            <v>Nucleo A</v>
          </cell>
          <cell r="C952">
            <v>1</v>
          </cell>
          <cell r="D952">
            <v>1</v>
          </cell>
          <cell r="E952">
            <v>0.2</v>
          </cell>
          <cell r="F952">
            <v>0.2</v>
          </cell>
          <cell r="G952">
            <v>2.65</v>
          </cell>
          <cell r="P952" t="str">
            <v>V</v>
          </cell>
          <cell r="Q952" t="str">
            <v>3/4"</v>
          </cell>
          <cell r="R952">
            <v>4</v>
          </cell>
          <cell r="S952">
            <v>2.65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26.880000000000003</v>
          </cell>
          <cell r="AC952">
            <v>0</v>
          </cell>
          <cell r="AD952">
            <v>0</v>
          </cell>
        </row>
        <row r="953">
          <cell r="B953" t="str">
            <v>Est</v>
          </cell>
          <cell r="C953">
            <v>1</v>
          </cell>
          <cell r="D953">
            <v>1</v>
          </cell>
          <cell r="E953">
            <v>0.2</v>
          </cell>
          <cell r="F953">
            <v>0.2</v>
          </cell>
          <cell r="G953">
            <v>2.65</v>
          </cell>
          <cell r="Q953" t="str">
            <v>3/8"</v>
          </cell>
          <cell r="R953">
            <v>10</v>
          </cell>
          <cell r="S953">
            <v>0.8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4.4800000000000004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</row>
        <row r="954"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</row>
        <row r="955">
          <cell r="B955" t="str">
            <v>B1-PL-02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</row>
        <row r="956">
          <cell r="B956" t="str">
            <v>Acero Vert</v>
          </cell>
          <cell r="C956">
            <v>1</v>
          </cell>
          <cell r="D956">
            <v>1</v>
          </cell>
          <cell r="E956">
            <v>8.64</v>
          </cell>
          <cell r="F956">
            <v>0.2</v>
          </cell>
          <cell r="G956">
            <v>2.65</v>
          </cell>
          <cell r="H956">
            <v>210</v>
          </cell>
          <cell r="I956">
            <v>4.5792000000000002</v>
          </cell>
          <cell r="J956">
            <v>0</v>
          </cell>
          <cell r="K956">
            <v>0</v>
          </cell>
          <cell r="L956">
            <v>4.5792000000000002</v>
          </cell>
          <cell r="M956">
            <v>17.68</v>
          </cell>
          <cell r="N956">
            <v>2.4499999999999997</v>
          </cell>
          <cell r="O956">
            <v>43.315999999999995</v>
          </cell>
          <cell r="P956" t="str">
            <v>V</v>
          </cell>
          <cell r="Q956" t="str">
            <v>3/8"</v>
          </cell>
          <cell r="R956">
            <v>56</v>
          </cell>
          <cell r="S956">
            <v>3.15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114.46400000000001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</row>
        <row r="957">
          <cell r="B957" t="str">
            <v>Acero Hor</v>
          </cell>
          <cell r="C957">
            <v>1</v>
          </cell>
          <cell r="D957">
            <v>1</v>
          </cell>
          <cell r="G957">
            <v>2.65</v>
          </cell>
          <cell r="P957" t="str">
            <v>H</v>
          </cell>
          <cell r="Q957" t="str">
            <v>3/8"</v>
          </cell>
          <cell r="R957">
            <v>20</v>
          </cell>
          <cell r="S957">
            <v>9.14</v>
          </cell>
          <cell r="T957">
            <v>1</v>
          </cell>
          <cell r="U957">
            <v>0</v>
          </cell>
          <cell r="V957">
            <v>0</v>
          </cell>
          <cell r="W957">
            <v>0</v>
          </cell>
          <cell r="X957">
            <v>106.84800000000001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</row>
        <row r="958">
          <cell r="B958" t="str">
            <v>Nucleo A</v>
          </cell>
          <cell r="C958">
            <v>1</v>
          </cell>
          <cell r="D958">
            <v>1</v>
          </cell>
          <cell r="E958">
            <v>0.25</v>
          </cell>
          <cell r="F958">
            <v>0.2</v>
          </cell>
          <cell r="G958">
            <v>2.65</v>
          </cell>
          <cell r="P958" t="str">
            <v>V</v>
          </cell>
          <cell r="Q958" t="str">
            <v>3/4"</v>
          </cell>
          <cell r="R958">
            <v>2</v>
          </cell>
          <cell r="S958">
            <v>2.65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13.440000000000001</v>
          </cell>
          <cell r="AC958">
            <v>0</v>
          </cell>
          <cell r="AD958">
            <v>0</v>
          </cell>
        </row>
        <row r="959">
          <cell r="C959">
            <v>1</v>
          </cell>
          <cell r="D959">
            <v>1</v>
          </cell>
          <cell r="F959">
            <v>0</v>
          </cell>
          <cell r="G959">
            <v>2.65</v>
          </cell>
          <cell r="P959" t="str">
            <v>V</v>
          </cell>
          <cell r="Q959" t="str">
            <v>3/4"</v>
          </cell>
          <cell r="R959">
            <v>2</v>
          </cell>
          <cell r="S959">
            <v>2.65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13.440000000000001</v>
          </cell>
          <cell r="AC959">
            <v>0</v>
          </cell>
          <cell r="AD959">
            <v>0</v>
          </cell>
        </row>
        <row r="960">
          <cell r="B960" t="str">
            <v>Est</v>
          </cell>
          <cell r="C960">
            <v>1</v>
          </cell>
          <cell r="D960">
            <v>1</v>
          </cell>
          <cell r="E960">
            <v>0.25</v>
          </cell>
          <cell r="F960">
            <v>0.2</v>
          </cell>
          <cell r="G960">
            <v>2.65</v>
          </cell>
          <cell r="Q960" t="str">
            <v>3/8"</v>
          </cell>
          <cell r="R960">
            <v>10</v>
          </cell>
          <cell r="S960">
            <v>0.9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5.0400000000000009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</row>
        <row r="961">
          <cell r="B961" t="str">
            <v>Nucleo A</v>
          </cell>
          <cell r="C961">
            <v>1</v>
          </cell>
          <cell r="D961">
            <v>1</v>
          </cell>
          <cell r="E961">
            <v>0.25</v>
          </cell>
          <cell r="F961">
            <v>0.2</v>
          </cell>
          <cell r="G961">
            <v>2.65</v>
          </cell>
          <cell r="P961" t="str">
            <v>V</v>
          </cell>
          <cell r="Q961" t="str">
            <v>3/4"</v>
          </cell>
          <cell r="R961">
            <v>2</v>
          </cell>
          <cell r="S961">
            <v>2.65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13.440000000000001</v>
          </cell>
          <cell r="AC961">
            <v>0</v>
          </cell>
          <cell r="AD961">
            <v>0</v>
          </cell>
        </row>
        <row r="962">
          <cell r="C962">
            <v>1</v>
          </cell>
          <cell r="D962">
            <v>1</v>
          </cell>
          <cell r="F962">
            <v>0.2</v>
          </cell>
          <cell r="G962">
            <v>2.65</v>
          </cell>
          <cell r="P962" t="str">
            <v>V</v>
          </cell>
          <cell r="Q962" t="str">
            <v>3/4"</v>
          </cell>
          <cell r="R962">
            <v>2</v>
          </cell>
          <cell r="S962">
            <v>2.65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13.440000000000001</v>
          </cell>
          <cell r="AC962">
            <v>0</v>
          </cell>
          <cell r="AD962">
            <v>0</v>
          </cell>
        </row>
        <row r="963">
          <cell r="B963" t="str">
            <v>Est</v>
          </cell>
          <cell r="C963">
            <v>1</v>
          </cell>
          <cell r="D963">
            <v>1</v>
          </cell>
          <cell r="E963">
            <v>0.25</v>
          </cell>
          <cell r="F963">
            <v>0.2</v>
          </cell>
          <cell r="G963">
            <v>2.65</v>
          </cell>
          <cell r="Q963" t="str">
            <v>3/8"</v>
          </cell>
          <cell r="R963">
            <v>10</v>
          </cell>
          <cell r="S963">
            <v>0.9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5.0400000000000009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</row>
        <row r="964"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</row>
        <row r="965">
          <cell r="B965" t="str">
            <v>B1-PL-03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</row>
        <row r="966">
          <cell r="B966" t="str">
            <v>Acero Vert</v>
          </cell>
          <cell r="C966">
            <v>1</v>
          </cell>
          <cell r="D966">
            <v>1</v>
          </cell>
          <cell r="E966">
            <v>9</v>
          </cell>
          <cell r="F966">
            <v>0.2</v>
          </cell>
          <cell r="G966">
            <v>2.65</v>
          </cell>
          <cell r="H966">
            <v>210</v>
          </cell>
          <cell r="I966">
            <v>4.7699999999999996</v>
          </cell>
          <cell r="J966">
            <v>0</v>
          </cell>
          <cell r="K966">
            <v>0</v>
          </cell>
          <cell r="L966">
            <v>4.7699999999999996</v>
          </cell>
          <cell r="M966">
            <v>18.399999999999999</v>
          </cell>
          <cell r="N966">
            <v>2.4499999999999997</v>
          </cell>
          <cell r="O966">
            <v>45.079999999999991</v>
          </cell>
          <cell r="P966" t="str">
            <v>V</v>
          </cell>
          <cell r="Q966" t="str">
            <v>3/8"</v>
          </cell>
          <cell r="R966">
            <v>58</v>
          </cell>
          <cell r="S966">
            <v>3.15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118.55200000000001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</row>
        <row r="967">
          <cell r="B967" t="str">
            <v>Acero Hor</v>
          </cell>
          <cell r="C967">
            <v>1</v>
          </cell>
          <cell r="D967">
            <v>1</v>
          </cell>
          <cell r="E967">
            <v>0.3</v>
          </cell>
          <cell r="F967">
            <v>0.4</v>
          </cell>
          <cell r="G967">
            <v>2.65</v>
          </cell>
          <cell r="H967">
            <v>210</v>
          </cell>
          <cell r="I967">
            <v>0.318</v>
          </cell>
          <cell r="J967">
            <v>0</v>
          </cell>
          <cell r="K967">
            <v>0</v>
          </cell>
          <cell r="L967">
            <v>0.318</v>
          </cell>
          <cell r="M967">
            <v>1.4</v>
          </cell>
          <cell r="N967">
            <v>2.4499999999999997</v>
          </cell>
          <cell r="O967">
            <v>3.4299999999999993</v>
          </cell>
          <cell r="P967" t="str">
            <v>H</v>
          </cell>
          <cell r="Q967" t="str">
            <v>3/8"</v>
          </cell>
          <cell r="R967">
            <v>20</v>
          </cell>
          <cell r="S967">
            <v>9.3000000000000007</v>
          </cell>
          <cell r="T967">
            <v>1</v>
          </cell>
          <cell r="U967">
            <v>0</v>
          </cell>
          <cell r="V967">
            <v>0</v>
          </cell>
          <cell r="W967">
            <v>0</v>
          </cell>
          <cell r="X967">
            <v>108.64000000000001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</row>
        <row r="968">
          <cell r="B968" t="str">
            <v>Nucleo A</v>
          </cell>
          <cell r="C968">
            <v>1</v>
          </cell>
          <cell r="D968">
            <v>1</v>
          </cell>
          <cell r="E968">
            <v>0.4</v>
          </cell>
          <cell r="F968">
            <v>0.5</v>
          </cell>
          <cell r="G968">
            <v>2.65</v>
          </cell>
          <cell r="P968" t="str">
            <v>V</v>
          </cell>
          <cell r="Q968" t="str">
            <v>3/4"</v>
          </cell>
          <cell r="R968">
            <v>8</v>
          </cell>
          <cell r="S968">
            <v>2.65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53.760000000000005</v>
          </cell>
          <cell r="AC968">
            <v>0</v>
          </cell>
          <cell r="AD968">
            <v>0</v>
          </cell>
        </row>
        <row r="969">
          <cell r="B969" t="str">
            <v>Nucleo A</v>
          </cell>
          <cell r="C969">
            <v>1</v>
          </cell>
          <cell r="D969">
            <v>1</v>
          </cell>
          <cell r="G969">
            <v>2.65</v>
          </cell>
          <cell r="P969" t="str">
            <v>V</v>
          </cell>
          <cell r="Q969" t="str">
            <v>3/4"</v>
          </cell>
          <cell r="R969">
            <v>4</v>
          </cell>
          <cell r="S969">
            <v>2.65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26.880000000000003</v>
          </cell>
          <cell r="AC969">
            <v>0</v>
          </cell>
          <cell r="AD969">
            <v>0</v>
          </cell>
        </row>
        <row r="970">
          <cell r="B970" t="str">
            <v>Est</v>
          </cell>
          <cell r="C970">
            <v>1</v>
          </cell>
          <cell r="D970">
            <v>1</v>
          </cell>
          <cell r="E970">
            <v>0.4</v>
          </cell>
          <cell r="F970">
            <v>0.5</v>
          </cell>
          <cell r="G970">
            <v>2.65</v>
          </cell>
          <cell r="Q970" t="str">
            <v>3/8"</v>
          </cell>
          <cell r="R970">
            <v>10</v>
          </cell>
          <cell r="S970">
            <v>1.8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10.080000000000002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</row>
        <row r="971">
          <cell r="B971" t="str">
            <v>Est</v>
          </cell>
          <cell r="C971">
            <v>1</v>
          </cell>
          <cell r="D971">
            <v>1</v>
          </cell>
          <cell r="E971">
            <v>0.25</v>
          </cell>
          <cell r="F971">
            <v>0.5</v>
          </cell>
          <cell r="G971">
            <v>2.65</v>
          </cell>
          <cell r="Q971" t="str">
            <v>3/8"</v>
          </cell>
          <cell r="R971">
            <v>10</v>
          </cell>
          <cell r="S971">
            <v>1.5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8.4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</row>
        <row r="972">
          <cell r="B972" t="str">
            <v>Est</v>
          </cell>
          <cell r="C972">
            <v>1</v>
          </cell>
          <cell r="D972">
            <v>1</v>
          </cell>
          <cell r="E972">
            <v>0.4</v>
          </cell>
          <cell r="F972">
            <v>0.1</v>
          </cell>
          <cell r="G972">
            <v>2.65</v>
          </cell>
          <cell r="Q972" t="str">
            <v>3/8"</v>
          </cell>
          <cell r="R972">
            <v>10</v>
          </cell>
          <cell r="S972">
            <v>0.5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2.8000000000000003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</row>
        <row r="973">
          <cell r="B973" t="str">
            <v>Nucleo A</v>
          </cell>
          <cell r="C973">
            <v>1</v>
          </cell>
          <cell r="D973">
            <v>1</v>
          </cell>
          <cell r="E973">
            <v>0.25</v>
          </cell>
          <cell r="F973">
            <v>0.2</v>
          </cell>
          <cell r="G973">
            <v>2.65</v>
          </cell>
          <cell r="P973" t="str">
            <v>V</v>
          </cell>
          <cell r="Q973" t="str">
            <v>3/4"</v>
          </cell>
          <cell r="R973">
            <v>2</v>
          </cell>
          <cell r="S973">
            <v>2.65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13.440000000000001</v>
          </cell>
          <cell r="AC973">
            <v>0</v>
          </cell>
          <cell r="AD973">
            <v>0</v>
          </cell>
        </row>
        <row r="974">
          <cell r="B974" t="str">
            <v>Nucleo A</v>
          </cell>
          <cell r="C974">
            <v>1</v>
          </cell>
          <cell r="D974">
            <v>1</v>
          </cell>
          <cell r="G974">
            <v>2.65</v>
          </cell>
          <cell r="P974" t="str">
            <v>V</v>
          </cell>
          <cell r="Q974" t="str">
            <v>3/4"</v>
          </cell>
          <cell r="R974">
            <v>2</v>
          </cell>
          <cell r="S974">
            <v>2.65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13.440000000000001</v>
          </cell>
          <cell r="AC974">
            <v>0</v>
          </cell>
          <cell r="AD974">
            <v>0</v>
          </cell>
        </row>
        <row r="975">
          <cell r="B975" t="str">
            <v>Est</v>
          </cell>
          <cell r="C975">
            <v>1</v>
          </cell>
          <cell r="D975">
            <v>1</v>
          </cell>
          <cell r="E975">
            <v>0.25</v>
          </cell>
          <cell r="F975">
            <v>0.2</v>
          </cell>
          <cell r="G975">
            <v>2.65</v>
          </cell>
          <cell r="Q975" t="str">
            <v>3/8"</v>
          </cell>
          <cell r="R975">
            <v>10</v>
          </cell>
          <cell r="S975">
            <v>0.9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5.0400000000000009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</row>
        <row r="976"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</row>
        <row r="977">
          <cell r="B977" t="str">
            <v>B1-PL-04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</row>
        <row r="978">
          <cell r="B978" t="str">
            <v>Acero Vert</v>
          </cell>
          <cell r="C978">
            <v>2</v>
          </cell>
          <cell r="D978">
            <v>1</v>
          </cell>
          <cell r="E978">
            <v>2.2999999999999998</v>
          </cell>
          <cell r="F978">
            <v>0.25</v>
          </cell>
          <cell r="G978">
            <v>2.65</v>
          </cell>
          <cell r="H978">
            <v>210</v>
          </cell>
          <cell r="I978">
            <v>3.0474999999999999</v>
          </cell>
          <cell r="J978">
            <v>0</v>
          </cell>
          <cell r="K978">
            <v>0</v>
          </cell>
          <cell r="L978">
            <v>3.0474999999999999</v>
          </cell>
          <cell r="M978">
            <v>5.0999999999999996</v>
          </cell>
          <cell r="N978">
            <v>2.4499999999999997</v>
          </cell>
          <cell r="O978">
            <v>24.989999999999995</v>
          </cell>
          <cell r="P978" t="str">
            <v>V</v>
          </cell>
          <cell r="Q978" t="str">
            <v>3/8"</v>
          </cell>
          <cell r="R978">
            <v>16</v>
          </cell>
          <cell r="S978">
            <v>3.15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65.408000000000001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</row>
        <row r="979">
          <cell r="B979" t="str">
            <v>Acero Hor</v>
          </cell>
          <cell r="C979">
            <v>2</v>
          </cell>
          <cell r="D979">
            <v>1</v>
          </cell>
          <cell r="E979">
            <v>0.25</v>
          </cell>
          <cell r="F979">
            <v>0.4</v>
          </cell>
          <cell r="G979">
            <v>2.65</v>
          </cell>
          <cell r="H979">
            <v>210</v>
          </cell>
          <cell r="I979">
            <v>0.53</v>
          </cell>
          <cell r="J979">
            <v>0</v>
          </cell>
          <cell r="K979">
            <v>0</v>
          </cell>
          <cell r="L979">
            <v>0.53</v>
          </cell>
          <cell r="M979">
            <v>1.3</v>
          </cell>
          <cell r="N979">
            <v>2.4499999999999997</v>
          </cell>
          <cell r="O979">
            <v>6.3699999999999992</v>
          </cell>
          <cell r="P979" t="str">
            <v>H</v>
          </cell>
          <cell r="Q979" t="str">
            <v>3/8"</v>
          </cell>
          <cell r="R979">
            <v>24</v>
          </cell>
          <cell r="S979">
            <v>2.5999999999999996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69.887999999999991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</row>
        <row r="980">
          <cell r="B980" t="str">
            <v>Nucleo A</v>
          </cell>
          <cell r="C980">
            <v>2</v>
          </cell>
          <cell r="D980">
            <v>1</v>
          </cell>
          <cell r="E980">
            <v>0.4</v>
          </cell>
          <cell r="F980">
            <v>0.45</v>
          </cell>
          <cell r="G980">
            <v>2.65</v>
          </cell>
          <cell r="P980" t="str">
            <v>V</v>
          </cell>
          <cell r="Q980" t="str">
            <v>3/4"</v>
          </cell>
          <cell r="R980">
            <v>4</v>
          </cell>
          <cell r="S980">
            <v>2.65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53.760000000000005</v>
          </cell>
          <cell r="AC980">
            <v>0</v>
          </cell>
          <cell r="AD980">
            <v>0</v>
          </cell>
        </row>
        <row r="981">
          <cell r="B981" t="str">
            <v>Nucleo A</v>
          </cell>
          <cell r="C981">
            <v>2</v>
          </cell>
          <cell r="D981">
            <v>1</v>
          </cell>
          <cell r="G981">
            <v>2.65</v>
          </cell>
          <cell r="P981" t="str">
            <v>V</v>
          </cell>
          <cell r="Q981" t="str">
            <v>3/4"</v>
          </cell>
          <cell r="R981">
            <v>8</v>
          </cell>
          <cell r="S981">
            <v>2.65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107.52000000000001</v>
          </cell>
          <cell r="AC981">
            <v>0</v>
          </cell>
          <cell r="AD981">
            <v>0</v>
          </cell>
        </row>
        <row r="982">
          <cell r="B982" t="str">
            <v>Est</v>
          </cell>
          <cell r="C982">
            <v>2</v>
          </cell>
          <cell r="D982">
            <v>1</v>
          </cell>
          <cell r="E982">
            <v>0.4</v>
          </cell>
          <cell r="F982">
            <v>0.45</v>
          </cell>
          <cell r="G982">
            <v>2.65</v>
          </cell>
          <cell r="Q982" t="str">
            <v>3/8"</v>
          </cell>
          <cell r="R982">
            <v>11</v>
          </cell>
          <cell r="S982">
            <v>1.7000000000000002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20.944000000000006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</row>
        <row r="983">
          <cell r="B983" t="str">
            <v>Est</v>
          </cell>
          <cell r="C983">
            <v>2</v>
          </cell>
          <cell r="D983">
            <v>1</v>
          </cell>
          <cell r="E983">
            <v>0.25</v>
          </cell>
          <cell r="F983">
            <v>0.45</v>
          </cell>
          <cell r="G983">
            <v>2.65</v>
          </cell>
          <cell r="Q983" t="str">
            <v>3/8"</v>
          </cell>
          <cell r="R983">
            <v>11</v>
          </cell>
          <cell r="S983">
            <v>1.4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17.248000000000001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</row>
        <row r="984">
          <cell r="B984" t="str">
            <v>Est</v>
          </cell>
          <cell r="C984">
            <v>2</v>
          </cell>
          <cell r="D984">
            <v>1</v>
          </cell>
          <cell r="E984">
            <v>0.4</v>
          </cell>
          <cell r="F984">
            <v>0.1</v>
          </cell>
          <cell r="G984">
            <v>2.65</v>
          </cell>
          <cell r="Q984" t="str">
            <v>3/8"</v>
          </cell>
          <cell r="R984">
            <v>11</v>
          </cell>
          <cell r="S984">
            <v>0.5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6.16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</row>
        <row r="985">
          <cell r="B985" t="str">
            <v>Nucleo A</v>
          </cell>
          <cell r="C985">
            <v>2</v>
          </cell>
          <cell r="D985">
            <v>1</v>
          </cell>
          <cell r="E985">
            <v>0.25</v>
          </cell>
          <cell r="F985">
            <v>0.25</v>
          </cell>
          <cell r="G985">
            <v>2.65</v>
          </cell>
          <cell r="P985" t="str">
            <v>V</v>
          </cell>
          <cell r="Q985" t="str">
            <v>3/4"</v>
          </cell>
          <cell r="R985">
            <v>2</v>
          </cell>
          <cell r="S985">
            <v>2.65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26.880000000000003</v>
          </cell>
          <cell r="AC985">
            <v>0</v>
          </cell>
          <cell r="AD985">
            <v>0</v>
          </cell>
        </row>
        <row r="986">
          <cell r="B986" t="str">
            <v>Nucleo A</v>
          </cell>
          <cell r="C986">
            <v>2</v>
          </cell>
          <cell r="D986">
            <v>1</v>
          </cell>
          <cell r="G986">
            <v>2.65</v>
          </cell>
          <cell r="P986" t="str">
            <v>V</v>
          </cell>
          <cell r="Q986" t="str">
            <v>3/4"</v>
          </cell>
          <cell r="R986">
            <v>2</v>
          </cell>
          <cell r="S986">
            <v>2.65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26.880000000000003</v>
          </cell>
          <cell r="AC986">
            <v>0</v>
          </cell>
          <cell r="AD986">
            <v>0</v>
          </cell>
        </row>
        <row r="987">
          <cell r="B987" t="str">
            <v>Est</v>
          </cell>
          <cell r="C987">
            <v>2</v>
          </cell>
          <cell r="D987">
            <v>1</v>
          </cell>
          <cell r="E987">
            <v>0.25</v>
          </cell>
          <cell r="F987">
            <v>0.25</v>
          </cell>
          <cell r="G987">
            <v>2.65</v>
          </cell>
          <cell r="Q987" t="str">
            <v>3/8"</v>
          </cell>
          <cell r="R987">
            <v>11</v>
          </cell>
          <cell r="S987">
            <v>1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12.32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</row>
        <row r="988">
          <cell r="C988">
            <v>1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</row>
        <row r="989">
          <cell r="B989" t="str">
            <v>B1-PL-05</v>
          </cell>
          <cell r="C989">
            <v>1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</row>
        <row r="990">
          <cell r="B990" t="str">
            <v>Acero Vert</v>
          </cell>
          <cell r="C990">
            <v>1</v>
          </cell>
          <cell r="D990">
            <v>1</v>
          </cell>
          <cell r="E990">
            <v>2.2999999999999998</v>
          </cell>
          <cell r="F990">
            <v>0.25</v>
          </cell>
          <cell r="G990">
            <v>2.65</v>
          </cell>
          <cell r="H990">
            <v>210</v>
          </cell>
          <cell r="I990">
            <v>1.5237499999999999</v>
          </cell>
          <cell r="J990">
            <v>0</v>
          </cell>
          <cell r="K990">
            <v>0</v>
          </cell>
          <cell r="L990">
            <v>1.5237499999999999</v>
          </cell>
          <cell r="M990">
            <v>5.0999999999999996</v>
          </cell>
          <cell r="N990">
            <v>2.4499999999999997</v>
          </cell>
          <cell r="O990">
            <v>12.494999999999997</v>
          </cell>
          <cell r="P990" t="str">
            <v>V</v>
          </cell>
          <cell r="Q990" t="str">
            <v>3/8"</v>
          </cell>
          <cell r="R990">
            <v>16</v>
          </cell>
          <cell r="S990">
            <v>3.15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32.704000000000001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</row>
        <row r="991">
          <cell r="B991" t="str">
            <v>Acero Hor</v>
          </cell>
          <cell r="C991">
            <v>1</v>
          </cell>
          <cell r="D991">
            <v>1</v>
          </cell>
          <cell r="G991">
            <v>2.65</v>
          </cell>
          <cell r="P991" t="str">
            <v>H</v>
          </cell>
          <cell r="Q991" t="str">
            <v>3/8"</v>
          </cell>
          <cell r="R991">
            <v>24</v>
          </cell>
          <cell r="S991">
            <v>2.5999999999999996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34.943999999999996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</row>
        <row r="992">
          <cell r="B992" t="str">
            <v>Nucleo A</v>
          </cell>
          <cell r="C992">
            <v>1</v>
          </cell>
          <cell r="D992">
            <v>1</v>
          </cell>
          <cell r="E992">
            <v>0.25</v>
          </cell>
          <cell r="F992">
            <v>0.25</v>
          </cell>
          <cell r="G992">
            <v>2.65</v>
          </cell>
          <cell r="P992" t="str">
            <v>V</v>
          </cell>
          <cell r="Q992" t="str">
            <v>3/4"</v>
          </cell>
          <cell r="R992">
            <v>2</v>
          </cell>
          <cell r="S992">
            <v>2.65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13.440000000000001</v>
          </cell>
          <cell r="AC992">
            <v>0</v>
          </cell>
          <cell r="AD992">
            <v>0</v>
          </cell>
        </row>
        <row r="993">
          <cell r="B993" t="str">
            <v>Nucleo A</v>
          </cell>
          <cell r="C993">
            <v>1</v>
          </cell>
          <cell r="D993">
            <v>1</v>
          </cell>
          <cell r="G993">
            <v>2.65</v>
          </cell>
          <cell r="P993" t="str">
            <v>V</v>
          </cell>
          <cell r="Q993" t="str">
            <v>3/4"</v>
          </cell>
          <cell r="R993">
            <v>2</v>
          </cell>
          <cell r="S993">
            <v>2.65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13.440000000000001</v>
          </cell>
          <cell r="AC993">
            <v>0</v>
          </cell>
          <cell r="AD993">
            <v>0</v>
          </cell>
        </row>
        <row r="994">
          <cell r="B994" t="str">
            <v>Est</v>
          </cell>
          <cell r="C994">
            <v>1</v>
          </cell>
          <cell r="D994">
            <v>1</v>
          </cell>
          <cell r="E994">
            <v>0.25</v>
          </cell>
          <cell r="F994">
            <v>0.25</v>
          </cell>
          <cell r="G994">
            <v>2.65</v>
          </cell>
          <cell r="Q994" t="str">
            <v>3/8"</v>
          </cell>
          <cell r="R994">
            <v>11</v>
          </cell>
          <cell r="S994">
            <v>1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6.16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</row>
        <row r="995">
          <cell r="B995" t="str">
            <v>Nucleo A</v>
          </cell>
          <cell r="C995">
            <v>1</v>
          </cell>
          <cell r="D995">
            <v>1</v>
          </cell>
          <cell r="E995">
            <v>0.25</v>
          </cell>
          <cell r="F995">
            <v>0.25</v>
          </cell>
          <cell r="G995">
            <v>2.65</v>
          </cell>
          <cell r="P995" t="str">
            <v>V</v>
          </cell>
          <cell r="Q995" t="str">
            <v>3/4"</v>
          </cell>
          <cell r="R995">
            <v>2</v>
          </cell>
          <cell r="S995">
            <v>2.65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13.440000000000001</v>
          </cell>
          <cell r="AC995">
            <v>0</v>
          </cell>
          <cell r="AD995">
            <v>0</v>
          </cell>
        </row>
        <row r="996">
          <cell r="B996" t="str">
            <v>Nucleo A</v>
          </cell>
          <cell r="C996">
            <v>1</v>
          </cell>
          <cell r="D996">
            <v>1</v>
          </cell>
          <cell r="G996">
            <v>2.65</v>
          </cell>
          <cell r="P996" t="str">
            <v>V</v>
          </cell>
          <cell r="Q996" t="str">
            <v>3/4"</v>
          </cell>
          <cell r="R996">
            <v>2</v>
          </cell>
          <cell r="S996">
            <v>2.65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13.440000000000001</v>
          </cell>
          <cell r="AC996">
            <v>0</v>
          </cell>
          <cell r="AD996">
            <v>0</v>
          </cell>
        </row>
        <row r="997">
          <cell r="B997" t="str">
            <v>Est</v>
          </cell>
          <cell r="C997">
            <v>1</v>
          </cell>
          <cell r="D997">
            <v>1</v>
          </cell>
          <cell r="E997">
            <v>0.25</v>
          </cell>
          <cell r="F997">
            <v>0.25</v>
          </cell>
          <cell r="G997">
            <v>2.65</v>
          </cell>
          <cell r="Q997" t="str">
            <v>3/8"</v>
          </cell>
          <cell r="R997">
            <v>11</v>
          </cell>
          <cell r="S997">
            <v>1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6.16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</row>
        <row r="998">
          <cell r="B998" t="str">
            <v>B1-PL-06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</row>
        <row r="999">
          <cell r="B999" t="str">
            <v>Acero Vert</v>
          </cell>
          <cell r="C999">
            <v>1</v>
          </cell>
          <cell r="D999">
            <v>1</v>
          </cell>
          <cell r="E999">
            <v>4</v>
          </cell>
          <cell r="F999">
            <v>0.15</v>
          </cell>
          <cell r="G999">
            <v>2.65</v>
          </cell>
          <cell r="H999">
            <v>210</v>
          </cell>
          <cell r="I999">
            <v>1.5899999999999999</v>
          </cell>
          <cell r="J999">
            <v>0</v>
          </cell>
          <cell r="K999">
            <v>0</v>
          </cell>
          <cell r="L999">
            <v>1.5899999999999999</v>
          </cell>
          <cell r="M999">
            <v>8.3000000000000007</v>
          </cell>
          <cell r="N999">
            <v>2.4499999999999997</v>
          </cell>
          <cell r="O999">
            <v>20.335000000000001</v>
          </cell>
          <cell r="P999" t="str">
            <v>V</v>
          </cell>
          <cell r="Q999" t="str">
            <v>3/8"</v>
          </cell>
          <cell r="R999">
            <v>24</v>
          </cell>
          <cell r="S999">
            <v>3.15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49.056000000000004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</row>
        <row r="1000">
          <cell r="B1000" t="str">
            <v>Acero Hor</v>
          </cell>
          <cell r="C1000">
            <v>1</v>
          </cell>
          <cell r="D1000">
            <v>1</v>
          </cell>
          <cell r="G1000">
            <v>4.16</v>
          </cell>
          <cell r="P1000" t="str">
            <v>H</v>
          </cell>
          <cell r="Q1000" t="str">
            <v>3/8"</v>
          </cell>
          <cell r="R1000">
            <v>20</v>
          </cell>
          <cell r="S1000">
            <v>4.3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48.160000000000004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</row>
        <row r="1001">
          <cell r="B1001" t="str">
            <v>Nucleo A</v>
          </cell>
          <cell r="C1001">
            <v>1</v>
          </cell>
          <cell r="D1001">
            <v>1</v>
          </cell>
          <cell r="E1001">
            <v>0.4</v>
          </cell>
          <cell r="F1001">
            <v>0.15</v>
          </cell>
          <cell r="G1001">
            <v>2.65</v>
          </cell>
          <cell r="P1001" t="str">
            <v>V</v>
          </cell>
          <cell r="Q1001" t="str">
            <v>5/8"</v>
          </cell>
          <cell r="R1001">
            <v>4</v>
          </cell>
          <cell r="S1001">
            <v>2.65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18.29</v>
          </cell>
          <cell r="AB1001">
            <v>0</v>
          </cell>
          <cell r="AC1001">
            <v>0</v>
          </cell>
          <cell r="AD1001">
            <v>0</v>
          </cell>
        </row>
        <row r="1002">
          <cell r="B1002" t="str">
            <v>Est</v>
          </cell>
          <cell r="C1002">
            <v>1</v>
          </cell>
          <cell r="D1002">
            <v>1</v>
          </cell>
          <cell r="E1002">
            <v>0.4</v>
          </cell>
          <cell r="F1002">
            <v>0.15</v>
          </cell>
          <cell r="G1002">
            <v>2.65</v>
          </cell>
          <cell r="Q1002" t="str">
            <v>3/8"</v>
          </cell>
          <cell r="R1002">
            <v>10</v>
          </cell>
          <cell r="S1002">
            <v>1.1000000000000001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6.16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</row>
        <row r="1003">
          <cell r="B1003" t="str">
            <v>Nucleo A</v>
          </cell>
          <cell r="C1003">
            <v>1</v>
          </cell>
          <cell r="D1003">
            <v>1</v>
          </cell>
          <cell r="E1003">
            <v>0.2</v>
          </cell>
          <cell r="F1003">
            <v>0.15</v>
          </cell>
          <cell r="G1003">
            <v>2.65</v>
          </cell>
          <cell r="P1003" t="str">
            <v>V</v>
          </cell>
          <cell r="Q1003" t="str">
            <v>5/8"</v>
          </cell>
          <cell r="R1003">
            <v>4</v>
          </cell>
          <cell r="S1003">
            <v>2.65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18.29</v>
          </cell>
          <cell r="AB1003">
            <v>0</v>
          </cell>
          <cell r="AC1003">
            <v>0</v>
          </cell>
          <cell r="AD1003">
            <v>0</v>
          </cell>
        </row>
        <row r="1004">
          <cell r="B1004" t="str">
            <v>Est</v>
          </cell>
          <cell r="C1004">
            <v>1</v>
          </cell>
          <cell r="D1004">
            <v>1</v>
          </cell>
          <cell r="E1004">
            <v>0.2</v>
          </cell>
          <cell r="F1004">
            <v>0.15</v>
          </cell>
          <cell r="G1004">
            <v>2.65</v>
          </cell>
          <cell r="Q1004" t="str">
            <v>3/8"</v>
          </cell>
          <cell r="R1004">
            <v>10</v>
          </cell>
          <cell r="S1004">
            <v>0.7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3.9200000000000004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</row>
        <row r="1005">
          <cell r="B1005" t="str">
            <v>Nucleo B</v>
          </cell>
          <cell r="C1005">
            <v>1</v>
          </cell>
          <cell r="D1005">
            <v>1</v>
          </cell>
          <cell r="E1005">
            <v>1.76</v>
          </cell>
          <cell r="F1005">
            <v>0.25</v>
          </cell>
          <cell r="G1005">
            <v>2.65</v>
          </cell>
          <cell r="H1005">
            <v>210</v>
          </cell>
          <cell r="I1005">
            <v>1.1659999999999999</v>
          </cell>
          <cell r="J1005">
            <v>0</v>
          </cell>
          <cell r="K1005">
            <v>0</v>
          </cell>
          <cell r="L1005">
            <v>1.1659999999999999</v>
          </cell>
          <cell r="M1005">
            <v>4.0199999999999996</v>
          </cell>
          <cell r="N1005">
            <v>2.4499999999999997</v>
          </cell>
          <cell r="O1005">
            <v>9.8489999999999984</v>
          </cell>
          <cell r="P1005" t="str">
            <v>V</v>
          </cell>
          <cell r="Q1005" t="str">
            <v>5/8"</v>
          </cell>
          <cell r="R1005">
            <v>4</v>
          </cell>
          <cell r="S1005">
            <v>2.65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18.29</v>
          </cell>
          <cell r="AB1005">
            <v>0</v>
          </cell>
          <cell r="AC1005">
            <v>0</v>
          </cell>
          <cell r="AD1005">
            <v>0</v>
          </cell>
        </row>
        <row r="1006">
          <cell r="B1006" t="str">
            <v>Nucleo A</v>
          </cell>
          <cell r="C1006">
            <v>1</v>
          </cell>
          <cell r="D1006">
            <v>1</v>
          </cell>
          <cell r="G1006">
            <v>2.65</v>
          </cell>
          <cell r="P1006" t="str">
            <v>V</v>
          </cell>
          <cell r="Q1006" t="str">
            <v>5/8"</v>
          </cell>
          <cell r="R1006">
            <v>18</v>
          </cell>
          <cell r="S1006">
            <v>2.65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82.304999999999993</v>
          </cell>
          <cell r="AB1006">
            <v>0</v>
          </cell>
          <cell r="AC1006">
            <v>0</v>
          </cell>
          <cell r="AD1006">
            <v>0</v>
          </cell>
        </row>
        <row r="1007">
          <cell r="B1007" t="str">
            <v>Est</v>
          </cell>
          <cell r="C1007">
            <v>1</v>
          </cell>
          <cell r="D1007">
            <v>1</v>
          </cell>
          <cell r="E1007">
            <v>1.1000000000000001</v>
          </cell>
          <cell r="F1007">
            <v>0.25</v>
          </cell>
          <cell r="G1007">
            <v>2.65</v>
          </cell>
          <cell r="Q1007" t="str">
            <v>3/8"</v>
          </cell>
          <cell r="R1007">
            <v>24</v>
          </cell>
          <cell r="S1007">
            <v>2.7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36.288000000000011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</row>
        <row r="1008">
          <cell r="B1008" t="str">
            <v>Est</v>
          </cell>
          <cell r="C1008">
            <v>1</v>
          </cell>
          <cell r="D1008">
            <v>1</v>
          </cell>
          <cell r="E1008">
            <v>1.1000000000000001</v>
          </cell>
          <cell r="F1008">
            <v>0.25</v>
          </cell>
          <cell r="G1008">
            <v>2.65</v>
          </cell>
          <cell r="Q1008" t="str">
            <v>3/8"</v>
          </cell>
          <cell r="R1008">
            <v>24</v>
          </cell>
          <cell r="S1008">
            <v>2.7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36.288000000000011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</row>
        <row r="1009">
          <cell r="B1009" t="str">
            <v>Est</v>
          </cell>
          <cell r="C1009">
            <v>1</v>
          </cell>
          <cell r="D1009">
            <v>1</v>
          </cell>
          <cell r="E1009">
            <v>1.1000000000000001</v>
          </cell>
          <cell r="F1009">
            <v>0.25</v>
          </cell>
          <cell r="G1009">
            <v>2.65</v>
          </cell>
          <cell r="Q1009" t="str">
            <v>3/8"</v>
          </cell>
          <cell r="R1009">
            <v>24</v>
          </cell>
          <cell r="S1009">
            <v>2.7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36.288000000000011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</row>
        <row r="1010">
          <cell r="B1010" t="str">
            <v>Est</v>
          </cell>
          <cell r="C1010">
            <v>1</v>
          </cell>
          <cell r="D1010">
            <v>5</v>
          </cell>
          <cell r="E1010">
            <v>0.15</v>
          </cell>
          <cell r="F1010">
            <v>0.25</v>
          </cell>
          <cell r="G1010">
            <v>2.65</v>
          </cell>
          <cell r="Q1010" t="str">
            <v>3/8"</v>
          </cell>
          <cell r="R1010">
            <v>24</v>
          </cell>
          <cell r="S1010">
            <v>0.55000000000000004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36.96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</row>
        <row r="1011">
          <cell r="B1011" t="str">
            <v>Acero Vert</v>
          </cell>
          <cell r="C1011">
            <v>1</v>
          </cell>
          <cell r="D1011">
            <v>1</v>
          </cell>
          <cell r="E1011">
            <v>5</v>
          </cell>
          <cell r="F1011">
            <v>0.4</v>
          </cell>
          <cell r="G1011">
            <v>2.65</v>
          </cell>
          <cell r="H1011">
            <v>210</v>
          </cell>
          <cell r="I1011">
            <v>5.3</v>
          </cell>
          <cell r="J1011">
            <v>0</v>
          </cell>
          <cell r="K1011">
            <v>0</v>
          </cell>
          <cell r="L1011">
            <v>5.3</v>
          </cell>
          <cell r="M1011">
            <v>10.8</v>
          </cell>
          <cell r="N1011">
            <v>2.4499999999999997</v>
          </cell>
          <cell r="O1011">
            <v>26.459999999999997</v>
          </cell>
          <cell r="P1011" t="str">
            <v>V</v>
          </cell>
          <cell r="Q1011" t="str">
            <v>1/2"</v>
          </cell>
          <cell r="R1011">
            <v>36</v>
          </cell>
          <cell r="S1011">
            <v>3.15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121.17599999999999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</row>
        <row r="1012">
          <cell r="B1012" t="str">
            <v>Acero Hor</v>
          </cell>
          <cell r="C1012">
            <v>1</v>
          </cell>
          <cell r="D1012">
            <v>1</v>
          </cell>
          <cell r="G1012">
            <v>2.65</v>
          </cell>
          <cell r="P1012" t="str">
            <v>H</v>
          </cell>
          <cell r="Q1012" t="str">
            <v>1/2"</v>
          </cell>
          <cell r="R1012">
            <v>20</v>
          </cell>
          <cell r="S1012">
            <v>5.9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116.82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</row>
        <row r="1013">
          <cell r="B1013" t="str">
            <v>Acero Vert</v>
          </cell>
          <cell r="C1013">
            <v>1</v>
          </cell>
          <cell r="D1013">
            <v>1</v>
          </cell>
          <cell r="E1013">
            <v>2.3199999999999998</v>
          </cell>
          <cell r="F1013">
            <v>0.2</v>
          </cell>
          <cell r="G1013">
            <v>2.65</v>
          </cell>
          <cell r="H1013">
            <v>210</v>
          </cell>
          <cell r="I1013">
            <v>1.2295999999999998</v>
          </cell>
          <cell r="J1013">
            <v>0</v>
          </cell>
          <cell r="K1013">
            <v>0</v>
          </cell>
          <cell r="L1013">
            <v>1.2295999999999998</v>
          </cell>
          <cell r="M1013">
            <v>5.04</v>
          </cell>
          <cell r="N1013">
            <v>2.4499999999999997</v>
          </cell>
          <cell r="O1013">
            <v>12.347999999999999</v>
          </cell>
          <cell r="P1013" t="str">
            <v>V</v>
          </cell>
          <cell r="Q1013" t="str">
            <v>3/8"</v>
          </cell>
          <cell r="R1013">
            <v>12</v>
          </cell>
          <cell r="S1013">
            <v>3.15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24.528000000000002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</row>
        <row r="1014">
          <cell r="B1014" t="str">
            <v>Acero Hor</v>
          </cell>
          <cell r="C1014">
            <v>1</v>
          </cell>
          <cell r="D1014">
            <v>1</v>
          </cell>
          <cell r="G1014">
            <v>2.65</v>
          </cell>
          <cell r="P1014" t="str">
            <v>H</v>
          </cell>
          <cell r="Q1014" t="str">
            <v>3/8"</v>
          </cell>
          <cell r="R1014">
            <v>24</v>
          </cell>
          <cell r="S1014">
            <v>2.6199999999999997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35.212800000000001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</row>
        <row r="1015">
          <cell r="B1015" t="str">
            <v>Nucleo A</v>
          </cell>
          <cell r="C1015">
            <v>1</v>
          </cell>
          <cell r="D1015">
            <v>2</v>
          </cell>
          <cell r="E1015">
            <v>0.25</v>
          </cell>
          <cell r="F1015">
            <v>0.25</v>
          </cell>
          <cell r="G1015">
            <v>2.65</v>
          </cell>
          <cell r="P1015" t="str">
            <v>V</v>
          </cell>
          <cell r="Q1015" t="str">
            <v>3/4"</v>
          </cell>
          <cell r="R1015">
            <v>2</v>
          </cell>
          <cell r="S1015">
            <v>2.65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25.312000000000001</v>
          </cell>
          <cell r="AC1015">
            <v>0</v>
          </cell>
          <cell r="AD1015">
            <v>0</v>
          </cell>
        </row>
        <row r="1016">
          <cell r="B1016" t="str">
            <v>Nucleo A</v>
          </cell>
          <cell r="C1016">
            <v>1</v>
          </cell>
          <cell r="D1016">
            <v>2</v>
          </cell>
          <cell r="G1016">
            <v>2.65</v>
          </cell>
          <cell r="P1016" t="str">
            <v>V</v>
          </cell>
          <cell r="Q1016" t="str">
            <v>3/4"</v>
          </cell>
          <cell r="R1016">
            <v>2</v>
          </cell>
          <cell r="S1016">
            <v>2.65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25.312000000000001</v>
          </cell>
          <cell r="AC1016">
            <v>0</v>
          </cell>
          <cell r="AD1016">
            <v>0</v>
          </cell>
        </row>
        <row r="1017">
          <cell r="B1017" t="str">
            <v>Est</v>
          </cell>
          <cell r="C1017">
            <v>1</v>
          </cell>
          <cell r="D1017">
            <v>2</v>
          </cell>
          <cell r="E1017">
            <v>0.25</v>
          </cell>
          <cell r="F1017">
            <v>0.25</v>
          </cell>
          <cell r="G1017">
            <v>2.65</v>
          </cell>
          <cell r="Q1017" t="str">
            <v>3/8"</v>
          </cell>
          <cell r="R1017">
            <v>11</v>
          </cell>
          <cell r="S1017">
            <v>1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12.32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</row>
        <row r="1018"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</row>
        <row r="1019">
          <cell r="B1019" t="str">
            <v>12 PISO</v>
          </cell>
          <cell r="H1019">
            <v>210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</row>
        <row r="1020"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</row>
        <row r="1021">
          <cell r="B1021" t="str">
            <v>B1-PL-01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</row>
        <row r="1022">
          <cell r="B1022" t="str">
            <v>Acero Vert</v>
          </cell>
          <cell r="C1022">
            <v>1</v>
          </cell>
          <cell r="D1022">
            <v>1</v>
          </cell>
          <cell r="E1022">
            <v>4.2300000000000004</v>
          </cell>
          <cell r="F1022">
            <v>0.2</v>
          </cell>
          <cell r="G1022">
            <v>2.65</v>
          </cell>
          <cell r="H1022">
            <v>210</v>
          </cell>
          <cell r="I1022">
            <v>2.2419000000000002</v>
          </cell>
          <cell r="J1022">
            <v>0</v>
          </cell>
          <cell r="K1022">
            <v>0</v>
          </cell>
          <cell r="L1022">
            <v>2.2419000000000002</v>
          </cell>
          <cell r="M1022">
            <v>8.8600000000000012</v>
          </cell>
          <cell r="N1022">
            <v>2.4499999999999997</v>
          </cell>
          <cell r="O1022">
            <v>21.707000000000001</v>
          </cell>
          <cell r="P1022" t="str">
            <v>V</v>
          </cell>
          <cell r="Q1022" t="str">
            <v>3/8"</v>
          </cell>
          <cell r="R1022">
            <v>28</v>
          </cell>
          <cell r="S1022">
            <v>3.15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57.232000000000006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</row>
        <row r="1023">
          <cell r="B1023" t="str">
            <v>Acero Hor</v>
          </cell>
          <cell r="C1023">
            <v>1</v>
          </cell>
          <cell r="D1023">
            <v>1</v>
          </cell>
          <cell r="G1023">
            <v>2.65</v>
          </cell>
          <cell r="P1023" t="str">
            <v>H</v>
          </cell>
          <cell r="Q1023" t="str">
            <v>3/8"</v>
          </cell>
          <cell r="R1023">
            <v>20</v>
          </cell>
          <cell r="S1023">
            <v>4.53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50.736000000000011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</row>
        <row r="1024">
          <cell r="B1024" t="str">
            <v>Nucleo A</v>
          </cell>
          <cell r="C1024">
            <v>1</v>
          </cell>
          <cell r="D1024">
            <v>1</v>
          </cell>
          <cell r="E1024">
            <v>0.25</v>
          </cell>
          <cell r="F1024">
            <v>0.2</v>
          </cell>
          <cell r="G1024">
            <v>2.65</v>
          </cell>
          <cell r="P1024" t="str">
            <v>V</v>
          </cell>
          <cell r="Q1024" t="str">
            <v>1"</v>
          </cell>
          <cell r="R1024">
            <v>2</v>
          </cell>
          <cell r="S1024">
            <v>2.65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25.408000000000001</v>
          </cell>
          <cell r="AD1024">
            <v>0</v>
          </cell>
        </row>
        <row r="1025">
          <cell r="C1025">
            <v>1</v>
          </cell>
          <cell r="D1025">
            <v>1</v>
          </cell>
          <cell r="F1025">
            <v>0</v>
          </cell>
          <cell r="G1025">
            <v>2.65</v>
          </cell>
          <cell r="P1025" t="str">
            <v>V</v>
          </cell>
          <cell r="Q1025" t="str">
            <v>3/4"</v>
          </cell>
          <cell r="R1025">
            <v>2</v>
          </cell>
          <cell r="S1025">
            <v>2.65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13.440000000000001</v>
          </cell>
          <cell r="AC1025">
            <v>0</v>
          </cell>
          <cell r="AD1025">
            <v>0</v>
          </cell>
        </row>
        <row r="1026">
          <cell r="B1026" t="str">
            <v>Est</v>
          </cell>
          <cell r="C1026">
            <v>1</v>
          </cell>
          <cell r="D1026">
            <v>1</v>
          </cell>
          <cell r="E1026">
            <v>0.25</v>
          </cell>
          <cell r="F1026">
            <v>0.2</v>
          </cell>
          <cell r="G1026">
            <v>2.65</v>
          </cell>
          <cell r="Q1026" t="str">
            <v>3/8"</v>
          </cell>
          <cell r="R1026">
            <v>10</v>
          </cell>
          <cell r="S1026">
            <v>0.9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5.0400000000000009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</row>
        <row r="1027">
          <cell r="B1027" t="str">
            <v>Acero Vert</v>
          </cell>
          <cell r="C1027">
            <v>1</v>
          </cell>
          <cell r="D1027">
            <v>1</v>
          </cell>
          <cell r="E1027">
            <v>5.3999999999999995</v>
          </cell>
          <cell r="F1027">
            <v>0.2</v>
          </cell>
          <cell r="G1027">
            <v>2.65</v>
          </cell>
          <cell r="H1027">
            <v>210</v>
          </cell>
          <cell r="I1027">
            <v>2.8619999999999997</v>
          </cell>
          <cell r="J1027">
            <v>0</v>
          </cell>
          <cell r="K1027">
            <v>0</v>
          </cell>
          <cell r="L1027">
            <v>2.8619999999999997</v>
          </cell>
          <cell r="M1027">
            <v>11.2</v>
          </cell>
          <cell r="N1027">
            <v>2.4499999999999997</v>
          </cell>
          <cell r="O1027">
            <v>27.439999999999994</v>
          </cell>
          <cell r="P1027" t="str">
            <v>V</v>
          </cell>
          <cell r="Q1027" t="str">
            <v>3/8"</v>
          </cell>
          <cell r="R1027">
            <v>36</v>
          </cell>
          <cell r="S1027">
            <v>3.15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73.583999999999989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</row>
        <row r="1028">
          <cell r="B1028" t="str">
            <v>Acero Hor</v>
          </cell>
          <cell r="C1028">
            <v>1</v>
          </cell>
          <cell r="D1028">
            <v>1</v>
          </cell>
          <cell r="G1028">
            <v>2.65</v>
          </cell>
          <cell r="P1028" t="str">
            <v>H</v>
          </cell>
          <cell r="Q1028" t="str">
            <v>3/8"</v>
          </cell>
          <cell r="R1028">
            <v>20</v>
          </cell>
          <cell r="S1028">
            <v>5.8999999999999995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66.08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</row>
        <row r="1029">
          <cell r="B1029" t="str">
            <v>Nucleo A</v>
          </cell>
          <cell r="C1029">
            <v>1</v>
          </cell>
          <cell r="D1029">
            <v>1</v>
          </cell>
          <cell r="E1029">
            <v>0.25</v>
          </cell>
          <cell r="F1029">
            <v>0.2</v>
          </cell>
          <cell r="G1029">
            <v>2.65</v>
          </cell>
          <cell r="P1029" t="str">
            <v>V</v>
          </cell>
          <cell r="Q1029" t="str">
            <v>3/4"</v>
          </cell>
          <cell r="R1029">
            <v>4</v>
          </cell>
          <cell r="S1029">
            <v>2.65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26.880000000000003</v>
          </cell>
          <cell r="AC1029">
            <v>0</v>
          </cell>
          <cell r="AD1029">
            <v>0</v>
          </cell>
        </row>
        <row r="1030">
          <cell r="B1030" t="str">
            <v>Est</v>
          </cell>
          <cell r="C1030">
            <v>1</v>
          </cell>
          <cell r="D1030">
            <v>1</v>
          </cell>
          <cell r="E1030">
            <v>0.25</v>
          </cell>
          <cell r="F1030">
            <v>0.2</v>
          </cell>
          <cell r="G1030">
            <v>2.65</v>
          </cell>
          <cell r="Q1030" t="str">
            <v>3/8"</v>
          </cell>
          <cell r="R1030">
            <v>10</v>
          </cell>
          <cell r="S1030">
            <v>0.9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5.0400000000000009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</row>
        <row r="1031">
          <cell r="B1031" t="str">
            <v>Nucleo A</v>
          </cell>
          <cell r="C1031">
            <v>1</v>
          </cell>
          <cell r="D1031">
            <v>1</v>
          </cell>
          <cell r="E1031">
            <v>0.2</v>
          </cell>
          <cell r="F1031">
            <v>0.2</v>
          </cell>
          <cell r="G1031">
            <v>2.65</v>
          </cell>
          <cell r="P1031" t="str">
            <v>V</v>
          </cell>
          <cell r="Q1031" t="str">
            <v>3/4"</v>
          </cell>
          <cell r="R1031">
            <v>4</v>
          </cell>
          <cell r="S1031">
            <v>2.65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26.880000000000003</v>
          </cell>
          <cell r="AC1031">
            <v>0</v>
          </cell>
          <cell r="AD1031">
            <v>0</v>
          </cell>
        </row>
        <row r="1032">
          <cell r="B1032" t="str">
            <v>Est</v>
          </cell>
          <cell r="C1032">
            <v>1</v>
          </cell>
          <cell r="D1032">
            <v>1</v>
          </cell>
          <cell r="E1032">
            <v>0.2</v>
          </cell>
          <cell r="F1032">
            <v>0.2</v>
          </cell>
          <cell r="G1032">
            <v>2.65</v>
          </cell>
          <cell r="Q1032" t="str">
            <v>3/8"</v>
          </cell>
          <cell r="R1032">
            <v>10</v>
          </cell>
          <cell r="S1032">
            <v>0.8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4.4800000000000004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</row>
        <row r="1033"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</row>
        <row r="1034">
          <cell r="B1034" t="str">
            <v>B1-PL-02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</row>
        <row r="1035">
          <cell r="B1035" t="str">
            <v>Acero Vert</v>
          </cell>
          <cell r="C1035">
            <v>1</v>
          </cell>
          <cell r="D1035">
            <v>1</v>
          </cell>
          <cell r="E1035">
            <v>8.64</v>
          </cell>
          <cell r="F1035">
            <v>0.2</v>
          </cell>
          <cell r="G1035">
            <v>2.65</v>
          </cell>
          <cell r="H1035">
            <v>210</v>
          </cell>
          <cell r="I1035">
            <v>4.5792000000000002</v>
          </cell>
          <cell r="J1035">
            <v>0</v>
          </cell>
          <cell r="K1035">
            <v>0</v>
          </cell>
          <cell r="L1035">
            <v>4.5792000000000002</v>
          </cell>
          <cell r="M1035">
            <v>17.68</v>
          </cell>
          <cell r="N1035">
            <v>2.4499999999999997</v>
          </cell>
          <cell r="O1035">
            <v>43.315999999999995</v>
          </cell>
          <cell r="P1035" t="str">
            <v>V</v>
          </cell>
          <cell r="Q1035" t="str">
            <v>3/8"</v>
          </cell>
          <cell r="R1035">
            <v>56</v>
          </cell>
          <cell r="S1035">
            <v>3.15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114.46400000000001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</row>
        <row r="1036">
          <cell r="B1036" t="str">
            <v>Acero Hor</v>
          </cell>
          <cell r="C1036">
            <v>1</v>
          </cell>
          <cell r="D1036">
            <v>1</v>
          </cell>
          <cell r="G1036">
            <v>2.65</v>
          </cell>
          <cell r="P1036" t="str">
            <v>H</v>
          </cell>
          <cell r="Q1036" t="str">
            <v>3/8"</v>
          </cell>
          <cell r="R1036">
            <v>20</v>
          </cell>
          <cell r="S1036">
            <v>9.14</v>
          </cell>
          <cell r="T1036">
            <v>1</v>
          </cell>
          <cell r="U1036">
            <v>0</v>
          </cell>
          <cell r="V1036">
            <v>0</v>
          </cell>
          <cell r="W1036">
            <v>0</v>
          </cell>
          <cell r="X1036">
            <v>106.84800000000001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</row>
        <row r="1037">
          <cell r="B1037" t="str">
            <v>Nucleo A</v>
          </cell>
          <cell r="C1037">
            <v>1</v>
          </cell>
          <cell r="D1037">
            <v>1</v>
          </cell>
          <cell r="E1037">
            <v>0.25</v>
          </cell>
          <cell r="F1037">
            <v>0.2</v>
          </cell>
          <cell r="G1037">
            <v>2.65</v>
          </cell>
          <cell r="P1037" t="str">
            <v>V</v>
          </cell>
          <cell r="Q1037" t="str">
            <v>3/4"</v>
          </cell>
          <cell r="R1037">
            <v>2</v>
          </cell>
          <cell r="S1037">
            <v>2.65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13.440000000000001</v>
          </cell>
          <cell r="AC1037">
            <v>0</v>
          </cell>
          <cell r="AD1037">
            <v>0</v>
          </cell>
        </row>
        <row r="1038">
          <cell r="C1038">
            <v>1</v>
          </cell>
          <cell r="D1038">
            <v>1</v>
          </cell>
          <cell r="F1038">
            <v>0</v>
          </cell>
          <cell r="G1038">
            <v>2.65</v>
          </cell>
          <cell r="P1038" t="str">
            <v>V</v>
          </cell>
          <cell r="Q1038" t="str">
            <v>3/4"</v>
          </cell>
          <cell r="R1038">
            <v>2</v>
          </cell>
          <cell r="S1038">
            <v>2.65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13.440000000000001</v>
          </cell>
          <cell r="AC1038">
            <v>0</v>
          </cell>
          <cell r="AD1038">
            <v>0</v>
          </cell>
        </row>
        <row r="1039">
          <cell r="B1039" t="str">
            <v>Est</v>
          </cell>
          <cell r="C1039">
            <v>1</v>
          </cell>
          <cell r="D1039">
            <v>1</v>
          </cell>
          <cell r="E1039">
            <v>0.25</v>
          </cell>
          <cell r="F1039">
            <v>0.2</v>
          </cell>
          <cell r="G1039">
            <v>2.65</v>
          </cell>
          <cell r="Q1039" t="str">
            <v>3/8"</v>
          </cell>
          <cell r="R1039">
            <v>10</v>
          </cell>
          <cell r="S1039">
            <v>0.9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5.0400000000000009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</row>
        <row r="1040">
          <cell r="B1040" t="str">
            <v>Nucleo A</v>
          </cell>
          <cell r="C1040">
            <v>1</v>
          </cell>
          <cell r="D1040">
            <v>1</v>
          </cell>
          <cell r="E1040">
            <v>0.25</v>
          </cell>
          <cell r="F1040">
            <v>0.2</v>
          </cell>
          <cell r="G1040">
            <v>2.65</v>
          </cell>
          <cell r="P1040" t="str">
            <v>V</v>
          </cell>
          <cell r="Q1040" t="str">
            <v>3/4"</v>
          </cell>
          <cell r="R1040">
            <v>2</v>
          </cell>
          <cell r="S1040">
            <v>2.65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13.440000000000001</v>
          </cell>
          <cell r="AC1040">
            <v>0</v>
          </cell>
          <cell r="AD1040">
            <v>0</v>
          </cell>
        </row>
        <row r="1041">
          <cell r="C1041">
            <v>1</v>
          </cell>
          <cell r="D1041">
            <v>1</v>
          </cell>
          <cell r="F1041">
            <v>0.2</v>
          </cell>
          <cell r="G1041">
            <v>2.65</v>
          </cell>
          <cell r="P1041" t="str">
            <v>V</v>
          </cell>
          <cell r="Q1041" t="str">
            <v>3/4"</v>
          </cell>
          <cell r="R1041">
            <v>2</v>
          </cell>
          <cell r="S1041">
            <v>2.65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13.440000000000001</v>
          </cell>
          <cell r="AC1041">
            <v>0</v>
          </cell>
          <cell r="AD1041">
            <v>0</v>
          </cell>
        </row>
        <row r="1042">
          <cell r="B1042" t="str">
            <v>Est</v>
          </cell>
          <cell r="C1042">
            <v>1</v>
          </cell>
          <cell r="D1042">
            <v>1</v>
          </cell>
          <cell r="E1042">
            <v>0.25</v>
          </cell>
          <cell r="F1042">
            <v>0.2</v>
          </cell>
          <cell r="G1042">
            <v>2.65</v>
          </cell>
          <cell r="Q1042" t="str">
            <v>3/8"</v>
          </cell>
          <cell r="R1042">
            <v>10</v>
          </cell>
          <cell r="S1042">
            <v>0.9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5.0400000000000009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</row>
        <row r="1043"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</row>
        <row r="1044">
          <cell r="B1044" t="str">
            <v>B1-PL-03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</row>
        <row r="1045">
          <cell r="B1045" t="str">
            <v>Acero Vert</v>
          </cell>
          <cell r="C1045">
            <v>1</v>
          </cell>
          <cell r="D1045">
            <v>1</v>
          </cell>
          <cell r="E1045">
            <v>9</v>
          </cell>
          <cell r="F1045">
            <v>0.2</v>
          </cell>
          <cell r="G1045">
            <v>2.65</v>
          </cell>
          <cell r="H1045">
            <v>210</v>
          </cell>
          <cell r="I1045">
            <v>4.7699999999999996</v>
          </cell>
          <cell r="J1045">
            <v>0</v>
          </cell>
          <cell r="K1045">
            <v>0</v>
          </cell>
          <cell r="L1045">
            <v>4.7699999999999996</v>
          </cell>
          <cell r="M1045">
            <v>18.399999999999999</v>
          </cell>
          <cell r="N1045">
            <v>2.4499999999999997</v>
          </cell>
          <cell r="O1045">
            <v>45.079999999999991</v>
          </cell>
          <cell r="P1045" t="str">
            <v>V</v>
          </cell>
          <cell r="Q1045" t="str">
            <v>3/8"</v>
          </cell>
          <cell r="R1045">
            <v>58</v>
          </cell>
          <cell r="S1045">
            <v>3.15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118.55200000000001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</row>
        <row r="1046">
          <cell r="B1046" t="str">
            <v>Acero Hor</v>
          </cell>
          <cell r="C1046">
            <v>1</v>
          </cell>
          <cell r="D1046">
            <v>1</v>
          </cell>
          <cell r="E1046">
            <v>0.3</v>
          </cell>
          <cell r="F1046">
            <v>0.4</v>
          </cell>
          <cell r="G1046">
            <v>2.65</v>
          </cell>
          <cell r="H1046">
            <v>210</v>
          </cell>
          <cell r="I1046">
            <v>0.318</v>
          </cell>
          <cell r="J1046">
            <v>0</v>
          </cell>
          <cell r="K1046">
            <v>0</v>
          </cell>
          <cell r="L1046">
            <v>0.318</v>
          </cell>
          <cell r="M1046">
            <v>1.4</v>
          </cell>
          <cell r="N1046">
            <v>2.4499999999999997</v>
          </cell>
          <cell r="O1046">
            <v>3.4299999999999993</v>
          </cell>
          <cell r="P1046" t="str">
            <v>H</v>
          </cell>
          <cell r="Q1046" t="str">
            <v>3/8"</v>
          </cell>
          <cell r="R1046">
            <v>20</v>
          </cell>
          <cell r="S1046">
            <v>9.3000000000000007</v>
          </cell>
          <cell r="T1046">
            <v>1</v>
          </cell>
          <cell r="U1046">
            <v>0</v>
          </cell>
          <cell r="V1046">
            <v>0</v>
          </cell>
          <cell r="W1046">
            <v>0</v>
          </cell>
          <cell r="X1046">
            <v>108.64000000000001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</row>
        <row r="1047">
          <cell r="B1047" t="str">
            <v>Nucleo A</v>
          </cell>
          <cell r="C1047">
            <v>1</v>
          </cell>
          <cell r="D1047">
            <v>1</v>
          </cell>
          <cell r="E1047">
            <v>0.4</v>
          </cell>
          <cell r="F1047">
            <v>0.5</v>
          </cell>
          <cell r="G1047">
            <v>2.65</v>
          </cell>
          <cell r="P1047" t="str">
            <v>V</v>
          </cell>
          <cell r="Q1047" t="str">
            <v>3/4"</v>
          </cell>
          <cell r="R1047">
            <v>8</v>
          </cell>
          <cell r="S1047">
            <v>2.65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53.760000000000005</v>
          </cell>
          <cell r="AC1047">
            <v>0</v>
          </cell>
          <cell r="AD1047">
            <v>0</v>
          </cell>
        </row>
        <row r="1048">
          <cell r="B1048" t="str">
            <v>Nucleo A</v>
          </cell>
          <cell r="C1048">
            <v>1</v>
          </cell>
          <cell r="D1048">
            <v>1</v>
          </cell>
          <cell r="G1048">
            <v>2.65</v>
          </cell>
          <cell r="P1048" t="str">
            <v>V</v>
          </cell>
          <cell r="Q1048" t="str">
            <v>3/4"</v>
          </cell>
          <cell r="R1048">
            <v>4</v>
          </cell>
          <cell r="S1048">
            <v>2.65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26.880000000000003</v>
          </cell>
          <cell r="AC1048">
            <v>0</v>
          </cell>
          <cell r="AD1048">
            <v>0</v>
          </cell>
        </row>
        <row r="1049">
          <cell r="B1049" t="str">
            <v>Est</v>
          </cell>
          <cell r="C1049">
            <v>1</v>
          </cell>
          <cell r="D1049">
            <v>1</v>
          </cell>
          <cell r="E1049">
            <v>0.4</v>
          </cell>
          <cell r="F1049">
            <v>0.5</v>
          </cell>
          <cell r="G1049">
            <v>2.65</v>
          </cell>
          <cell r="Q1049" t="str">
            <v>3/8"</v>
          </cell>
          <cell r="R1049">
            <v>10</v>
          </cell>
          <cell r="S1049">
            <v>1.8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10.080000000000002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</row>
        <row r="1050">
          <cell r="B1050" t="str">
            <v>Est</v>
          </cell>
          <cell r="C1050">
            <v>1</v>
          </cell>
          <cell r="D1050">
            <v>1</v>
          </cell>
          <cell r="E1050">
            <v>0.25</v>
          </cell>
          <cell r="F1050">
            <v>0.5</v>
          </cell>
          <cell r="G1050">
            <v>2.65</v>
          </cell>
          <cell r="Q1050" t="str">
            <v>3/8"</v>
          </cell>
          <cell r="R1050">
            <v>10</v>
          </cell>
          <cell r="S1050">
            <v>1.5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8.4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</row>
        <row r="1051">
          <cell r="B1051" t="str">
            <v>Est</v>
          </cell>
          <cell r="C1051">
            <v>1</v>
          </cell>
          <cell r="D1051">
            <v>1</v>
          </cell>
          <cell r="E1051">
            <v>0.4</v>
          </cell>
          <cell r="F1051">
            <v>0.1</v>
          </cell>
          <cell r="G1051">
            <v>2.65</v>
          </cell>
          <cell r="Q1051" t="str">
            <v>3/8"</v>
          </cell>
          <cell r="R1051">
            <v>10</v>
          </cell>
          <cell r="S1051">
            <v>0.5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2.8000000000000003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</row>
        <row r="1052">
          <cell r="B1052" t="str">
            <v>Nucleo A</v>
          </cell>
          <cell r="C1052">
            <v>1</v>
          </cell>
          <cell r="D1052">
            <v>1</v>
          </cell>
          <cell r="E1052">
            <v>0.25</v>
          </cell>
          <cell r="F1052">
            <v>0.2</v>
          </cell>
          <cell r="G1052">
            <v>2.65</v>
          </cell>
          <cell r="P1052" t="str">
            <v>V</v>
          </cell>
          <cell r="Q1052" t="str">
            <v>3/4"</v>
          </cell>
          <cell r="R1052">
            <v>2</v>
          </cell>
          <cell r="S1052">
            <v>2.65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13.440000000000001</v>
          </cell>
          <cell r="AC1052">
            <v>0</v>
          </cell>
          <cell r="AD1052">
            <v>0</v>
          </cell>
        </row>
        <row r="1053">
          <cell r="B1053" t="str">
            <v>Nucleo A</v>
          </cell>
          <cell r="C1053">
            <v>1</v>
          </cell>
          <cell r="D1053">
            <v>1</v>
          </cell>
          <cell r="G1053">
            <v>2.65</v>
          </cell>
          <cell r="P1053" t="str">
            <v>V</v>
          </cell>
          <cell r="Q1053" t="str">
            <v>3/4"</v>
          </cell>
          <cell r="R1053">
            <v>2</v>
          </cell>
          <cell r="S1053">
            <v>2.65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13.440000000000001</v>
          </cell>
          <cell r="AC1053">
            <v>0</v>
          </cell>
          <cell r="AD1053">
            <v>0</v>
          </cell>
        </row>
        <row r="1054">
          <cell r="B1054" t="str">
            <v>Est</v>
          </cell>
          <cell r="C1054">
            <v>1</v>
          </cell>
          <cell r="D1054">
            <v>1</v>
          </cell>
          <cell r="E1054">
            <v>0.25</v>
          </cell>
          <cell r="F1054">
            <v>0.2</v>
          </cell>
          <cell r="G1054">
            <v>2.65</v>
          </cell>
          <cell r="Q1054" t="str">
            <v>3/8"</v>
          </cell>
          <cell r="R1054">
            <v>10</v>
          </cell>
          <cell r="S1054">
            <v>0.9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5.0400000000000009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</row>
        <row r="1055"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</row>
        <row r="1056">
          <cell r="B1056" t="str">
            <v>B1-PL-04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</row>
        <row r="1057">
          <cell r="B1057" t="str">
            <v>Acero Vert</v>
          </cell>
          <cell r="C1057">
            <v>2</v>
          </cell>
          <cell r="D1057">
            <v>1</v>
          </cell>
          <cell r="E1057">
            <v>2.2999999999999998</v>
          </cell>
          <cell r="F1057">
            <v>0.25</v>
          </cell>
          <cell r="G1057">
            <v>2.65</v>
          </cell>
          <cell r="H1057">
            <v>210</v>
          </cell>
          <cell r="I1057">
            <v>3.0474999999999999</v>
          </cell>
          <cell r="J1057">
            <v>0</v>
          </cell>
          <cell r="K1057">
            <v>0</v>
          </cell>
          <cell r="L1057">
            <v>3.0474999999999999</v>
          </cell>
          <cell r="M1057">
            <v>5.0999999999999996</v>
          </cell>
          <cell r="N1057">
            <v>2.4499999999999997</v>
          </cell>
          <cell r="O1057">
            <v>24.989999999999995</v>
          </cell>
          <cell r="P1057" t="str">
            <v>V</v>
          </cell>
          <cell r="Q1057" t="str">
            <v>3/8"</v>
          </cell>
          <cell r="R1057">
            <v>16</v>
          </cell>
          <cell r="S1057">
            <v>3.15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65.408000000000001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</row>
        <row r="1058">
          <cell r="B1058" t="str">
            <v>Acero Hor</v>
          </cell>
          <cell r="C1058">
            <v>2</v>
          </cell>
          <cell r="D1058">
            <v>1</v>
          </cell>
          <cell r="E1058">
            <v>0.25</v>
          </cell>
          <cell r="F1058">
            <v>0.4</v>
          </cell>
          <cell r="G1058">
            <v>2.65</v>
          </cell>
          <cell r="H1058">
            <v>210</v>
          </cell>
          <cell r="I1058">
            <v>0.53</v>
          </cell>
          <cell r="J1058">
            <v>0</v>
          </cell>
          <cell r="K1058">
            <v>0</v>
          </cell>
          <cell r="L1058">
            <v>0.53</v>
          </cell>
          <cell r="M1058">
            <v>1.3</v>
          </cell>
          <cell r="N1058">
            <v>2.4499999999999997</v>
          </cell>
          <cell r="O1058">
            <v>6.3699999999999992</v>
          </cell>
          <cell r="P1058" t="str">
            <v>H</v>
          </cell>
          <cell r="Q1058" t="str">
            <v>3/8"</v>
          </cell>
          <cell r="R1058">
            <v>24</v>
          </cell>
          <cell r="S1058">
            <v>2.5999999999999996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69.887999999999991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</row>
        <row r="1059">
          <cell r="B1059" t="str">
            <v>Nucleo A</v>
          </cell>
          <cell r="C1059">
            <v>2</v>
          </cell>
          <cell r="D1059">
            <v>1</v>
          </cell>
          <cell r="E1059">
            <v>0.4</v>
          </cell>
          <cell r="F1059">
            <v>0.45</v>
          </cell>
          <cell r="G1059">
            <v>2.65</v>
          </cell>
          <cell r="P1059" t="str">
            <v>V</v>
          </cell>
          <cell r="Q1059" t="str">
            <v>3/4"</v>
          </cell>
          <cell r="R1059">
            <v>4</v>
          </cell>
          <cell r="S1059">
            <v>2.65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53.760000000000005</v>
          </cell>
          <cell r="AC1059">
            <v>0</v>
          </cell>
          <cell r="AD1059">
            <v>0</v>
          </cell>
        </row>
        <row r="1060">
          <cell r="B1060" t="str">
            <v>Nucleo A</v>
          </cell>
          <cell r="C1060">
            <v>2</v>
          </cell>
          <cell r="D1060">
            <v>1</v>
          </cell>
          <cell r="G1060">
            <v>2.65</v>
          </cell>
          <cell r="P1060" t="str">
            <v>V</v>
          </cell>
          <cell r="Q1060" t="str">
            <v>3/4"</v>
          </cell>
          <cell r="R1060">
            <v>8</v>
          </cell>
          <cell r="S1060">
            <v>2.65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107.52000000000001</v>
          </cell>
          <cell r="AC1060">
            <v>0</v>
          </cell>
          <cell r="AD1060">
            <v>0</v>
          </cell>
        </row>
        <row r="1061">
          <cell r="B1061" t="str">
            <v>Est</v>
          </cell>
          <cell r="C1061">
            <v>2</v>
          </cell>
          <cell r="D1061">
            <v>1</v>
          </cell>
          <cell r="E1061">
            <v>0.4</v>
          </cell>
          <cell r="F1061">
            <v>0.45</v>
          </cell>
          <cell r="G1061">
            <v>2.65</v>
          </cell>
          <cell r="Q1061" t="str">
            <v>3/8"</v>
          </cell>
          <cell r="R1061">
            <v>11</v>
          </cell>
          <cell r="S1061">
            <v>1.7000000000000002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20.944000000000006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</row>
        <row r="1062">
          <cell r="B1062" t="str">
            <v>Est</v>
          </cell>
          <cell r="C1062">
            <v>2</v>
          </cell>
          <cell r="D1062">
            <v>1</v>
          </cell>
          <cell r="E1062">
            <v>0.25</v>
          </cell>
          <cell r="F1062">
            <v>0.45</v>
          </cell>
          <cell r="G1062">
            <v>2.65</v>
          </cell>
          <cell r="Q1062" t="str">
            <v>3/8"</v>
          </cell>
          <cell r="R1062">
            <v>11</v>
          </cell>
          <cell r="S1062">
            <v>1.4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17.248000000000001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</row>
        <row r="1063">
          <cell r="B1063" t="str">
            <v>Est</v>
          </cell>
          <cell r="C1063">
            <v>2</v>
          </cell>
          <cell r="D1063">
            <v>1</v>
          </cell>
          <cell r="E1063">
            <v>0.4</v>
          </cell>
          <cell r="F1063">
            <v>0.1</v>
          </cell>
          <cell r="G1063">
            <v>2.65</v>
          </cell>
          <cell r="Q1063" t="str">
            <v>3/8"</v>
          </cell>
          <cell r="R1063">
            <v>11</v>
          </cell>
          <cell r="S1063">
            <v>0.5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6.16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</row>
        <row r="1064">
          <cell r="B1064" t="str">
            <v>Nucleo A</v>
          </cell>
          <cell r="C1064">
            <v>2</v>
          </cell>
          <cell r="D1064">
            <v>1</v>
          </cell>
          <cell r="E1064">
            <v>0.25</v>
          </cell>
          <cell r="F1064">
            <v>0.25</v>
          </cell>
          <cell r="G1064">
            <v>2.65</v>
          </cell>
          <cell r="P1064" t="str">
            <v>V</v>
          </cell>
          <cell r="Q1064" t="str">
            <v>3/4"</v>
          </cell>
          <cell r="R1064">
            <v>2</v>
          </cell>
          <cell r="S1064">
            <v>2.65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26.880000000000003</v>
          </cell>
          <cell r="AC1064">
            <v>0</v>
          </cell>
          <cell r="AD1064">
            <v>0</v>
          </cell>
        </row>
        <row r="1065">
          <cell r="B1065" t="str">
            <v>Nucleo A</v>
          </cell>
          <cell r="C1065">
            <v>2</v>
          </cell>
          <cell r="D1065">
            <v>1</v>
          </cell>
          <cell r="G1065">
            <v>2.65</v>
          </cell>
          <cell r="P1065" t="str">
            <v>V</v>
          </cell>
          <cell r="Q1065" t="str">
            <v>3/4"</v>
          </cell>
          <cell r="R1065">
            <v>2</v>
          </cell>
          <cell r="S1065">
            <v>2.65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26.880000000000003</v>
          </cell>
          <cell r="AC1065">
            <v>0</v>
          </cell>
          <cell r="AD1065">
            <v>0</v>
          </cell>
        </row>
        <row r="1066">
          <cell r="B1066" t="str">
            <v>Est</v>
          </cell>
          <cell r="C1066">
            <v>2</v>
          </cell>
          <cell r="D1066">
            <v>1</v>
          </cell>
          <cell r="E1066">
            <v>0.25</v>
          </cell>
          <cell r="F1066">
            <v>0.25</v>
          </cell>
          <cell r="G1066">
            <v>2.65</v>
          </cell>
          <cell r="Q1066" t="str">
            <v>3/8"</v>
          </cell>
          <cell r="R1066">
            <v>11</v>
          </cell>
          <cell r="S1066">
            <v>1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12.32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</row>
        <row r="1067">
          <cell r="C1067">
            <v>1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</row>
        <row r="1068">
          <cell r="B1068" t="str">
            <v>B1-PL-05</v>
          </cell>
          <cell r="C1068">
            <v>1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</row>
        <row r="1069">
          <cell r="B1069" t="str">
            <v>Acero Vert</v>
          </cell>
          <cell r="C1069">
            <v>1</v>
          </cell>
          <cell r="D1069">
            <v>1</v>
          </cell>
          <cell r="E1069">
            <v>2.2999999999999998</v>
          </cell>
          <cell r="F1069">
            <v>0.25</v>
          </cell>
          <cell r="G1069">
            <v>2.65</v>
          </cell>
          <cell r="H1069">
            <v>210</v>
          </cell>
          <cell r="I1069">
            <v>1.5237499999999999</v>
          </cell>
          <cell r="J1069">
            <v>0</v>
          </cell>
          <cell r="K1069">
            <v>0</v>
          </cell>
          <cell r="L1069">
            <v>1.5237499999999999</v>
          </cell>
          <cell r="M1069">
            <v>5.0999999999999996</v>
          </cell>
          <cell r="N1069">
            <v>2.4499999999999997</v>
          </cell>
          <cell r="O1069">
            <v>12.494999999999997</v>
          </cell>
          <cell r="P1069" t="str">
            <v>V</v>
          </cell>
          <cell r="Q1069" t="str">
            <v>3/8"</v>
          </cell>
          <cell r="R1069">
            <v>16</v>
          </cell>
          <cell r="S1069">
            <v>3.15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32.704000000000001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</row>
        <row r="1070">
          <cell r="B1070" t="str">
            <v>Acero Hor</v>
          </cell>
          <cell r="C1070">
            <v>1</v>
          </cell>
          <cell r="D1070">
            <v>1</v>
          </cell>
          <cell r="G1070">
            <v>2.65</v>
          </cell>
          <cell r="P1070" t="str">
            <v>H</v>
          </cell>
          <cell r="Q1070" t="str">
            <v>3/8"</v>
          </cell>
          <cell r="R1070">
            <v>24</v>
          </cell>
          <cell r="S1070">
            <v>2.5999999999999996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34.943999999999996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</row>
        <row r="1071">
          <cell r="B1071" t="str">
            <v>Nucleo A</v>
          </cell>
          <cell r="C1071">
            <v>1</v>
          </cell>
          <cell r="D1071">
            <v>1</v>
          </cell>
          <cell r="E1071">
            <v>0.25</v>
          </cell>
          <cell r="F1071">
            <v>0.25</v>
          </cell>
          <cell r="G1071">
            <v>2.65</v>
          </cell>
          <cell r="P1071" t="str">
            <v>V</v>
          </cell>
          <cell r="Q1071" t="str">
            <v>3/4"</v>
          </cell>
          <cell r="R1071">
            <v>2</v>
          </cell>
          <cell r="S1071">
            <v>2.65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13.440000000000001</v>
          </cell>
          <cell r="AC1071">
            <v>0</v>
          </cell>
          <cell r="AD1071">
            <v>0</v>
          </cell>
        </row>
        <row r="1072">
          <cell r="B1072" t="str">
            <v>Nucleo A</v>
          </cell>
          <cell r="C1072">
            <v>1</v>
          </cell>
          <cell r="D1072">
            <v>1</v>
          </cell>
          <cell r="G1072">
            <v>2.65</v>
          </cell>
          <cell r="P1072" t="str">
            <v>V</v>
          </cell>
          <cell r="Q1072" t="str">
            <v>3/4"</v>
          </cell>
          <cell r="R1072">
            <v>2</v>
          </cell>
          <cell r="S1072">
            <v>2.65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13.440000000000001</v>
          </cell>
          <cell r="AC1072">
            <v>0</v>
          </cell>
          <cell r="AD1072">
            <v>0</v>
          </cell>
        </row>
        <row r="1073">
          <cell r="B1073" t="str">
            <v>Est</v>
          </cell>
          <cell r="C1073">
            <v>1</v>
          </cell>
          <cell r="D1073">
            <v>1</v>
          </cell>
          <cell r="E1073">
            <v>0.25</v>
          </cell>
          <cell r="F1073">
            <v>0.25</v>
          </cell>
          <cell r="G1073">
            <v>2.65</v>
          </cell>
          <cell r="Q1073" t="str">
            <v>3/8"</v>
          </cell>
          <cell r="R1073">
            <v>11</v>
          </cell>
          <cell r="S1073">
            <v>1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6.16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</row>
        <row r="1074">
          <cell r="B1074" t="str">
            <v>Nucleo A</v>
          </cell>
          <cell r="C1074">
            <v>1</v>
          </cell>
          <cell r="D1074">
            <v>1</v>
          </cell>
          <cell r="E1074">
            <v>0.25</v>
          </cell>
          <cell r="F1074">
            <v>0.25</v>
          </cell>
          <cell r="G1074">
            <v>2.65</v>
          </cell>
          <cell r="P1074" t="str">
            <v>V</v>
          </cell>
          <cell r="Q1074" t="str">
            <v>3/4"</v>
          </cell>
          <cell r="R1074">
            <v>2</v>
          </cell>
          <cell r="S1074">
            <v>2.65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13.440000000000001</v>
          </cell>
          <cell r="AC1074">
            <v>0</v>
          </cell>
          <cell r="AD1074">
            <v>0</v>
          </cell>
        </row>
        <row r="1075">
          <cell r="B1075" t="str">
            <v>Nucleo A</v>
          </cell>
          <cell r="C1075">
            <v>1</v>
          </cell>
          <cell r="D1075">
            <v>1</v>
          </cell>
          <cell r="G1075">
            <v>2.65</v>
          </cell>
          <cell r="P1075" t="str">
            <v>V</v>
          </cell>
          <cell r="Q1075" t="str">
            <v>3/4"</v>
          </cell>
          <cell r="R1075">
            <v>2</v>
          </cell>
          <cell r="S1075">
            <v>2.65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13.440000000000001</v>
          </cell>
          <cell r="AC1075">
            <v>0</v>
          </cell>
          <cell r="AD1075">
            <v>0</v>
          </cell>
        </row>
        <row r="1076">
          <cell r="B1076" t="str">
            <v>Est</v>
          </cell>
          <cell r="C1076">
            <v>1</v>
          </cell>
          <cell r="D1076">
            <v>1</v>
          </cell>
          <cell r="E1076">
            <v>0.25</v>
          </cell>
          <cell r="F1076">
            <v>0.25</v>
          </cell>
          <cell r="G1076">
            <v>2.65</v>
          </cell>
          <cell r="Q1076" t="str">
            <v>3/8"</v>
          </cell>
          <cell r="R1076">
            <v>11</v>
          </cell>
          <cell r="S1076">
            <v>1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6.16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</row>
        <row r="1077">
          <cell r="B1077" t="str">
            <v>B1-PL-06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</row>
        <row r="1078">
          <cell r="B1078" t="str">
            <v>Acero Vert</v>
          </cell>
          <cell r="C1078">
            <v>1</v>
          </cell>
          <cell r="D1078">
            <v>1</v>
          </cell>
          <cell r="E1078">
            <v>4</v>
          </cell>
          <cell r="F1078">
            <v>0.15</v>
          </cell>
          <cell r="G1078">
            <v>2.65</v>
          </cell>
          <cell r="H1078">
            <v>210</v>
          </cell>
          <cell r="I1078">
            <v>1.5899999999999999</v>
          </cell>
          <cell r="J1078">
            <v>0</v>
          </cell>
          <cell r="K1078">
            <v>0</v>
          </cell>
          <cell r="L1078">
            <v>1.5899999999999999</v>
          </cell>
          <cell r="M1078">
            <v>8.3000000000000007</v>
          </cell>
          <cell r="N1078">
            <v>2.4499999999999997</v>
          </cell>
          <cell r="O1078">
            <v>20.335000000000001</v>
          </cell>
          <cell r="P1078" t="str">
            <v>V</v>
          </cell>
          <cell r="Q1078" t="str">
            <v>3/8"</v>
          </cell>
          <cell r="R1078">
            <v>24</v>
          </cell>
          <cell r="S1078">
            <v>3.15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49.056000000000004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</row>
        <row r="1079">
          <cell r="B1079" t="str">
            <v>Acero Hor</v>
          </cell>
          <cell r="C1079">
            <v>1</v>
          </cell>
          <cell r="D1079">
            <v>1</v>
          </cell>
          <cell r="G1079">
            <v>4.16</v>
          </cell>
          <cell r="P1079" t="str">
            <v>H</v>
          </cell>
          <cell r="Q1079" t="str">
            <v>3/8"</v>
          </cell>
          <cell r="R1079">
            <v>20</v>
          </cell>
          <cell r="S1079">
            <v>4.3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48.160000000000004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</row>
        <row r="1080">
          <cell r="B1080" t="str">
            <v>Nucleo A</v>
          </cell>
          <cell r="C1080">
            <v>1</v>
          </cell>
          <cell r="D1080">
            <v>1</v>
          </cell>
          <cell r="E1080">
            <v>0.4</v>
          </cell>
          <cell r="F1080">
            <v>0.15</v>
          </cell>
          <cell r="G1080">
            <v>2.65</v>
          </cell>
          <cell r="P1080" t="str">
            <v>V</v>
          </cell>
          <cell r="Q1080" t="str">
            <v>5/8"</v>
          </cell>
          <cell r="R1080">
            <v>4</v>
          </cell>
          <cell r="S1080">
            <v>2.65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18.29</v>
          </cell>
          <cell r="AB1080">
            <v>0</v>
          </cell>
          <cell r="AC1080">
            <v>0</v>
          </cell>
          <cell r="AD1080">
            <v>0</v>
          </cell>
        </row>
        <row r="1081">
          <cell r="B1081" t="str">
            <v>Est</v>
          </cell>
          <cell r="C1081">
            <v>1</v>
          </cell>
          <cell r="D1081">
            <v>1</v>
          </cell>
          <cell r="E1081">
            <v>0.4</v>
          </cell>
          <cell r="F1081">
            <v>0.15</v>
          </cell>
          <cell r="G1081">
            <v>2.65</v>
          </cell>
          <cell r="Q1081" t="str">
            <v>3/8"</v>
          </cell>
          <cell r="R1081">
            <v>10</v>
          </cell>
          <cell r="S1081">
            <v>1.1000000000000001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6.16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</row>
        <row r="1082">
          <cell r="B1082" t="str">
            <v>Nucleo A</v>
          </cell>
          <cell r="C1082">
            <v>1</v>
          </cell>
          <cell r="D1082">
            <v>1</v>
          </cell>
          <cell r="E1082">
            <v>0.2</v>
          </cell>
          <cell r="F1082">
            <v>0.15</v>
          </cell>
          <cell r="G1082">
            <v>2.65</v>
          </cell>
          <cell r="P1082" t="str">
            <v>V</v>
          </cell>
          <cell r="Q1082" t="str">
            <v>5/8"</v>
          </cell>
          <cell r="R1082">
            <v>4</v>
          </cell>
          <cell r="S1082">
            <v>2.65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18.29</v>
          </cell>
          <cell r="AB1082">
            <v>0</v>
          </cell>
          <cell r="AC1082">
            <v>0</v>
          </cell>
          <cell r="AD1082">
            <v>0</v>
          </cell>
        </row>
        <row r="1083">
          <cell r="B1083" t="str">
            <v>Est</v>
          </cell>
          <cell r="C1083">
            <v>1</v>
          </cell>
          <cell r="D1083">
            <v>1</v>
          </cell>
          <cell r="E1083">
            <v>0.2</v>
          </cell>
          <cell r="F1083">
            <v>0.15</v>
          </cell>
          <cell r="G1083">
            <v>2.65</v>
          </cell>
          <cell r="Q1083" t="str">
            <v>3/8"</v>
          </cell>
          <cell r="R1083">
            <v>10</v>
          </cell>
          <cell r="S1083">
            <v>0.7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3.9200000000000004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</row>
        <row r="1084">
          <cell r="B1084" t="str">
            <v>Nucleo B</v>
          </cell>
          <cell r="C1084">
            <v>1</v>
          </cell>
          <cell r="D1084">
            <v>1</v>
          </cell>
          <cell r="E1084">
            <v>1.76</v>
          </cell>
          <cell r="F1084">
            <v>0.25</v>
          </cell>
          <cell r="G1084">
            <v>2.65</v>
          </cell>
          <cell r="H1084">
            <v>210</v>
          </cell>
          <cell r="I1084">
            <v>1.1659999999999999</v>
          </cell>
          <cell r="J1084">
            <v>0</v>
          </cell>
          <cell r="K1084">
            <v>0</v>
          </cell>
          <cell r="L1084">
            <v>1.1659999999999999</v>
          </cell>
          <cell r="M1084">
            <v>4.0199999999999996</v>
          </cell>
          <cell r="N1084">
            <v>2.4499999999999997</v>
          </cell>
          <cell r="O1084">
            <v>9.8489999999999984</v>
          </cell>
          <cell r="P1084" t="str">
            <v>V</v>
          </cell>
          <cell r="Q1084" t="str">
            <v>5/8"</v>
          </cell>
          <cell r="R1084">
            <v>4</v>
          </cell>
          <cell r="S1084">
            <v>2.65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18.29</v>
          </cell>
          <cell r="AB1084">
            <v>0</v>
          </cell>
          <cell r="AC1084">
            <v>0</v>
          </cell>
          <cell r="AD1084">
            <v>0</v>
          </cell>
        </row>
        <row r="1085">
          <cell r="B1085" t="str">
            <v>Nucleo A</v>
          </cell>
          <cell r="C1085">
            <v>1</v>
          </cell>
          <cell r="D1085">
            <v>1</v>
          </cell>
          <cell r="G1085">
            <v>2.65</v>
          </cell>
          <cell r="P1085" t="str">
            <v>V</v>
          </cell>
          <cell r="Q1085" t="str">
            <v>5/8"</v>
          </cell>
          <cell r="R1085">
            <v>18</v>
          </cell>
          <cell r="S1085">
            <v>2.65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82.304999999999993</v>
          </cell>
          <cell r="AB1085">
            <v>0</v>
          </cell>
          <cell r="AC1085">
            <v>0</v>
          </cell>
          <cell r="AD1085">
            <v>0</v>
          </cell>
        </row>
        <row r="1086">
          <cell r="B1086" t="str">
            <v>Est</v>
          </cell>
          <cell r="C1086">
            <v>1</v>
          </cell>
          <cell r="D1086">
            <v>1</v>
          </cell>
          <cell r="E1086">
            <v>1.1000000000000001</v>
          </cell>
          <cell r="F1086">
            <v>0.25</v>
          </cell>
          <cell r="G1086">
            <v>2.65</v>
          </cell>
          <cell r="Q1086" t="str">
            <v>3/8"</v>
          </cell>
          <cell r="R1086">
            <v>24</v>
          </cell>
          <cell r="S1086">
            <v>2.7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36.288000000000011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</row>
        <row r="1087">
          <cell r="B1087" t="str">
            <v>Est</v>
          </cell>
          <cell r="C1087">
            <v>1</v>
          </cell>
          <cell r="D1087">
            <v>1</v>
          </cell>
          <cell r="E1087">
            <v>1.1000000000000001</v>
          </cell>
          <cell r="F1087">
            <v>0.25</v>
          </cell>
          <cell r="G1087">
            <v>2.65</v>
          </cell>
          <cell r="Q1087" t="str">
            <v>3/8"</v>
          </cell>
          <cell r="R1087">
            <v>24</v>
          </cell>
          <cell r="S1087">
            <v>2.7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36.288000000000011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</row>
        <row r="1088">
          <cell r="B1088" t="str">
            <v>Est</v>
          </cell>
          <cell r="C1088">
            <v>1</v>
          </cell>
          <cell r="D1088">
            <v>1</v>
          </cell>
          <cell r="E1088">
            <v>1.1000000000000001</v>
          </cell>
          <cell r="F1088">
            <v>0.25</v>
          </cell>
          <cell r="G1088">
            <v>2.65</v>
          </cell>
          <cell r="Q1088" t="str">
            <v>3/8"</v>
          </cell>
          <cell r="R1088">
            <v>24</v>
          </cell>
          <cell r="S1088">
            <v>2.7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36.288000000000011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</row>
        <row r="1089">
          <cell r="B1089" t="str">
            <v>Est</v>
          </cell>
          <cell r="C1089">
            <v>1</v>
          </cell>
          <cell r="D1089">
            <v>5</v>
          </cell>
          <cell r="E1089">
            <v>0.15</v>
          </cell>
          <cell r="F1089">
            <v>0.25</v>
          </cell>
          <cell r="G1089">
            <v>2.65</v>
          </cell>
          <cell r="Q1089" t="str">
            <v>3/8"</v>
          </cell>
          <cell r="R1089">
            <v>24</v>
          </cell>
          <cell r="S1089">
            <v>0.55000000000000004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36.96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</row>
        <row r="1090">
          <cell r="B1090" t="str">
            <v>Acero Vert</v>
          </cell>
          <cell r="C1090">
            <v>1</v>
          </cell>
          <cell r="D1090">
            <v>1</v>
          </cell>
          <cell r="E1090">
            <v>5</v>
          </cell>
          <cell r="F1090">
            <v>0.4</v>
          </cell>
          <cell r="G1090">
            <v>2.65</v>
          </cell>
          <cell r="H1090">
            <v>210</v>
          </cell>
          <cell r="I1090">
            <v>5.3</v>
          </cell>
          <cell r="J1090">
            <v>0</v>
          </cell>
          <cell r="K1090">
            <v>0</v>
          </cell>
          <cell r="L1090">
            <v>5.3</v>
          </cell>
          <cell r="M1090">
            <v>10.8</v>
          </cell>
          <cell r="N1090">
            <v>2.4499999999999997</v>
          </cell>
          <cell r="O1090">
            <v>26.459999999999997</v>
          </cell>
          <cell r="P1090" t="str">
            <v>V</v>
          </cell>
          <cell r="Q1090" t="str">
            <v>1/2"</v>
          </cell>
          <cell r="R1090">
            <v>36</v>
          </cell>
          <cell r="S1090">
            <v>3.15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121.17599999999999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</row>
        <row r="1091">
          <cell r="B1091" t="str">
            <v>Acero Hor</v>
          </cell>
          <cell r="C1091">
            <v>1</v>
          </cell>
          <cell r="D1091">
            <v>1</v>
          </cell>
          <cell r="G1091">
            <v>2.65</v>
          </cell>
          <cell r="P1091" t="str">
            <v>H</v>
          </cell>
          <cell r="Q1091" t="str">
            <v>1/2"</v>
          </cell>
          <cell r="R1091">
            <v>20</v>
          </cell>
          <cell r="S1091">
            <v>5.9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116.82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</row>
        <row r="1092">
          <cell r="B1092" t="str">
            <v>Acero Vert</v>
          </cell>
          <cell r="C1092">
            <v>1</v>
          </cell>
          <cell r="D1092">
            <v>1</v>
          </cell>
          <cell r="E1092">
            <v>2.3199999999999998</v>
          </cell>
          <cell r="F1092">
            <v>0.2</v>
          </cell>
          <cell r="G1092">
            <v>2.65</v>
          </cell>
          <cell r="H1092">
            <v>210</v>
          </cell>
          <cell r="I1092">
            <v>1.2295999999999998</v>
          </cell>
          <cell r="J1092">
            <v>0</v>
          </cell>
          <cell r="K1092">
            <v>0</v>
          </cell>
          <cell r="L1092">
            <v>1.2295999999999998</v>
          </cell>
          <cell r="M1092">
            <v>5.04</v>
          </cell>
          <cell r="N1092">
            <v>2.4499999999999997</v>
          </cell>
          <cell r="O1092">
            <v>12.347999999999999</v>
          </cell>
          <cell r="P1092" t="str">
            <v>V</v>
          </cell>
          <cell r="Q1092" t="str">
            <v>3/8"</v>
          </cell>
          <cell r="R1092">
            <v>12</v>
          </cell>
          <cell r="S1092">
            <v>3.15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24.528000000000002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</row>
        <row r="1093">
          <cell r="B1093" t="str">
            <v>Acero Hor</v>
          </cell>
          <cell r="C1093">
            <v>1</v>
          </cell>
          <cell r="D1093">
            <v>1</v>
          </cell>
          <cell r="G1093">
            <v>2.65</v>
          </cell>
          <cell r="P1093" t="str">
            <v>H</v>
          </cell>
          <cell r="Q1093" t="str">
            <v>3/8"</v>
          </cell>
          <cell r="R1093">
            <v>24</v>
          </cell>
          <cell r="S1093">
            <v>2.6199999999999997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35.212800000000001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</row>
        <row r="1094">
          <cell r="B1094" t="str">
            <v>Nucleo A</v>
          </cell>
          <cell r="C1094">
            <v>1</v>
          </cell>
          <cell r="D1094">
            <v>2</v>
          </cell>
          <cell r="E1094">
            <v>0.25</v>
          </cell>
          <cell r="F1094">
            <v>0.25</v>
          </cell>
          <cell r="G1094">
            <v>2.65</v>
          </cell>
          <cell r="P1094" t="str">
            <v>V</v>
          </cell>
          <cell r="Q1094" t="str">
            <v>3/4"</v>
          </cell>
          <cell r="R1094">
            <v>2</v>
          </cell>
          <cell r="S1094">
            <v>2.65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25.312000000000001</v>
          </cell>
          <cell r="AC1094">
            <v>0</v>
          </cell>
          <cell r="AD1094">
            <v>0</v>
          </cell>
        </row>
        <row r="1095">
          <cell r="B1095" t="str">
            <v>Nucleo A</v>
          </cell>
          <cell r="C1095">
            <v>1</v>
          </cell>
          <cell r="D1095">
            <v>2</v>
          </cell>
          <cell r="G1095">
            <v>2.65</v>
          </cell>
          <cell r="P1095" t="str">
            <v>V</v>
          </cell>
          <cell r="Q1095" t="str">
            <v>3/4"</v>
          </cell>
          <cell r="R1095">
            <v>2</v>
          </cell>
          <cell r="S1095">
            <v>2.65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25.312000000000001</v>
          </cell>
          <cell r="AC1095">
            <v>0</v>
          </cell>
          <cell r="AD1095">
            <v>0</v>
          </cell>
        </row>
        <row r="1096">
          <cell r="B1096" t="str">
            <v>Est</v>
          </cell>
          <cell r="C1096">
            <v>1</v>
          </cell>
          <cell r="D1096">
            <v>2</v>
          </cell>
          <cell r="E1096">
            <v>0.25</v>
          </cell>
          <cell r="F1096">
            <v>0.25</v>
          </cell>
          <cell r="G1096">
            <v>2.65</v>
          </cell>
          <cell r="Q1096" t="str">
            <v>3/8"</v>
          </cell>
          <cell r="R1096">
            <v>11</v>
          </cell>
          <cell r="S1096">
            <v>1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12.32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</row>
        <row r="1097"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</row>
        <row r="1098">
          <cell r="B1098" t="str">
            <v>13 PISO</v>
          </cell>
          <cell r="H1098">
            <v>210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</row>
        <row r="1099"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</row>
        <row r="1100">
          <cell r="B1100" t="str">
            <v>B1-PL-01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</row>
        <row r="1101">
          <cell r="B1101" t="str">
            <v>Acero Vert</v>
          </cell>
          <cell r="C1101">
            <v>1</v>
          </cell>
          <cell r="D1101">
            <v>1</v>
          </cell>
          <cell r="E1101">
            <v>4.2300000000000004</v>
          </cell>
          <cell r="F1101">
            <v>0.2</v>
          </cell>
          <cell r="G1101">
            <v>2.65</v>
          </cell>
          <cell r="H1101">
            <v>210</v>
          </cell>
          <cell r="I1101">
            <v>2.2419000000000002</v>
          </cell>
          <cell r="J1101">
            <v>0</v>
          </cell>
          <cell r="K1101">
            <v>0</v>
          </cell>
          <cell r="L1101">
            <v>2.2419000000000002</v>
          </cell>
          <cell r="M1101">
            <v>8.8600000000000012</v>
          </cell>
          <cell r="N1101">
            <v>2.4499999999999997</v>
          </cell>
          <cell r="O1101">
            <v>21.707000000000001</v>
          </cell>
          <cell r="P1101" t="str">
            <v>V</v>
          </cell>
          <cell r="Q1101" t="str">
            <v>3/8"</v>
          </cell>
          <cell r="R1101">
            <v>28</v>
          </cell>
          <cell r="S1101">
            <v>3.15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57.232000000000006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</row>
        <row r="1102">
          <cell r="B1102" t="str">
            <v>Acero Hor</v>
          </cell>
          <cell r="C1102">
            <v>1</v>
          </cell>
          <cell r="D1102">
            <v>1</v>
          </cell>
          <cell r="G1102">
            <v>2.65</v>
          </cell>
          <cell r="P1102" t="str">
            <v>H</v>
          </cell>
          <cell r="Q1102" t="str">
            <v>3/8"</v>
          </cell>
          <cell r="R1102">
            <v>20</v>
          </cell>
          <cell r="S1102">
            <v>4.53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50.736000000000011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</row>
        <row r="1103">
          <cell r="B1103" t="str">
            <v>Nucleo A</v>
          </cell>
          <cell r="C1103">
            <v>1</v>
          </cell>
          <cell r="D1103">
            <v>1</v>
          </cell>
          <cell r="E1103">
            <v>0.25</v>
          </cell>
          <cell r="F1103">
            <v>0.2</v>
          </cell>
          <cell r="G1103">
            <v>2.65</v>
          </cell>
          <cell r="P1103" t="str">
            <v>V</v>
          </cell>
          <cell r="Q1103" t="str">
            <v>1"</v>
          </cell>
          <cell r="R1103">
            <v>2</v>
          </cell>
          <cell r="S1103">
            <v>2.65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25.408000000000001</v>
          </cell>
          <cell r="AD1103">
            <v>0</v>
          </cell>
        </row>
        <row r="1104">
          <cell r="C1104">
            <v>1</v>
          </cell>
          <cell r="D1104">
            <v>1</v>
          </cell>
          <cell r="F1104">
            <v>0</v>
          </cell>
          <cell r="G1104">
            <v>2.65</v>
          </cell>
          <cell r="P1104" t="str">
            <v>V</v>
          </cell>
          <cell r="Q1104" t="str">
            <v>3/4"</v>
          </cell>
          <cell r="R1104">
            <v>2</v>
          </cell>
          <cell r="S1104">
            <v>2.65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13.440000000000001</v>
          </cell>
          <cell r="AC1104">
            <v>0</v>
          </cell>
          <cell r="AD1104">
            <v>0</v>
          </cell>
        </row>
        <row r="1105">
          <cell r="B1105" t="str">
            <v>Est</v>
          </cell>
          <cell r="C1105">
            <v>1</v>
          </cell>
          <cell r="D1105">
            <v>1</v>
          </cell>
          <cell r="E1105">
            <v>0.25</v>
          </cell>
          <cell r="F1105">
            <v>0.2</v>
          </cell>
          <cell r="G1105">
            <v>2.65</v>
          </cell>
          <cell r="Q1105" t="str">
            <v>3/8"</v>
          </cell>
          <cell r="R1105">
            <v>10</v>
          </cell>
          <cell r="S1105">
            <v>0.9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5.0400000000000009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</row>
        <row r="1106">
          <cell r="B1106" t="str">
            <v>Acero Vert</v>
          </cell>
          <cell r="C1106">
            <v>1</v>
          </cell>
          <cell r="D1106">
            <v>1</v>
          </cell>
          <cell r="E1106">
            <v>5.3999999999999995</v>
          </cell>
          <cell r="F1106">
            <v>0.2</v>
          </cell>
          <cell r="G1106">
            <v>2.65</v>
          </cell>
          <cell r="H1106">
            <v>210</v>
          </cell>
          <cell r="I1106">
            <v>2.8619999999999997</v>
          </cell>
          <cell r="J1106">
            <v>0</v>
          </cell>
          <cell r="K1106">
            <v>0</v>
          </cell>
          <cell r="L1106">
            <v>2.8619999999999997</v>
          </cell>
          <cell r="M1106">
            <v>11.2</v>
          </cell>
          <cell r="N1106">
            <v>2.4499999999999997</v>
          </cell>
          <cell r="O1106">
            <v>27.439999999999994</v>
          </cell>
          <cell r="P1106" t="str">
            <v>V</v>
          </cell>
          <cell r="Q1106" t="str">
            <v>3/8"</v>
          </cell>
          <cell r="R1106">
            <v>36</v>
          </cell>
          <cell r="S1106">
            <v>3.15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73.583999999999989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</row>
        <row r="1107">
          <cell r="B1107" t="str">
            <v>Acero Hor</v>
          </cell>
          <cell r="C1107">
            <v>1</v>
          </cell>
          <cell r="D1107">
            <v>1</v>
          </cell>
          <cell r="G1107">
            <v>2.65</v>
          </cell>
          <cell r="P1107" t="str">
            <v>H</v>
          </cell>
          <cell r="Q1107" t="str">
            <v>3/8"</v>
          </cell>
          <cell r="R1107">
            <v>20</v>
          </cell>
          <cell r="S1107">
            <v>5.8999999999999995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66.08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</row>
        <row r="1108">
          <cell r="B1108" t="str">
            <v>Nucleo A</v>
          </cell>
          <cell r="C1108">
            <v>1</v>
          </cell>
          <cell r="D1108">
            <v>1</v>
          </cell>
          <cell r="E1108">
            <v>0.25</v>
          </cell>
          <cell r="F1108">
            <v>0.2</v>
          </cell>
          <cell r="G1108">
            <v>2.65</v>
          </cell>
          <cell r="P1108" t="str">
            <v>V</v>
          </cell>
          <cell r="Q1108" t="str">
            <v>3/4"</v>
          </cell>
          <cell r="R1108">
            <v>4</v>
          </cell>
          <cell r="S1108">
            <v>2.65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26.880000000000003</v>
          </cell>
          <cell r="AC1108">
            <v>0</v>
          </cell>
          <cell r="AD1108">
            <v>0</v>
          </cell>
        </row>
        <row r="1109">
          <cell r="B1109" t="str">
            <v>Est</v>
          </cell>
          <cell r="C1109">
            <v>1</v>
          </cell>
          <cell r="D1109">
            <v>1</v>
          </cell>
          <cell r="E1109">
            <v>0.25</v>
          </cell>
          <cell r="F1109">
            <v>0.2</v>
          </cell>
          <cell r="G1109">
            <v>2.65</v>
          </cell>
          <cell r="Q1109" t="str">
            <v>3/8"</v>
          </cell>
          <cell r="R1109">
            <v>10</v>
          </cell>
          <cell r="S1109">
            <v>0.9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5.0400000000000009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</row>
        <row r="1110">
          <cell r="B1110" t="str">
            <v>Nucleo A</v>
          </cell>
          <cell r="C1110">
            <v>1</v>
          </cell>
          <cell r="D1110">
            <v>1</v>
          </cell>
          <cell r="E1110">
            <v>0.2</v>
          </cell>
          <cell r="F1110">
            <v>0.2</v>
          </cell>
          <cell r="G1110">
            <v>2.65</v>
          </cell>
          <cell r="P1110" t="str">
            <v>V</v>
          </cell>
          <cell r="Q1110" t="str">
            <v>3/4"</v>
          </cell>
          <cell r="R1110">
            <v>4</v>
          </cell>
          <cell r="S1110">
            <v>2.65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26.880000000000003</v>
          </cell>
          <cell r="AC1110">
            <v>0</v>
          </cell>
          <cell r="AD1110">
            <v>0</v>
          </cell>
        </row>
        <row r="1111">
          <cell r="B1111" t="str">
            <v>Est</v>
          </cell>
          <cell r="C1111">
            <v>1</v>
          </cell>
          <cell r="D1111">
            <v>1</v>
          </cell>
          <cell r="E1111">
            <v>0.2</v>
          </cell>
          <cell r="F1111">
            <v>0.2</v>
          </cell>
          <cell r="G1111">
            <v>2.65</v>
          </cell>
          <cell r="Q1111" t="str">
            <v>3/8"</v>
          </cell>
          <cell r="R1111">
            <v>10</v>
          </cell>
          <cell r="S1111">
            <v>0.8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4.4800000000000004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</row>
        <row r="1112"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</row>
        <row r="1113">
          <cell r="B1113" t="str">
            <v>B1-PL-02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</row>
        <row r="1114">
          <cell r="B1114" t="str">
            <v>Acero Vert</v>
          </cell>
          <cell r="C1114">
            <v>1</v>
          </cell>
          <cell r="D1114">
            <v>1</v>
          </cell>
          <cell r="E1114">
            <v>8.64</v>
          </cell>
          <cell r="F1114">
            <v>0.2</v>
          </cell>
          <cell r="G1114">
            <v>2.65</v>
          </cell>
          <cell r="H1114">
            <v>210</v>
          </cell>
          <cell r="I1114">
            <v>4.5792000000000002</v>
          </cell>
          <cell r="J1114">
            <v>0</v>
          </cell>
          <cell r="K1114">
            <v>0</v>
          </cell>
          <cell r="L1114">
            <v>4.5792000000000002</v>
          </cell>
          <cell r="M1114">
            <v>17.68</v>
          </cell>
          <cell r="N1114">
            <v>2.4499999999999997</v>
          </cell>
          <cell r="O1114">
            <v>43.315999999999995</v>
          </cell>
          <cell r="P1114" t="str">
            <v>V</v>
          </cell>
          <cell r="Q1114" t="str">
            <v>3/8"</v>
          </cell>
          <cell r="R1114">
            <v>56</v>
          </cell>
          <cell r="S1114">
            <v>3.15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114.46400000000001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</row>
        <row r="1115">
          <cell r="B1115" t="str">
            <v>Acero Hor</v>
          </cell>
          <cell r="C1115">
            <v>1</v>
          </cell>
          <cell r="D1115">
            <v>1</v>
          </cell>
          <cell r="G1115">
            <v>2.65</v>
          </cell>
          <cell r="P1115" t="str">
            <v>H</v>
          </cell>
          <cell r="Q1115" t="str">
            <v>3/8"</v>
          </cell>
          <cell r="R1115">
            <v>20</v>
          </cell>
          <cell r="S1115">
            <v>9.14</v>
          </cell>
          <cell r="T1115">
            <v>1</v>
          </cell>
          <cell r="U1115">
            <v>0</v>
          </cell>
          <cell r="V1115">
            <v>0</v>
          </cell>
          <cell r="W1115">
            <v>0</v>
          </cell>
          <cell r="X1115">
            <v>106.84800000000001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</row>
        <row r="1116">
          <cell r="B1116" t="str">
            <v>Nucleo A</v>
          </cell>
          <cell r="C1116">
            <v>1</v>
          </cell>
          <cell r="D1116">
            <v>1</v>
          </cell>
          <cell r="E1116">
            <v>0.25</v>
          </cell>
          <cell r="F1116">
            <v>0.2</v>
          </cell>
          <cell r="G1116">
            <v>2.65</v>
          </cell>
          <cell r="P1116" t="str">
            <v>V</v>
          </cell>
          <cell r="Q1116" t="str">
            <v>3/4"</v>
          </cell>
          <cell r="R1116">
            <v>2</v>
          </cell>
          <cell r="S1116">
            <v>2.65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13.440000000000001</v>
          </cell>
          <cell r="AC1116">
            <v>0</v>
          </cell>
          <cell r="AD1116">
            <v>0</v>
          </cell>
        </row>
        <row r="1117">
          <cell r="C1117">
            <v>1</v>
          </cell>
          <cell r="D1117">
            <v>1</v>
          </cell>
          <cell r="F1117">
            <v>0</v>
          </cell>
          <cell r="G1117">
            <v>2.65</v>
          </cell>
          <cell r="P1117" t="str">
            <v>V</v>
          </cell>
          <cell r="Q1117" t="str">
            <v>3/4"</v>
          </cell>
          <cell r="R1117">
            <v>2</v>
          </cell>
          <cell r="S1117">
            <v>2.65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13.440000000000001</v>
          </cell>
          <cell r="AC1117">
            <v>0</v>
          </cell>
          <cell r="AD1117">
            <v>0</v>
          </cell>
        </row>
        <row r="1118">
          <cell r="B1118" t="str">
            <v>Est</v>
          </cell>
          <cell r="C1118">
            <v>1</v>
          </cell>
          <cell r="D1118">
            <v>1</v>
          </cell>
          <cell r="E1118">
            <v>0.25</v>
          </cell>
          <cell r="F1118">
            <v>0.2</v>
          </cell>
          <cell r="G1118">
            <v>2.65</v>
          </cell>
          <cell r="Q1118" t="str">
            <v>3/8"</v>
          </cell>
          <cell r="R1118">
            <v>10</v>
          </cell>
          <cell r="S1118">
            <v>0.9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5.0400000000000009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</row>
        <row r="1119">
          <cell r="B1119" t="str">
            <v>Nucleo A</v>
          </cell>
          <cell r="C1119">
            <v>1</v>
          </cell>
          <cell r="D1119">
            <v>1</v>
          </cell>
          <cell r="E1119">
            <v>0.25</v>
          </cell>
          <cell r="F1119">
            <v>0.2</v>
          </cell>
          <cell r="G1119">
            <v>2.65</v>
          </cell>
          <cell r="P1119" t="str">
            <v>V</v>
          </cell>
          <cell r="Q1119" t="str">
            <v>3/4"</v>
          </cell>
          <cell r="R1119">
            <v>2</v>
          </cell>
          <cell r="S1119">
            <v>2.65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13.440000000000001</v>
          </cell>
          <cell r="AC1119">
            <v>0</v>
          </cell>
          <cell r="AD1119">
            <v>0</v>
          </cell>
        </row>
        <row r="1120">
          <cell r="C1120">
            <v>1</v>
          </cell>
          <cell r="D1120">
            <v>1</v>
          </cell>
          <cell r="F1120">
            <v>0.2</v>
          </cell>
          <cell r="G1120">
            <v>2.65</v>
          </cell>
          <cell r="P1120" t="str">
            <v>V</v>
          </cell>
          <cell r="Q1120" t="str">
            <v>3/4"</v>
          </cell>
          <cell r="R1120">
            <v>2</v>
          </cell>
          <cell r="S1120">
            <v>2.65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13.440000000000001</v>
          </cell>
          <cell r="AC1120">
            <v>0</v>
          </cell>
          <cell r="AD1120">
            <v>0</v>
          </cell>
        </row>
        <row r="1121">
          <cell r="B1121" t="str">
            <v>Est</v>
          </cell>
          <cell r="C1121">
            <v>1</v>
          </cell>
          <cell r="D1121">
            <v>1</v>
          </cell>
          <cell r="E1121">
            <v>0.25</v>
          </cell>
          <cell r="F1121">
            <v>0.2</v>
          </cell>
          <cell r="G1121">
            <v>2.65</v>
          </cell>
          <cell r="Q1121" t="str">
            <v>3/8"</v>
          </cell>
          <cell r="R1121">
            <v>10</v>
          </cell>
          <cell r="S1121">
            <v>0.9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5.0400000000000009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</row>
        <row r="1122"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</row>
        <row r="1123">
          <cell r="B1123" t="str">
            <v>B1-PL-03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</row>
        <row r="1124">
          <cell r="B1124" t="str">
            <v>Acero Vert</v>
          </cell>
          <cell r="C1124">
            <v>1</v>
          </cell>
          <cell r="D1124">
            <v>1</v>
          </cell>
          <cell r="E1124">
            <v>9</v>
          </cell>
          <cell r="F1124">
            <v>0.2</v>
          </cell>
          <cell r="G1124">
            <v>2.65</v>
          </cell>
          <cell r="H1124">
            <v>210</v>
          </cell>
          <cell r="I1124">
            <v>4.7699999999999996</v>
          </cell>
          <cell r="J1124">
            <v>0</v>
          </cell>
          <cell r="K1124">
            <v>0</v>
          </cell>
          <cell r="L1124">
            <v>4.7699999999999996</v>
          </cell>
          <cell r="M1124">
            <v>18.399999999999999</v>
          </cell>
          <cell r="N1124">
            <v>2.4499999999999997</v>
          </cell>
          <cell r="O1124">
            <v>45.079999999999991</v>
          </cell>
          <cell r="P1124" t="str">
            <v>V</v>
          </cell>
          <cell r="Q1124" t="str">
            <v>3/8"</v>
          </cell>
          <cell r="R1124">
            <v>58</v>
          </cell>
          <cell r="S1124">
            <v>3.15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118.55200000000001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</row>
        <row r="1125">
          <cell r="B1125" t="str">
            <v>Acero Hor</v>
          </cell>
          <cell r="C1125">
            <v>1</v>
          </cell>
          <cell r="D1125">
            <v>1</v>
          </cell>
          <cell r="E1125">
            <v>0.3</v>
          </cell>
          <cell r="F1125">
            <v>0.4</v>
          </cell>
          <cell r="G1125">
            <v>2.65</v>
          </cell>
          <cell r="H1125">
            <v>210</v>
          </cell>
          <cell r="I1125">
            <v>0.318</v>
          </cell>
          <cell r="J1125">
            <v>0</v>
          </cell>
          <cell r="K1125">
            <v>0</v>
          </cell>
          <cell r="L1125">
            <v>0.318</v>
          </cell>
          <cell r="M1125">
            <v>1.4</v>
          </cell>
          <cell r="N1125">
            <v>2.4499999999999997</v>
          </cell>
          <cell r="O1125">
            <v>3.4299999999999993</v>
          </cell>
          <cell r="P1125" t="str">
            <v>H</v>
          </cell>
          <cell r="Q1125" t="str">
            <v>3/8"</v>
          </cell>
          <cell r="R1125">
            <v>20</v>
          </cell>
          <cell r="S1125">
            <v>9.3000000000000007</v>
          </cell>
          <cell r="T1125">
            <v>1</v>
          </cell>
          <cell r="U1125">
            <v>0</v>
          </cell>
          <cell r="V1125">
            <v>0</v>
          </cell>
          <cell r="W1125">
            <v>0</v>
          </cell>
          <cell r="X1125">
            <v>108.64000000000001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</row>
        <row r="1126">
          <cell r="B1126" t="str">
            <v>Nucleo A</v>
          </cell>
          <cell r="C1126">
            <v>1</v>
          </cell>
          <cell r="D1126">
            <v>1</v>
          </cell>
          <cell r="E1126">
            <v>0.4</v>
          </cell>
          <cell r="F1126">
            <v>0.5</v>
          </cell>
          <cell r="G1126">
            <v>2.65</v>
          </cell>
          <cell r="P1126" t="str">
            <v>V</v>
          </cell>
          <cell r="Q1126" t="str">
            <v>3/4"</v>
          </cell>
          <cell r="R1126">
            <v>8</v>
          </cell>
          <cell r="S1126">
            <v>2.65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53.760000000000005</v>
          </cell>
          <cell r="AC1126">
            <v>0</v>
          </cell>
          <cell r="AD1126">
            <v>0</v>
          </cell>
        </row>
        <row r="1127">
          <cell r="B1127" t="str">
            <v>Nucleo A</v>
          </cell>
          <cell r="C1127">
            <v>1</v>
          </cell>
          <cell r="D1127">
            <v>1</v>
          </cell>
          <cell r="G1127">
            <v>2.65</v>
          </cell>
          <cell r="P1127" t="str">
            <v>V</v>
          </cell>
          <cell r="Q1127" t="str">
            <v>3/4"</v>
          </cell>
          <cell r="R1127">
            <v>4</v>
          </cell>
          <cell r="S1127">
            <v>2.65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26.880000000000003</v>
          </cell>
          <cell r="AC1127">
            <v>0</v>
          </cell>
          <cell r="AD1127">
            <v>0</v>
          </cell>
        </row>
        <row r="1128">
          <cell r="B1128" t="str">
            <v>Est</v>
          </cell>
          <cell r="C1128">
            <v>1</v>
          </cell>
          <cell r="D1128">
            <v>1</v>
          </cell>
          <cell r="E1128">
            <v>0.4</v>
          </cell>
          <cell r="F1128">
            <v>0.5</v>
          </cell>
          <cell r="G1128">
            <v>2.65</v>
          </cell>
          <cell r="Q1128" t="str">
            <v>3/8"</v>
          </cell>
          <cell r="R1128">
            <v>10</v>
          </cell>
          <cell r="S1128">
            <v>1.8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10.080000000000002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</row>
        <row r="1129">
          <cell r="B1129" t="str">
            <v>Est</v>
          </cell>
          <cell r="C1129">
            <v>1</v>
          </cell>
          <cell r="D1129">
            <v>1</v>
          </cell>
          <cell r="E1129">
            <v>0.25</v>
          </cell>
          <cell r="F1129">
            <v>0.5</v>
          </cell>
          <cell r="G1129">
            <v>2.65</v>
          </cell>
          <cell r="Q1129" t="str">
            <v>3/8"</v>
          </cell>
          <cell r="R1129">
            <v>10</v>
          </cell>
          <cell r="S1129">
            <v>1.5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8.4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</row>
        <row r="1130">
          <cell r="B1130" t="str">
            <v>Est</v>
          </cell>
          <cell r="C1130">
            <v>1</v>
          </cell>
          <cell r="D1130">
            <v>1</v>
          </cell>
          <cell r="E1130">
            <v>0.4</v>
          </cell>
          <cell r="F1130">
            <v>0.1</v>
          </cell>
          <cell r="G1130">
            <v>2.65</v>
          </cell>
          <cell r="Q1130" t="str">
            <v>3/8"</v>
          </cell>
          <cell r="R1130">
            <v>10</v>
          </cell>
          <cell r="S1130">
            <v>0.5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2.8000000000000003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</row>
        <row r="1131">
          <cell r="B1131" t="str">
            <v>Nucleo A</v>
          </cell>
          <cell r="C1131">
            <v>1</v>
          </cell>
          <cell r="D1131">
            <v>1</v>
          </cell>
          <cell r="E1131">
            <v>0.25</v>
          </cell>
          <cell r="F1131">
            <v>0.2</v>
          </cell>
          <cell r="G1131">
            <v>2.65</v>
          </cell>
          <cell r="P1131" t="str">
            <v>V</v>
          </cell>
          <cell r="Q1131" t="str">
            <v>3/4"</v>
          </cell>
          <cell r="R1131">
            <v>2</v>
          </cell>
          <cell r="S1131">
            <v>2.65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13.440000000000001</v>
          </cell>
          <cell r="AC1131">
            <v>0</v>
          </cell>
          <cell r="AD1131">
            <v>0</v>
          </cell>
        </row>
        <row r="1132">
          <cell r="B1132" t="str">
            <v>Nucleo A</v>
          </cell>
          <cell r="C1132">
            <v>1</v>
          </cell>
          <cell r="D1132">
            <v>1</v>
          </cell>
          <cell r="G1132">
            <v>2.65</v>
          </cell>
          <cell r="P1132" t="str">
            <v>V</v>
          </cell>
          <cell r="Q1132" t="str">
            <v>3/4"</v>
          </cell>
          <cell r="R1132">
            <v>2</v>
          </cell>
          <cell r="S1132">
            <v>2.65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13.440000000000001</v>
          </cell>
          <cell r="AC1132">
            <v>0</v>
          </cell>
          <cell r="AD1132">
            <v>0</v>
          </cell>
        </row>
        <row r="1133">
          <cell r="B1133" t="str">
            <v>Est</v>
          </cell>
          <cell r="C1133">
            <v>1</v>
          </cell>
          <cell r="D1133">
            <v>1</v>
          </cell>
          <cell r="E1133">
            <v>0.25</v>
          </cell>
          <cell r="F1133">
            <v>0.2</v>
          </cell>
          <cell r="G1133">
            <v>2.65</v>
          </cell>
          <cell r="Q1133" t="str">
            <v>3/8"</v>
          </cell>
          <cell r="R1133">
            <v>10</v>
          </cell>
          <cell r="S1133">
            <v>0.9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5.0400000000000009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</row>
        <row r="1134"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</row>
        <row r="1135">
          <cell r="B1135" t="str">
            <v>B1-PL-04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</row>
        <row r="1136">
          <cell r="B1136" t="str">
            <v>Acero Vert</v>
          </cell>
          <cell r="C1136">
            <v>2</v>
          </cell>
          <cell r="D1136">
            <v>1</v>
          </cell>
          <cell r="E1136">
            <v>2.2999999999999998</v>
          </cell>
          <cell r="F1136">
            <v>0.25</v>
          </cell>
          <cell r="G1136">
            <v>2.65</v>
          </cell>
          <cell r="H1136">
            <v>210</v>
          </cell>
          <cell r="I1136">
            <v>3.0474999999999999</v>
          </cell>
          <cell r="J1136">
            <v>0</v>
          </cell>
          <cell r="K1136">
            <v>0</v>
          </cell>
          <cell r="L1136">
            <v>3.0474999999999999</v>
          </cell>
          <cell r="M1136">
            <v>5.0999999999999996</v>
          </cell>
          <cell r="N1136">
            <v>2.4499999999999997</v>
          </cell>
          <cell r="O1136">
            <v>24.989999999999995</v>
          </cell>
          <cell r="P1136" t="str">
            <v>V</v>
          </cell>
          <cell r="Q1136" t="str">
            <v>3/8"</v>
          </cell>
          <cell r="R1136">
            <v>16</v>
          </cell>
          <cell r="S1136">
            <v>3.15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65.408000000000001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</row>
        <row r="1137">
          <cell r="B1137" t="str">
            <v>Acero Hor</v>
          </cell>
          <cell r="C1137">
            <v>2</v>
          </cell>
          <cell r="D1137">
            <v>1</v>
          </cell>
          <cell r="E1137">
            <v>0.25</v>
          </cell>
          <cell r="F1137">
            <v>0.4</v>
          </cell>
          <cell r="G1137">
            <v>2.65</v>
          </cell>
          <cell r="H1137">
            <v>210</v>
          </cell>
          <cell r="I1137">
            <v>0.53</v>
          </cell>
          <cell r="J1137">
            <v>0</v>
          </cell>
          <cell r="K1137">
            <v>0</v>
          </cell>
          <cell r="L1137">
            <v>0.53</v>
          </cell>
          <cell r="M1137">
            <v>1.3</v>
          </cell>
          <cell r="N1137">
            <v>2.4499999999999997</v>
          </cell>
          <cell r="O1137">
            <v>6.3699999999999992</v>
          </cell>
          <cell r="P1137" t="str">
            <v>H</v>
          </cell>
          <cell r="Q1137" t="str">
            <v>3/8"</v>
          </cell>
          <cell r="R1137">
            <v>24</v>
          </cell>
          <cell r="S1137">
            <v>2.5999999999999996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69.887999999999991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</row>
        <row r="1138">
          <cell r="B1138" t="str">
            <v>Nucleo A</v>
          </cell>
          <cell r="C1138">
            <v>2</v>
          </cell>
          <cell r="D1138">
            <v>1</v>
          </cell>
          <cell r="E1138">
            <v>0.4</v>
          </cell>
          <cell r="F1138">
            <v>0.45</v>
          </cell>
          <cell r="G1138">
            <v>2.65</v>
          </cell>
          <cell r="P1138" t="str">
            <v>V</v>
          </cell>
          <cell r="Q1138" t="str">
            <v>3/4"</v>
          </cell>
          <cell r="R1138">
            <v>4</v>
          </cell>
          <cell r="S1138">
            <v>2.65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53.760000000000005</v>
          </cell>
          <cell r="AC1138">
            <v>0</v>
          </cell>
          <cell r="AD1138">
            <v>0</v>
          </cell>
        </row>
        <row r="1139">
          <cell r="B1139" t="str">
            <v>Nucleo A</v>
          </cell>
          <cell r="C1139">
            <v>2</v>
          </cell>
          <cell r="D1139">
            <v>1</v>
          </cell>
          <cell r="G1139">
            <v>2.65</v>
          </cell>
          <cell r="P1139" t="str">
            <v>V</v>
          </cell>
          <cell r="Q1139" t="str">
            <v>3/4"</v>
          </cell>
          <cell r="R1139">
            <v>8</v>
          </cell>
          <cell r="S1139">
            <v>2.65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107.52000000000001</v>
          </cell>
          <cell r="AC1139">
            <v>0</v>
          </cell>
          <cell r="AD1139">
            <v>0</v>
          </cell>
        </row>
        <row r="1140">
          <cell r="B1140" t="str">
            <v>Est</v>
          </cell>
          <cell r="C1140">
            <v>2</v>
          </cell>
          <cell r="D1140">
            <v>1</v>
          </cell>
          <cell r="E1140">
            <v>0.4</v>
          </cell>
          <cell r="F1140">
            <v>0.45</v>
          </cell>
          <cell r="G1140">
            <v>2.65</v>
          </cell>
          <cell r="Q1140" t="str">
            <v>3/8"</v>
          </cell>
          <cell r="R1140">
            <v>11</v>
          </cell>
          <cell r="S1140">
            <v>1.7000000000000002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20.944000000000006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</row>
        <row r="1141">
          <cell r="B1141" t="str">
            <v>Est</v>
          </cell>
          <cell r="C1141">
            <v>2</v>
          </cell>
          <cell r="D1141">
            <v>1</v>
          </cell>
          <cell r="E1141">
            <v>0.25</v>
          </cell>
          <cell r="F1141">
            <v>0.45</v>
          </cell>
          <cell r="G1141">
            <v>2.65</v>
          </cell>
          <cell r="Q1141" t="str">
            <v>3/8"</v>
          </cell>
          <cell r="R1141">
            <v>11</v>
          </cell>
          <cell r="S1141">
            <v>1.4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17.248000000000001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</row>
        <row r="1142">
          <cell r="B1142" t="str">
            <v>Est</v>
          </cell>
          <cell r="C1142">
            <v>2</v>
          </cell>
          <cell r="D1142">
            <v>1</v>
          </cell>
          <cell r="E1142">
            <v>0.4</v>
          </cell>
          <cell r="F1142">
            <v>0.1</v>
          </cell>
          <cell r="G1142">
            <v>2.65</v>
          </cell>
          <cell r="Q1142" t="str">
            <v>3/8"</v>
          </cell>
          <cell r="R1142">
            <v>11</v>
          </cell>
          <cell r="S1142">
            <v>0.5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6.16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</row>
        <row r="1143">
          <cell r="B1143" t="str">
            <v>Nucleo A</v>
          </cell>
          <cell r="C1143">
            <v>2</v>
          </cell>
          <cell r="D1143">
            <v>1</v>
          </cell>
          <cell r="E1143">
            <v>0.25</v>
          </cell>
          <cell r="F1143">
            <v>0.25</v>
          </cell>
          <cell r="G1143">
            <v>2.65</v>
          </cell>
          <cell r="P1143" t="str">
            <v>V</v>
          </cell>
          <cell r="Q1143" t="str">
            <v>3/4"</v>
          </cell>
          <cell r="R1143">
            <v>2</v>
          </cell>
          <cell r="S1143">
            <v>2.65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26.880000000000003</v>
          </cell>
          <cell r="AC1143">
            <v>0</v>
          </cell>
          <cell r="AD1143">
            <v>0</v>
          </cell>
        </row>
        <row r="1144">
          <cell r="B1144" t="str">
            <v>Nucleo A</v>
          </cell>
          <cell r="C1144">
            <v>2</v>
          </cell>
          <cell r="D1144">
            <v>1</v>
          </cell>
          <cell r="G1144">
            <v>2.65</v>
          </cell>
          <cell r="P1144" t="str">
            <v>V</v>
          </cell>
          <cell r="Q1144" t="str">
            <v>3/4"</v>
          </cell>
          <cell r="R1144">
            <v>2</v>
          </cell>
          <cell r="S1144">
            <v>2.65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26.880000000000003</v>
          </cell>
          <cell r="AC1144">
            <v>0</v>
          </cell>
          <cell r="AD1144">
            <v>0</v>
          </cell>
        </row>
        <row r="1145">
          <cell r="B1145" t="str">
            <v>Est</v>
          </cell>
          <cell r="C1145">
            <v>2</v>
          </cell>
          <cell r="D1145">
            <v>1</v>
          </cell>
          <cell r="E1145">
            <v>0.25</v>
          </cell>
          <cell r="F1145">
            <v>0.25</v>
          </cell>
          <cell r="G1145">
            <v>2.65</v>
          </cell>
          <cell r="Q1145" t="str">
            <v>3/8"</v>
          </cell>
          <cell r="R1145">
            <v>11</v>
          </cell>
          <cell r="S1145">
            <v>1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12.32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</row>
        <row r="1146">
          <cell r="C1146">
            <v>1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</row>
        <row r="1147">
          <cell r="B1147" t="str">
            <v>B1-PL-05</v>
          </cell>
          <cell r="C1147">
            <v>1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</row>
        <row r="1148">
          <cell r="B1148" t="str">
            <v>Acero Vert</v>
          </cell>
          <cell r="C1148">
            <v>1</v>
          </cell>
          <cell r="D1148">
            <v>1</v>
          </cell>
          <cell r="E1148">
            <v>2.2999999999999998</v>
          </cell>
          <cell r="F1148">
            <v>0.25</v>
          </cell>
          <cell r="G1148">
            <v>2.65</v>
          </cell>
          <cell r="H1148">
            <v>210</v>
          </cell>
          <cell r="I1148">
            <v>1.5237499999999999</v>
          </cell>
          <cell r="J1148">
            <v>0</v>
          </cell>
          <cell r="K1148">
            <v>0</v>
          </cell>
          <cell r="L1148">
            <v>1.5237499999999999</v>
          </cell>
          <cell r="M1148">
            <v>5.0999999999999996</v>
          </cell>
          <cell r="N1148">
            <v>2.4499999999999997</v>
          </cell>
          <cell r="O1148">
            <v>12.494999999999997</v>
          </cell>
          <cell r="P1148" t="str">
            <v>V</v>
          </cell>
          <cell r="Q1148" t="str">
            <v>3/8"</v>
          </cell>
          <cell r="R1148">
            <v>16</v>
          </cell>
          <cell r="S1148">
            <v>3.15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32.704000000000001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</row>
        <row r="1149">
          <cell r="B1149" t="str">
            <v>Acero Hor</v>
          </cell>
          <cell r="C1149">
            <v>1</v>
          </cell>
          <cell r="D1149">
            <v>1</v>
          </cell>
          <cell r="G1149">
            <v>2.65</v>
          </cell>
          <cell r="P1149" t="str">
            <v>H</v>
          </cell>
          <cell r="Q1149" t="str">
            <v>3/8"</v>
          </cell>
          <cell r="R1149">
            <v>24</v>
          </cell>
          <cell r="S1149">
            <v>2.5999999999999996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34.943999999999996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</row>
        <row r="1150">
          <cell r="B1150" t="str">
            <v>Nucleo A</v>
          </cell>
          <cell r="C1150">
            <v>1</v>
          </cell>
          <cell r="D1150">
            <v>1</v>
          </cell>
          <cell r="E1150">
            <v>0.25</v>
          </cell>
          <cell r="F1150">
            <v>0.25</v>
          </cell>
          <cell r="G1150">
            <v>2.65</v>
          </cell>
          <cell r="P1150" t="str">
            <v>V</v>
          </cell>
          <cell r="Q1150" t="str">
            <v>3/4"</v>
          </cell>
          <cell r="R1150">
            <v>2</v>
          </cell>
          <cell r="S1150">
            <v>2.65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13.440000000000001</v>
          </cell>
          <cell r="AC1150">
            <v>0</v>
          </cell>
          <cell r="AD1150">
            <v>0</v>
          </cell>
        </row>
        <row r="1151">
          <cell r="B1151" t="str">
            <v>Nucleo A</v>
          </cell>
          <cell r="C1151">
            <v>1</v>
          </cell>
          <cell r="D1151">
            <v>1</v>
          </cell>
          <cell r="G1151">
            <v>2.65</v>
          </cell>
          <cell r="P1151" t="str">
            <v>V</v>
          </cell>
          <cell r="Q1151" t="str">
            <v>3/4"</v>
          </cell>
          <cell r="R1151">
            <v>2</v>
          </cell>
          <cell r="S1151">
            <v>2.65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13.440000000000001</v>
          </cell>
          <cell r="AC1151">
            <v>0</v>
          </cell>
          <cell r="AD1151">
            <v>0</v>
          </cell>
        </row>
        <row r="1152">
          <cell r="B1152" t="str">
            <v>Est</v>
          </cell>
          <cell r="C1152">
            <v>1</v>
          </cell>
          <cell r="D1152">
            <v>1</v>
          </cell>
          <cell r="E1152">
            <v>0.25</v>
          </cell>
          <cell r="F1152">
            <v>0.25</v>
          </cell>
          <cell r="G1152">
            <v>2.65</v>
          </cell>
          <cell r="Q1152" t="str">
            <v>3/8"</v>
          </cell>
          <cell r="R1152">
            <v>11</v>
          </cell>
          <cell r="S1152">
            <v>1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6.16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</row>
        <row r="1153">
          <cell r="B1153" t="str">
            <v>Nucleo A</v>
          </cell>
          <cell r="C1153">
            <v>1</v>
          </cell>
          <cell r="D1153">
            <v>1</v>
          </cell>
          <cell r="E1153">
            <v>0.25</v>
          </cell>
          <cell r="F1153">
            <v>0.25</v>
          </cell>
          <cell r="G1153">
            <v>2.65</v>
          </cell>
          <cell r="P1153" t="str">
            <v>V</v>
          </cell>
          <cell r="Q1153" t="str">
            <v>3/4"</v>
          </cell>
          <cell r="R1153">
            <v>2</v>
          </cell>
          <cell r="S1153">
            <v>2.65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13.440000000000001</v>
          </cell>
          <cell r="AC1153">
            <v>0</v>
          </cell>
          <cell r="AD1153">
            <v>0</v>
          </cell>
        </row>
        <row r="1154">
          <cell r="B1154" t="str">
            <v>Nucleo A</v>
          </cell>
          <cell r="C1154">
            <v>1</v>
          </cell>
          <cell r="D1154">
            <v>1</v>
          </cell>
          <cell r="G1154">
            <v>2.65</v>
          </cell>
          <cell r="P1154" t="str">
            <v>V</v>
          </cell>
          <cell r="Q1154" t="str">
            <v>3/4"</v>
          </cell>
          <cell r="R1154">
            <v>2</v>
          </cell>
          <cell r="S1154">
            <v>2.65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13.440000000000001</v>
          </cell>
          <cell r="AC1154">
            <v>0</v>
          </cell>
          <cell r="AD1154">
            <v>0</v>
          </cell>
        </row>
        <row r="1155">
          <cell r="B1155" t="str">
            <v>Est</v>
          </cell>
          <cell r="C1155">
            <v>1</v>
          </cell>
          <cell r="D1155">
            <v>1</v>
          </cell>
          <cell r="E1155">
            <v>0.25</v>
          </cell>
          <cell r="F1155">
            <v>0.25</v>
          </cell>
          <cell r="G1155">
            <v>2.65</v>
          </cell>
          <cell r="Q1155" t="str">
            <v>3/8"</v>
          </cell>
          <cell r="R1155">
            <v>11</v>
          </cell>
          <cell r="S1155">
            <v>1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6.16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</row>
        <row r="1156">
          <cell r="B1156" t="str">
            <v>B1-PL-06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</row>
        <row r="1157">
          <cell r="B1157" t="str">
            <v>Acero Vert</v>
          </cell>
          <cell r="C1157">
            <v>1</v>
          </cell>
          <cell r="D1157">
            <v>1</v>
          </cell>
          <cell r="E1157">
            <v>4</v>
          </cell>
          <cell r="F1157">
            <v>0.15</v>
          </cell>
          <cell r="G1157">
            <v>2.65</v>
          </cell>
          <cell r="H1157">
            <v>210</v>
          </cell>
          <cell r="I1157">
            <v>1.5899999999999999</v>
          </cell>
          <cell r="J1157">
            <v>0</v>
          </cell>
          <cell r="K1157">
            <v>0</v>
          </cell>
          <cell r="L1157">
            <v>1.5899999999999999</v>
          </cell>
          <cell r="M1157">
            <v>8.3000000000000007</v>
          </cell>
          <cell r="N1157">
            <v>2.4499999999999997</v>
          </cell>
          <cell r="O1157">
            <v>20.335000000000001</v>
          </cell>
          <cell r="P1157" t="str">
            <v>V</v>
          </cell>
          <cell r="Q1157" t="str">
            <v>3/8"</v>
          </cell>
          <cell r="R1157">
            <v>24</v>
          </cell>
          <cell r="S1157">
            <v>3.15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49.056000000000004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</row>
        <row r="1158">
          <cell r="B1158" t="str">
            <v>Acero Hor</v>
          </cell>
          <cell r="C1158">
            <v>1</v>
          </cell>
          <cell r="D1158">
            <v>1</v>
          </cell>
          <cell r="G1158">
            <v>4.16</v>
          </cell>
          <cell r="P1158" t="str">
            <v>H</v>
          </cell>
          <cell r="Q1158" t="str">
            <v>3/8"</v>
          </cell>
          <cell r="R1158">
            <v>20</v>
          </cell>
          <cell r="S1158">
            <v>4.3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48.160000000000004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</row>
        <row r="1159">
          <cell r="B1159" t="str">
            <v>Nucleo A</v>
          </cell>
          <cell r="C1159">
            <v>1</v>
          </cell>
          <cell r="D1159">
            <v>1</v>
          </cell>
          <cell r="E1159">
            <v>0.4</v>
          </cell>
          <cell r="F1159">
            <v>0.15</v>
          </cell>
          <cell r="G1159">
            <v>2.65</v>
          </cell>
          <cell r="P1159" t="str">
            <v>V</v>
          </cell>
          <cell r="Q1159" t="str">
            <v>5/8"</v>
          </cell>
          <cell r="R1159">
            <v>4</v>
          </cell>
          <cell r="S1159">
            <v>2.65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18.29</v>
          </cell>
          <cell r="AB1159">
            <v>0</v>
          </cell>
          <cell r="AC1159">
            <v>0</v>
          </cell>
          <cell r="AD1159">
            <v>0</v>
          </cell>
        </row>
        <row r="1160">
          <cell r="B1160" t="str">
            <v>Est</v>
          </cell>
          <cell r="C1160">
            <v>1</v>
          </cell>
          <cell r="D1160">
            <v>1</v>
          </cell>
          <cell r="E1160">
            <v>0.4</v>
          </cell>
          <cell r="F1160">
            <v>0.15</v>
          </cell>
          <cell r="G1160">
            <v>2.65</v>
          </cell>
          <cell r="Q1160" t="str">
            <v>3/8"</v>
          </cell>
          <cell r="R1160">
            <v>10</v>
          </cell>
          <cell r="S1160">
            <v>1.1000000000000001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6.16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</row>
        <row r="1161">
          <cell r="B1161" t="str">
            <v>Nucleo A</v>
          </cell>
          <cell r="C1161">
            <v>1</v>
          </cell>
          <cell r="D1161">
            <v>1</v>
          </cell>
          <cell r="E1161">
            <v>0.2</v>
          </cell>
          <cell r="F1161">
            <v>0.15</v>
          </cell>
          <cell r="G1161">
            <v>2.65</v>
          </cell>
          <cell r="P1161" t="str">
            <v>V</v>
          </cell>
          <cell r="Q1161" t="str">
            <v>5/8"</v>
          </cell>
          <cell r="R1161">
            <v>4</v>
          </cell>
          <cell r="S1161">
            <v>2.65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18.29</v>
          </cell>
          <cell r="AB1161">
            <v>0</v>
          </cell>
          <cell r="AC1161">
            <v>0</v>
          </cell>
          <cell r="AD1161">
            <v>0</v>
          </cell>
        </row>
        <row r="1162">
          <cell r="B1162" t="str">
            <v>Est</v>
          </cell>
          <cell r="C1162">
            <v>1</v>
          </cell>
          <cell r="D1162">
            <v>1</v>
          </cell>
          <cell r="E1162">
            <v>0.2</v>
          </cell>
          <cell r="F1162">
            <v>0.15</v>
          </cell>
          <cell r="G1162">
            <v>2.65</v>
          </cell>
          <cell r="Q1162" t="str">
            <v>3/8"</v>
          </cell>
          <cell r="R1162">
            <v>10</v>
          </cell>
          <cell r="S1162">
            <v>0.7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3.9200000000000004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</row>
        <row r="1163">
          <cell r="B1163" t="str">
            <v>Nucleo B</v>
          </cell>
          <cell r="C1163">
            <v>1</v>
          </cell>
          <cell r="D1163">
            <v>1</v>
          </cell>
          <cell r="E1163">
            <v>1.76</v>
          </cell>
          <cell r="F1163">
            <v>0.25</v>
          </cell>
          <cell r="G1163">
            <v>2.65</v>
          </cell>
          <cell r="H1163">
            <v>210</v>
          </cell>
          <cell r="I1163">
            <v>1.1659999999999999</v>
          </cell>
          <cell r="J1163">
            <v>0</v>
          </cell>
          <cell r="K1163">
            <v>0</v>
          </cell>
          <cell r="L1163">
            <v>1.1659999999999999</v>
          </cell>
          <cell r="M1163">
            <v>4.0199999999999996</v>
          </cell>
          <cell r="N1163">
            <v>2.4499999999999997</v>
          </cell>
          <cell r="O1163">
            <v>9.8489999999999984</v>
          </cell>
          <cell r="P1163" t="str">
            <v>V</v>
          </cell>
          <cell r="Q1163" t="str">
            <v>5/8"</v>
          </cell>
          <cell r="R1163">
            <v>4</v>
          </cell>
          <cell r="S1163">
            <v>2.65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18.29</v>
          </cell>
          <cell r="AB1163">
            <v>0</v>
          </cell>
          <cell r="AC1163">
            <v>0</v>
          </cell>
          <cell r="AD1163">
            <v>0</v>
          </cell>
        </row>
        <row r="1164">
          <cell r="B1164" t="str">
            <v>Nucleo A</v>
          </cell>
          <cell r="C1164">
            <v>1</v>
          </cell>
          <cell r="D1164">
            <v>1</v>
          </cell>
          <cell r="G1164">
            <v>2.65</v>
          </cell>
          <cell r="P1164" t="str">
            <v>V</v>
          </cell>
          <cell r="Q1164" t="str">
            <v>5/8"</v>
          </cell>
          <cell r="R1164">
            <v>18</v>
          </cell>
          <cell r="S1164">
            <v>2.65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82.304999999999993</v>
          </cell>
          <cell r="AB1164">
            <v>0</v>
          </cell>
          <cell r="AC1164">
            <v>0</v>
          </cell>
          <cell r="AD1164">
            <v>0</v>
          </cell>
        </row>
        <row r="1165">
          <cell r="B1165" t="str">
            <v>Est</v>
          </cell>
          <cell r="C1165">
            <v>1</v>
          </cell>
          <cell r="D1165">
            <v>1</v>
          </cell>
          <cell r="E1165">
            <v>1.1000000000000001</v>
          </cell>
          <cell r="F1165">
            <v>0.25</v>
          </cell>
          <cell r="G1165">
            <v>2.65</v>
          </cell>
          <cell r="Q1165" t="str">
            <v>3/8"</v>
          </cell>
          <cell r="R1165">
            <v>24</v>
          </cell>
          <cell r="S1165">
            <v>2.7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36.288000000000011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</row>
        <row r="1166">
          <cell r="B1166" t="str">
            <v>Est</v>
          </cell>
          <cell r="C1166">
            <v>1</v>
          </cell>
          <cell r="D1166">
            <v>1</v>
          </cell>
          <cell r="E1166">
            <v>1.1000000000000001</v>
          </cell>
          <cell r="F1166">
            <v>0.25</v>
          </cell>
          <cell r="G1166">
            <v>2.65</v>
          </cell>
          <cell r="Q1166" t="str">
            <v>3/8"</v>
          </cell>
          <cell r="R1166">
            <v>24</v>
          </cell>
          <cell r="S1166">
            <v>2.7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36.288000000000011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</row>
        <row r="1167">
          <cell r="B1167" t="str">
            <v>Est</v>
          </cell>
          <cell r="C1167">
            <v>1</v>
          </cell>
          <cell r="D1167">
            <v>1</v>
          </cell>
          <cell r="E1167">
            <v>1.1000000000000001</v>
          </cell>
          <cell r="F1167">
            <v>0.25</v>
          </cell>
          <cell r="G1167">
            <v>2.65</v>
          </cell>
          <cell r="Q1167" t="str">
            <v>3/8"</v>
          </cell>
          <cell r="R1167">
            <v>24</v>
          </cell>
          <cell r="S1167">
            <v>2.7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36.288000000000011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</row>
        <row r="1168">
          <cell r="B1168" t="str">
            <v>Est</v>
          </cell>
          <cell r="C1168">
            <v>1</v>
          </cell>
          <cell r="D1168">
            <v>5</v>
          </cell>
          <cell r="E1168">
            <v>0.15</v>
          </cell>
          <cell r="F1168">
            <v>0.25</v>
          </cell>
          <cell r="G1168">
            <v>2.65</v>
          </cell>
          <cell r="Q1168" t="str">
            <v>3/8"</v>
          </cell>
          <cell r="R1168">
            <v>24</v>
          </cell>
          <cell r="S1168">
            <v>0.55000000000000004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36.96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</row>
        <row r="1169">
          <cell r="B1169" t="str">
            <v>Acero Vert</v>
          </cell>
          <cell r="C1169">
            <v>1</v>
          </cell>
          <cell r="D1169">
            <v>1</v>
          </cell>
          <cell r="E1169">
            <v>5</v>
          </cell>
          <cell r="F1169">
            <v>0.4</v>
          </cell>
          <cell r="G1169">
            <v>2.65</v>
          </cell>
          <cell r="H1169">
            <v>210</v>
          </cell>
          <cell r="I1169">
            <v>5.3</v>
          </cell>
          <cell r="J1169">
            <v>0</v>
          </cell>
          <cell r="K1169">
            <v>0</v>
          </cell>
          <cell r="L1169">
            <v>5.3</v>
          </cell>
          <cell r="M1169">
            <v>10.8</v>
          </cell>
          <cell r="N1169">
            <v>2.4499999999999997</v>
          </cell>
          <cell r="O1169">
            <v>26.459999999999997</v>
          </cell>
          <cell r="P1169" t="str">
            <v>V</v>
          </cell>
          <cell r="Q1169" t="str">
            <v>1/2"</v>
          </cell>
          <cell r="R1169">
            <v>36</v>
          </cell>
          <cell r="S1169">
            <v>3.15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121.17599999999999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</row>
        <row r="1170">
          <cell r="B1170" t="str">
            <v>Acero Hor</v>
          </cell>
          <cell r="C1170">
            <v>1</v>
          </cell>
          <cell r="D1170">
            <v>1</v>
          </cell>
          <cell r="G1170">
            <v>2.65</v>
          </cell>
          <cell r="P1170" t="str">
            <v>H</v>
          </cell>
          <cell r="Q1170" t="str">
            <v>1/2"</v>
          </cell>
          <cell r="R1170">
            <v>20</v>
          </cell>
          <cell r="S1170">
            <v>5.9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116.82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</row>
        <row r="1171">
          <cell r="B1171" t="str">
            <v>Acero Vert</v>
          </cell>
          <cell r="C1171">
            <v>1</v>
          </cell>
          <cell r="D1171">
            <v>1</v>
          </cell>
          <cell r="E1171">
            <v>2.3199999999999998</v>
          </cell>
          <cell r="F1171">
            <v>0.2</v>
          </cell>
          <cell r="G1171">
            <v>2.65</v>
          </cell>
          <cell r="H1171">
            <v>210</v>
          </cell>
          <cell r="I1171">
            <v>1.2295999999999998</v>
          </cell>
          <cell r="J1171">
            <v>0</v>
          </cell>
          <cell r="K1171">
            <v>0</v>
          </cell>
          <cell r="L1171">
            <v>1.2295999999999998</v>
          </cell>
          <cell r="M1171">
            <v>5.04</v>
          </cell>
          <cell r="N1171">
            <v>2.4499999999999997</v>
          </cell>
          <cell r="O1171">
            <v>12.347999999999999</v>
          </cell>
          <cell r="P1171" t="str">
            <v>V</v>
          </cell>
          <cell r="Q1171" t="str">
            <v>3/8"</v>
          </cell>
          <cell r="R1171">
            <v>12</v>
          </cell>
          <cell r="S1171">
            <v>3.15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24.528000000000002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</row>
        <row r="1172">
          <cell r="B1172" t="str">
            <v>Acero Hor</v>
          </cell>
          <cell r="C1172">
            <v>1</v>
          </cell>
          <cell r="D1172">
            <v>1</v>
          </cell>
          <cell r="G1172">
            <v>2.65</v>
          </cell>
          <cell r="P1172" t="str">
            <v>H</v>
          </cell>
          <cell r="Q1172" t="str">
            <v>3/8"</v>
          </cell>
          <cell r="R1172">
            <v>24</v>
          </cell>
          <cell r="S1172">
            <v>2.6199999999999997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35.212800000000001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</row>
        <row r="1173">
          <cell r="B1173" t="str">
            <v>Nucleo A</v>
          </cell>
          <cell r="C1173">
            <v>1</v>
          </cell>
          <cell r="D1173">
            <v>2</v>
          </cell>
          <cell r="E1173">
            <v>0.25</v>
          </cell>
          <cell r="F1173">
            <v>0.25</v>
          </cell>
          <cell r="G1173">
            <v>2.65</v>
          </cell>
          <cell r="P1173" t="str">
            <v>V</v>
          </cell>
          <cell r="Q1173" t="str">
            <v>3/4"</v>
          </cell>
          <cell r="R1173">
            <v>2</v>
          </cell>
          <cell r="S1173">
            <v>2.65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25.312000000000001</v>
          </cell>
          <cell r="AC1173">
            <v>0</v>
          </cell>
          <cell r="AD1173">
            <v>0</v>
          </cell>
        </row>
        <row r="1174">
          <cell r="B1174" t="str">
            <v>Nucleo A</v>
          </cell>
          <cell r="C1174">
            <v>1</v>
          </cell>
          <cell r="D1174">
            <v>2</v>
          </cell>
          <cell r="G1174">
            <v>2.65</v>
          </cell>
          <cell r="P1174" t="str">
            <v>V</v>
          </cell>
          <cell r="Q1174" t="str">
            <v>3/4"</v>
          </cell>
          <cell r="R1174">
            <v>2</v>
          </cell>
          <cell r="S1174">
            <v>2.65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25.312000000000001</v>
          </cell>
          <cell r="AC1174">
            <v>0</v>
          </cell>
          <cell r="AD1174">
            <v>0</v>
          </cell>
        </row>
        <row r="1175">
          <cell r="B1175" t="str">
            <v>Est</v>
          </cell>
          <cell r="C1175">
            <v>1</v>
          </cell>
          <cell r="D1175">
            <v>2</v>
          </cell>
          <cell r="E1175">
            <v>0.25</v>
          </cell>
          <cell r="F1175">
            <v>0.25</v>
          </cell>
          <cell r="G1175">
            <v>2.65</v>
          </cell>
          <cell r="Q1175" t="str">
            <v>3/8"</v>
          </cell>
          <cell r="R1175">
            <v>11</v>
          </cell>
          <cell r="S1175">
            <v>1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12.32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</row>
        <row r="1176"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</row>
        <row r="1177">
          <cell r="B1177" t="str">
            <v>14 PISO</v>
          </cell>
          <cell r="H1177">
            <v>210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</row>
        <row r="1178"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</row>
        <row r="1179">
          <cell r="B1179" t="str">
            <v>B1-PL-01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</row>
        <row r="1180">
          <cell r="B1180" t="str">
            <v>Acero Vert</v>
          </cell>
          <cell r="C1180">
            <v>1</v>
          </cell>
          <cell r="D1180">
            <v>1</v>
          </cell>
          <cell r="E1180">
            <v>4.2300000000000004</v>
          </cell>
          <cell r="F1180">
            <v>0.2</v>
          </cell>
          <cell r="G1180">
            <v>2.65</v>
          </cell>
          <cell r="H1180">
            <v>210</v>
          </cell>
          <cell r="I1180">
            <v>2.2419000000000002</v>
          </cell>
          <cell r="J1180">
            <v>0</v>
          </cell>
          <cell r="K1180">
            <v>0</v>
          </cell>
          <cell r="L1180">
            <v>2.2419000000000002</v>
          </cell>
          <cell r="M1180">
            <v>8.8600000000000012</v>
          </cell>
          <cell r="N1180">
            <v>2.4499999999999997</v>
          </cell>
          <cell r="O1180">
            <v>21.707000000000001</v>
          </cell>
          <cell r="P1180" t="str">
            <v>V</v>
          </cell>
          <cell r="Q1180" t="str">
            <v>3/8"</v>
          </cell>
          <cell r="R1180">
            <v>24</v>
          </cell>
          <cell r="S1180">
            <v>3.15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49.056000000000004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</row>
        <row r="1181">
          <cell r="B1181" t="str">
            <v>Acero Hor</v>
          </cell>
          <cell r="C1181">
            <v>1</v>
          </cell>
          <cell r="D1181">
            <v>1</v>
          </cell>
          <cell r="G1181">
            <v>2.65</v>
          </cell>
          <cell r="P1181" t="str">
            <v>H</v>
          </cell>
          <cell r="Q1181" t="str">
            <v>3/8"</v>
          </cell>
          <cell r="R1181">
            <v>18</v>
          </cell>
          <cell r="S1181">
            <v>4.53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45.662400000000005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</row>
        <row r="1182">
          <cell r="B1182" t="str">
            <v>Nucleo A</v>
          </cell>
          <cell r="C1182">
            <v>1</v>
          </cell>
          <cell r="D1182">
            <v>1</v>
          </cell>
          <cell r="E1182">
            <v>0.25</v>
          </cell>
          <cell r="F1182">
            <v>0.2</v>
          </cell>
          <cell r="G1182">
            <v>2.65</v>
          </cell>
          <cell r="P1182" t="str">
            <v>V</v>
          </cell>
          <cell r="Q1182" t="str">
            <v>3/4"</v>
          </cell>
          <cell r="R1182">
            <v>4</v>
          </cell>
          <cell r="S1182">
            <v>2.65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26.880000000000003</v>
          </cell>
          <cell r="AC1182">
            <v>0</v>
          </cell>
          <cell r="AD1182">
            <v>0</v>
          </cell>
        </row>
        <row r="1183">
          <cell r="B1183" t="str">
            <v>Est</v>
          </cell>
          <cell r="C1183">
            <v>1</v>
          </cell>
          <cell r="D1183">
            <v>1</v>
          </cell>
          <cell r="E1183">
            <v>0.25</v>
          </cell>
          <cell r="F1183">
            <v>0.2</v>
          </cell>
          <cell r="G1183">
            <v>2.65</v>
          </cell>
          <cell r="Q1183" t="str">
            <v>3/8"</v>
          </cell>
          <cell r="R1183">
            <v>10</v>
          </cell>
          <cell r="S1183">
            <v>0.9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5.0400000000000009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</row>
        <row r="1184">
          <cell r="B1184" t="str">
            <v>Acero Vert</v>
          </cell>
          <cell r="C1184">
            <v>1</v>
          </cell>
          <cell r="D1184">
            <v>1</v>
          </cell>
          <cell r="E1184">
            <v>5.3999999999999995</v>
          </cell>
          <cell r="F1184">
            <v>0.2</v>
          </cell>
          <cell r="G1184">
            <v>2.65</v>
          </cell>
          <cell r="H1184">
            <v>210</v>
          </cell>
          <cell r="I1184">
            <v>2.8619999999999997</v>
          </cell>
          <cell r="J1184">
            <v>0</v>
          </cell>
          <cell r="K1184">
            <v>0</v>
          </cell>
          <cell r="L1184">
            <v>2.8619999999999997</v>
          </cell>
          <cell r="M1184">
            <v>11.2</v>
          </cell>
          <cell r="N1184">
            <v>2.4499999999999997</v>
          </cell>
          <cell r="O1184">
            <v>27.439999999999994</v>
          </cell>
          <cell r="P1184" t="str">
            <v>V</v>
          </cell>
          <cell r="Q1184" t="str">
            <v>3/8"</v>
          </cell>
          <cell r="R1184">
            <v>30</v>
          </cell>
          <cell r="S1184">
            <v>3.15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61.320000000000007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</row>
        <row r="1185">
          <cell r="B1185" t="str">
            <v>Acero Hor</v>
          </cell>
          <cell r="C1185">
            <v>1</v>
          </cell>
          <cell r="D1185">
            <v>1</v>
          </cell>
          <cell r="G1185">
            <v>2.65</v>
          </cell>
          <cell r="P1185" t="str">
            <v>H</v>
          </cell>
          <cell r="Q1185" t="str">
            <v>3/8"</v>
          </cell>
          <cell r="R1185">
            <v>18</v>
          </cell>
          <cell r="S1185">
            <v>5.8999999999999995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59.472000000000001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</row>
        <row r="1186">
          <cell r="B1186" t="str">
            <v>Nucleo A</v>
          </cell>
          <cell r="C1186">
            <v>1</v>
          </cell>
          <cell r="D1186">
            <v>1</v>
          </cell>
          <cell r="E1186">
            <v>0.25</v>
          </cell>
          <cell r="F1186">
            <v>0.2</v>
          </cell>
          <cell r="G1186">
            <v>2.65</v>
          </cell>
          <cell r="P1186" t="str">
            <v>V</v>
          </cell>
          <cell r="Q1186" t="str">
            <v>3/4"</v>
          </cell>
          <cell r="R1186">
            <v>4</v>
          </cell>
          <cell r="S1186">
            <v>2.65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26.880000000000003</v>
          </cell>
          <cell r="AC1186">
            <v>0</v>
          </cell>
          <cell r="AD1186">
            <v>0</v>
          </cell>
        </row>
        <row r="1187">
          <cell r="B1187" t="str">
            <v>Est</v>
          </cell>
          <cell r="C1187">
            <v>1</v>
          </cell>
          <cell r="D1187">
            <v>1</v>
          </cell>
          <cell r="E1187">
            <v>0.25</v>
          </cell>
          <cell r="F1187">
            <v>0.2</v>
          </cell>
          <cell r="G1187">
            <v>2.65</v>
          </cell>
          <cell r="Q1187" t="str">
            <v>3/8"</v>
          </cell>
          <cell r="R1187">
            <v>10</v>
          </cell>
          <cell r="S1187">
            <v>0.9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5.0400000000000009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</row>
        <row r="1188">
          <cell r="B1188" t="str">
            <v>Nucleo A</v>
          </cell>
          <cell r="C1188">
            <v>1</v>
          </cell>
          <cell r="D1188">
            <v>1</v>
          </cell>
          <cell r="E1188">
            <v>0.2</v>
          </cell>
          <cell r="F1188">
            <v>0.2</v>
          </cell>
          <cell r="G1188">
            <v>2.65</v>
          </cell>
          <cell r="P1188" t="str">
            <v>V</v>
          </cell>
          <cell r="Q1188" t="str">
            <v>3/4"</v>
          </cell>
          <cell r="R1188">
            <v>4</v>
          </cell>
          <cell r="S1188">
            <v>2.65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26.880000000000003</v>
          </cell>
          <cell r="AC1188">
            <v>0</v>
          </cell>
          <cell r="AD1188">
            <v>0</v>
          </cell>
        </row>
        <row r="1189">
          <cell r="B1189" t="str">
            <v>Est</v>
          </cell>
          <cell r="C1189">
            <v>1</v>
          </cell>
          <cell r="D1189">
            <v>1</v>
          </cell>
          <cell r="E1189">
            <v>0.2</v>
          </cell>
          <cell r="F1189">
            <v>0.2</v>
          </cell>
          <cell r="G1189">
            <v>2.65</v>
          </cell>
          <cell r="Q1189" t="str">
            <v>3/8"</v>
          </cell>
          <cell r="R1189">
            <v>10</v>
          </cell>
          <cell r="S1189">
            <v>0.8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4.4800000000000004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</row>
        <row r="1190"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</row>
        <row r="1191">
          <cell r="B1191" t="str">
            <v>B1-PL-02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</row>
        <row r="1192">
          <cell r="B1192" t="str">
            <v>Acero Vert</v>
          </cell>
          <cell r="C1192">
            <v>1</v>
          </cell>
          <cell r="D1192">
            <v>1</v>
          </cell>
          <cell r="E1192">
            <v>8.64</v>
          </cell>
          <cell r="F1192">
            <v>0.2</v>
          </cell>
          <cell r="G1192">
            <v>2.65</v>
          </cell>
          <cell r="H1192">
            <v>210</v>
          </cell>
          <cell r="I1192">
            <v>4.5792000000000002</v>
          </cell>
          <cell r="J1192">
            <v>0</v>
          </cell>
          <cell r="K1192">
            <v>0</v>
          </cell>
          <cell r="L1192">
            <v>4.5792000000000002</v>
          </cell>
          <cell r="M1192">
            <v>17.68</v>
          </cell>
          <cell r="N1192">
            <v>2.4499999999999997</v>
          </cell>
          <cell r="O1192">
            <v>43.315999999999995</v>
          </cell>
          <cell r="P1192" t="str">
            <v>V</v>
          </cell>
          <cell r="Q1192" t="str">
            <v>3/8"</v>
          </cell>
          <cell r="R1192">
            <v>48</v>
          </cell>
          <cell r="S1192">
            <v>3.15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98.112000000000009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</row>
        <row r="1193">
          <cell r="B1193" t="str">
            <v>Acero Hor</v>
          </cell>
          <cell r="C1193">
            <v>1</v>
          </cell>
          <cell r="D1193">
            <v>1</v>
          </cell>
          <cell r="G1193">
            <v>2.65</v>
          </cell>
          <cell r="P1193" t="str">
            <v>H</v>
          </cell>
          <cell r="Q1193" t="str">
            <v>3/8"</v>
          </cell>
          <cell r="R1193">
            <v>18</v>
          </cell>
          <cell r="S1193">
            <v>9.14</v>
          </cell>
          <cell r="T1193">
            <v>1</v>
          </cell>
          <cell r="U1193">
            <v>0</v>
          </cell>
          <cell r="V1193">
            <v>0</v>
          </cell>
          <cell r="W1193">
            <v>0</v>
          </cell>
          <cell r="X1193">
            <v>96.163200000000003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</row>
        <row r="1194">
          <cell r="B1194" t="str">
            <v>Nucleo A</v>
          </cell>
          <cell r="C1194">
            <v>1</v>
          </cell>
          <cell r="D1194">
            <v>1</v>
          </cell>
          <cell r="E1194">
            <v>0.25</v>
          </cell>
          <cell r="F1194">
            <v>0.2</v>
          </cell>
          <cell r="G1194">
            <v>2.65</v>
          </cell>
          <cell r="P1194" t="str">
            <v>V</v>
          </cell>
          <cell r="Q1194" t="str">
            <v>3/4"</v>
          </cell>
          <cell r="R1194">
            <v>2</v>
          </cell>
          <cell r="S1194">
            <v>2.65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13.440000000000001</v>
          </cell>
          <cell r="AC1194">
            <v>0</v>
          </cell>
          <cell r="AD1194">
            <v>0</v>
          </cell>
        </row>
        <row r="1195">
          <cell r="C1195">
            <v>1</v>
          </cell>
          <cell r="D1195">
            <v>1</v>
          </cell>
          <cell r="F1195">
            <v>0</v>
          </cell>
          <cell r="G1195">
            <v>2.65</v>
          </cell>
          <cell r="P1195" t="str">
            <v>V</v>
          </cell>
          <cell r="Q1195" t="str">
            <v>3/4"</v>
          </cell>
          <cell r="R1195">
            <v>2</v>
          </cell>
          <cell r="S1195">
            <v>2.65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13.440000000000001</v>
          </cell>
          <cell r="AC1195">
            <v>0</v>
          </cell>
          <cell r="AD1195">
            <v>0</v>
          </cell>
        </row>
        <row r="1196">
          <cell r="B1196" t="str">
            <v>Est</v>
          </cell>
          <cell r="C1196">
            <v>1</v>
          </cell>
          <cell r="D1196">
            <v>1</v>
          </cell>
          <cell r="E1196">
            <v>0.25</v>
          </cell>
          <cell r="F1196">
            <v>0.2</v>
          </cell>
          <cell r="G1196">
            <v>2.65</v>
          </cell>
          <cell r="Q1196" t="str">
            <v>3/8"</v>
          </cell>
          <cell r="R1196">
            <v>8</v>
          </cell>
          <cell r="S1196">
            <v>0.9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4.0320000000000009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</row>
        <row r="1197">
          <cell r="B1197" t="str">
            <v>Nucleo A</v>
          </cell>
          <cell r="C1197">
            <v>1</v>
          </cell>
          <cell r="D1197">
            <v>1</v>
          </cell>
          <cell r="E1197">
            <v>0.25</v>
          </cell>
          <cell r="F1197">
            <v>0.2</v>
          </cell>
          <cell r="G1197">
            <v>2.65</v>
          </cell>
          <cell r="P1197" t="str">
            <v>V</v>
          </cell>
          <cell r="Q1197" t="str">
            <v>3/4"</v>
          </cell>
          <cell r="R1197">
            <v>2</v>
          </cell>
          <cell r="S1197">
            <v>2.65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13.440000000000001</v>
          </cell>
          <cell r="AC1197">
            <v>0</v>
          </cell>
          <cell r="AD1197">
            <v>0</v>
          </cell>
        </row>
        <row r="1198">
          <cell r="C1198">
            <v>1</v>
          </cell>
          <cell r="D1198">
            <v>1</v>
          </cell>
          <cell r="F1198">
            <v>0.2</v>
          </cell>
          <cell r="G1198">
            <v>2.65</v>
          </cell>
          <cell r="P1198" t="str">
            <v>V</v>
          </cell>
          <cell r="Q1198" t="str">
            <v>3/4"</v>
          </cell>
          <cell r="R1198">
            <v>2</v>
          </cell>
          <cell r="S1198">
            <v>2.65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13.440000000000001</v>
          </cell>
          <cell r="AC1198">
            <v>0</v>
          </cell>
          <cell r="AD1198">
            <v>0</v>
          </cell>
        </row>
        <row r="1199">
          <cell r="B1199" t="str">
            <v>Est</v>
          </cell>
          <cell r="C1199">
            <v>1</v>
          </cell>
          <cell r="D1199">
            <v>1</v>
          </cell>
          <cell r="E1199">
            <v>0.25</v>
          </cell>
          <cell r="F1199">
            <v>0.2</v>
          </cell>
          <cell r="G1199">
            <v>2.65</v>
          </cell>
          <cell r="Q1199" t="str">
            <v>3/8"</v>
          </cell>
          <cell r="R1199">
            <v>8</v>
          </cell>
          <cell r="S1199">
            <v>0.9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4.0320000000000009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</row>
        <row r="1200"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</row>
        <row r="1201">
          <cell r="B1201" t="str">
            <v>B1-PL-03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</row>
        <row r="1202">
          <cell r="B1202" t="str">
            <v>Acero Vert</v>
          </cell>
          <cell r="C1202">
            <v>1</v>
          </cell>
          <cell r="D1202">
            <v>1</v>
          </cell>
          <cell r="E1202">
            <v>9</v>
          </cell>
          <cell r="F1202">
            <v>0.2</v>
          </cell>
          <cell r="G1202">
            <v>2.65</v>
          </cell>
          <cell r="H1202">
            <v>210</v>
          </cell>
          <cell r="I1202">
            <v>4.7699999999999996</v>
          </cell>
          <cell r="J1202">
            <v>0</v>
          </cell>
          <cell r="K1202">
            <v>0</v>
          </cell>
          <cell r="L1202">
            <v>4.7699999999999996</v>
          </cell>
          <cell r="M1202">
            <v>18.399999999999999</v>
          </cell>
          <cell r="N1202">
            <v>2.4499999999999997</v>
          </cell>
          <cell r="O1202">
            <v>45.079999999999991</v>
          </cell>
          <cell r="P1202" t="str">
            <v>V</v>
          </cell>
          <cell r="Q1202" t="str">
            <v>3/8"</v>
          </cell>
          <cell r="R1202">
            <v>50</v>
          </cell>
          <cell r="S1202">
            <v>3.15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102.2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</row>
        <row r="1203">
          <cell r="B1203" t="str">
            <v>Acero Hor</v>
          </cell>
          <cell r="C1203">
            <v>1</v>
          </cell>
          <cell r="D1203">
            <v>1</v>
          </cell>
          <cell r="E1203">
            <v>0.3</v>
          </cell>
          <cell r="F1203">
            <v>0.4</v>
          </cell>
          <cell r="G1203">
            <v>2.65</v>
          </cell>
          <cell r="H1203">
            <v>210</v>
          </cell>
          <cell r="I1203">
            <v>0.318</v>
          </cell>
          <cell r="J1203">
            <v>0</v>
          </cell>
          <cell r="K1203">
            <v>0</v>
          </cell>
          <cell r="L1203">
            <v>0.318</v>
          </cell>
          <cell r="M1203">
            <v>1.4</v>
          </cell>
          <cell r="N1203">
            <v>2.4499999999999997</v>
          </cell>
          <cell r="O1203">
            <v>3.4299999999999993</v>
          </cell>
          <cell r="P1203" t="str">
            <v>H</v>
          </cell>
          <cell r="Q1203" t="str">
            <v>3/8"</v>
          </cell>
          <cell r="R1203">
            <v>18</v>
          </cell>
          <cell r="S1203">
            <v>9.3000000000000007</v>
          </cell>
          <cell r="T1203">
            <v>1</v>
          </cell>
          <cell r="U1203">
            <v>0</v>
          </cell>
          <cell r="V1203">
            <v>0</v>
          </cell>
          <cell r="W1203">
            <v>0</v>
          </cell>
          <cell r="X1203">
            <v>97.77600000000001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</row>
        <row r="1204">
          <cell r="B1204" t="str">
            <v>Nucleo A</v>
          </cell>
          <cell r="C1204">
            <v>1</v>
          </cell>
          <cell r="D1204">
            <v>1</v>
          </cell>
          <cell r="E1204">
            <v>0.4</v>
          </cell>
          <cell r="F1204">
            <v>0.5</v>
          </cell>
          <cell r="G1204">
            <v>2.65</v>
          </cell>
          <cell r="P1204" t="str">
            <v>V</v>
          </cell>
          <cell r="Q1204" t="str">
            <v>3/4"</v>
          </cell>
          <cell r="R1204">
            <v>8</v>
          </cell>
          <cell r="S1204">
            <v>2.65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53.760000000000005</v>
          </cell>
          <cell r="AC1204">
            <v>0</v>
          </cell>
          <cell r="AD1204">
            <v>0</v>
          </cell>
        </row>
        <row r="1205">
          <cell r="B1205" t="str">
            <v>Nucleo A</v>
          </cell>
          <cell r="C1205">
            <v>1</v>
          </cell>
          <cell r="D1205">
            <v>1</v>
          </cell>
          <cell r="G1205">
            <v>2.65</v>
          </cell>
          <cell r="P1205" t="str">
            <v>V</v>
          </cell>
          <cell r="Q1205" t="str">
            <v>3/4"</v>
          </cell>
          <cell r="R1205">
            <v>4</v>
          </cell>
          <cell r="S1205">
            <v>2.65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26.880000000000003</v>
          </cell>
          <cell r="AC1205">
            <v>0</v>
          </cell>
          <cell r="AD1205">
            <v>0</v>
          </cell>
        </row>
        <row r="1206">
          <cell r="B1206" t="str">
            <v>Est</v>
          </cell>
          <cell r="C1206">
            <v>1</v>
          </cell>
          <cell r="D1206">
            <v>1</v>
          </cell>
          <cell r="E1206">
            <v>0.4</v>
          </cell>
          <cell r="F1206">
            <v>0.5</v>
          </cell>
          <cell r="G1206">
            <v>2.65</v>
          </cell>
          <cell r="Q1206" t="str">
            <v>3/8"</v>
          </cell>
          <cell r="R1206">
            <v>8</v>
          </cell>
          <cell r="S1206">
            <v>1.8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8.0640000000000018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</row>
        <row r="1207">
          <cell r="B1207" t="str">
            <v>Est</v>
          </cell>
          <cell r="C1207">
            <v>1</v>
          </cell>
          <cell r="D1207">
            <v>1</v>
          </cell>
          <cell r="E1207">
            <v>0.25</v>
          </cell>
          <cell r="F1207">
            <v>0.5</v>
          </cell>
          <cell r="G1207">
            <v>2.65</v>
          </cell>
          <cell r="Q1207" t="str">
            <v>3/8"</v>
          </cell>
          <cell r="R1207">
            <v>8</v>
          </cell>
          <cell r="S1207">
            <v>1.5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6.7200000000000006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</row>
        <row r="1208">
          <cell r="B1208" t="str">
            <v>Est</v>
          </cell>
          <cell r="C1208">
            <v>1</v>
          </cell>
          <cell r="D1208">
            <v>1</v>
          </cell>
          <cell r="E1208">
            <v>0.4</v>
          </cell>
          <cell r="F1208">
            <v>0.1</v>
          </cell>
          <cell r="G1208">
            <v>2.65</v>
          </cell>
          <cell r="Q1208" t="str">
            <v>3/8"</v>
          </cell>
          <cell r="R1208">
            <v>8</v>
          </cell>
          <cell r="S1208">
            <v>0.5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2.2400000000000002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</row>
        <row r="1209">
          <cell r="B1209" t="str">
            <v>Nucleo A</v>
          </cell>
          <cell r="C1209">
            <v>1</v>
          </cell>
          <cell r="D1209">
            <v>1</v>
          </cell>
          <cell r="E1209">
            <v>0.25</v>
          </cell>
          <cell r="F1209">
            <v>0.2</v>
          </cell>
          <cell r="G1209">
            <v>2.65</v>
          </cell>
          <cell r="P1209" t="str">
            <v>V</v>
          </cell>
          <cell r="Q1209" t="str">
            <v>3/4"</v>
          </cell>
          <cell r="R1209">
            <v>2</v>
          </cell>
          <cell r="S1209">
            <v>2.65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13.440000000000001</v>
          </cell>
          <cell r="AC1209">
            <v>0</v>
          </cell>
          <cell r="AD1209">
            <v>0</v>
          </cell>
        </row>
        <row r="1210">
          <cell r="B1210" t="str">
            <v>Nucleo A</v>
          </cell>
          <cell r="C1210">
            <v>1</v>
          </cell>
          <cell r="D1210">
            <v>1</v>
          </cell>
          <cell r="G1210">
            <v>2.65</v>
          </cell>
          <cell r="P1210" t="str">
            <v>V</v>
          </cell>
          <cell r="Q1210" t="str">
            <v>3/4"</v>
          </cell>
          <cell r="R1210">
            <v>2</v>
          </cell>
          <cell r="S1210">
            <v>2.65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13.440000000000001</v>
          </cell>
          <cell r="AC1210">
            <v>0</v>
          </cell>
          <cell r="AD1210">
            <v>0</v>
          </cell>
        </row>
        <row r="1211">
          <cell r="B1211" t="str">
            <v>Est</v>
          </cell>
          <cell r="C1211">
            <v>1</v>
          </cell>
          <cell r="D1211">
            <v>1</v>
          </cell>
          <cell r="E1211">
            <v>0.25</v>
          </cell>
          <cell r="F1211">
            <v>0.2</v>
          </cell>
          <cell r="G1211">
            <v>2.65</v>
          </cell>
          <cell r="Q1211" t="str">
            <v>3/8"</v>
          </cell>
          <cell r="R1211">
            <v>8</v>
          </cell>
          <cell r="S1211">
            <v>0.9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4.0320000000000009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</row>
        <row r="1212"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</row>
        <row r="1213">
          <cell r="B1213" t="str">
            <v>B1-PL-04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</row>
        <row r="1214">
          <cell r="B1214" t="str">
            <v>Acero Vert</v>
          </cell>
          <cell r="C1214">
            <v>2</v>
          </cell>
          <cell r="D1214">
            <v>1</v>
          </cell>
          <cell r="E1214">
            <v>2.2999999999999998</v>
          </cell>
          <cell r="F1214">
            <v>0.25</v>
          </cell>
          <cell r="G1214">
            <v>2.65</v>
          </cell>
          <cell r="H1214">
            <v>210</v>
          </cell>
          <cell r="I1214">
            <v>3.0474999999999999</v>
          </cell>
          <cell r="J1214">
            <v>0</v>
          </cell>
          <cell r="K1214">
            <v>0</v>
          </cell>
          <cell r="L1214">
            <v>3.0474999999999999</v>
          </cell>
          <cell r="M1214">
            <v>5.0999999999999996</v>
          </cell>
          <cell r="N1214">
            <v>2.4499999999999997</v>
          </cell>
          <cell r="O1214">
            <v>24.989999999999995</v>
          </cell>
          <cell r="P1214" t="str">
            <v>V</v>
          </cell>
          <cell r="Q1214" t="str">
            <v>3/8"</v>
          </cell>
          <cell r="R1214">
            <v>14</v>
          </cell>
          <cell r="S1214">
            <v>3.15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57.232000000000006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</row>
        <row r="1215">
          <cell r="B1215" t="str">
            <v>Acero Hor</v>
          </cell>
          <cell r="C1215">
            <v>2</v>
          </cell>
          <cell r="D1215">
            <v>1</v>
          </cell>
          <cell r="E1215">
            <v>0.25</v>
          </cell>
          <cell r="F1215">
            <v>0.4</v>
          </cell>
          <cell r="G1215">
            <v>2.65</v>
          </cell>
          <cell r="H1215">
            <v>210</v>
          </cell>
          <cell r="I1215">
            <v>0.53</v>
          </cell>
          <cell r="J1215">
            <v>0</v>
          </cell>
          <cell r="K1215">
            <v>0</v>
          </cell>
          <cell r="L1215">
            <v>0.53</v>
          </cell>
          <cell r="M1215">
            <v>1.3</v>
          </cell>
          <cell r="N1215">
            <v>2.4499999999999997</v>
          </cell>
          <cell r="O1215">
            <v>6.3699999999999992</v>
          </cell>
          <cell r="P1215" t="str">
            <v>H</v>
          </cell>
          <cell r="Q1215" t="str">
            <v>3/8"</v>
          </cell>
          <cell r="R1215">
            <v>20</v>
          </cell>
          <cell r="S1215">
            <v>2.5999999999999996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58.239999999999995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</row>
        <row r="1216">
          <cell r="B1216" t="str">
            <v>Nucleo A</v>
          </cell>
          <cell r="C1216">
            <v>2</v>
          </cell>
          <cell r="D1216">
            <v>1</v>
          </cell>
          <cell r="E1216">
            <v>0.4</v>
          </cell>
          <cell r="F1216">
            <v>0.45</v>
          </cell>
          <cell r="G1216">
            <v>2.65</v>
          </cell>
          <cell r="P1216" t="str">
            <v>V</v>
          </cell>
          <cell r="Q1216" t="str">
            <v>3/4"</v>
          </cell>
          <cell r="R1216">
            <v>4</v>
          </cell>
          <cell r="S1216">
            <v>2.65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53.760000000000005</v>
          </cell>
          <cell r="AC1216">
            <v>0</v>
          </cell>
          <cell r="AD1216">
            <v>0</v>
          </cell>
        </row>
        <row r="1217">
          <cell r="B1217" t="str">
            <v>Nucleo A</v>
          </cell>
          <cell r="C1217">
            <v>2</v>
          </cell>
          <cell r="D1217">
            <v>1</v>
          </cell>
          <cell r="G1217">
            <v>2.65</v>
          </cell>
          <cell r="P1217" t="str">
            <v>V</v>
          </cell>
          <cell r="Q1217" t="str">
            <v>3/4"</v>
          </cell>
          <cell r="R1217">
            <v>8</v>
          </cell>
          <cell r="S1217">
            <v>2.65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107.52000000000001</v>
          </cell>
          <cell r="AC1217">
            <v>0</v>
          </cell>
          <cell r="AD1217">
            <v>0</v>
          </cell>
        </row>
        <row r="1218">
          <cell r="B1218" t="str">
            <v>Est</v>
          </cell>
          <cell r="C1218">
            <v>2</v>
          </cell>
          <cell r="D1218">
            <v>1</v>
          </cell>
          <cell r="E1218">
            <v>0.4</v>
          </cell>
          <cell r="F1218">
            <v>0.45</v>
          </cell>
          <cell r="G1218">
            <v>2.65</v>
          </cell>
          <cell r="Q1218" t="str">
            <v>3/8"</v>
          </cell>
          <cell r="R1218">
            <v>10</v>
          </cell>
          <cell r="S1218">
            <v>1.7000000000000002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19.040000000000003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</row>
        <row r="1219">
          <cell r="B1219" t="str">
            <v>Est</v>
          </cell>
          <cell r="C1219">
            <v>2</v>
          </cell>
          <cell r="D1219">
            <v>1</v>
          </cell>
          <cell r="E1219">
            <v>0.25</v>
          </cell>
          <cell r="F1219">
            <v>0.45</v>
          </cell>
          <cell r="G1219">
            <v>2.65</v>
          </cell>
          <cell r="Q1219" t="str">
            <v>3/8"</v>
          </cell>
          <cell r="R1219">
            <v>10</v>
          </cell>
          <cell r="S1219">
            <v>1.4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15.680000000000001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</row>
        <row r="1220">
          <cell r="B1220" t="str">
            <v>Est</v>
          </cell>
          <cell r="C1220">
            <v>2</v>
          </cell>
          <cell r="D1220">
            <v>1</v>
          </cell>
          <cell r="E1220">
            <v>0.4</v>
          </cell>
          <cell r="F1220">
            <v>0.1</v>
          </cell>
          <cell r="G1220">
            <v>2.65</v>
          </cell>
          <cell r="Q1220" t="str">
            <v>3/8"</v>
          </cell>
          <cell r="R1220">
            <v>10</v>
          </cell>
          <cell r="S1220">
            <v>0.5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5.6000000000000005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</row>
        <row r="1221">
          <cell r="B1221" t="str">
            <v>Nucleo A</v>
          </cell>
          <cell r="C1221">
            <v>2</v>
          </cell>
          <cell r="D1221">
            <v>1</v>
          </cell>
          <cell r="E1221">
            <v>0.25</v>
          </cell>
          <cell r="F1221">
            <v>0.25</v>
          </cell>
          <cell r="G1221">
            <v>2.65</v>
          </cell>
          <cell r="P1221" t="str">
            <v>V</v>
          </cell>
          <cell r="Q1221" t="str">
            <v>3/4"</v>
          </cell>
          <cell r="R1221">
            <v>2</v>
          </cell>
          <cell r="S1221">
            <v>2.65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26.880000000000003</v>
          </cell>
          <cell r="AC1221">
            <v>0</v>
          </cell>
          <cell r="AD1221">
            <v>0</v>
          </cell>
        </row>
        <row r="1222">
          <cell r="B1222" t="str">
            <v>Nucleo A</v>
          </cell>
          <cell r="C1222">
            <v>2</v>
          </cell>
          <cell r="D1222">
            <v>1</v>
          </cell>
          <cell r="G1222">
            <v>2.65</v>
          </cell>
          <cell r="P1222" t="str">
            <v>V</v>
          </cell>
          <cell r="Q1222" t="str">
            <v>3/4"</v>
          </cell>
          <cell r="R1222">
            <v>2</v>
          </cell>
          <cell r="S1222">
            <v>2.65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26.880000000000003</v>
          </cell>
          <cell r="AC1222">
            <v>0</v>
          </cell>
          <cell r="AD1222">
            <v>0</v>
          </cell>
        </row>
        <row r="1223">
          <cell r="B1223" t="str">
            <v>Est</v>
          </cell>
          <cell r="C1223">
            <v>2</v>
          </cell>
          <cell r="D1223">
            <v>1</v>
          </cell>
          <cell r="E1223">
            <v>0.25</v>
          </cell>
          <cell r="F1223">
            <v>0.25</v>
          </cell>
          <cell r="G1223">
            <v>2.65</v>
          </cell>
          <cell r="Q1223" t="str">
            <v>3/8"</v>
          </cell>
          <cell r="R1223">
            <v>10</v>
          </cell>
          <cell r="S1223">
            <v>1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11.200000000000001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</row>
        <row r="1224">
          <cell r="C1224">
            <v>1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</row>
        <row r="1225">
          <cell r="B1225" t="str">
            <v>B1-PL-05</v>
          </cell>
          <cell r="C1225">
            <v>1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</row>
        <row r="1226">
          <cell r="B1226" t="str">
            <v>Acero Vert</v>
          </cell>
          <cell r="C1226">
            <v>1</v>
          </cell>
          <cell r="D1226">
            <v>1</v>
          </cell>
          <cell r="E1226">
            <v>2.2999999999999998</v>
          </cell>
          <cell r="F1226">
            <v>0.25</v>
          </cell>
          <cell r="G1226">
            <v>2.65</v>
          </cell>
          <cell r="H1226">
            <v>210</v>
          </cell>
          <cell r="I1226">
            <v>1.5237499999999999</v>
          </cell>
          <cell r="J1226">
            <v>0</v>
          </cell>
          <cell r="K1226">
            <v>0</v>
          </cell>
          <cell r="L1226">
            <v>1.5237499999999999</v>
          </cell>
          <cell r="M1226">
            <v>5.0999999999999996</v>
          </cell>
          <cell r="N1226">
            <v>2.4499999999999997</v>
          </cell>
          <cell r="O1226">
            <v>12.494999999999997</v>
          </cell>
          <cell r="P1226" t="str">
            <v>V</v>
          </cell>
          <cell r="Q1226" t="str">
            <v>3/8"</v>
          </cell>
          <cell r="R1226">
            <v>14</v>
          </cell>
          <cell r="S1226">
            <v>3.15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28.616000000000003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</row>
        <row r="1227">
          <cell r="B1227" t="str">
            <v>Acero Hor</v>
          </cell>
          <cell r="C1227">
            <v>1</v>
          </cell>
          <cell r="D1227">
            <v>1</v>
          </cell>
          <cell r="G1227">
            <v>2.65</v>
          </cell>
          <cell r="P1227" t="str">
            <v>H</v>
          </cell>
          <cell r="Q1227" t="str">
            <v>3/8"</v>
          </cell>
          <cell r="R1227">
            <v>20</v>
          </cell>
          <cell r="S1227">
            <v>2.5999999999999996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29.119999999999997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</row>
        <row r="1228">
          <cell r="B1228" t="str">
            <v>Nucleo A</v>
          </cell>
          <cell r="C1228">
            <v>1</v>
          </cell>
          <cell r="D1228">
            <v>1</v>
          </cell>
          <cell r="E1228">
            <v>0.25</v>
          </cell>
          <cell r="F1228">
            <v>0.25</v>
          </cell>
          <cell r="G1228">
            <v>2.65</v>
          </cell>
          <cell r="P1228" t="str">
            <v>V</v>
          </cell>
          <cell r="Q1228" t="str">
            <v>3/4"</v>
          </cell>
          <cell r="R1228">
            <v>2</v>
          </cell>
          <cell r="S1228">
            <v>2.65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13.440000000000001</v>
          </cell>
          <cell r="AC1228">
            <v>0</v>
          </cell>
          <cell r="AD1228">
            <v>0</v>
          </cell>
        </row>
        <row r="1229">
          <cell r="B1229" t="str">
            <v>Nucleo A</v>
          </cell>
          <cell r="C1229">
            <v>1</v>
          </cell>
          <cell r="D1229">
            <v>1</v>
          </cell>
          <cell r="G1229">
            <v>2.65</v>
          </cell>
          <cell r="P1229" t="str">
            <v>V</v>
          </cell>
          <cell r="Q1229" t="str">
            <v>3/4"</v>
          </cell>
          <cell r="R1229">
            <v>2</v>
          </cell>
          <cell r="S1229">
            <v>2.65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13.440000000000001</v>
          </cell>
          <cell r="AC1229">
            <v>0</v>
          </cell>
          <cell r="AD1229">
            <v>0</v>
          </cell>
        </row>
        <row r="1230">
          <cell r="B1230" t="str">
            <v>Est</v>
          </cell>
          <cell r="C1230">
            <v>1</v>
          </cell>
          <cell r="D1230">
            <v>1</v>
          </cell>
          <cell r="E1230">
            <v>0.25</v>
          </cell>
          <cell r="F1230">
            <v>0.25</v>
          </cell>
          <cell r="G1230">
            <v>2.65</v>
          </cell>
          <cell r="Q1230" t="str">
            <v>3/8"</v>
          </cell>
          <cell r="R1230">
            <v>10</v>
          </cell>
          <cell r="S1230">
            <v>1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5.6000000000000005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</row>
        <row r="1231">
          <cell r="B1231" t="str">
            <v>Nucleo A</v>
          </cell>
          <cell r="C1231">
            <v>1</v>
          </cell>
          <cell r="D1231">
            <v>1</v>
          </cell>
          <cell r="E1231">
            <v>0.25</v>
          </cell>
          <cell r="F1231">
            <v>0.25</v>
          </cell>
          <cell r="G1231">
            <v>2.65</v>
          </cell>
          <cell r="P1231" t="str">
            <v>V</v>
          </cell>
          <cell r="Q1231" t="str">
            <v>3/4"</v>
          </cell>
          <cell r="R1231">
            <v>2</v>
          </cell>
          <cell r="S1231">
            <v>2.65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13.440000000000001</v>
          </cell>
          <cell r="AC1231">
            <v>0</v>
          </cell>
          <cell r="AD1231">
            <v>0</v>
          </cell>
        </row>
        <row r="1232">
          <cell r="B1232" t="str">
            <v>Nucleo A</v>
          </cell>
          <cell r="C1232">
            <v>1</v>
          </cell>
          <cell r="D1232">
            <v>1</v>
          </cell>
          <cell r="G1232">
            <v>2.65</v>
          </cell>
          <cell r="P1232" t="str">
            <v>V</v>
          </cell>
          <cell r="Q1232" t="str">
            <v>3/4"</v>
          </cell>
          <cell r="R1232">
            <v>2</v>
          </cell>
          <cell r="S1232">
            <v>2.65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13.440000000000001</v>
          </cell>
          <cell r="AC1232">
            <v>0</v>
          </cell>
          <cell r="AD1232">
            <v>0</v>
          </cell>
        </row>
        <row r="1233">
          <cell r="B1233" t="str">
            <v>Est</v>
          </cell>
          <cell r="C1233">
            <v>1</v>
          </cell>
          <cell r="D1233">
            <v>1</v>
          </cell>
          <cell r="E1233">
            <v>0.25</v>
          </cell>
          <cell r="F1233">
            <v>0.25</v>
          </cell>
          <cell r="G1233">
            <v>2.65</v>
          </cell>
          <cell r="Q1233" t="str">
            <v>3/8"</v>
          </cell>
          <cell r="R1233">
            <v>10</v>
          </cell>
          <cell r="S1233">
            <v>1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5.6000000000000005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</row>
        <row r="1234">
          <cell r="B1234" t="str">
            <v>B1-PL-06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</row>
        <row r="1235">
          <cell r="B1235" t="str">
            <v>Acero Vert</v>
          </cell>
          <cell r="C1235">
            <v>1</v>
          </cell>
          <cell r="D1235">
            <v>1</v>
          </cell>
          <cell r="E1235">
            <v>4</v>
          </cell>
          <cell r="F1235">
            <v>0.15</v>
          </cell>
          <cell r="G1235">
            <v>2.65</v>
          </cell>
          <cell r="H1235">
            <v>210</v>
          </cell>
          <cell r="I1235">
            <v>1.5899999999999999</v>
          </cell>
          <cell r="J1235">
            <v>0</v>
          </cell>
          <cell r="K1235">
            <v>0</v>
          </cell>
          <cell r="L1235">
            <v>1.5899999999999999</v>
          </cell>
          <cell r="M1235">
            <v>8.3000000000000007</v>
          </cell>
          <cell r="N1235">
            <v>2.4499999999999997</v>
          </cell>
          <cell r="O1235">
            <v>20.335000000000001</v>
          </cell>
          <cell r="P1235" t="str">
            <v>V</v>
          </cell>
          <cell r="Q1235" t="str">
            <v>3/8"</v>
          </cell>
          <cell r="R1235">
            <v>24</v>
          </cell>
          <cell r="S1235">
            <v>3.15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49.056000000000004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</row>
        <row r="1236">
          <cell r="B1236" t="str">
            <v>Acero Hor</v>
          </cell>
          <cell r="C1236">
            <v>1</v>
          </cell>
          <cell r="D1236">
            <v>1</v>
          </cell>
          <cell r="G1236">
            <v>4.16</v>
          </cell>
          <cell r="P1236" t="str">
            <v>H</v>
          </cell>
          <cell r="Q1236" t="str">
            <v>3/8"</v>
          </cell>
          <cell r="R1236">
            <v>20</v>
          </cell>
          <cell r="S1236">
            <v>4.3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48.160000000000004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</row>
        <row r="1237">
          <cell r="B1237" t="str">
            <v>Nucleo A</v>
          </cell>
          <cell r="C1237">
            <v>1</v>
          </cell>
          <cell r="D1237">
            <v>1</v>
          </cell>
          <cell r="E1237">
            <v>0.4</v>
          </cell>
          <cell r="F1237">
            <v>0.15</v>
          </cell>
          <cell r="G1237">
            <v>2.65</v>
          </cell>
          <cell r="P1237" t="str">
            <v>V</v>
          </cell>
          <cell r="Q1237" t="str">
            <v>5/8"</v>
          </cell>
          <cell r="R1237">
            <v>4</v>
          </cell>
          <cell r="S1237">
            <v>2.65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18.29</v>
          </cell>
          <cell r="AB1237">
            <v>0</v>
          </cell>
          <cell r="AC1237">
            <v>0</v>
          </cell>
          <cell r="AD1237">
            <v>0</v>
          </cell>
        </row>
        <row r="1238">
          <cell r="B1238" t="str">
            <v>Est</v>
          </cell>
          <cell r="C1238">
            <v>1</v>
          </cell>
          <cell r="D1238">
            <v>1</v>
          </cell>
          <cell r="E1238">
            <v>0.4</v>
          </cell>
          <cell r="F1238">
            <v>0.15</v>
          </cell>
          <cell r="G1238">
            <v>2.65</v>
          </cell>
          <cell r="Q1238" t="str">
            <v>3/8"</v>
          </cell>
          <cell r="R1238">
            <v>10</v>
          </cell>
          <cell r="S1238">
            <v>1.1000000000000001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6.16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</row>
        <row r="1239">
          <cell r="B1239" t="str">
            <v>Nucleo A</v>
          </cell>
          <cell r="C1239">
            <v>1</v>
          </cell>
          <cell r="D1239">
            <v>1</v>
          </cell>
          <cell r="E1239">
            <v>0.2</v>
          </cell>
          <cell r="F1239">
            <v>0.15</v>
          </cell>
          <cell r="G1239">
            <v>2.65</v>
          </cell>
          <cell r="P1239" t="str">
            <v>V</v>
          </cell>
          <cell r="Q1239" t="str">
            <v>5/8"</v>
          </cell>
          <cell r="R1239">
            <v>4</v>
          </cell>
          <cell r="S1239">
            <v>2.65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18.29</v>
          </cell>
          <cell r="AB1239">
            <v>0</v>
          </cell>
          <cell r="AC1239">
            <v>0</v>
          </cell>
          <cell r="AD1239">
            <v>0</v>
          </cell>
        </row>
        <row r="1240">
          <cell r="B1240" t="str">
            <v>Est</v>
          </cell>
          <cell r="C1240">
            <v>1</v>
          </cell>
          <cell r="D1240">
            <v>1</v>
          </cell>
          <cell r="E1240">
            <v>0.2</v>
          </cell>
          <cell r="F1240">
            <v>0.15</v>
          </cell>
          <cell r="G1240">
            <v>2.65</v>
          </cell>
          <cell r="Q1240" t="str">
            <v>3/8"</v>
          </cell>
          <cell r="R1240">
            <v>10</v>
          </cell>
          <cell r="S1240">
            <v>0.7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3.9200000000000004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</row>
        <row r="1241">
          <cell r="B1241" t="str">
            <v>Nucleo B</v>
          </cell>
          <cell r="C1241">
            <v>1</v>
          </cell>
          <cell r="D1241">
            <v>1</v>
          </cell>
          <cell r="E1241">
            <v>1.76</v>
          </cell>
          <cell r="F1241">
            <v>0.25</v>
          </cell>
          <cell r="G1241">
            <v>2.65</v>
          </cell>
          <cell r="H1241">
            <v>210</v>
          </cell>
          <cell r="I1241">
            <v>1.1659999999999999</v>
          </cell>
          <cell r="J1241">
            <v>0</v>
          </cell>
          <cell r="K1241">
            <v>0</v>
          </cell>
          <cell r="L1241">
            <v>1.1659999999999999</v>
          </cell>
          <cell r="M1241">
            <v>4.0199999999999996</v>
          </cell>
          <cell r="N1241">
            <v>2.4499999999999997</v>
          </cell>
          <cell r="O1241">
            <v>9.8489999999999984</v>
          </cell>
          <cell r="P1241" t="str">
            <v>V</v>
          </cell>
          <cell r="Q1241" t="str">
            <v>5/8"</v>
          </cell>
          <cell r="R1241">
            <v>4</v>
          </cell>
          <cell r="S1241">
            <v>2.65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18.29</v>
          </cell>
          <cell r="AB1241">
            <v>0</v>
          </cell>
          <cell r="AC1241">
            <v>0</v>
          </cell>
          <cell r="AD1241">
            <v>0</v>
          </cell>
        </row>
        <row r="1242">
          <cell r="B1242" t="str">
            <v>Nucleo A</v>
          </cell>
          <cell r="C1242">
            <v>1</v>
          </cell>
          <cell r="D1242">
            <v>1</v>
          </cell>
          <cell r="G1242">
            <v>2.65</v>
          </cell>
          <cell r="P1242" t="str">
            <v>V</v>
          </cell>
          <cell r="Q1242" t="str">
            <v>5/8"</v>
          </cell>
          <cell r="R1242">
            <v>18</v>
          </cell>
          <cell r="S1242">
            <v>2.65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82.304999999999993</v>
          </cell>
          <cell r="AB1242">
            <v>0</v>
          </cell>
          <cell r="AC1242">
            <v>0</v>
          </cell>
          <cell r="AD1242">
            <v>0</v>
          </cell>
        </row>
        <row r="1243">
          <cell r="B1243" t="str">
            <v>Est</v>
          </cell>
          <cell r="C1243">
            <v>1</v>
          </cell>
          <cell r="D1243">
            <v>1</v>
          </cell>
          <cell r="E1243">
            <v>1.1000000000000001</v>
          </cell>
          <cell r="F1243">
            <v>0.25</v>
          </cell>
          <cell r="G1243">
            <v>2.65</v>
          </cell>
          <cell r="Q1243" t="str">
            <v>3/8"</v>
          </cell>
          <cell r="R1243">
            <v>24</v>
          </cell>
          <cell r="S1243">
            <v>2.7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36.288000000000011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</row>
        <row r="1244">
          <cell r="B1244" t="str">
            <v>Est</v>
          </cell>
          <cell r="C1244">
            <v>1</v>
          </cell>
          <cell r="D1244">
            <v>1</v>
          </cell>
          <cell r="E1244">
            <v>1.1000000000000001</v>
          </cell>
          <cell r="F1244">
            <v>0.25</v>
          </cell>
          <cell r="G1244">
            <v>2.65</v>
          </cell>
          <cell r="Q1244" t="str">
            <v>3/8"</v>
          </cell>
          <cell r="R1244">
            <v>24</v>
          </cell>
          <cell r="S1244">
            <v>2.7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36.288000000000011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</row>
        <row r="1245">
          <cell r="B1245" t="str">
            <v>Est</v>
          </cell>
          <cell r="C1245">
            <v>1</v>
          </cell>
          <cell r="D1245">
            <v>1</v>
          </cell>
          <cell r="E1245">
            <v>1.1000000000000001</v>
          </cell>
          <cell r="F1245">
            <v>0.25</v>
          </cell>
          <cell r="G1245">
            <v>2.65</v>
          </cell>
          <cell r="Q1245" t="str">
            <v>3/8"</v>
          </cell>
          <cell r="R1245">
            <v>24</v>
          </cell>
          <cell r="S1245">
            <v>2.7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36.288000000000011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</row>
        <row r="1246">
          <cell r="B1246" t="str">
            <v>Est</v>
          </cell>
          <cell r="C1246">
            <v>1</v>
          </cell>
          <cell r="D1246">
            <v>5</v>
          </cell>
          <cell r="E1246">
            <v>0.15</v>
          </cell>
          <cell r="F1246">
            <v>0.25</v>
          </cell>
          <cell r="G1246">
            <v>2.65</v>
          </cell>
          <cell r="Q1246" t="str">
            <v>3/8"</v>
          </cell>
          <cell r="R1246">
            <v>24</v>
          </cell>
          <cell r="S1246">
            <v>0.55000000000000004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36.96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</row>
        <row r="1247">
          <cell r="B1247" t="str">
            <v>Acero Vert</v>
          </cell>
          <cell r="C1247">
            <v>1</v>
          </cell>
          <cell r="D1247">
            <v>1</v>
          </cell>
          <cell r="E1247">
            <v>5</v>
          </cell>
          <cell r="F1247">
            <v>0.4</v>
          </cell>
          <cell r="G1247">
            <v>2.65</v>
          </cell>
          <cell r="H1247">
            <v>210</v>
          </cell>
          <cell r="I1247">
            <v>5.3</v>
          </cell>
          <cell r="J1247">
            <v>0</v>
          </cell>
          <cell r="K1247">
            <v>0</v>
          </cell>
          <cell r="L1247">
            <v>5.3</v>
          </cell>
          <cell r="M1247">
            <v>10.8</v>
          </cell>
          <cell r="N1247">
            <v>2.4499999999999997</v>
          </cell>
          <cell r="O1247">
            <v>26.459999999999997</v>
          </cell>
          <cell r="P1247" t="str">
            <v>V</v>
          </cell>
          <cell r="Q1247" t="str">
            <v>1/2"</v>
          </cell>
          <cell r="R1247">
            <v>30</v>
          </cell>
          <cell r="S1247">
            <v>3.15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100.98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</row>
        <row r="1248">
          <cell r="B1248" t="str">
            <v>Acero Hor</v>
          </cell>
          <cell r="C1248">
            <v>1</v>
          </cell>
          <cell r="D1248">
            <v>1</v>
          </cell>
          <cell r="G1248">
            <v>2.65</v>
          </cell>
          <cell r="P1248" t="str">
            <v>H</v>
          </cell>
          <cell r="Q1248" t="str">
            <v>1/2"</v>
          </cell>
          <cell r="R1248">
            <v>18</v>
          </cell>
          <cell r="S1248">
            <v>5.9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105.13800000000001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</row>
        <row r="1249">
          <cell r="B1249" t="str">
            <v>Acero Vert</v>
          </cell>
          <cell r="C1249">
            <v>1</v>
          </cell>
          <cell r="D1249">
            <v>1</v>
          </cell>
          <cell r="E1249">
            <v>2.3199999999999998</v>
          </cell>
          <cell r="F1249">
            <v>0.2</v>
          </cell>
          <cell r="G1249">
            <v>2.65</v>
          </cell>
          <cell r="H1249">
            <v>210</v>
          </cell>
          <cell r="I1249">
            <v>1.2295999999999998</v>
          </cell>
          <cell r="J1249">
            <v>0</v>
          </cell>
          <cell r="K1249">
            <v>0</v>
          </cell>
          <cell r="L1249">
            <v>1.2295999999999998</v>
          </cell>
          <cell r="M1249">
            <v>5.04</v>
          </cell>
          <cell r="N1249">
            <v>2.4499999999999997</v>
          </cell>
          <cell r="O1249">
            <v>12.347999999999999</v>
          </cell>
          <cell r="P1249" t="str">
            <v>V</v>
          </cell>
          <cell r="Q1249" t="str">
            <v>3/8"</v>
          </cell>
          <cell r="R1249">
            <v>10</v>
          </cell>
          <cell r="S1249">
            <v>3.15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20.440000000000001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</row>
        <row r="1250">
          <cell r="B1250" t="str">
            <v>Acero Hor</v>
          </cell>
          <cell r="C1250">
            <v>1</v>
          </cell>
          <cell r="D1250">
            <v>1</v>
          </cell>
          <cell r="G1250">
            <v>2.65</v>
          </cell>
          <cell r="P1250" t="str">
            <v>H</v>
          </cell>
          <cell r="Q1250" t="str">
            <v>3/8"</v>
          </cell>
          <cell r="R1250">
            <v>18</v>
          </cell>
          <cell r="S1250">
            <v>2.6199999999999997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26.409600000000001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</row>
        <row r="1251">
          <cell r="B1251" t="str">
            <v>Nucleo A</v>
          </cell>
          <cell r="C1251">
            <v>1</v>
          </cell>
          <cell r="D1251">
            <v>2</v>
          </cell>
          <cell r="E1251">
            <v>0.25</v>
          </cell>
          <cell r="F1251">
            <v>0.25</v>
          </cell>
          <cell r="G1251">
            <v>2.65</v>
          </cell>
          <cell r="P1251" t="str">
            <v>V</v>
          </cell>
          <cell r="Q1251" t="str">
            <v>3/4"</v>
          </cell>
          <cell r="R1251">
            <v>2</v>
          </cell>
          <cell r="S1251">
            <v>2.65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25.312000000000001</v>
          </cell>
          <cell r="AC1251">
            <v>0</v>
          </cell>
          <cell r="AD1251">
            <v>0</v>
          </cell>
        </row>
        <row r="1252">
          <cell r="B1252" t="str">
            <v>Nucleo A</v>
          </cell>
          <cell r="C1252">
            <v>1</v>
          </cell>
          <cell r="D1252">
            <v>2</v>
          </cell>
          <cell r="G1252">
            <v>2.65</v>
          </cell>
          <cell r="P1252" t="str">
            <v>V</v>
          </cell>
          <cell r="Q1252" t="str">
            <v>3/4"</v>
          </cell>
          <cell r="R1252">
            <v>2</v>
          </cell>
          <cell r="S1252">
            <v>2.65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25.312000000000001</v>
          </cell>
          <cell r="AC1252">
            <v>0</v>
          </cell>
          <cell r="AD1252">
            <v>0</v>
          </cell>
        </row>
        <row r="1253">
          <cell r="B1253" t="str">
            <v>Est</v>
          </cell>
          <cell r="C1253">
            <v>1</v>
          </cell>
          <cell r="D1253">
            <v>2</v>
          </cell>
          <cell r="E1253">
            <v>0.25</v>
          </cell>
          <cell r="F1253">
            <v>0.25</v>
          </cell>
          <cell r="G1253">
            <v>2.65</v>
          </cell>
          <cell r="Q1253" t="str">
            <v>3/8"</v>
          </cell>
          <cell r="R1253">
            <v>8</v>
          </cell>
          <cell r="S1253">
            <v>1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8.9600000000000009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</row>
        <row r="1254">
          <cell r="B1254" t="str">
            <v>15 PISO</v>
          </cell>
          <cell r="H1254">
            <v>210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</row>
        <row r="1255"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</row>
        <row r="1256">
          <cell r="B1256" t="str">
            <v>B1-PL-01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</row>
        <row r="1257">
          <cell r="B1257" t="str">
            <v>Acero Vert</v>
          </cell>
          <cell r="C1257">
            <v>1</v>
          </cell>
          <cell r="D1257">
            <v>1</v>
          </cell>
          <cell r="E1257">
            <v>4.2300000000000004</v>
          </cell>
          <cell r="F1257">
            <v>0.2</v>
          </cell>
          <cell r="G1257">
            <v>2.65</v>
          </cell>
          <cell r="H1257">
            <v>210</v>
          </cell>
          <cell r="I1257">
            <v>2.2419000000000002</v>
          </cell>
          <cell r="J1257">
            <v>0</v>
          </cell>
          <cell r="K1257">
            <v>0</v>
          </cell>
          <cell r="L1257">
            <v>2.2419000000000002</v>
          </cell>
          <cell r="M1257">
            <v>8.8600000000000012</v>
          </cell>
          <cell r="N1257">
            <v>2.4499999999999997</v>
          </cell>
          <cell r="O1257">
            <v>21.707000000000001</v>
          </cell>
          <cell r="P1257" t="str">
            <v>V</v>
          </cell>
          <cell r="Q1257" t="str">
            <v>3/8"</v>
          </cell>
          <cell r="R1257">
            <v>24</v>
          </cell>
          <cell r="S1257">
            <v>3.15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49.056000000000004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</row>
        <row r="1258">
          <cell r="B1258" t="str">
            <v>Acero Hor</v>
          </cell>
          <cell r="C1258">
            <v>1</v>
          </cell>
          <cell r="D1258">
            <v>1</v>
          </cell>
          <cell r="G1258">
            <v>2.65</v>
          </cell>
          <cell r="P1258" t="str">
            <v>H</v>
          </cell>
          <cell r="Q1258" t="str">
            <v>3/8"</v>
          </cell>
          <cell r="R1258">
            <v>18</v>
          </cell>
          <cell r="S1258">
            <v>4.53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45.662400000000005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</row>
        <row r="1259">
          <cell r="B1259" t="str">
            <v>Nucleo A</v>
          </cell>
          <cell r="C1259">
            <v>1</v>
          </cell>
          <cell r="D1259">
            <v>1</v>
          </cell>
          <cell r="E1259">
            <v>0.25</v>
          </cell>
          <cell r="F1259">
            <v>0.2</v>
          </cell>
          <cell r="G1259">
            <v>2.65</v>
          </cell>
          <cell r="P1259" t="str">
            <v>V</v>
          </cell>
          <cell r="Q1259" t="str">
            <v>3/4"</v>
          </cell>
          <cell r="R1259">
            <v>4</v>
          </cell>
          <cell r="S1259">
            <v>2.65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26.880000000000003</v>
          </cell>
          <cell r="AC1259">
            <v>0</v>
          </cell>
          <cell r="AD1259">
            <v>0</v>
          </cell>
        </row>
        <row r="1260">
          <cell r="B1260" t="str">
            <v>Est</v>
          </cell>
          <cell r="C1260">
            <v>1</v>
          </cell>
          <cell r="D1260">
            <v>1</v>
          </cell>
          <cell r="E1260">
            <v>0.25</v>
          </cell>
          <cell r="F1260">
            <v>0.2</v>
          </cell>
          <cell r="G1260">
            <v>2.65</v>
          </cell>
          <cell r="Q1260" t="str">
            <v>3/8"</v>
          </cell>
          <cell r="R1260">
            <v>10</v>
          </cell>
          <cell r="S1260">
            <v>0.9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5.0400000000000009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</row>
        <row r="1261">
          <cell r="B1261" t="str">
            <v>Acero Vert</v>
          </cell>
          <cell r="C1261">
            <v>1</v>
          </cell>
          <cell r="D1261">
            <v>1</v>
          </cell>
          <cell r="E1261">
            <v>5.3999999999999995</v>
          </cell>
          <cell r="F1261">
            <v>0.2</v>
          </cell>
          <cell r="G1261">
            <v>2.65</v>
          </cell>
          <cell r="H1261">
            <v>210</v>
          </cell>
          <cell r="I1261">
            <v>2.8619999999999997</v>
          </cell>
          <cell r="J1261">
            <v>0</v>
          </cell>
          <cell r="K1261">
            <v>0</v>
          </cell>
          <cell r="L1261">
            <v>2.8619999999999997</v>
          </cell>
          <cell r="M1261">
            <v>11.2</v>
          </cell>
          <cell r="N1261">
            <v>2.4499999999999997</v>
          </cell>
          <cell r="O1261">
            <v>27.439999999999994</v>
          </cell>
          <cell r="P1261" t="str">
            <v>V</v>
          </cell>
          <cell r="Q1261" t="str">
            <v>3/8"</v>
          </cell>
          <cell r="R1261">
            <v>30</v>
          </cell>
          <cell r="S1261">
            <v>3.15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61.320000000000007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</row>
        <row r="1262">
          <cell r="B1262" t="str">
            <v>Acero Hor</v>
          </cell>
          <cell r="C1262">
            <v>1</v>
          </cell>
          <cell r="D1262">
            <v>1</v>
          </cell>
          <cell r="G1262">
            <v>2.65</v>
          </cell>
          <cell r="P1262" t="str">
            <v>H</v>
          </cell>
          <cell r="Q1262" t="str">
            <v>3/8"</v>
          </cell>
          <cell r="R1262">
            <v>18</v>
          </cell>
          <cell r="S1262">
            <v>5.8999999999999995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59.472000000000001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</row>
        <row r="1263">
          <cell r="B1263" t="str">
            <v>Nucleo A</v>
          </cell>
          <cell r="C1263">
            <v>1</v>
          </cell>
          <cell r="D1263">
            <v>1</v>
          </cell>
          <cell r="E1263">
            <v>0.25</v>
          </cell>
          <cell r="F1263">
            <v>0.2</v>
          </cell>
          <cell r="G1263">
            <v>2.65</v>
          </cell>
          <cell r="P1263" t="str">
            <v>V</v>
          </cell>
          <cell r="Q1263" t="str">
            <v>3/4"</v>
          </cell>
          <cell r="R1263">
            <v>4</v>
          </cell>
          <cell r="S1263">
            <v>2.65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26.880000000000003</v>
          </cell>
          <cell r="AC1263">
            <v>0</v>
          </cell>
          <cell r="AD1263">
            <v>0</v>
          </cell>
        </row>
        <row r="1264">
          <cell r="B1264" t="str">
            <v>Est</v>
          </cell>
          <cell r="C1264">
            <v>1</v>
          </cell>
          <cell r="D1264">
            <v>1</v>
          </cell>
          <cell r="E1264">
            <v>0.25</v>
          </cell>
          <cell r="F1264">
            <v>0.2</v>
          </cell>
          <cell r="G1264">
            <v>2.65</v>
          </cell>
          <cell r="Q1264" t="str">
            <v>3/8"</v>
          </cell>
          <cell r="R1264">
            <v>10</v>
          </cell>
          <cell r="S1264">
            <v>0.9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5.0400000000000009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</row>
        <row r="1265">
          <cell r="B1265" t="str">
            <v>Nucleo A</v>
          </cell>
          <cell r="C1265">
            <v>1</v>
          </cell>
          <cell r="D1265">
            <v>1</v>
          </cell>
          <cell r="E1265">
            <v>0.2</v>
          </cell>
          <cell r="F1265">
            <v>0.2</v>
          </cell>
          <cell r="G1265">
            <v>2.65</v>
          </cell>
          <cell r="P1265" t="str">
            <v>V</v>
          </cell>
          <cell r="Q1265" t="str">
            <v>3/4"</v>
          </cell>
          <cell r="R1265">
            <v>4</v>
          </cell>
          <cell r="S1265">
            <v>2.65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26.880000000000003</v>
          </cell>
          <cell r="AC1265">
            <v>0</v>
          </cell>
          <cell r="AD1265">
            <v>0</v>
          </cell>
        </row>
        <row r="1266">
          <cell r="B1266" t="str">
            <v>Est</v>
          </cell>
          <cell r="C1266">
            <v>1</v>
          </cell>
          <cell r="D1266">
            <v>1</v>
          </cell>
          <cell r="E1266">
            <v>0.2</v>
          </cell>
          <cell r="F1266">
            <v>0.2</v>
          </cell>
          <cell r="G1266">
            <v>2.65</v>
          </cell>
          <cell r="Q1266" t="str">
            <v>3/8"</v>
          </cell>
          <cell r="R1266">
            <v>10</v>
          </cell>
          <cell r="S1266">
            <v>0.8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4.4800000000000004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</row>
        <row r="1267">
          <cell r="C1267">
            <v>1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</row>
        <row r="1268">
          <cell r="B1268" t="str">
            <v>B1-PL-02</v>
          </cell>
          <cell r="C1268">
            <v>1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</row>
        <row r="1269">
          <cell r="B1269" t="str">
            <v>Acero Vert</v>
          </cell>
          <cell r="C1269">
            <v>1</v>
          </cell>
          <cell r="D1269">
            <v>1</v>
          </cell>
          <cell r="E1269">
            <v>8.64</v>
          </cell>
          <cell r="F1269">
            <v>0.2</v>
          </cell>
          <cell r="G1269">
            <v>2.65</v>
          </cell>
          <cell r="H1269">
            <v>210</v>
          </cell>
          <cell r="I1269">
            <v>4.5792000000000002</v>
          </cell>
          <cell r="J1269">
            <v>0</v>
          </cell>
          <cell r="K1269">
            <v>0</v>
          </cell>
          <cell r="L1269">
            <v>4.5792000000000002</v>
          </cell>
          <cell r="M1269">
            <v>17.68</v>
          </cell>
          <cell r="N1269">
            <v>2.4499999999999997</v>
          </cell>
          <cell r="O1269">
            <v>43.315999999999995</v>
          </cell>
          <cell r="P1269" t="str">
            <v>V</v>
          </cell>
          <cell r="Q1269" t="str">
            <v>3/8"</v>
          </cell>
          <cell r="R1269">
            <v>48</v>
          </cell>
          <cell r="S1269">
            <v>3.15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98.112000000000009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</row>
        <row r="1270">
          <cell r="B1270" t="str">
            <v>Acero Hor</v>
          </cell>
          <cell r="C1270">
            <v>1</v>
          </cell>
          <cell r="D1270">
            <v>1</v>
          </cell>
          <cell r="G1270">
            <v>2.65</v>
          </cell>
          <cell r="P1270" t="str">
            <v>H</v>
          </cell>
          <cell r="Q1270" t="str">
            <v>3/8"</v>
          </cell>
          <cell r="R1270">
            <v>18</v>
          </cell>
          <cell r="S1270">
            <v>9.14</v>
          </cell>
          <cell r="T1270">
            <v>1</v>
          </cell>
          <cell r="U1270">
            <v>0</v>
          </cell>
          <cell r="V1270">
            <v>0</v>
          </cell>
          <cell r="W1270">
            <v>0</v>
          </cell>
          <cell r="X1270">
            <v>96.163200000000003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</row>
        <row r="1271">
          <cell r="B1271" t="str">
            <v>Nucleo A</v>
          </cell>
          <cell r="C1271">
            <v>1</v>
          </cell>
          <cell r="D1271">
            <v>1</v>
          </cell>
          <cell r="E1271">
            <v>0.25</v>
          </cell>
          <cell r="F1271">
            <v>0.2</v>
          </cell>
          <cell r="G1271">
            <v>2.65</v>
          </cell>
          <cell r="P1271" t="str">
            <v>V</v>
          </cell>
          <cell r="Q1271" t="str">
            <v>3/4"</v>
          </cell>
          <cell r="R1271">
            <v>2</v>
          </cell>
          <cell r="S1271">
            <v>2.65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13.440000000000001</v>
          </cell>
          <cell r="AC1271">
            <v>0</v>
          </cell>
          <cell r="AD1271">
            <v>0</v>
          </cell>
        </row>
        <row r="1272">
          <cell r="C1272">
            <v>1</v>
          </cell>
          <cell r="D1272">
            <v>1</v>
          </cell>
          <cell r="F1272">
            <v>0</v>
          </cell>
          <cell r="G1272">
            <v>2.65</v>
          </cell>
          <cell r="P1272" t="str">
            <v>V</v>
          </cell>
          <cell r="Q1272" t="str">
            <v>3/4"</v>
          </cell>
          <cell r="R1272">
            <v>2</v>
          </cell>
          <cell r="S1272">
            <v>2.65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13.440000000000001</v>
          </cell>
          <cell r="AC1272">
            <v>0</v>
          </cell>
          <cell r="AD1272">
            <v>0</v>
          </cell>
        </row>
        <row r="1273">
          <cell r="B1273" t="str">
            <v>Est</v>
          </cell>
          <cell r="C1273">
            <v>1</v>
          </cell>
          <cell r="D1273">
            <v>1</v>
          </cell>
          <cell r="E1273">
            <v>0.25</v>
          </cell>
          <cell r="F1273">
            <v>0.2</v>
          </cell>
          <cell r="G1273">
            <v>2.65</v>
          </cell>
          <cell r="Q1273" t="str">
            <v>3/8"</v>
          </cell>
          <cell r="R1273">
            <v>8</v>
          </cell>
          <cell r="S1273">
            <v>0.9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4.0320000000000009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</row>
        <row r="1274">
          <cell r="B1274" t="str">
            <v>Nucleo A</v>
          </cell>
          <cell r="C1274">
            <v>1</v>
          </cell>
          <cell r="D1274">
            <v>1</v>
          </cell>
          <cell r="E1274">
            <v>0.25</v>
          </cell>
          <cell r="F1274">
            <v>0.2</v>
          </cell>
          <cell r="G1274">
            <v>2.65</v>
          </cell>
          <cell r="P1274" t="str">
            <v>V</v>
          </cell>
          <cell r="Q1274" t="str">
            <v>3/4"</v>
          </cell>
          <cell r="R1274">
            <v>2</v>
          </cell>
          <cell r="S1274">
            <v>2.65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13.440000000000001</v>
          </cell>
          <cell r="AC1274">
            <v>0</v>
          </cell>
          <cell r="AD1274">
            <v>0</v>
          </cell>
        </row>
        <row r="1275">
          <cell r="C1275">
            <v>1</v>
          </cell>
          <cell r="D1275">
            <v>1</v>
          </cell>
          <cell r="F1275">
            <v>0.2</v>
          </cell>
          <cell r="G1275">
            <v>2.65</v>
          </cell>
          <cell r="P1275" t="str">
            <v>V</v>
          </cell>
          <cell r="Q1275" t="str">
            <v>3/4"</v>
          </cell>
          <cell r="R1275">
            <v>2</v>
          </cell>
          <cell r="S1275">
            <v>2.65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13.440000000000001</v>
          </cell>
          <cell r="AC1275">
            <v>0</v>
          </cell>
          <cell r="AD1275">
            <v>0</v>
          </cell>
        </row>
        <row r="1276">
          <cell r="B1276" t="str">
            <v>Est</v>
          </cell>
          <cell r="C1276">
            <v>1</v>
          </cell>
          <cell r="D1276">
            <v>1</v>
          </cell>
          <cell r="E1276">
            <v>0.25</v>
          </cell>
          <cell r="F1276">
            <v>0.2</v>
          </cell>
          <cell r="G1276">
            <v>2.65</v>
          </cell>
          <cell r="Q1276" t="str">
            <v>3/8"</v>
          </cell>
          <cell r="R1276">
            <v>8</v>
          </cell>
          <cell r="S1276">
            <v>0.9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4.0320000000000009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</row>
        <row r="1277">
          <cell r="C1277">
            <v>1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</row>
        <row r="1278">
          <cell r="B1278" t="str">
            <v>B1-PL-03</v>
          </cell>
          <cell r="C1278">
            <v>1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</row>
        <row r="1279">
          <cell r="B1279" t="str">
            <v>Acero Vert</v>
          </cell>
          <cell r="C1279">
            <v>1</v>
          </cell>
          <cell r="D1279">
            <v>1</v>
          </cell>
          <cell r="E1279">
            <v>9</v>
          </cell>
          <cell r="F1279">
            <v>0.2</v>
          </cell>
          <cell r="G1279">
            <v>2.65</v>
          </cell>
          <cell r="H1279">
            <v>210</v>
          </cell>
          <cell r="I1279">
            <v>4.7699999999999996</v>
          </cell>
          <cell r="J1279">
            <v>0</v>
          </cell>
          <cell r="K1279">
            <v>0</v>
          </cell>
          <cell r="L1279">
            <v>4.7699999999999996</v>
          </cell>
          <cell r="M1279">
            <v>18.399999999999999</v>
          </cell>
          <cell r="N1279">
            <v>2.4499999999999997</v>
          </cell>
          <cell r="O1279">
            <v>45.079999999999991</v>
          </cell>
          <cell r="P1279" t="str">
            <v>V</v>
          </cell>
          <cell r="Q1279" t="str">
            <v>3/8"</v>
          </cell>
          <cell r="R1279">
            <v>50</v>
          </cell>
          <cell r="S1279">
            <v>3.15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102.2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</row>
        <row r="1280">
          <cell r="B1280" t="str">
            <v>Acero Hor</v>
          </cell>
          <cell r="C1280">
            <v>1</v>
          </cell>
          <cell r="D1280">
            <v>1</v>
          </cell>
          <cell r="E1280">
            <v>0.3</v>
          </cell>
          <cell r="F1280">
            <v>0.4</v>
          </cell>
          <cell r="G1280">
            <v>2.65</v>
          </cell>
          <cell r="H1280">
            <v>210</v>
          </cell>
          <cell r="I1280">
            <v>0.318</v>
          </cell>
          <cell r="J1280">
            <v>0</v>
          </cell>
          <cell r="K1280">
            <v>0</v>
          </cell>
          <cell r="L1280">
            <v>0.318</v>
          </cell>
          <cell r="M1280">
            <v>1.4</v>
          </cell>
          <cell r="N1280">
            <v>2.4499999999999997</v>
          </cell>
          <cell r="O1280">
            <v>3.4299999999999993</v>
          </cell>
          <cell r="P1280" t="str">
            <v>H</v>
          </cell>
          <cell r="Q1280" t="str">
            <v>3/8"</v>
          </cell>
          <cell r="R1280">
            <v>18</v>
          </cell>
          <cell r="S1280">
            <v>9.3000000000000007</v>
          </cell>
          <cell r="T1280">
            <v>1</v>
          </cell>
          <cell r="U1280">
            <v>0</v>
          </cell>
          <cell r="V1280">
            <v>0</v>
          </cell>
          <cell r="W1280">
            <v>0</v>
          </cell>
          <cell r="X1280">
            <v>97.77600000000001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</row>
        <row r="1281">
          <cell r="B1281" t="str">
            <v>Nucleo A</v>
          </cell>
          <cell r="C1281">
            <v>1</v>
          </cell>
          <cell r="D1281">
            <v>1</v>
          </cell>
          <cell r="E1281">
            <v>0.4</v>
          </cell>
          <cell r="F1281">
            <v>0.5</v>
          </cell>
          <cell r="G1281">
            <v>2.65</v>
          </cell>
          <cell r="P1281" t="str">
            <v>V</v>
          </cell>
          <cell r="Q1281" t="str">
            <v>3/4"</v>
          </cell>
          <cell r="R1281">
            <v>8</v>
          </cell>
          <cell r="S1281">
            <v>2.65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53.760000000000005</v>
          </cell>
          <cell r="AC1281">
            <v>0</v>
          </cell>
          <cell r="AD1281">
            <v>0</v>
          </cell>
        </row>
        <row r="1282">
          <cell r="B1282" t="str">
            <v>Nucleo A</v>
          </cell>
          <cell r="C1282">
            <v>1</v>
          </cell>
          <cell r="D1282">
            <v>1</v>
          </cell>
          <cell r="G1282">
            <v>2.65</v>
          </cell>
          <cell r="P1282" t="str">
            <v>V</v>
          </cell>
          <cell r="Q1282" t="str">
            <v>3/4"</v>
          </cell>
          <cell r="R1282">
            <v>4</v>
          </cell>
          <cell r="S1282">
            <v>2.65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26.880000000000003</v>
          </cell>
          <cell r="AC1282">
            <v>0</v>
          </cell>
          <cell r="AD1282">
            <v>0</v>
          </cell>
        </row>
        <row r="1283">
          <cell r="B1283" t="str">
            <v>Est</v>
          </cell>
          <cell r="C1283">
            <v>1</v>
          </cell>
          <cell r="D1283">
            <v>1</v>
          </cell>
          <cell r="E1283">
            <v>0.4</v>
          </cell>
          <cell r="F1283">
            <v>0.5</v>
          </cell>
          <cell r="G1283">
            <v>2.65</v>
          </cell>
          <cell r="Q1283" t="str">
            <v>3/8"</v>
          </cell>
          <cell r="R1283">
            <v>8</v>
          </cell>
          <cell r="S1283">
            <v>1.8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8.0640000000000018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</row>
        <row r="1284">
          <cell r="B1284" t="str">
            <v>Est</v>
          </cell>
          <cell r="C1284">
            <v>1</v>
          </cell>
          <cell r="D1284">
            <v>1</v>
          </cell>
          <cell r="E1284">
            <v>0.25</v>
          </cell>
          <cell r="F1284">
            <v>0.5</v>
          </cell>
          <cell r="G1284">
            <v>2.65</v>
          </cell>
          <cell r="Q1284" t="str">
            <v>3/8"</v>
          </cell>
          <cell r="R1284">
            <v>8</v>
          </cell>
          <cell r="S1284">
            <v>1.5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6.7200000000000006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</row>
        <row r="1285">
          <cell r="B1285" t="str">
            <v>Est</v>
          </cell>
          <cell r="C1285">
            <v>1</v>
          </cell>
          <cell r="D1285">
            <v>1</v>
          </cell>
          <cell r="E1285">
            <v>0.4</v>
          </cell>
          <cell r="F1285">
            <v>0.1</v>
          </cell>
          <cell r="G1285">
            <v>2.65</v>
          </cell>
          <cell r="Q1285" t="str">
            <v>3/8"</v>
          </cell>
          <cell r="R1285">
            <v>8</v>
          </cell>
          <cell r="S1285">
            <v>0.5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2.2400000000000002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</row>
        <row r="1286">
          <cell r="B1286" t="str">
            <v>Nucleo A</v>
          </cell>
          <cell r="C1286">
            <v>1</v>
          </cell>
          <cell r="D1286">
            <v>1</v>
          </cell>
          <cell r="E1286">
            <v>0.25</v>
          </cell>
          <cell r="F1286">
            <v>0.2</v>
          </cell>
          <cell r="G1286">
            <v>2.65</v>
          </cell>
          <cell r="P1286" t="str">
            <v>V</v>
          </cell>
          <cell r="Q1286" t="str">
            <v>3/4"</v>
          </cell>
          <cell r="R1286">
            <v>2</v>
          </cell>
          <cell r="S1286">
            <v>2.65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13.440000000000001</v>
          </cell>
          <cell r="AC1286">
            <v>0</v>
          </cell>
          <cell r="AD1286">
            <v>0</v>
          </cell>
        </row>
        <row r="1287">
          <cell r="B1287" t="str">
            <v>Nucleo A</v>
          </cell>
          <cell r="C1287">
            <v>1</v>
          </cell>
          <cell r="D1287">
            <v>1</v>
          </cell>
          <cell r="G1287">
            <v>2.65</v>
          </cell>
          <cell r="P1287" t="str">
            <v>V</v>
          </cell>
          <cell r="Q1287" t="str">
            <v>3/4"</v>
          </cell>
          <cell r="R1287">
            <v>2</v>
          </cell>
          <cell r="S1287">
            <v>2.65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13.440000000000001</v>
          </cell>
          <cell r="AC1287">
            <v>0</v>
          </cell>
          <cell r="AD1287">
            <v>0</v>
          </cell>
        </row>
        <row r="1288">
          <cell r="B1288" t="str">
            <v>Est</v>
          </cell>
          <cell r="C1288">
            <v>1</v>
          </cell>
          <cell r="D1288">
            <v>1</v>
          </cell>
          <cell r="E1288">
            <v>0.25</v>
          </cell>
          <cell r="F1288">
            <v>0.2</v>
          </cell>
          <cell r="G1288">
            <v>2.65</v>
          </cell>
          <cell r="Q1288" t="str">
            <v>3/8"</v>
          </cell>
          <cell r="R1288">
            <v>8</v>
          </cell>
          <cell r="S1288">
            <v>0.9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4.0320000000000009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</row>
        <row r="1289">
          <cell r="C1289">
            <v>1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</row>
        <row r="1290">
          <cell r="B1290" t="str">
            <v>B1-PL-04</v>
          </cell>
          <cell r="C1290">
            <v>2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</row>
        <row r="1291">
          <cell r="B1291" t="str">
            <v>Acero Vert</v>
          </cell>
          <cell r="C1291">
            <v>2</v>
          </cell>
          <cell r="D1291">
            <v>1</v>
          </cell>
          <cell r="E1291">
            <v>2.2999999999999998</v>
          </cell>
          <cell r="F1291">
            <v>0.25</v>
          </cell>
          <cell r="G1291">
            <v>2.65</v>
          </cell>
          <cell r="H1291">
            <v>210</v>
          </cell>
          <cell r="I1291">
            <v>3.0474999999999999</v>
          </cell>
          <cell r="J1291">
            <v>0</v>
          </cell>
          <cell r="K1291">
            <v>0</v>
          </cell>
          <cell r="L1291">
            <v>3.0474999999999999</v>
          </cell>
          <cell r="M1291">
            <v>5.0999999999999996</v>
          </cell>
          <cell r="N1291">
            <v>2.4499999999999997</v>
          </cell>
          <cell r="O1291">
            <v>24.989999999999995</v>
          </cell>
          <cell r="P1291" t="str">
            <v>V</v>
          </cell>
          <cell r="Q1291" t="str">
            <v>3/8"</v>
          </cell>
          <cell r="R1291">
            <v>14</v>
          </cell>
          <cell r="S1291">
            <v>3.4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61.152000000000008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</row>
        <row r="1292">
          <cell r="B1292" t="str">
            <v>Acero Hor</v>
          </cell>
          <cell r="C1292">
            <v>2</v>
          </cell>
          <cell r="D1292">
            <v>1</v>
          </cell>
          <cell r="E1292">
            <v>0.25</v>
          </cell>
          <cell r="F1292">
            <v>0.4</v>
          </cell>
          <cell r="G1292">
            <v>2.65</v>
          </cell>
          <cell r="H1292">
            <v>210</v>
          </cell>
          <cell r="I1292">
            <v>0.53</v>
          </cell>
          <cell r="J1292">
            <v>0</v>
          </cell>
          <cell r="K1292">
            <v>0</v>
          </cell>
          <cell r="L1292">
            <v>0.53</v>
          </cell>
          <cell r="M1292">
            <v>1.3</v>
          </cell>
          <cell r="N1292">
            <v>2.4499999999999997</v>
          </cell>
          <cell r="O1292">
            <v>6.3699999999999992</v>
          </cell>
          <cell r="P1292" t="str">
            <v>H</v>
          </cell>
          <cell r="Q1292" t="str">
            <v>3/8"</v>
          </cell>
          <cell r="R1292">
            <v>20</v>
          </cell>
          <cell r="S1292">
            <v>2.5999999999999996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58.239999999999995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</row>
        <row r="1293">
          <cell r="B1293" t="str">
            <v>Nucleo A</v>
          </cell>
          <cell r="C1293">
            <v>2</v>
          </cell>
          <cell r="D1293">
            <v>1</v>
          </cell>
          <cell r="E1293">
            <v>0.4</v>
          </cell>
          <cell r="F1293">
            <v>0.45</v>
          </cell>
          <cell r="G1293">
            <v>2.65</v>
          </cell>
          <cell r="P1293" t="str">
            <v>V</v>
          </cell>
          <cell r="Q1293" t="str">
            <v>3/4"</v>
          </cell>
          <cell r="R1293">
            <v>4</v>
          </cell>
          <cell r="S1293">
            <v>2.65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53.760000000000005</v>
          </cell>
          <cell r="AC1293">
            <v>0</v>
          </cell>
          <cell r="AD1293">
            <v>0</v>
          </cell>
        </row>
        <row r="1294">
          <cell r="B1294" t="str">
            <v>Nucleo A</v>
          </cell>
          <cell r="C1294">
            <v>2</v>
          </cell>
          <cell r="D1294">
            <v>1</v>
          </cell>
          <cell r="G1294">
            <v>2.65</v>
          </cell>
          <cell r="P1294" t="str">
            <v>V</v>
          </cell>
          <cell r="Q1294" t="str">
            <v>3/4"</v>
          </cell>
          <cell r="R1294">
            <v>8</v>
          </cell>
          <cell r="S1294">
            <v>2.65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107.52000000000001</v>
          </cell>
          <cell r="AC1294">
            <v>0</v>
          </cell>
          <cell r="AD1294">
            <v>0</v>
          </cell>
        </row>
        <row r="1295">
          <cell r="B1295" t="str">
            <v>Est</v>
          </cell>
          <cell r="C1295">
            <v>2</v>
          </cell>
          <cell r="D1295">
            <v>1</v>
          </cell>
          <cell r="E1295">
            <v>0.4</v>
          </cell>
          <cell r="F1295">
            <v>0.45</v>
          </cell>
          <cell r="G1295">
            <v>2.65</v>
          </cell>
          <cell r="Q1295" t="str">
            <v>3/8"</v>
          </cell>
          <cell r="R1295">
            <v>10</v>
          </cell>
          <cell r="S1295">
            <v>1.7000000000000002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19.040000000000003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</row>
        <row r="1296">
          <cell r="B1296" t="str">
            <v>Est</v>
          </cell>
          <cell r="C1296">
            <v>2</v>
          </cell>
          <cell r="D1296">
            <v>1</v>
          </cell>
          <cell r="E1296">
            <v>0.25</v>
          </cell>
          <cell r="F1296">
            <v>0.45</v>
          </cell>
          <cell r="G1296">
            <v>2.65</v>
          </cell>
          <cell r="Q1296" t="str">
            <v>3/8"</v>
          </cell>
          <cell r="R1296">
            <v>10</v>
          </cell>
          <cell r="S1296">
            <v>1.4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15.680000000000001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</row>
        <row r="1297">
          <cell r="B1297" t="str">
            <v>Est</v>
          </cell>
          <cell r="C1297">
            <v>2</v>
          </cell>
          <cell r="D1297">
            <v>1</v>
          </cell>
          <cell r="E1297">
            <v>0.4</v>
          </cell>
          <cell r="F1297">
            <v>0.1</v>
          </cell>
          <cell r="G1297">
            <v>2.65</v>
          </cell>
          <cell r="Q1297" t="str">
            <v>3/8"</v>
          </cell>
          <cell r="R1297">
            <v>10</v>
          </cell>
          <cell r="S1297">
            <v>0.5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5.6000000000000005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</row>
        <row r="1298">
          <cell r="B1298" t="str">
            <v>Nucleo A</v>
          </cell>
          <cell r="C1298">
            <v>2</v>
          </cell>
          <cell r="D1298">
            <v>1</v>
          </cell>
          <cell r="E1298">
            <v>0.25</v>
          </cell>
          <cell r="F1298">
            <v>0.25</v>
          </cell>
          <cell r="G1298">
            <v>2.65</v>
          </cell>
          <cell r="P1298" t="str">
            <v>V</v>
          </cell>
          <cell r="Q1298" t="str">
            <v>3/4"</v>
          </cell>
          <cell r="R1298">
            <v>2</v>
          </cell>
          <cell r="S1298">
            <v>2.65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26.880000000000003</v>
          </cell>
          <cell r="AC1298">
            <v>0</v>
          </cell>
          <cell r="AD1298">
            <v>0</v>
          </cell>
        </row>
        <row r="1299">
          <cell r="B1299" t="str">
            <v>Nucleo A</v>
          </cell>
          <cell r="C1299">
            <v>2</v>
          </cell>
          <cell r="D1299">
            <v>1</v>
          </cell>
          <cell r="G1299">
            <v>2.65</v>
          </cell>
          <cell r="P1299" t="str">
            <v>V</v>
          </cell>
          <cell r="Q1299" t="str">
            <v>3/4"</v>
          </cell>
          <cell r="R1299">
            <v>2</v>
          </cell>
          <cell r="S1299">
            <v>2.65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26.880000000000003</v>
          </cell>
          <cell r="AC1299">
            <v>0</v>
          </cell>
          <cell r="AD1299">
            <v>0</v>
          </cell>
        </row>
        <row r="1300">
          <cell r="B1300" t="str">
            <v>Est</v>
          </cell>
          <cell r="C1300">
            <v>2</v>
          </cell>
          <cell r="D1300">
            <v>1</v>
          </cell>
          <cell r="E1300">
            <v>0.25</v>
          </cell>
          <cell r="F1300">
            <v>0.25</v>
          </cell>
          <cell r="G1300">
            <v>2.65</v>
          </cell>
          <cell r="Q1300" t="str">
            <v>3/8"</v>
          </cell>
          <cell r="R1300">
            <v>10</v>
          </cell>
          <cell r="S1300">
            <v>1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11.200000000000001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</row>
        <row r="1301">
          <cell r="C1301">
            <v>2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</row>
        <row r="1302">
          <cell r="B1302" t="str">
            <v>B1-PL-05</v>
          </cell>
          <cell r="C1302">
            <v>1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</row>
        <row r="1303">
          <cell r="B1303" t="str">
            <v>Acero Vert</v>
          </cell>
          <cell r="C1303">
            <v>1</v>
          </cell>
          <cell r="D1303">
            <v>1</v>
          </cell>
          <cell r="E1303">
            <v>2.2999999999999998</v>
          </cell>
          <cell r="F1303">
            <v>0.25</v>
          </cell>
          <cell r="G1303">
            <v>2.65</v>
          </cell>
          <cell r="H1303">
            <v>210</v>
          </cell>
          <cell r="I1303">
            <v>1.5237499999999999</v>
          </cell>
          <cell r="J1303">
            <v>0</v>
          </cell>
          <cell r="K1303">
            <v>0</v>
          </cell>
          <cell r="L1303">
            <v>1.5237499999999999</v>
          </cell>
          <cell r="M1303">
            <v>5.0999999999999996</v>
          </cell>
          <cell r="N1303">
            <v>2.4499999999999997</v>
          </cell>
          <cell r="O1303">
            <v>12.494999999999997</v>
          </cell>
          <cell r="P1303" t="str">
            <v>V</v>
          </cell>
          <cell r="Q1303" t="str">
            <v>3/8"</v>
          </cell>
          <cell r="R1303">
            <v>14</v>
          </cell>
          <cell r="S1303">
            <v>3.15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28.616000000000003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</row>
        <row r="1304">
          <cell r="B1304" t="str">
            <v>Acero Hor</v>
          </cell>
          <cell r="C1304">
            <v>1</v>
          </cell>
          <cell r="D1304">
            <v>1</v>
          </cell>
          <cell r="G1304">
            <v>2.65</v>
          </cell>
          <cell r="P1304" t="str">
            <v>H</v>
          </cell>
          <cell r="Q1304" t="str">
            <v>3/8"</v>
          </cell>
          <cell r="R1304">
            <v>20</v>
          </cell>
          <cell r="S1304">
            <v>2.5999999999999996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29.119999999999997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</row>
        <row r="1305">
          <cell r="B1305" t="str">
            <v>Nucleo A</v>
          </cell>
          <cell r="C1305">
            <v>1</v>
          </cell>
          <cell r="D1305">
            <v>1</v>
          </cell>
          <cell r="E1305">
            <v>0.25</v>
          </cell>
          <cell r="F1305">
            <v>0.25</v>
          </cell>
          <cell r="G1305">
            <v>2.65</v>
          </cell>
          <cell r="P1305" t="str">
            <v>V</v>
          </cell>
          <cell r="Q1305" t="str">
            <v>3/4"</v>
          </cell>
          <cell r="R1305">
            <v>2</v>
          </cell>
          <cell r="S1305">
            <v>2.65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13.440000000000001</v>
          </cell>
          <cell r="AC1305">
            <v>0</v>
          </cell>
          <cell r="AD1305">
            <v>0</v>
          </cell>
        </row>
        <row r="1306">
          <cell r="B1306" t="str">
            <v>Nucleo A</v>
          </cell>
          <cell r="C1306">
            <v>1</v>
          </cell>
          <cell r="D1306">
            <v>1</v>
          </cell>
          <cell r="G1306">
            <v>2.65</v>
          </cell>
          <cell r="P1306" t="str">
            <v>V</v>
          </cell>
          <cell r="Q1306" t="str">
            <v>3/4"</v>
          </cell>
          <cell r="R1306">
            <v>2</v>
          </cell>
          <cell r="S1306">
            <v>2.65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13.440000000000001</v>
          </cell>
          <cell r="AC1306">
            <v>0</v>
          </cell>
          <cell r="AD1306">
            <v>0</v>
          </cell>
        </row>
        <row r="1307">
          <cell r="B1307" t="str">
            <v>Est</v>
          </cell>
          <cell r="C1307">
            <v>1</v>
          </cell>
          <cell r="D1307">
            <v>1</v>
          </cell>
          <cell r="E1307">
            <v>0.25</v>
          </cell>
          <cell r="F1307">
            <v>0.25</v>
          </cell>
          <cell r="G1307">
            <v>2.65</v>
          </cell>
          <cell r="Q1307" t="str">
            <v>3/8"</v>
          </cell>
          <cell r="R1307">
            <v>10</v>
          </cell>
          <cell r="S1307">
            <v>1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5.6000000000000005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</row>
        <row r="1308">
          <cell r="B1308" t="str">
            <v>Nucleo A</v>
          </cell>
          <cell r="C1308">
            <v>1</v>
          </cell>
          <cell r="D1308">
            <v>1</v>
          </cell>
          <cell r="E1308">
            <v>0.25</v>
          </cell>
          <cell r="F1308">
            <v>0.25</v>
          </cell>
          <cell r="G1308">
            <v>2.65</v>
          </cell>
          <cell r="P1308" t="str">
            <v>V</v>
          </cell>
          <cell r="Q1308" t="str">
            <v>3/4"</v>
          </cell>
          <cell r="R1308">
            <v>2</v>
          </cell>
          <cell r="S1308">
            <v>2.65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13.440000000000001</v>
          </cell>
          <cell r="AC1308">
            <v>0</v>
          </cell>
          <cell r="AD1308">
            <v>0</v>
          </cell>
        </row>
        <row r="1309">
          <cell r="B1309" t="str">
            <v>Nucleo A</v>
          </cell>
          <cell r="C1309">
            <v>1</v>
          </cell>
          <cell r="D1309">
            <v>1</v>
          </cell>
          <cell r="G1309">
            <v>2.65</v>
          </cell>
          <cell r="P1309" t="str">
            <v>V</v>
          </cell>
          <cell r="Q1309" t="str">
            <v>3/4"</v>
          </cell>
          <cell r="R1309">
            <v>2</v>
          </cell>
          <cell r="S1309">
            <v>2.65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13.440000000000001</v>
          </cell>
          <cell r="AC1309">
            <v>0</v>
          </cell>
          <cell r="AD1309">
            <v>0</v>
          </cell>
        </row>
        <row r="1310">
          <cell r="B1310" t="str">
            <v>Est</v>
          </cell>
          <cell r="C1310">
            <v>1</v>
          </cell>
          <cell r="D1310">
            <v>1</v>
          </cell>
          <cell r="E1310">
            <v>0.25</v>
          </cell>
          <cell r="F1310">
            <v>0.25</v>
          </cell>
          <cell r="G1310">
            <v>2.65</v>
          </cell>
          <cell r="Q1310" t="str">
            <v>3/8"</v>
          </cell>
          <cell r="R1310">
            <v>10</v>
          </cell>
          <cell r="S1310">
            <v>1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5.6000000000000005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</row>
        <row r="1311">
          <cell r="B1311" t="str">
            <v>B1-PL-06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</row>
        <row r="1312">
          <cell r="B1312" t="str">
            <v>Acero Vert</v>
          </cell>
          <cell r="C1312">
            <v>1</v>
          </cell>
          <cell r="D1312">
            <v>1</v>
          </cell>
          <cell r="E1312">
            <v>4</v>
          </cell>
          <cell r="F1312">
            <v>0.15</v>
          </cell>
          <cell r="G1312">
            <v>2.65</v>
          </cell>
          <cell r="H1312">
            <v>210</v>
          </cell>
          <cell r="I1312">
            <v>1.5899999999999999</v>
          </cell>
          <cell r="J1312">
            <v>0</v>
          </cell>
          <cell r="K1312">
            <v>0</v>
          </cell>
          <cell r="L1312">
            <v>1.5899999999999999</v>
          </cell>
          <cell r="M1312">
            <v>8.3000000000000007</v>
          </cell>
          <cell r="N1312">
            <v>2.4499999999999997</v>
          </cell>
          <cell r="O1312">
            <v>20.335000000000001</v>
          </cell>
          <cell r="P1312" t="str">
            <v>V</v>
          </cell>
          <cell r="Q1312" t="str">
            <v>3/8"</v>
          </cell>
          <cell r="R1312">
            <v>24</v>
          </cell>
          <cell r="S1312">
            <v>3.4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52.416000000000004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</row>
        <row r="1313">
          <cell r="B1313" t="str">
            <v>Acero Hor</v>
          </cell>
          <cell r="C1313">
            <v>1</v>
          </cell>
          <cell r="D1313">
            <v>1</v>
          </cell>
          <cell r="G1313">
            <v>4.16</v>
          </cell>
          <cell r="P1313" t="str">
            <v>H</v>
          </cell>
          <cell r="Q1313" t="str">
            <v>3/8"</v>
          </cell>
          <cell r="R1313">
            <v>20</v>
          </cell>
          <cell r="S1313">
            <v>4.3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48.160000000000004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</row>
        <row r="1314">
          <cell r="B1314" t="str">
            <v>Nucleo A</v>
          </cell>
          <cell r="C1314">
            <v>1</v>
          </cell>
          <cell r="D1314">
            <v>1</v>
          </cell>
          <cell r="E1314">
            <v>0.4</v>
          </cell>
          <cell r="F1314">
            <v>0.15</v>
          </cell>
          <cell r="G1314">
            <v>2.65</v>
          </cell>
          <cell r="P1314" t="str">
            <v>V</v>
          </cell>
          <cell r="Q1314" t="str">
            <v>5/8"</v>
          </cell>
          <cell r="R1314">
            <v>4</v>
          </cell>
          <cell r="S1314">
            <v>2.65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18.29</v>
          </cell>
          <cell r="AB1314">
            <v>0</v>
          </cell>
          <cell r="AC1314">
            <v>0</v>
          </cell>
          <cell r="AD1314">
            <v>0</v>
          </cell>
        </row>
        <row r="1315">
          <cell r="B1315" t="str">
            <v>Est</v>
          </cell>
          <cell r="C1315">
            <v>1</v>
          </cell>
          <cell r="D1315">
            <v>1</v>
          </cell>
          <cell r="E1315">
            <v>0.4</v>
          </cell>
          <cell r="F1315">
            <v>0.15</v>
          </cell>
          <cell r="G1315">
            <v>2.65</v>
          </cell>
          <cell r="Q1315" t="str">
            <v>3/8"</v>
          </cell>
          <cell r="R1315">
            <v>10</v>
          </cell>
          <cell r="S1315">
            <v>1.1000000000000001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6.16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</row>
        <row r="1316">
          <cell r="B1316" t="str">
            <v>Nucleo A</v>
          </cell>
          <cell r="C1316">
            <v>1</v>
          </cell>
          <cell r="D1316">
            <v>1</v>
          </cell>
          <cell r="E1316">
            <v>0.2</v>
          </cell>
          <cell r="F1316">
            <v>0.15</v>
          </cell>
          <cell r="G1316">
            <v>2.65</v>
          </cell>
          <cell r="P1316" t="str">
            <v>V</v>
          </cell>
          <cell r="Q1316" t="str">
            <v>5/8"</v>
          </cell>
          <cell r="R1316">
            <v>4</v>
          </cell>
          <cell r="S1316">
            <v>2.65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18.29</v>
          </cell>
          <cell r="AB1316">
            <v>0</v>
          </cell>
          <cell r="AC1316">
            <v>0</v>
          </cell>
          <cell r="AD1316">
            <v>0</v>
          </cell>
        </row>
        <row r="1317">
          <cell r="B1317" t="str">
            <v>Est</v>
          </cell>
          <cell r="C1317">
            <v>1</v>
          </cell>
          <cell r="D1317">
            <v>1</v>
          </cell>
          <cell r="E1317">
            <v>0.2</v>
          </cell>
          <cell r="F1317">
            <v>0.15</v>
          </cell>
          <cell r="G1317">
            <v>2.65</v>
          </cell>
          <cell r="Q1317" t="str">
            <v>3/8"</v>
          </cell>
          <cell r="R1317">
            <v>10</v>
          </cell>
          <cell r="S1317">
            <v>0.7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3.9200000000000004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</row>
        <row r="1318">
          <cell r="B1318" t="str">
            <v>Nucleo B</v>
          </cell>
          <cell r="C1318">
            <v>1</v>
          </cell>
          <cell r="D1318">
            <v>1</v>
          </cell>
          <cell r="E1318">
            <v>1.76</v>
          </cell>
          <cell r="F1318">
            <v>0.25</v>
          </cell>
          <cell r="G1318">
            <v>2.65</v>
          </cell>
          <cell r="H1318">
            <v>210</v>
          </cell>
          <cell r="I1318">
            <v>1.1659999999999999</v>
          </cell>
          <cell r="J1318">
            <v>0</v>
          </cell>
          <cell r="K1318">
            <v>0</v>
          </cell>
          <cell r="L1318">
            <v>1.1659999999999999</v>
          </cell>
          <cell r="M1318">
            <v>4.0199999999999996</v>
          </cell>
          <cell r="N1318">
            <v>2.4499999999999997</v>
          </cell>
          <cell r="O1318">
            <v>9.8489999999999984</v>
          </cell>
          <cell r="P1318" t="str">
            <v>V</v>
          </cell>
          <cell r="Q1318" t="str">
            <v>5/8"</v>
          </cell>
          <cell r="R1318">
            <v>4</v>
          </cell>
          <cell r="S1318">
            <v>2.65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18.29</v>
          </cell>
          <cell r="AB1318">
            <v>0</v>
          </cell>
          <cell r="AC1318">
            <v>0</v>
          </cell>
          <cell r="AD1318">
            <v>0</v>
          </cell>
        </row>
        <row r="1319">
          <cell r="B1319" t="str">
            <v>Nucleo A</v>
          </cell>
          <cell r="C1319">
            <v>1</v>
          </cell>
          <cell r="D1319">
            <v>1</v>
          </cell>
          <cell r="G1319">
            <v>2.65</v>
          </cell>
          <cell r="P1319" t="str">
            <v>V</v>
          </cell>
          <cell r="Q1319" t="str">
            <v>5/8"</v>
          </cell>
          <cell r="R1319">
            <v>18</v>
          </cell>
          <cell r="S1319">
            <v>2.65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82.304999999999993</v>
          </cell>
          <cell r="AB1319">
            <v>0</v>
          </cell>
          <cell r="AC1319">
            <v>0</v>
          </cell>
          <cell r="AD1319">
            <v>0</v>
          </cell>
        </row>
        <row r="1320">
          <cell r="B1320" t="str">
            <v>Est</v>
          </cell>
          <cell r="C1320">
            <v>1</v>
          </cell>
          <cell r="D1320">
            <v>1</v>
          </cell>
          <cell r="E1320">
            <v>1.1000000000000001</v>
          </cell>
          <cell r="F1320">
            <v>0.25</v>
          </cell>
          <cell r="G1320">
            <v>2.65</v>
          </cell>
          <cell r="Q1320" t="str">
            <v>3/8"</v>
          </cell>
          <cell r="R1320">
            <v>24</v>
          </cell>
          <cell r="S1320">
            <v>2.7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36.288000000000011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</row>
        <row r="1321">
          <cell r="B1321" t="str">
            <v>Est</v>
          </cell>
          <cell r="C1321">
            <v>1</v>
          </cell>
          <cell r="D1321">
            <v>1</v>
          </cell>
          <cell r="E1321">
            <v>1.1000000000000001</v>
          </cell>
          <cell r="F1321">
            <v>0.25</v>
          </cell>
          <cell r="G1321">
            <v>2.65</v>
          </cell>
          <cell r="Q1321" t="str">
            <v>3/8"</v>
          </cell>
          <cell r="R1321">
            <v>24</v>
          </cell>
          <cell r="S1321">
            <v>2.7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36.288000000000011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</row>
        <row r="1322">
          <cell r="B1322" t="str">
            <v>Est</v>
          </cell>
          <cell r="C1322">
            <v>1</v>
          </cell>
          <cell r="D1322">
            <v>1</v>
          </cell>
          <cell r="E1322">
            <v>1.1000000000000001</v>
          </cell>
          <cell r="F1322">
            <v>0.25</v>
          </cell>
          <cell r="G1322">
            <v>2.65</v>
          </cell>
          <cell r="Q1322" t="str">
            <v>3/8"</v>
          </cell>
          <cell r="R1322">
            <v>24</v>
          </cell>
          <cell r="S1322">
            <v>2.7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36.288000000000011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</row>
        <row r="1323">
          <cell r="B1323" t="str">
            <v>Est</v>
          </cell>
          <cell r="C1323">
            <v>1</v>
          </cell>
          <cell r="D1323">
            <v>5</v>
          </cell>
          <cell r="E1323">
            <v>0.15</v>
          </cell>
          <cell r="F1323">
            <v>0.25</v>
          </cell>
          <cell r="G1323">
            <v>2.65</v>
          </cell>
          <cell r="Q1323" t="str">
            <v>3/8"</v>
          </cell>
          <cell r="R1323">
            <v>24</v>
          </cell>
          <cell r="S1323">
            <v>0.55000000000000004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36.96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</row>
        <row r="1324">
          <cell r="B1324" t="str">
            <v>Acero Vert</v>
          </cell>
          <cell r="C1324">
            <v>1</v>
          </cell>
          <cell r="D1324">
            <v>1</v>
          </cell>
          <cell r="E1324">
            <v>5</v>
          </cell>
          <cell r="F1324">
            <v>0.4</v>
          </cell>
          <cell r="G1324">
            <v>2.65</v>
          </cell>
          <cell r="H1324">
            <v>210</v>
          </cell>
          <cell r="I1324">
            <v>5.3</v>
          </cell>
          <cell r="J1324">
            <v>0</v>
          </cell>
          <cell r="K1324">
            <v>0</v>
          </cell>
          <cell r="L1324">
            <v>5.3</v>
          </cell>
          <cell r="M1324">
            <v>10.8</v>
          </cell>
          <cell r="N1324">
            <v>2.4499999999999997</v>
          </cell>
          <cell r="O1324">
            <v>26.459999999999997</v>
          </cell>
          <cell r="P1324" t="str">
            <v>V</v>
          </cell>
          <cell r="Q1324" t="str">
            <v>1/2"</v>
          </cell>
          <cell r="R1324">
            <v>30</v>
          </cell>
          <cell r="S1324">
            <v>3.4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108.405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</row>
        <row r="1325">
          <cell r="B1325" t="str">
            <v>Acero Hor</v>
          </cell>
          <cell r="C1325">
            <v>1</v>
          </cell>
          <cell r="D1325">
            <v>1</v>
          </cell>
          <cell r="G1325">
            <v>2.65</v>
          </cell>
          <cell r="P1325" t="str">
            <v>H</v>
          </cell>
          <cell r="Q1325" t="str">
            <v>1/2"</v>
          </cell>
          <cell r="R1325">
            <v>18</v>
          </cell>
          <cell r="S1325">
            <v>5.9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105.13800000000001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</row>
        <row r="1326">
          <cell r="B1326" t="str">
            <v>Acero Vert</v>
          </cell>
          <cell r="C1326">
            <v>1</v>
          </cell>
          <cell r="D1326">
            <v>1</v>
          </cell>
          <cell r="E1326">
            <v>2.3199999999999998</v>
          </cell>
          <cell r="F1326">
            <v>0.2</v>
          </cell>
          <cell r="G1326">
            <v>2.65</v>
          </cell>
          <cell r="H1326">
            <v>210</v>
          </cell>
          <cell r="I1326">
            <v>1.2295999999999998</v>
          </cell>
          <cell r="J1326">
            <v>0</v>
          </cell>
          <cell r="K1326">
            <v>0</v>
          </cell>
          <cell r="L1326">
            <v>1.2295999999999998</v>
          </cell>
          <cell r="M1326">
            <v>5.04</v>
          </cell>
          <cell r="N1326">
            <v>2.4499999999999997</v>
          </cell>
          <cell r="O1326">
            <v>12.347999999999999</v>
          </cell>
          <cell r="P1326" t="str">
            <v>V</v>
          </cell>
          <cell r="Q1326" t="str">
            <v>3/8"</v>
          </cell>
          <cell r="R1326">
            <v>10</v>
          </cell>
          <cell r="S1326">
            <v>3.4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21.840000000000003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</row>
        <row r="1327">
          <cell r="B1327" t="str">
            <v>Acero Hor</v>
          </cell>
          <cell r="C1327">
            <v>1</v>
          </cell>
          <cell r="D1327">
            <v>1</v>
          </cell>
          <cell r="G1327">
            <v>2.65</v>
          </cell>
          <cell r="P1327" t="str">
            <v>H</v>
          </cell>
          <cell r="Q1327" t="str">
            <v>3/8"</v>
          </cell>
          <cell r="R1327">
            <v>18</v>
          </cell>
          <cell r="S1327">
            <v>2.6199999999999997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26.409600000000001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</row>
        <row r="1328">
          <cell r="B1328" t="str">
            <v>Nucleo A</v>
          </cell>
          <cell r="C1328">
            <v>1</v>
          </cell>
          <cell r="D1328">
            <v>2</v>
          </cell>
          <cell r="E1328">
            <v>0.25</v>
          </cell>
          <cell r="F1328">
            <v>0.25</v>
          </cell>
          <cell r="G1328">
            <v>2.65</v>
          </cell>
          <cell r="P1328" t="str">
            <v>V</v>
          </cell>
          <cell r="Q1328" t="str">
            <v>3/4"</v>
          </cell>
          <cell r="R1328">
            <v>2</v>
          </cell>
          <cell r="S1328">
            <v>2.65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25.312000000000001</v>
          </cell>
          <cell r="AC1328">
            <v>0</v>
          </cell>
          <cell r="AD1328">
            <v>0</v>
          </cell>
        </row>
        <row r="1329">
          <cell r="B1329" t="str">
            <v>Nucleo A</v>
          </cell>
          <cell r="C1329">
            <v>1</v>
          </cell>
          <cell r="D1329">
            <v>2</v>
          </cell>
          <cell r="G1329">
            <v>2.65</v>
          </cell>
          <cell r="P1329" t="str">
            <v>V</v>
          </cell>
          <cell r="Q1329" t="str">
            <v>3/4"</v>
          </cell>
          <cell r="R1329">
            <v>2</v>
          </cell>
          <cell r="S1329">
            <v>2.65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25.312000000000001</v>
          </cell>
          <cell r="AC1329">
            <v>0</v>
          </cell>
          <cell r="AD1329">
            <v>0</v>
          </cell>
        </row>
        <row r="1330">
          <cell r="B1330" t="str">
            <v>Est</v>
          </cell>
          <cell r="C1330">
            <v>1</v>
          </cell>
          <cell r="D1330">
            <v>2</v>
          </cell>
          <cell r="E1330">
            <v>0.25</v>
          </cell>
          <cell r="F1330">
            <v>0.25</v>
          </cell>
          <cell r="G1330">
            <v>2.65</v>
          </cell>
          <cell r="Q1330" t="str">
            <v>3/8"</v>
          </cell>
          <cell r="R1330">
            <v>8</v>
          </cell>
          <cell r="S1330">
            <v>1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8.9600000000000009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</row>
        <row r="1331"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</row>
        <row r="1332">
          <cell r="B1332" t="str">
            <v>AZOTEA</v>
          </cell>
          <cell r="H1332">
            <v>210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</row>
        <row r="1333"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</row>
        <row r="1334">
          <cell r="B1334" t="str">
            <v>B1-PL-01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</row>
        <row r="1335">
          <cell r="B1335" t="str">
            <v>Acero Vert</v>
          </cell>
          <cell r="C1335">
            <v>1</v>
          </cell>
          <cell r="D1335">
            <v>1</v>
          </cell>
          <cell r="E1335">
            <v>5.3999999999999995</v>
          </cell>
          <cell r="F1335">
            <v>0.2</v>
          </cell>
          <cell r="G1335">
            <v>2.1</v>
          </cell>
          <cell r="H1335">
            <v>210</v>
          </cell>
          <cell r="I1335">
            <v>2.2679999999999998</v>
          </cell>
          <cell r="J1335">
            <v>0</v>
          </cell>
          <cell r="K1335">
            <v>0</v>
          </cell>
          <cell r="L1335">
            <v>2.2679999999999998</v>
          </cell>
          <cell r="M1335">
            <v>11.2</v>
          </cell>
          <cell r="N1335">
            <v>1.9000000000000001</v>
          </cell>
          <cell r="O1335">
            <v>21.28</v>
          </cell>
          <cell r="P1335" t="str">
            <v>V</v>
          </cell>
          <cell r="Q1335" t="str">
            <v>3/8"</v>
          </cell>
          <cell r="R1335">
            <v>30</v>
          </cell>
          <cell r="S1335">
            <v>2.6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52.080000000000005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</row>
        <row r="1336">
          <cell r="B1336" t="str">
            <v>Acero Hor</v>
          </cell>
          <cell r="C1336">
            <v>1</v>
          </cell>
          <cell r="D1336">
            <v>1</v>
          </cell>
          <cell r="G1336">
            <v>2.1</v>
          </cell>
          <cell r="P1336" t="str">
            <v>H</v>
          </cell>
          <cell r="Q1336" t="str">
            <v>3/8"</v>
          </cell>
          <cell r="R1336">
            <v>14</v>
          </cell>
          <cell r="S1336">
            <v>5.8999999999999995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46.256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</row>
        <row r="1337">
          <cell r="B1337" t="str">
            <v>Nucleo A</v>
          </cell>
          <cell r="C1337">
            <v>1</v>
          </cell>
          <cell r="D1337">
            <v>1</v>
          </cell>
          <cell r="E1337">
            <v>0.25</v>
          </cell>
          <cell r="F1337">
            <v>0.2</v>
          </cell>
          <cell r="G1337">
            <v>2.1</v>
          </cell>
          <cell r="P1337" t="str">
            <v>V</v>
          </cell>
          <cell r="Q1337" t="str">
            <v>3/4"</v>
          </cell>
          <cell r="R1337">
            <v>4</v>
          </cell>
          <cell r="S1337">
            <v>2.1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21.952000000000005</v>
          </cell>
          <cell r="AC1337">
            <v>0</v>
          </cell>
          <cell r="AD1337">
            <v>0</v>
          </cell>
        </row>
        <row r="1338">
          <cell r="B1338" t="str">
            <v>Est</v>
          </cell>
          <cell r="C1338">
            <v>1</v>
          </cell>
          <cell r="D1338">
            <v>1</v>
          </cell>
          <cell r="E1338">
            <v>0.25</v>
          </cell>
          <cell r="F1338">
            <v>0.2</v>
          </cell>
          <cell r="G1338">
            <v>2.1</v>
          </cell>
          <cell r="Q1338" t="str">
            <v>3/8"</v>
          </cell>
          <cell r="R1338">
            <v>8</v>
          </cell>
          <cell r="S1338">
            <v>0.9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4.0320000000000009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</row>
        <row r="1339">
          <cell r="B1339" t="str">
            <v>Nucleo A</v>
          </cell>
          <cell r="C1339">
            <v>1</v>
          </cell>
          <cell r="D1339">
            <v>1</v>
          </cell>
          <cell r="E1339">
            <v>0.2</v>
          </cell>
          <cell r="F1339">
            <v>0.2</v>
          </cell>
          <cell r="G1339">
            <v>2.1</v>
          </cell>
          <cell r="P1339" t="str">
            <v>V</v>
          </cell>
          <cell r="Q1339" t="str">
            <v>3/4"</v>
          </cell>
          <cell r="R1339">
            <v>4</v>
          </cell>
          <cell r="S1339">
            <v>2.1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21.952000000000005</v>
          </cell>
          <cell r="AC1339">
            <v>0</v>
          </cell>
          <cell r="AD1339">
            <v>0</v>
          </cell>
        </row>
        <row r="1340">
          <cell r="B1340" t="str">
            <v>Est</v>
          </cell>
          <cell r="C1340">
            <v>1</v>
          </cell>
          <cell r="D1340">
            <v>1</v>
          </cell>
          <cell r="E1340">
            <v>0.2</v>
          </cell>
          <cell r="F1340">
            <v>0.2</v>
          </cell>
          <cell r="G1340">
            <v>2.1</v>
          </cell>
          <cell r="Q1340" t="str">
            <v>3/8"</v>
          </cell>
          <cell r="R1340">
            <v>8</v>
          </cell>
          <cell r="S1340">
            <v>0.8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3.5840000000000005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</row>
        <row r="1341">
          <cell r="C1341">
            <v>1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</row>
        <row r="1342">
          <cell r="B1342" t="str">
            <v>B1-PL-02</v>
          </cell>
          <cell r="C1342">
            <v>1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</row>
        <row r="1343">
          <cell r="B1343" t="str">
            <v>Acero Vert</v>
          </cell>
          <cell r="C1343">
            <v>1</v>
          </cell>
          <cell r="D1343">
            <v>1</v>
          </cell>
          <cell r="E1343">
            <v>3.86</v>
          </cell>
          <cell r="F1343">
            <v>0.2</v>
          </cell>
          <cell r="G1343">
            <v>2.65</v>
          </cell>
          <cell r="H1343">
            <v>210</v>
          </cell>
          <cell r="I1343">
            <v>2.0457999999999998</v>
          </cell>
          <cell r="J1343">
            <v>0</v>
          </cell>
          <cell r="K1343">
            <v>0</v>
          </cell>
          <cell r="L1343">
            <v>2.0457999999999998</v>
          </cell>
          <cell r="M1343">
            <v>8.1199999999999992</v>
          </cell>
          <cell r="N1343">
            <v>2.4499999999999997</v>
          </cell>
          <cell r="O1343">
            <v>19.893999999999995</v>
          </cell>
          <cell r="P1343" t="str">
            <v>V</v>
          </cell>
          <cell r="Q1343" t="str">
            <v>3/8"</v>
          </cell>
          <cell r="R1343">
            <v>22</v>
          </cell>
          <cell r="S1343">
            <v>2.9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41.888000000000005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</row>
        <row r="1344">
          <cell r="B1344" t="str">
            <v>Acero Hor</v>
          </cell>
          <cell r="C1344">
            <v>1</v>
          </cell>
          <cell r="D1344">
            <v>1</v>
          </cell>
          <cell r="G1344">
            <v>2.65</v>
          </cell>
          <cell r="P1344" t="str">
            <v>H</v>
          </cell>
          <cell r="Q1344" t="str">
            <v>3/8"</v>
          </cell>
          <cell r="R1344">
            <v>18</v>
          </cell>
          <cell r="S1344">
            <v>4.3599999999999994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43.948799999999999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</row>
        <row r="1345">
          <cell r="B1345" t="str">
            <v>Nucleo A</v>
          </cell>
          <cell r="C1345">
            <v>1</v>
          </cell>
          <cell r="D1345">
            <v>1</v>
          </cell>
          <cell r="E1345">
            <v>0.25</v>
          </cell>
          <cell r="F1345">
            <v>0.2</v>
          </cell>
          <cell r="G1345">
            <v>2.65</v>
          </cell>
          <cell r="P1345" t="str">
            <v>V</v>
          </cell>
          <cell r="Q1345" t="str">
            <v>5/8"</v>
          </cell>
          <cell r="R1345">
            <v>2</v>
          </cell>
          <cell r="S1345">
            <v>2.65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9.1449999999999996</v>
          </cell>
          <cell r="AB1345">
            <v>0</v>
          </cell>
          <cell r="AC1345">
            <v>0</v>
          </cell>
          <cell r="AD1345">
            <v>0</v>
          </cell>
        </row>
        <row r="1346">
          <cell r="C1346">
            <v>1</v>
          </cell>
          <cell r="D1346">
            <v>1</v>
          </cell>
          <cell r="F1346">
            <v>0</v>
          </cell>
          <cell r="G1346">
            <v>2.65</v>
          </cell>
          <cell r="P1346" t="str">
            <v>V</v>
          </cell>
          <cell r="Q1346" t="str">
            <v>5/8"</v>
          </cell>
          <cell r="R1346">
            <v>2</v>
          </cell>
          <cell r="S1346">
            <v>2.65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9.1449999999999996</v>
          </cell>
          <cell r="AB1346">
            <v>0</v>
          </cell>
          <cell r="AC1346">
            <v>0</v>
          </cell>
          <cell r="AD1346">
            <v>0</v>
          </cell>
        </row>
        <row r="1347">
          <cell r="B1347" t="str">
            <v>Est</v>
          </cell>
          <cell r="C1347">
            <v>1</v>
          </cell>
          <cell r="D1347">
            <v>1</v>
          </cell>
          <cell r="E1347">
            <v>0.25</v>
          </cell>
          <cell r="F1347">
            <v>0.2</v>
          </cell>
          <cell r="G1347">
            <v>2.65</v>
          </cell>
          <cell r="Q1347" t="str">
            <v>3/8"</v>
          </cell>
          <cell r="R1347">
            <v>8</v>
          </cell>
          <cell r="S1347">
            <v>0.9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4.0320000000000009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</row>
        <row r="1348">
          <cell r="B1348" t="str">
            <v>Nucleo A</v>
          </cell>
          <cell r="C1348">
            <v>1</v>
          </cell>
          <cell r="D1348">
            <v>1</v>
          </cell>
          <cell r="E1348">
            <v>0.25</v>
          </cell>
          <cell r="F1348">
            <v>0.2</v>
          </cell>
          <cell r="G1348">
            <v>2.65</v>
          </cell>
          <cell r="P1348" t="str">
            <v>V</v>
          </cell>
          <cell r="Q1348" t="str">
            <v>5/8"</v>
          </cell>
          <cell r="R1348">
            <v>2</v>
          </cell>
          <cell r="S1348">
            <v>2.65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9.1449999999999996</v>
          </cell>
          <cell r="AB1348">
            <v>0</v>
          </cell>
          <cell r="AC1348">
            <v>0</v>
          </cell>
          <cell r="AD1348">
            <v>0</v>
          </cell>
        </row>
        <row r="1349">
          <cell r="C1349">
            <v>1</v>
          </cell>
          <cell r="D1349">
            <v>1</v>
          </cell>
          <cell r="F1349">
            <v>0.2</v>
          </cell>
          <cell r="G1349">
            <v>2.65</v>
          </cell>
          <cell r="P1349" t="str">
            <v>V</v>
          </cell>
          <cell r="Q1349" t="str">
            <v>5/8"</v>
          </cell>
          <cell r="R1349">
            <v>2</v>
          </cell>
          <cell r="S1349">
            <v>2.65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9.1449999999999996</v>
          </cell>
          <cell r="AB1349">
            <v>0</v>
          </cell>
          <cell r="AC1349">
            <v>0</v>
          </cell>
          <cell r="AD1349">
            <v>0</v>
          </cell>
        </row>
        <row r="1350">
          <cell r="B1350" t="str">
            <v>Est</v>
          </cell>
          <cell r="C1350">
            <v>1</v>
          </cell>
          <cell r="D1350">
            <v>1</v>
          </cell>
          <cell r="E1350">
            <v>0.25</v>
          </cell>
          <cell r="F1350">
            <v>0.2</v>
          </cell>
          <cell r="G1350">
            <v>2.65</v>
          </cell>
          <cell r="Q1350" t="str">
            <v>3/8"</v>
          </cell>
          <cell r="R1350">
            <v>8</v>
          </cell>
          <cell r="S1350">
            <v>0.9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4.0320000000000009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</row>
        <row r="1351">
          <cell r="C1351">
            <v>1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</row>
        <row r="1352">
          <cell r="B1352" t="str">
            <v>B1-PL-03</v>
          </cell>
          <cell r="C1352">
            <v>1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</row>
        <row r="1353">
          <cell r="B1353" t="str">
            <v>Acero Vert</v>
          </cell>
          <cell r="C1353">
            <v>1</v>
          </cell>
          <cell r="D1353">
            <v>1</v>
          </cell>
          <cell r="E1353">
            <v>2.75</v>
          </cell>
          <cell r="F1353">
            <v>0.2</v>
          </cell>
          <cell r="G1353">
            <v>2.65</v>
          </cell>
          <cell r="H1353">
            <v>210</v>
          </cell>
          <cell r="I1353">
            <v>1.4575</v>
          </cell>
          <cell r="J1353">
            <v>0</v>
          </cell>
          <cell r="K1353">
            <v>0</v>
          </cell>
          <cell r="L1353">
            <v>1.4575</v>
          </cell>
          <cell r="M1353">
            <v>5.9</v>
          </cell>
          <cell r="N1353">
            <v>2.4499999999999997</v>
          </cell>
          <cell r="O1353">
            <v>14.455</v>
          </cell>
          <cell r="P1353" t="str">
            <v>V</v>
          </cell>
          <cell r="Q1353" t="str">
            <v>3/8"</v>
          </cell>
          <cell r="R1353">
            <v>14</v>
          </cell>
          <cell r="S1353">
            <v>2.9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26.656000000000002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</row>
        <row r="1354">
          <cell r="B1354" t="str">
            <v>Acero Hor</v>
          </cell>
          <cell r="C1354">
            <v>1</v>
          </cell>
          <cell r="D1354">
            <v>1</v>
          </cell>
          <cell r="G1354">
            <v>2.65</v>
          </cell>
          <cell r="P1354" t="str">
            <v>H</v>
          </cell>
          <cell r="Q1354" t="str">
            <v>3/8"</v>
          </cell>
          <cell r="R1354">
            <v>18</v>
          </cell>
          <cell r="S1354">
            <v>3.25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32.760000000000005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</row>
        <row r="1355">
          <cell r="B1355" t="str">
            <v>Nucleo A</v>
          </cell>
          <cell r="C1355">
            <v>1</v>
          </cell>
          <cell r="D1355">
            <v>1</v>
          </cell>
          <cell r="E1355">
            <v>0.25</v>
          </cell>
          <cell r="F1355">
            <v>0.2</v>
          </cell>
          <cell r="G1355">
            <v>2.65</v>
          </cell>
          <cell r="P1355" t="str">
            <v>V</v>
          </cell>
          <cell r="Q1355" t="str">
            <v>5/8"</v>
          </cell>
          <cell r="R1355">
            <v>2</v>
          </cell>
          <cell r="S1355">
            <v>2.65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9.1449999999999996</v>
          </cell>
          <cell r="AB1355">
            <v>0</v>
          </cell>
          <cell r="AC1355">
            <v>0</v>
          </cell>
          <cell r="AD1355">
            <v>0</v>
          </cell>
        </row>
        <row r="1356">
          <cell r="C1356">
            <v>1</v>
          </cell>
          <cell r="D1356">
            <v>1</v>
          </cell>
          <cell r="F1356">
            <v>0</v>
          </cell>
          <cell r="G1356">
            <v>2.65</v>
          </cell>
          <cell r="P1356" t="str">
            <v>V</v>
          </cell>
          <cell r="Q1356" t="str">
            <v>5/8"</v>
          </cell>
          <cell r="R1356">
            <v>2</v>
          </cell>
          <cell r="S1356">
            <v>2.65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9.1449999999999996</v>
          </cell>
          <cell r="AB1356">
            <v>0</v>
          </cell>
          <cell r="AC1356">
            <v>0</v>
          </cell>
          <cell r="AD1356">
            <v>0</v>
          </cell>
        </row>
        <row r="1357">
          <cell r="B1357" t="str">
            <v>Est</v>
          </cell>
          <cell r="C1357">
            <v>1</v>
          </cell>
          <cell r="D1357">
            <v>1</v>
          </cell>
          <cell r="E1357">
            <v>0.25</v>
          </cell>
          <cell r="F1357">
            <v>0.2</v>
          </cell>
          <cell r="G1357">
            <v>2.65</v>
          </cell>
          <cell r="Q1357" t="str">
            <v>3/8"</v>
          </cell>
          <cell r="R1357">
            <v>8</v>
          </cell>
          <cell r="S1357">
            <v>0.9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4.0320000000000009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</row>
        <row r="1358">
          <cell r="B1358" t="str">
            <v>Nucleo A</v>
          </cell>
          <cell r="C1358">
            <v>1</v>
          </cell>
          <cell r="D1358">
            <v>1</v>
          </cell>
          <cell r="E1358">
            <v>0.25</v>
          </cell>
          <cell r="F1358">
            <v>0.2</v>
          </cell>
          <cell r="G1358">
            <v>2.65</v>
          </cell>
          <cell r="P1358" t="str">
            <v>V</v>
          </cell>
          <cell r="Q1358" t="str">
            <v>5/8"</v>
          </cell>
          <cell r="R1358">
            <v>2</v>
          </cell>
          <cell r="S1358">
            <v>2.65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9.1449999999999996</v>
          </cell>
          <cell r="AB1358">
            <v>0</v>
          </cell>
          <cell r="AC1358">
            <v>0</v>
          </cell>
          <cell r="AD1358">
            <v>0</v>
          </cell>
        </row>
        <row r="1359">
          <cell r="C1359">
            <v>1</v>
          </cell>
          <cell r="D1359">
            <v>1</v>
          </cell>
          <cell r="F1359">
            <v>0.2</v>
          </cell>
          <cell r="G1359">
            <v>2.65</v>
          </cell>
          <cell r="P1359" t="str">
            <v>V</v>
          </cell>
          <cell r="Q1359" t="str">
            <v>5/8"</v>
          </cell>
          <cell r="R1359">
            <v>2</v>
          </cell>
          <cell r="S1359">
            <v>2.65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9.1449999999999996</v>
          </cell>
          <cell r="AB1359">
            <v>0</v>
          </cell>
          <cell r="AC1359">
            <v>0</v>
          </cell>
          <cell r="AD1359">
            <v>0</v>
          </cell>
        </row>
        <row r="1360">
          <cell r="B1360" t="str">
            <v>Est</v>
          </cell>
          <cell r="C1360">
            <v>1</v>
          </cell>
          <cell r="D1360">
            <v>1</v>
          </cell>
          <cell r="E1360">
            <v>0.25</v>
          </cell>
          <cell r="F1360">
            <v>0.2</v>
          </cell>
          <cell r="G1360">
            <v>2.65</v>
          </cell>
          <cell r="Q1360" t="str">
            <v>3/8"</v>
          </cell>
          <cell r="R1360">
            <v>8</v>
          </cell>
          <cell r="S1360">
            <v>0.9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4.0320000000000009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</row>
        <row r="1361">
          <cell r="B1361" t="str">
            <v>B1-PL-06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</row>
        <row r="1362">
          <cell r="B1362" t="str">
            <v>Acero Vert</v>
          </cell>
          <cell r="C1362">
            <v>1</v>
          </cell>
          <cell r="D1362">
            <v>1</v>
          </cell>
          <cell r="E1362">
            <v>2.9</v>
          </cell>
          <cell r="F1362">
            <v>0.15</v>
          </cell>
          <cell r="G1362">
            <v>2.65</v>
          </cell>
          <cell r="H1362">
            <v>210</v>
          </cell>
          <cell r="I1362">
            <v>1.1527499999999999</v>
          </cell>
          <cell r="J1362">
            <v>0</v>
          </cell>
          <cell r="K1362">
            <v>0</v>
          </cell>
          <cell r="L1362">
            <v>1.1527499999999999</v>
          </cell>
          <cell r="M1362">
            <v>6.1</v>
          </cell>
          <cell r="N1362">
            <v>2.4499999999999997</v>
          </cell>
          <cell r="O1362">
            <v>14.944999999999997</v>
          </cell>
          <cell r="P1362" t="str">
            <v>V</v>
          </cell>
          <cell r="Q1362" t="str">
            <v>1/2"</v>
          </cell>
          <cell r="R1362">
            <v>14</v>
          </cell>
          <cell r="S1362">
            <v>3.4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50.588999999999999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</row>
        <row r="1363">
          <cell r="B1363" t="str">
            <v>Acero Hor</v>
          </cell>
          <cell r="C1363">
            <v>1</v>
          </cell>
          <cell r="D1363">
            <v>1</v>
          </cell>
          <cell r="G1363">
            <v>2.65</v>
          </cell>
          <cell r="P1363" t="str">
            <v>H</v>
          </cell>
          <cell r="Q1363" t="str">
            <v>1/2"</v>
          </cell>
          <cell r="R1363">
            <v>18</v>
          </cell>
          <cell r="S1363">
            <v>3.4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60.587999999999994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</row>
        <row r="1364">
          <cell r="B1364" t="str">
            <v>Nucleo A</v>
          </cell>
          <cell r="C1364">
            <v>1</v>
          </cell>
          <cell r="D1364">
            <v>1</v>
          </cell>
          <cell r="E1364">
            <v>0.4</v>
          </cell>
          <cell r="F1364">
            <v>0.15</v>
          </cell>
          <cell r="G1364">
            <v>2.65</v>
          </cell>
          <cell r="P1364" t="str">
            <v>V</v>
          </cell>
          <cell r="Q1364" t="str">
            <v>5/8"</v>
          </cell>
          <cell r="R1364">
            <v>4</v>
          </cell>
          <cell r="S1364">
            <v>2.65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18.29</v>
          </cell>
          <cell r="AB1364">
            <v>0</v>
          </cell>
          <cell r="AC1364">
            <v>0</v>
          </cell>
          <cell r="AD1364">
            <v>0</v>
          </cell>
        </row>
        <row r="1365">
          <cell r="B1365" t="str">
            <v>Est</v>
          </cell>
          <cell r="C1365">
            <v>1</v>
          </cell>
          <cell r="D1365">
            <v>1</v>
          </cell>
          <cell r="E1365">
            <v>0.4</v>
          </cell>
          <cell r="F1365">
            <v>0.15</v>
          </cell>
          <cell r="G1365">
            <v>2.65</v>
          </cell>
          <cell r="Q1365" t="str">
            <v>3/8"</v>
          </cell>
          <cell r="R1365">
            <v>8</v>
          </cell>
          <cell r="S1365">
            <v>1.1000000000000001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4.9280000000000008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</row>
        <row r="1366">
          <cell r="B1366" t="str">
            <v>Nucleo A</v>
          </cell>
          <cell r="C1366">
            <v>1</v>
          </cell>
          <cell r="D1366">
            <v>1</v>
          </cell>
          <cell r="E1366">
            <v>0.4</v>
          </cell>
          <cell r="F1366">
            <v>0.15</v>
          </cell>
          <cell r="G1366">
            <v>2.65</v>
          </cell>
          <cell r="P1366" t="str">
            <v>V</v>
          </cell>
          <cell r="Q1366" t="str">
            <v>5/8"</v>
          </cell>
          <cell r="R1366">
            <v>4</v>
          </cell>
          <cell r="S1366">
            <v>2.65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18.29</v>
          </cell>
          <cell r="AB1366">
            <v>0</v>
          </cell>
          <cell r="AC1366">
            <v>0</v>
          </cell>
          <cell r="AD1366">
            <v>0</v>
          </cell>
        </row>
        <row r="1367">
          <cell r="B1367" t="str">
            <v>Est</v>
          </cell>
          <cell r="C1367">
            <v>1</v>
          </cell>
          <cell r="D1367">
            <v>1</v>
          </cell>
          <cell r="E1367">
            <v>0.4</v>
          </cell>
          <cell r="F1367">
            <v>0.15</v>
          </cell>
          <cell r="G1367">
            <v>2.65</v>
          </cell>
          <cell r="Q1367" t="str">
            <v>3/8"</v>
          </cell>
          <cell r="R1367">
            <v>8</v>
          </cell>
          <cell r="S1367">
            <v>1.1000000000000001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4.9280000000000008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</row>
        <row r="1368">
          <cell r="C1368">
            <v>1</v>
          </cell>
        </row>
        <row r="1372">
          <cell r="A1372" t="str">
            <v>PLACA-CON280</v>
          </cell>
          <cell r="B1372" t="str">
            <v>Concreto f'c=280 kg/cm2</v>
          </cell>
          <cell r="D1372" t="str">
            <v>M3</v>
          </cell>
          <cell r="E1372">
            <v>193.04623000000009</v>
          </cell>
          <cell r="L1372">
            <v>460.90782999999982</v>
          </cell>
          <cell r="M1372">
            <v>462.39183000000025</v>
          </cell>
        </row>
        <row r="1373">
          <cell r="A1373" t="str">
            <v>PLACA-CON210</v>
          </cell>
          <cell r="B1373" t="str">
            <v>Concreto f'c=210 kg/cm2</v>
          </cell>
          <cell r="D1373" t="str">
            <v>M3</v>
          </cell>
          <cell r="E1373">
            <v>269.34560000000016</v>
          </cell>
        </row>
        <row r="1374">
          <cell r="A1374" t="str">
            <v>PLACA-ENC</v>
          </cell>
          <cell r="B1374" t="str">
            <v xml:space="preserve">Encofrado y desencofrado </v>
          </cell>
          <cell r="D1374" t="str">
            <v>M2</v>
          </cell>
          <cell r="E1374">
            <v>4034.3099999999945</v>
          </cell>
        </row>
        <row r="1375">
          <cell r="A1375" t="str">
            <v>PLACA-ACE</v>
          </cell>
          <cell r="B1375" t="str">
            <v>Acero de refuerzo</v>
          </cell>
          <cell r="D1375" t="str">
            <v>KG</v>
          </cell>
          <cell r="E1375">
            <v>42716.799400000091</v>
          </cell>
        </row>
        <row r="1379">
          <cell r="C1379" t="e">
            <v>#REF!</v>
          </cell>
        </row>
        <row r="1382">
          <cell r="B1382" t="str">
            <v>VIGAS</v>
          </cell>
          <cell r="AH1382">
            <v>0</v>
          </cell>
        </row>
        <row r="1383">
          <cell r="AH1383">
            <v>0</v>
          </cell>
        </row>
        <row r="1384">
          <cell r="B1384" t="str">
            <v>PISO 1</v>
          </cell>
        </row>
        <row r="1386">
          <cell r="B1386" t="str">
            <v xml:space="preserve">B1-VT-01 Tipo L (.25x.55) </v>
          </cell>
        </row>
        <row r="1387">
          <cell r="C1387">
            <v>1</v>
          </cell>
          <cell r="D1387">
            <v>1</v>
          </cell>
          <cell r="E1387">
            <v>6.45</v>
          </cell>
          <cell r="F1387">
            <v>0.25</v>
          </cell>
          <cell r="G1387">
            <v>0.55000000000000004</v>
          </cell>
          <cell r="L1387">
            <v>0.88687500000000008</v>
          </cell>
          <cell r="M1387">
            <v>6.45</v>
          </cell>
          <cell r="N1387">
            <v>0.95000000000000007</v>
          </cell>
          <cell r="O1387">
            <v>6.1275000000000004</v>
          </cell>
        </row>
        <row r="1388">
          <cell r="B1388" t="str">
            <v>Acero Principal</v>
          </cell>
          <cell r="C1388">
            <v>1</v>
          </cell>
          <cell r="D1388">
            <v>1</v>
          </cell>
          <cell r="F1388">
            <v>4</v>
          </cell>
          <cell r="G1388">
            <v>6.95</v>
          </cell>
          <cell r="P1388" t="str">
            <v>H</v>
          </cell>
          <cell r="Q1388" t="str">
            <v>1"</v>
          </cell>
          <cell r="R1388">
            <v>4</v>
          </cell>
          <cell r="S1388">
            <v>7.8500000000000005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124.65800000000002</v>
          </cell>
          <cell r="AD1388">
            <v>0</v>
          </cell>
        </row>
        <row r="1389">
          <cell r="B1389" t="str">
            <v>Acero Principal</v>
          </cell>
          <cell r="C1389">
            <v>1</v>
          </cell>
          <cell r="D1389">
            <v>1</v>
          </cell>
          <cell r="F1389">
            <v>3</v>
          </cell>
          <cell r="G1389">
            <v>6.2</v>
          </cell>
          <cell r="P1389" t="str">
            <v>H</v>
          </cell>
          <cell r="Q1389" t="str">
            <v>3/4"</v>
          </cell>
          <cell r="R1389">
            <v>3</v>
          </cell>
          <cell r="S1389">
            <v>7.8500000000000005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52.75200000000001</v>
          </cell>
          <cell r="AC1389">
            <v>0</v>
          </cell>
          <cell r="AD1389">
            <v>0</v>
          </cell>
        </row>
        <row r="1390">
          <cell r="B1390" t="str">
            <v>Ref. Inf</v>
          </cell>
          <cell r="C1390">
            <v>1</v>
          </cell>
          <cell r="D1390">
            <v>1</v>
          </cell>
          <cell r="F1390">
            <v>2</v>
          </cell>
          <cell r="G1390">
            <v>4.8499999999999996</v>
          </cell>
          <cell r="Q1390" t="str">
            <v>3/4"</v>
          </cell>
          <cell r="R1390">
            <v>2</v>
          </cell>
          <cell r="S1390">
            <v>4.8499999999999996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21.728000000000002</v>
          </cell>
          <cell r="AC1390">
            <v>0</v>
          </cell>
          <cell r="AD1390">
            <v>0</v>
          </cell>
        </row>
        <row r="1391">
          <cell r="B1391" t="str">
            <v>Est</v>
          </cell>
          <cell r="C1391">
            <v>1</v>
          </cell>
          <cell r="D1391">
            <v>1</v>
          </cell>
          <cell r="E1391">
            <v>6.45</v>
          </cell>
          <cell r="F1391">
            <v>0.25</v>
          </cell>
          <cell r="G1391">
            <v>0.55000000000000004</v>
          </cell>
          <cell r="Q1391" t="str">
            <v>3/8"</v>
          </cell>
          <cell r="R1391">
            <v>44</v>
          </cell>
          <cell r="S1391">
            <v>1.6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39.424000000000007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</row>
        <row r="1392">
          <cell r="C1392">
            <v>1</v>
          </cell>
          <cell r="D1392">
            <v>1</v>
          </cell>
          <cell r="E1392">
            <v>6.45</v>
          </cell>
          <cell r="F1392">
            <v>0.5</v>
          </cell>
          <cell r="G1392">
            <v>0.2</v>
          </cell>
          <cell r="L1392">
            <v>0.64500000000000002</v>
          </cell>
          <cell r="M1392">
            <v>6.45</v>
          </cell>
          <cell r="N1392">
            <v>0.5</v>
          </cell>
          <cell r="O1392">
            <v>3.2250000000000001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</row>
        <row r="1393">
          <cell r="B1393" t="str">
            <v>Est</v>
          </cell>
          <cell r="C1393">
            <v>1</v>
          </cell>
          <cell r="D1393">
            <v>1</v>
          </cell>
          <cell r="E1393">
            <v>6.45</v>
          </cell>
          <cell r="F1393">
            <v>0.75</v>
          </cell>
          <cell r="G1393">
            <v>0.2</v>
          </cell>
          <cell r="Q1393" t="str">
            <v>3/8"</v>
          </cell>
          <cell r="R1393">
            <v>44</v>
          </cell>
          <cell r="S1393">
            <v>1.9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46.816000000000003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</row>
        <row r="1394"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</row>
        <row r="1395">
          <cell r="B1395" t="str">
            <v xml:space="preserve">B1-VT-02 (.25x.55) </v>
          </cell>
          <cell r="C1395">
            <v>1</v>
          </cell>
          <cell r="D1395">
            <v>1</v>
          </cell>
          <cell r="E1395">
            <v>6.3</v>
          </cell>
          <cell r="F1395">
            <v>0.25</v>
          </cell>
          <cell r="G1395">
            <v>0.55000000000000004</v>
          </cell>
          <cell r="L1395">
            <v>0.86625000000000008</v>
          </cell>
          <cell r="M1395">
            <v>6.3</v>
          </cell>
          <cell r="N1395">
            <v>0.95000000000000007</v>
          </cell>
          <cell r="O1395">
            <v>5.9850000000000003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</row>
        <row r="1396">
          <cell r="B1396" t="str">
            <v>Acero Principal</v>
          </cell>
          <cell r="C1396">
            <v>1</v>
          </cell>
          <cell r="D1396">
            <v>1</v>
          </cell>
          <cell r="F1396">
            <v>4</v>
          </cell>
          <cell r="G1396">
            <v>8.15</v>
          </cell>
          <cell r="P1396" t="str">
            <v>H</v>
          </cell>
          <cell r="Q1396" t="str">
            <v>1"</v>
          </cell>
          <cell r="R1396">
            <v>4</v>
          </cell>
          <cell r="S1396">
            <v>9.0500000000000007</v>
          </cell>
          <cell r="T1396">
            <v>1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164.35800000000003</v>
          </cell>
          <cell r="AD1396">
            <v>0</v>
          </cell>
        </row>
        <row r="1397">
          <cell r="B1397" t="str">
            <v>Ref. Sup</v>
          </cell>
          <cell r="C1397">
            <v>1</v>
          </cell>
          <cell r="D1397">
            <v>1</v>
          </cell>
          <cell r="F1397">
            <v>2</v>
          </cell>
          <cell r="G1397">
            <v>3.85</v>
          </cell>
          <cell r="Q1397" t="str">
            <v>1"</v>
          </cell>
          <cell r="R1397">
            <v>2</v>
          </cell>
          <cell r="S1397">
            <v>3.85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30.569000000000003</v>
          </cell>
          <cell r="AD1397">
            <v>0</v>
          </cell>
        </row>
        <row r="1398">
          <cell r="B1398" t="str">
            <v>Ref. Inf</v>
          </cell>
          <cell r="C1398">
            <v>1</v>
          </cell>
          <cell r="D1398">
            <v>1</v>
          </cell>
          <cell r="F1398">
            <v>1</v>
          </cell>
          <cell r="G1398">
            <v>4.2</v>
          </cell>
          <cell r="Q1398" t="str">
            <v>3/4"</v>
          </cell>
          <cell r="R1398">
            <v>1</v>
          </cell>
          <cell r="S1398">
            <v>4.2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9.4080000000000013</v>
          </cell>
          <cell r="AC1398">
            <v>0</v>
          </cell>
          <cell r="AD1398">
            <v>0</v>
          </cell>
        </row>
        <row r="1399">
          <cell r="B1399" t="str">
            <v>Est</v>
          </cell>
          <cell r="C1399">
            <v>1</v>
          </cell>
          <cell r="D1399">
            <v>1</v>
          </cell>
          <cell r="E1399">
            <v>6.3</v>
          </cell>
          <cell r="F1399">
            <v>0.25</v>
          </cell>
          <cell r="G1399">
            <v>0.55000000000000004</v>
          </cell>
          <cell r="Q1399" t="str">
            <v>3/8"</v>
          </cell>
          <cell r="R1399">
            <v>43</v>
          </cell>
          <cell r="S1399">
            <v>1.6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38.527999999999999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</row>
        <row r="1400"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</row>
        <row r="1401">
          <cell r="B1401" t="str">
            <v xml:space="preserve">B1-VT-03 (.15x1.00) </v>
          </cell>
          <cell r="C1401">
            <v>1</v>
          </cell>
          <cell r="D1401">
            <v>1</v>
          </cell>
          <cell r="E1401">
            <v>2.4</v>
          </cell>
          <cell r="F1401">
            <v>0.15</v>
          </cell>
          <cell r="G1401">
            <v>1</v>
          </cell>
          <cell r="L1401">
            <v>0.36</v>
          </cell>
          <cell r="M1401">
            <v>2.4</v>
          </cell>
          <cell r="N1401">
            <v>1.75</v>
          </cell>
          <cell r="O1401">
            <v>4.2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</row>
        <row r="1402">
          <cell r="B1402" t="str">
            <v>Acero Principal</v>
          </cell>
          <cell r="C1402">
            <v>1</v>
          </cell>
          <cell r="D1402">
            <v>1</v>
          </cell>
          <cell r="F1402">
            <v>12</v>
          </cell>
          <cell r="G1402">
            <v>3.4</v>
          </cell>
          <cell r="P1402" t="str">
            <v>H</v>
          </cell>
          <cell r="Q1402" t="str">
            <v>5/8"</v>
          </cell>
          <cell r="R1402">
            <v>12</v>
          </cell>
          <cell r="S1402">
            <v>5.2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96.720000000000013</v>
          </cell>
          <cell r="AB1402">
            <v>0</v>
          </cell>
          <cell r="AC1402">
            <v>0</v>
          </cell>
          <cell r="AD1402">
            <v>0</v>
          </cell>
        </row>
        <row r="1403">
          <cell r="B1403" t="str">
            <v>Ref. Central</v>
          </cell>
          <cell r="C1403">
            <v>1</v>
          </cell>
          <cell r="D1403">
            <v>1</v>
          </cell>
          <cell r="F1403">
            <v>6</v>
          </cell>
          <cell r="G1403">
            <v>3.1</v>
          </cell>
          <cell r="Q1403" t="str">
            <v>3/8"</v>
          </cell>
          <cell r="R1403">
            <v>6</v>
          </cell>
          <cell r="S1403">
            <v>3.6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12.096000000000002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</row>
        <row r="1404">
          <cell r="B1404" t="str">
            <v>Est</v>
          </cell>
          <cell r="C1404">
            <v>1</v>
          </cell>
          <cell r="D1404">
            <v>1</v>
          </cell>
          <cell r="E1404">
            <v>2.4</v>
          </cell>
          <cell r="F1404">
            <v>0.15</v>
          </cell>
          <cell r="G1404">
            <v>1</v>
          </cell>
          <cell r="Q1404" t="str">
            <v>3/8"</v>
          </cell>
          <cell r="R1404">
            <v>18</v>
          </cell>
          <cell r="S1404">
            <v>2.2999999999999998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23.184000000000001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</row>
        <row r="1405"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</row>
        <row r="1406">
          <cell r="B1406" t="str">
            <v>B1-VT-04 (.45x.55)(.25x.55)</v>
          </cell>
          <cell r="C1406">
            <v>1</v>
          </cell>
          <cell r="D1406">
            <v>1</v>
          </cell>
          <cell r="E1406">
            <v>8.1999999999999993</v>
          </cell>
          <cell r="F1406">
            <v>0.45</v>
          </cell>
          <cell r="G1406">
            <v>0.55000000000000004</v>
          </cell>
          <cell r="L1406">
            <v>2.0295000000000001</v>
          </cell>
          <cell r="M1406">
            <v>8.1999999999999993</v>
          </cell>
          <cell r="N1406">
            <v>1.1499999999999999</v>
          </cell>
          <cell r="O1406">
            <v>9.4299999999999979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</row>
        <row r="1407">
          <cell r="C1407">
            <v>1</v>
          </cell>
          <cell r="D1407">
            <v>1</v>
          </cell>
          <cell r="E1407">
            <v>4.6500000000000004</v>
          </cell>
          <cell r="F1407">
            <v>0.25</v>
          </cell>
          <cell r="G1407">
            <v>0.55000000000000004</v>
          </cell>
          <cell r="L1407">
            <v>0.63937500000000014</v>
          </cell>
          <cell r="M1407">
            <v>4.6500000000000004</v>
          </cell>
          <cell r="N1407">
            <v>0.95000000000000007</v>
          </cell>
          <cell r="O1407">
            <v>4.4175000000000004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</row>
        <row r="1408">
          <cell r="B1408" t="str">
            <v>Acero Principal</v>
          </cell>
          <cell r="C1408">
            <v>1</v>
          </cell>
          <cell r="D1408">
            <v>1</v>
          </cell>
          <cell r="F1408">
            <v>4</v>
          </cell>
          <cell r="G1408">
            <v>15.2</v>
          </cell>
          <cell r="P1408" t="str">
            <v>H</v>
          </cell>
          <cell r="Q1408" t="str">
            <v>1"</v>
          </cell>
          <cell r="R1408">
            <v>4</v>
          </cell>
          <cell r="S1408">
            <v>16.099999999999998</v>
          </cell>
          <cell r="T1408">
            <v>1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276.31200000000001</v>
          </cell>
          <cell r="AD1408">
            <v>0</v>
          </cell>
        </row>
        <row r="1409">
          <cell r="B1409" t="str">
            <v>Acero Principal</v>
          </cell>
          <cell r="C1409">
            <v>1</v>
          </cell>
          <cell r="D1409">
            <v>1</v>
          </cell>
          <cell r="F1409">
            <v>2</v>
          </cell>
          <cell r="G1409">
            <v>9</v>
          </cell>
          <cell r="P1409" t="str">
            <v>H</v>
          </cell>
          <cell r="Q1409" t="str">
            <v>1"</v>
          </cell>
          <cell r="R1409">
            <v>2</v>
          </cell>
          <cell r="S1409">
            <v>9.9</v>
          </cell>
          <cell r="T1409">
            <v>1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88.928000000000011</v>
          </cell>
          <cell r="AD1409">
            <v>0</v>
          </cell>
        </row>
        <row r="1410">
          <cell r="B1410" t="str">
            <v>Acero Principal</v>
          </cell>
          <cell r="C1410">
            <v>1</v>
          </cell>
          <cell r="D1410">
            <v>1</v>
          </cell>
          <cell r="F1410">
            <v>2</v>
          </cell>
          <cell r="G1410">
            <v>9</v>
          </cell>
          <cell r="P1410" t="str">
            <v>H</v>
          </cell>
          <cell r="Q1410" t="str">
            <v>3/4"</v>
          </cell>
          <cell r="R1410">
            <v>2</v>
          </cell>
          <cell r="S1410">
            <v>9.9</v>
          </cell>
          <cell r="T1410">
            <v>1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47.936000000000007</v>
          </cell>
          <cell r="AC1410">
            <v>0</v>
          </cell>
          <cell r="AD1410">
            <v>0</v>
          </cell>
        </row>
        <row r="1411">
          <cell r="B1411" t="str">
            <v>Ref. Sup</v>
          </cell>
          <cell r="C1411">
            <v>1</v>
          </cell>
          <cell r="D1411">
            <v>1</v>
          </cell>
          <cell r="F1411">
            <v>2</v>
          </cell>
          <cell r="G1411">
            <v>3.65</v>
          </cell>
          <cell r="Q1411" t="str">
            <v>1"</v>
          </cell>
          <cell r="R1411">
            <v>2</v>
          </cell>
          <cell r="S1411">
            <v>3.65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28.981000000000002</v>
          </cell>
          <cell r="AD1411">
            <v>0</v>
          </cell>
        </row>
        <row r="1412">
          <cell r="B1412" t="str">
            <v>Ref. Sup</v>
          </cell>
          <cell r="C1412">
            <v>1</v>
          </cell>
          <cell r="D1412">
            <v>1</v>
          </cell>
          <cell r="F1412">
            <v>1</v>
          </cell>
          <cell r="G1412">
            <v>3.25</v>
          </cell>
          <cell r="Q1412" t="str">
            <v>1"</v>
          </cell>
          <cell r="R1412">
            <v>1</v>
          </cell>
          <cell r="S1412">
            <v>3.25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12.9025</v>
          </cell>
          <cell r="AD1412">
            <v>0</v>
          </cell>
        </row>
        <row r="1413">
          <cell r="B1413" t="str">
            <v>Ref. Sup</v>
          </cell>
          <cell r="C1413">
            <v>1</v>
          </cell>
          <cell r="D1413">
            <v>1</v>
          </cell>
          <cell r="F1413">
            <v>3</v>
          </cell>
          <cell r="G1413">
            <v>4.1500000000000004</v>
          </cell>
          <cell r="Q1413" t="str">
            <v>1"</v>
          </cell>
          <cell r="R1413">
            <v>3</v>
          </cell>
          <cell r="S1413">
            <v>4.1500000000000004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49.426500000000004</v>
          </cell>
          <cell r="AD1413">
            <v>0</v>
          </cell>
        </row>
        <row r="1414">
          <cell r="B1414" t="str">
            <v>Ref. Sup</v>
          </cell>
          <cell r="C1414">
            <v>1</v>
          </cell>
          <cell r="D1414">
            <v>1</v>
          </cell>
          <cell r="F1414">
            <v>2</v>
          </cell>
          <cell r="G1414">
            <v>3.75</v>
          </cell>
          <cell r="Q1414" t="str">
            <v>1"</v>
          </cell>
          <cell r="R1414">
            <v>2</v>
          </cell>
          <cell r="S1414">
            <v>3.75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29.775000000000002</v>
          </cell>
          <cell r="AD1414">
            <v>0</v>
          </cell>
        </row>
        <row r="1415">
          <cell r="B1415" t="str">
            <v>Ref. Inf</v>
          </cell>
          <cell r="C1415">
            <v>1</v>
          </cell>
          <cell r="D1415">
            <v>1</v>
          </cell>
          <cell r="F1415">
            <v>2</v>
          </cell>
          <cell r="G1415">
            <v>4.2</v>
          </cell>
          <cell r="Q1415" t="str">
            <v>1"</v>
          </cell>
          <cell r="R1415">
            <v>2</v>
          </cell>
          <cell r="S1415">
            <v>4.2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33.348000000000006</v>
          </cell>
          <cell r="AD1415">
            <v>0</v>
          </cell>
        </row>
        <row r="1416">
          <cell r="B1416" t="str">
            <v>Est</v>
          </cell>
          <cell r="C1416">
            <v>1</v>
          </cell>
          <cell r="D1416">
            <v>1</v>
          </cell>
          <cell r="E1416">
            <v>8.1999999999999993</v>
          </cell>
          <cell r="F1416">
            <v>0.45</v>
          </cell>
          <cell r="G1416">
            <v>0.55000000000000004</v>
          </cell>
          <cell r="Q1416" t="str">
            <v>3/8"</v>
          </cell>
          <cell r="R1416">
            <v>118</v>
          </cell>
          <cell r="S1416">
            <v>2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132.16000000000003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</row>
        <row r="1417">
          <cell r="B1417" t="str">
            <v>Est</v>
          </cell>
          <cell r="C1417">
            <v>1</v>
          </cell>
          <cell r="D1417">
            <v>1</v>
          </cell>
          <cell r="E1417">
            <v>4.6500000000000004</v>
          </cell>
          <cell r="F1417">
            <v>0.25</v>
          </cell>
          <cell r="G1417">
            <v>0.55000000000000004</v>
          </cell>
          <cell r="Q1417" t="str">
            <v>3/8"</v>
          </cell>
          <cell r="R1417">
            <v>35</v>
          </cell>
          <cell r="S1417">
            <v>1.6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31.360000000000003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</row>
        <row r="1418"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</row>
        <row r="1419">
          <cell r="B1419" t="str">
            <v xml:space="preserve">B1-VT-05 (.20x.55) </v>
          </cell>
          <cell r="C1419">
            <v>1</v>
          </cell>
          <cell r="D1419">
            <v>1</v>
          </cell>
          <cell r="E1419">
            <v>6</v>
          </cell>
          <cell r="F1419">
            <v>0.2</v>
          </cell>
          <cell r="G1419">
            <v>0.55000000000000004</v>
          </cell>
          <cell r="L1419">
            <v>0.66000000000000014</v>
          </cell>
          <cell r="M1419">
            <v>6</v>
          </cell>
          <cell r="N1419">
            <v>0.9</v>
          </cell>
          <cell r="O1419">
            <v>5.4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</row>
        <row r="1420">
          <cell r="B1420" t="str">
            <v>Acero Principal</v>
          </cell>
          <cell r="C1420">
            <v>1</v>
          </cell>
          <cell r="D1420">
            <v>1</v>
          </cell>
          <cell r="F1420">
            <v>4</v>
          </cell>
          <cell r="G1420">
            <v>6.65</v>
          </cell>
          <cell r="P1420" t="str">
            <v>H</v>
          </cell>
          <cell r="Q1420" t="str">
            <v>3/4"</v>
          </cell>
          <cell r="R1420">
            <v>4</v>
          </cell>
          <cell r="S1420">
            <v>7.5500000000000007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67.64800000000001</v>
          </cell>
          <cell r="AC1420">
            <v>0</v>
          </cell>
          <cell r="AD1420">
            <v>0</v>
          </cell>
        </row>
        <row r="1421">
          <cell r="B1421" t="str">
            <v>Ref. Inf</v>
          </cell>
          <cell r="C1421">
            <v>1</v>
          </cell>
          <cell r="D1421">
            <v>1</v>
          </cell>
          <cell r="F1421">
            <v>1</v>
          </cell>
          <cell r="G1421">
            <v>4.4000000000000004</v>
          </cell>
          <cell r="Q1421" t="str">
            <v>3/4"</v>
          </cell>
          <cell r="R1421">
            <v>1</v>
          </cell>
          <cell r="S1421">
            <v>4.4000000000000004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9.8560000000000016</v>
          </cell>
          <cell r="AC1421">
            <v>0</v>
          </cell>
          <cell r="AD1421">
            <v>0</v>
          </cell>
        </row>
        <row r="1422">
          <cell r="B1422" t="str">
            <v>Est</v>
          </cell>
          <cell r="C1422">
            <v>1</v>
          </cell>
          <cell r="D1422">
            <v>1</v>
          </cell>
          <cell r="E1422">
            <v>6</v>
          </cell>
          <cell r="F1422">
            <v>0.2</v>
          </cell>
          <cell r="G1422">
            <v>0.55000000000000004</v>
          </cell>
          <cell r="Q1422" t="str">
            <v>3/8"</v>
          </cell>
          <cell r="R1422">
            <v>36</v>
          </cell>
          <cell r="S1422">
            <v>1.5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30.240000000000002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</row>
        <row r="1423"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</row>
        <row r="1424">
          <cell r="B1424" t="str">
            <v xml:space="preserve">B1-VT-06 Tipo T (.30x.55) 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</row>
        <row r="1425">
          <cell r="C1425">
            <v>1</v>
          </cell>
          <cell r="D1425">
            <v>1</v>
          </cell>
          <cell r="E1425">
            <v>6.35</v>
          </cell>
          <cell r="F1425">
            <v>0.3</v>
          </cell>
          <cell r="G1425">
            <v>0.55000000000000004</v>
          </cell>
          <cell r="L1425">
            <v>1.04775</v>
          </cell>
          <cell r="M1425">
            <v>6.35</v>
          </cell>
          <cell r="N1425">
            <v>1</v>
          </cell>
          <cell r="O1425">
            <v>6.35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</row>
        <row r="1426">
          <cell r="B1426" t="str">
            <v>Acero Principal</v>
          </cell>
          <cell r="C1426">
            <v>1</v>
          </cell>
          <cell r="D1426">
            <v>1</v>
          </cell>
          <cell r="F1426">
            <v>7</v>
          </cell>
          <cell r="G1426">
            <v>7.05</v>
          </cell>
          <cell r="P1426" t="str">
            <v>H</v>
          </cell>
          <cell r="Q1426" t="str">
            <v>1"</v>
          </cell>
          <cell r="R1426">
            <v>7</v>
          </cell>
          <cell r="S1426">
            <v>7.95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220.93049999999999</v>
          </cell>
          <cell r="AD1426">
            <v>0</v>
          </cell>
        </row>
        <row r="1427">
          <cell r="B1427" t="str">
            <v>Acero Principal</v>
          </cell>
          <cell r="C1427">
            <v>1</v>
          </cell>
          <cell r="D1427">
            <v>1</v>
          </cell>
          <cell r="F1427">
            <v>4</v>
          </cell>
          <cell r="G1427">
            <v>7.05</v>
          </cell>
          <cell r="P1427" t="str">
            <v>H</v>
          </cell>
          <cell r="Q1427" t="str">
            <v>3/4"</v>
          </cell>
          <cell r="R1427">
            <v>4</v>
          </cell>
          <cell r="S1427">
            <v>7.95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71.232000000000014</v>
          </cell>
          <cell r="AC1427">
            <v>0</v>
          </cell>
          <cell r="AD1427">
            <v>0</v>
          </cell>
        </row>
        <row r="1428">
          <cell r="B1428" t="str">
            <v>Ref. Inf</v>
          </cell>
          <cell r="C1428">
            <v>1</v>
          </cell>
          <cell r="D1428">
            <v>1</v>
          </cell>
          <cell r="F1428">
            <v>1</v>
          </cell>
          <cell r="G1428">
            <v>4.75</v>
          </cell>
          <cell r="Q1428" t="str">
            <v>1"</v>
          </cell>
          <cell r="R1428">
            <v>1</v>
          </cell>
          <cell r="S1428">
            <v>4.75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18.857500000000002</v>
          </cell>
          <cell r="AD1428">
            <v>0</v>
          </cell>
        </row>
        <row r="1429">
          <cell r="B1429" t="str">
            <v>Est</v>
          </cell>
          <cell r="C1429">
            <v>1</v>
          </cell>
          <cell r="D1429">
            <v>1</v>
          </cell>
          <cell r="E1429">
            <v>6.35</v>
          </cell>
          <cell r="F1429">
            <v>0.3</v>
          </cell>
          <cell r="G1429">
            <v>0.55000000000000004</v>
          </cell>
          <cell r="Q1429" t="str">
            <v>3/8"</v>
          </cell>
          <cell r="R1429">
            <v>43</v>
          </cell>
          <cell r="S1429">
            <v>1.7000000000000002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40.936000000000007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</row>
        <row r="1430">
          <cell r="C1430">
            <v>1</v>
          </cell>
          <cell r="D1430">
            <v>1</v>
          </cell>
          <cell r="E1430">
            <v>6.45</v>
          </cell>
          <cell r="F1430">
            <v>0.9</v>
          </cell>
          <cell r="G1430">
            <v>0.2</v>
          </cell>
          <cell r="L1430">
            <v>1.1610000000000003</v>
          </cell>
          <cell r="M1430">
            <v>6.45</v>
          </cell>
          <cell r="N1430">
            <v>0.9</v>
          </cell>
          <cell r="O1430">
            <v>5.8050000000000006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</row>
        <row r="1431">
          <cell r="B1431" t="str">
            <v>Est</v>
          </cell>
          <cell r="C1431">
            <v>1</v>
          </cell>
          <cell r="D1431">
            <v>1</v>
          </cell>
          <cell r="E1431">
            <v>6.45</v>
          </cell>
          <cell r="F1431">
            <v>1.2</v>
          </cell>
          <cell r="G1431">
            <v>0.2</v>
          </cell>
          <cell r="Q1431" t="str">
            <v>3/8"</v>
          </cell>
          <cell r="R1431">
            <v>44</v>
          </cell>
          <cell r="S1431">
            <v>2.8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68.992000000000004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</row>
        <row r="1432"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</row>
        <row r="1433">
          <cell r="B1433" t="str">
            <v xml:space="preserve">B1-VT-07 (.25x.55) </v>
          </cell>
          <cell r="C1433">
            <v>1</v>
          </cell>
          <cell r="D1433">
            <v>1</v>
          </cell>
          <cell r="E1433">
            <v>6</v>
          </cell>
          <cell r="F1433">
            <v>0.25</v>
          </cell>
          <cell r="G1433">
            <v>0.55000000000000004</v>
          </cell>
          <cell r="L1433">
            <v>0.82500000000000007</v>
          </cell>
          <cell r="M1433">
            <v>6</v>
          </cell>
          <cell r="N1433">
            <v>0.95000000000000007</v>
          </cell>
          <cell r="O1433">
            <v>5.7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</row>
        <row r="1434">
          <cell r="B1434" t="str">
            <v>Acero Principal</v>
          </cell>
          <cell r="C1434">
            <v>1</v>
          </cell>
          <cell r="D1434">
            <v>1</v>
          </cell>
          <cell r="F1434">
            <v>4</v>
          </cell>
          <cell r="G1434">
            <v>8.5</v>
          </cell>
          <cell r="P1434" t="str">
            <v>H</v>
          </cell>
          <cell r="Q1434" t="str">
            <v>1"</v>
          </cell>
          <cell r="R1434">
            <v>4</v>
          </cell>
          <cell r="S1434">
            <v>9.4</v>
          </cell>
          <cell r="T1434">
            <v>1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169.91600000000003</v>
          </cell>
          <cell r="AD1434">
            <v>0</v>
          </cell>
        </row>
        <row r="1435">
          <cell r="B1435" t="str">
            <v>Ref. Sup</v>
          </cell>
          <cell r="C1435">
            <v>1</v>
          </cell>
          <cell r="D1435">
            <v>1</v>
          </cell>
          <cell r="F1435">
            <v>2</v>
          </cell>
          <cell r="G1435">
            <v>3.65</v>
          </cell>
          <cell r="Q1435" t="str">
            <v>1"</v>
          </cell>
          <cell r="R1435">
            <v>2</v>
          </cell>
          <cell r="S1435">
            <v>3.65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28.981000000000002</v>
          </cell>
          <cell r="AD1435">
            <v>0</v>
          </cell>
        </row>
        <row r="1436">
          <cell r="B1436" t="str">
            <v>Ref. Sup</v>
          </cell>
          <cell r="C1436">
            <v>1</v>
          </cell>
          <cell r="D1436">
            <v>1</v>
          </cell>
          <cell r="F1436">
            <v>1</v>
          </cell>
          <cell r="G1436">
            <v>3.25</v>
          </cell>
          <cell r="Q1436" t="str">
            <v>3/4"</v>
          </cell>
          <cell r="R1436">
            <v>1</v>
          </cell>
          <cell r="S1436">
            <v>3.25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7.2800000000000011</v>
          </cell>
          <cell r="AC1436">
            <v>0</v>
          </cell>
          <cell r="AD1436">
            <v>0</v>
          </cell>
        </row>
        <row r="1437">
          <cell r="B1437" t="str">
            <v>Ref. Sup</v>
          </cell>
          <cell r="C1437">
            <v>1</v>
          </cell>
          <cell r="D1437">
            <v>1</v>
          </cell>
          <cell r="F1437">
            <v>2</v>
          </cell>
          <cell r="G1437">
            <v>3.45</v>
          </cell>
          <cell r="Q1437" t="str">
            <v>1"</v>
          </cell>
          <cell r="R1437">
            <v>2</v>
          </cell>
          <cell r="S1437">
            <v>3.45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27.393000000000004</v>
          </cell>
          <cell r="AD1437">
            <v>0</v>
          </cell>
        </row>
        <row r="1438">
          <cell r="B1438" t="str">
            <v>Ref. Sup</v>
          </cell>
          <cell r="C1438">
            <v>1</v>
          </cell>
          <cell r="D1438">
            <v>1</v>
          </cell>
          <cell r="F1438">
            <v>1</v>
          </cell>
          <cell r="G1438">
            <v>2.95</v>
          </cell>
          <cell r="Q1438" t="str">
            <v>3/4"</v>
          </cell>
          <cell r="R1438">
            <v>1</v>
          </cell>
          <cell r="S1438">
            <v>2.95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6.6080000000000014</v>
          </cell>
          <cell r="AC1438">
            <v>0</v>
          </cell>
          <cell r="AD1438">
            <v>0</v>
          </cell>
        </row>
        <row r="1439">
          <cell r="B1439" t="str">
            <v>Ref. Inf</v>
          </cell>
          <cell r="C1439">
            <v>1</v>
          </cell>
          <cell r="D1439">
            <v>1</v>
          </cell>
          <cell r="F1439">
            <v>1</v>
          </cell>
          <cell r="G1439">
            <v>4</v>
          </cell>
          <cell r="Q1439" t="str">
            <v>3/4"</v>
          </cell>
          <cell r="R1439">
            <v>1</v>
          </cell>
          <cell r="S1439">
            <v>4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8.9600000000000009</v>
          </cell>
          <cell r="AC1439">
            <v>0</v>
          </cell>
          <cell r="AD1439">
            <v>0</v>
          </cell>
        </row>
        <row r="1440">
          <cell r="B1440" t="str">
            <v>Est</v>
          </cell>
          <cell r="C1440">
            <v>1</v>
          </cell>
          <cell r="D1440">
            <v>1</v>
          </cell>
          <cell r="E1440">
            <v>6</v>
          </cell>
          <cell r="F1440">
            <v>0.25</v>
          </cell>
          <cell r="G1440">
            <v>0.55000000000000004</v>
          </cell>
          <cell r="Q1440" t="str">
            <v>3/8"</v>
          </cell>
          <cell r="R1440">
            <v>46</v>
          </cell>
          <cell r="S1440">
            <v>1.6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41.216000000000008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</row>
        <row r="1441"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</row>
        <row r="1442">
          <cell r="B1442" t="str">
            <v xml:space="preserve">B1-VT-08 (.40x.55) </v>
          </cell>
          <cell r="C1442">
            <v>1</v>
          </cell>
          <cell r="D1442">
            <v>1</v>
          </cell>
          <cell r="E1442">
            <v>2.85</v>
          </cell>
          <cell r="F1442">
            <v>0.4</v>
          </cell>
          <cell r="G1442">
            <v>0.55000000000000004</v>
          </cell>
          <cell r="L1442">
            <v>0.62700000000000011</v>
          </cell>
          <cell r="M1442">
            <v>2.85</v>
          </cell>
          <cell r="N1442">
            <v>1.1000000000000001</v>
          </cell>
          <cell r="O1442">
            <v>3.1350000000000002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</row>
        <row r="1443">
          <cell r="C1443">
            <v>1</v>
          </cell>
          <cell r="D1443">
            <v>1</v>
          </cell>
          <cell r="E1443">
            <v>7.1</v>
          </cell>
          <cell r="F1443">
            <v>0.4</v>
          </cell>
          <cell r="G1443">
            <v>0.55000000000000004</v>
          </cell>
          <cell r="L1443">
            <v>1.5620000000000001</v>
          </cell>
          <cell r="M1443">
            <v>7.1</v>
          </cell>
          <cell r="N1443">
            <v>1.1000000000000001</v>
          </cell>
          <cell r="O1443">
            <v>7.8100000000000005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</row>
        <row r="1444">
          <cell r="C1444">
            <v>1</v>
          </cell>
          <cell r="D1444">
            <v>1</v>
          </cell>
          <cell r="E1444">
            <v>2.7</v>
          </cell>
          <cell r="F1444">
            <v>0.4</v>
          </cell>
          <cell r="G1444">
            <v>0.55000000000000004</v>
          </cell>
          <cell r="L1444">
            <v>0.59400000000000008</v>
          </cell>
          <cell r="M1444">
            <v>2.7</v>
          </cell>
          <cell r="N1444">
            <v>1.1000000000000001</v>
          </cell>
          <cell r="O1444">
            <v>2.9700000000000006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</row>
        <row r="1445">
          <cell r="B1445" t="str">
            <v>Acero Principal</v>
          </cell>
          <cell r="C1445">
            <v>1</v>
          </cell>
          <cell r="D1445">
            <v>1</v>
          </cell>
          <cell r="F1445">
            <v>10</v>
          </cell>
          <cell r="G1445">
            <v>14.35</v>
          </cell>
          <cell r="P1445" t="str">
            <v>H</v>
          </cell>
          <cell r="Q1445" t="str">
            <v>3/4"</v>
          </cell>
          <cell r="R1445">
            <v>10</v>
          </cell>
          <cell r="S1445">
            <v>15.25</v>
          </cell>
          <cell r="T1445">
            <v>1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359.52000000000004</v>
          </cell>
          <cell r="AC1445">
            <v>0</v>
          </cell>
          <cell r="AD1445">
            <v>0</v>
          </cell>
        </row>
        <row r="1446">
          <cell r="B1446" t="str">
            <v>Ref. Sup</v>
          </cell>
          <cell r="C1446">
            <v>1</v>
          </cell>
          <cell r="D1446">
            <v>1</v>
          </cell>
          <cell r="F1446">
            <v>1</v>
          </cell>
          <cell r="G1446">
            <v>1.8</v>
          </cell>
          <cell r="Q1446" t="str">
            <v>3/4"</v>
          </cell>
          <cell r="R1446">
            <v>1</v>
          </cell>
          <cell r="S1446">
            <v>1.8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4.0320000000000009</v>
          </cell>
          <cell r="AC1446">
            <v>0</v>
          </cell>
          <cell r="AD1446">
            <v>0</v>
          </cell>
        </row>
        <row r="1447">
          <cell r="B1447" t="str">
            <v>Ref. Sup</v>
          </cell>
          <cell r="C1447">
            <v>1</v>
          </cell>
          <cell r="D1447">
            <v>1</v>
          </cell>
          <cell r="F1447">
            <v>2</v>
          </cell>
          <cell r="G1447">
            <v>3.2</v>
          </cell>
          <cell r="Q1447" t="str">
            <v>1"</v>
          </cell>
          <cell r="R1447">
            <v>2</v>
          </cell>
          <cell r="S1447">
            <v>3.2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25.408000000000001</v>
          </cell>
          <cell r="AD1447">
            <v>0</v>
          </cell>
        </row>
        <row r="1448">
          <cell r="B1448" t="str">
            <v>Ref. Sup</v>
          </cell>
          <cell r="C1448">
            <v>1</v>
          </cell>
          <cell r="D1448">
            <v>1</v>
          </cell>
          <cell r="F1448">
            <v>1</v>
          </cell>
          <cell r="G1448">
            <v>4.25</v>
          </cell>
          <cell r="Q1448" t="str">
            <v>1"</v>
          </cell>
          <cell r="R1448">
            <v>1</v>
          </cell>
          <cell r="S1448">
            <v>4.25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16.872500000000002</v>
          </cell>
          <cell r="AD1448">
            <v>0</v>
          </cell>
        </row>
        <row r="1449">
          <cell r="B1449" t="str">
            <v>Ref. Sup</v>
          </cell>
          <cell r="C1449">
            <v>1</v>
          </cell>
          <cell r="D1449">
            <v>1</v>
          </cell>
          <cell r="F1449">
            <v>2</v>
          </cell>
          <cell r="G1449">
            <v>4.45</v>
          </cell>
          <cell r="Q1449" t="str">
            <v>1"</v>
          </cell>
          <cell r="R1449">
            <v>2</v>
          </cell>
          <cell r="S1449">
            <v>4.45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35.333000000000006</v>
          </cell>
          <cell r="AD1449">
            <v>0</v>
          </cell>
        </row>
        <row r="1450">
          <cell r="B1450" t="str">
            <v>Ref. Sup</v>
          </cell>
          <cell r="C1450">
            <v>1</v>
          </cell>
          <cell r="D1450">
            <v>1</v>
          </cell>
          <cell r="F1450">
            <v>1</v>
          </cell>
          <cell r="G1450">
            <v>4.05</v>
          </cell>
          <cell r="Q1450" t="str">
            <v>1"</v>
          </cell>
          <cell r="R1450">
            <v>1</v>
          </cell>
          <cell r="S1450">
            <v>4.05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16.078500000000002</v>
          </cell>
          <cell r="AD1450">
            <v>0</v>
          </cell>
        </row>
        <row r="1451">
          <cell r="B1451" t="str">
            <v>Ref. Inf</v>
          </cell>
          <cell r="C1451">
            <v>1</v>
          </cell>
          <cell r="D1451">
            <v>1</v>
          </cell>
          <cell r="F1451">
            <v>1</v>
          </cell>
          <cell r="G1451">
            <v>1.8</v>
          </cell>
          <cell r="Q1451" t="str">
            <v>3/4"</v>
          </cell>
          <cell r="R1451">
            <v>1</v>
          </cell>
          <cell r="S1451">
            <v>1.8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4.0320000000000009</v>
          </cell>
          <cell r="AC1451">
            <v>0</v>
          </cell>
          <cell r="AD1451">
            <v>0</v>
          </cell>
        </row>
        <row r="1452">
          <cell r="B1452" t="str">
            <v>Ref. Inf</v>
          </cell>
          <cell r="C1452">
            <v>1</v>
          </cell>
          <cell r="D1452">
            <v>1</v>
          </cell>
          <cell r="F1452">
            <v>1</v>
          </cell>
          <cell r="G1452">
            <v>10.3</v>
          </cell>
          <cell r="Q1452" t="str">
            <v>3/4"</v>
          </cell>
          <cell r="R1452">
            <v>1</v>
          </cell>
          <cell r="S1452">
            <v>10.3</v>
          </cell>
          <cell r="T1452">
            <v>1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23.072000000000003</v>
          </cell>
          <cell r="AC1452">
            <v>0</v>
          </cell>
          <cell r="AD1452">
            <v>0</v>
          </cell>
        </row>
        <row r="1453">
          <cell r="B1453" t="str">
            <v>Est</v>
          </cell>
          <cell r="C1453">
            <v>1</v>
          </cell>
          <cell r="D1453">
            <v>1</v>
          </cell>
          <cell r="E1453">
            <v>2.85</v>
          </cell>
          <cell r="F1453">
            <v>0.4</v>
          </cell>
          <cell r="G1453">
            <v>0.55000000000000004</v>
          </cell>
          <cell r="Q1453" t="str">
            <v>3/8"</v>
          </cell>
          <cell r="R1453">
            <v>26</v>
          </cell>
          <cell r="S1453">
            <v>1.9000000000000001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27.664000000000005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</row>
        <row r="1454">
          <cell r="B1454" t="str">
            <v>Est</v>
          </cell>
          <cell r="C1454">
            <v>1</v>
          </cell>
          <cell r="D1454">
            <v>1</v>
          </cell>
          <cell r="E1454">
            <v>7.1</v>
          </cell>
          <cell r="F1454">
            <v>0.4</v>
          </cell>
          <cell r="G1454">
            <v>0.55000000000000004</v>
          </cell>
          <cell r="Q1454" t="str">
            <v>3/8"</v>
          </cell>
          <cell r="R1454">
            <v>47</v>
          </cell>
          <cell r="S1454">
            <v>1.9000000000000001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50.00800000000001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</row>
        <row r="1455">
          <cell r="B1455" t="str">
            <v>Est</v>
          </cell>
          <cell r="C1455">
            <v>1</v>
          </cell>
          <cell r="D1455">
            <v>1</v>
          </cell>
          <cell r="E1455">
            <v>2.7</v>
          </cell>
          <cell r="F1455">
            <v>0.4</v>
          </cell>
          <cell r="G1455">
            <v>0.55000000000000004</v>
          </cell>
          <cell r="Q1455" t="str">
            <v>3/8"</v>
          </cell>
          <cell r="R1455">
            <v>25</v>
          </cell>
          <cell r="S1455">
            <v>1.9000000000000001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26.6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</row>
        <row r="1456"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</row>
        <row r="1457">
          <cell r="B1457" t="str">
            <v xml:space="preserve">B1-VT-09 (.30x.55) </v>
          </cell>
          <cell r="C1457">
            <v>1</v>
          </cell>
          <cell r="D1457">
            <v>1</v>
          </cell>
          <cell r="E1457">
            <v>5.6</v>
          </cell>
          <cell r="F1457">
            <v>0.3</v>
          </cell>
          <cell r="G1457">
            <v>0.55000000000000004</v>
          </cell>
          <cell r="L1457">
            <v>0.92400000000000004</v>
          </cell>
          <cell r="M1457">
            <v>5.6</v>
          </cell>
          <cell r="N1457">
            <v>1</v>
          </cell>
          <cell r="O1457">
            <v>5.6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</row>
        <row r="1458">
          <cell r="B1458" t="str">
            <v>Acero Principal</v>
          </cell>
          <cell r="C1458">
            <v>1</v>
          </cell>
          <cell r="D1458">
            <v>1</v>
          </cell>
          <cell r="F1458">
            <v>4</v>
          </cell>
          <cell r="G1458">
            <v>6.05</v>
          </cell>
          <cell r="P1458" t="str">
            <v>H</v>
          </cell>
          <cell r="Q1458" t="str">
            <v>1"</v>
          </cell>
          <cell r="R1458">
            <v>4</v>
          </cell>
          <cell r="S1458">
            <v>6.95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110.36600000000001</v>
          </cell>
          <cell r="AD1458">
            <v>0</v>
          </cell>
        </row>
        <row r="1459">
          <cell r="B1459" t="str">
            <v>Ref. Inf</v>
          </cell>
          <cell r="C1459">
            <v>1</v>
          </cell>
          <cell r="D1459">
            <v>1</v>
          </cell>
          <cell r="F1459">
            <v>2</v>
          </cell>
          <cell r="G1459">
            <v>4.4000000000000004</v>
          </cell>
          <cell r="Q1459" t="str">
            <v>3/4"</v>
          </cell>
          <cell r="R1459">
            <v>2</v>
          </cell>
          <cell r="S1459">
            <v>4.4000000000000004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19.712000000000003</v>
          </cell>
          <cell r="AC1459">
            <v>0</v>
          </cell>
          <cell r="AD1459">
            <v>0</v>
          </cell>
        </row>
        <row r="1460">
          <cell r="B1460" t="str">
            <v>Est</v>
          </cell>
          <cell r="C1460">
            <v>1</v>
          </cell>
          <cell r="D1460">
            <v>1</v>
          </cell>
          <cell r="E1460">
            <v>5.6</v>
          </cell>
          <cell r="F1460">
            <v>0.3</v>
          </cell>
          <cell r="G1460">
            <v>0.55000000000000004</v>
          </cell>
          <cell r="Q1460" t="str">
            <v>3/8"</v>
          </cell>
          <cell r="R1460">
            <v>40</v>
          </cell>
          <cell r="S1460">
            <v>1.7000000000000002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38.080000000000005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</row>
        <row r="1461"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</row>
        <row r="1462">
          <cell r="B1462" t="str">
            <v xml:space="preserve">B1-VT-10 (.30x.55) </v>
          </cell>
          <cell r="C1462">
            <v>1</v>
          </cell>
          <cell r="D1462">
            <v>1</v>
          </cell>
          <cell r="E1462">
            <v>3.15</v>
          </cell>
          <cell r="F1462">
            <v>0.3</v>
          </cell>
          <cell r="G1462">
            <v>0.55000000000000004</v>
          </cell>
          <cell r="L1462">
            <v>0.51975000000000005</v>
          </cell>
          <cell r="M1462">
            <v>3.15</v>
          </cell>
          <cell r="N1462">
            <v>1</v>
          </cell>
          <cell r="O1462">
            <v>3.15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</row>
        <row r="1463">
          <cell r="C1463">
            <v>1</v>
          </cell>
          <cell r="D1463">
            <v>1</v>
          </cell>
          <cell r="E1463">
            <v>7.4</v>
          </cell>
          <cell r="F1463">
            <v>0.3</v>
          </cell>
          <cell r="G1463">
            <v>0.55000000000000004</v>
          </cell>
          <cell r="L1463">
            <v>1.2210000000000003</v>
          </cell>
          <cell r="M1463">
            <v>7.4</v>
          </cell>
          <cell r="N1463">
            <v>1</v>
          </cell>
          <cell r="O1463">
            <v>7.4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</row>
        <row r="1464">
          <cell r="C1464">
            <v>1</v>
          </cell>
          <cell r="D1464">
            <v>1</v>
          </cell>
          <cell r="E1464">
            <v>2.7</v>
          </cell>
          <cell r="F1464">
            <v>0.3</v>
          </cell>
          <cell r="G1464">
            <v>0.55000000000000004</v>
          </cell>
          <cell r="L1464">
            <v>0.44550000000000006</v>
          </cell>
          <cell r="M1464">
            <v>2.7</v>
          </cell>
          <cell r="N1464">
            <v>1</v>
          </cell>
          <cell r="O1464">
            <v>2.7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</row>
        <row r="1465">
          <cell r="B1465" t="str">
            <v>Acero Principal</v>
          </cell>
          <cell r="C1465">
            <v>1</v>
          </cell>
          <cell r="D1465">
            <v>1</v>
          </cell>
          <cell r="F1465">
            <v>4</v>
          </cell>
          <cell r="G1465">
            <v>14.35</v>
          </cell>
          <cell r="P1465" t="str">
            <v>H</v>
          </cell>
          <cell r="Q1465" t="str">
            <v>1"</v>
          </cell>
          <cell r="R1465">
            <v>4</v>
          </cell>
          <cell r="S1465">
            <v>15.25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262.81400000000002</v>
          </cell>
          <cell r="AD1465">
            <v>0</v>
          </cell>
        </row>
        <row r="1466">
          <cell r="B1466" t="str">
            <v>Ref. Sup</v>
          </cell>
          <cell r="C1466">
            <v>1</v>
          </cell>
          <cell r="D1466">
            <v>1</v>
          </cell>
          <cell r="F1466">
            <v>1</v>
          </cell>
          <cell r="G1466">
            <v>13.25</v>
          </cell>
          <cell r="Q1466" t="str">
            <v>1"</v>
          </cell>
          <cell r="R1466">
            <v>1</v>
          </cell>
          <cell r="S1466">
            <v>13.25</v>
          </cell>
          <cell r="T1466">
            <v>1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52.602499999999999</v>
          </cell>
          <cell r="AD1466">
            <v>0</v>
          </cell>
        </row>
        <row r="1467">
          <cell r="B1467" t="str">
            <v>Ref. Sup</v>
          </cell>
          <cell r="C1467">
            <v>1</v>
          </cell>
          <cell r="D1467">
            <v>1</v>
          </cell>
          <cell r="F1467">
            <v>1</v>
          </cell>
          <cell r="G1467">
            <v>5</v>
          </cell>
          <cell r="Q1467" t="str">
            <v>1"</v>
          </cell>
          <cell r="R1467">
            <v>1</v>
          </cell>
          <cell r="S1467">
            <v>5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19.850000000000001</v>
          </cell>
          <cell r="AD1467">
            <v>0</v>
          </cell>
        </row>
        <row r="1468">
          <cell r="B1468" t="str">
            <v>Ref. Inf</v>
          </cell>
          <cell r="C1468">
            <v>1</v>
          </cell>
          <cell r="D1468">
            <v>1</v>
          </cell>
          <cell r="F1468">
            <v>2</v>
          </cell>
          <cell r="G1468">
            <v>6.2</v>
          </cell>
          <cell r="Q1468" t="str">
            <v>1"</v>
          </cell>
          <cell r="R1468">
            <v>2</v>
          </cell>
          <cell r="S1468">
            <v>6.2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49.228000000000002</v>
          </cell>
          <cell r="AD1468">
            <v>0</v>
          </cell>
        </row>
        <row r="1469">
          <cell r="B1469" t="str">
            <v>Ref. Inf</v>
          </cell>
          <cell r="C1469">
            <v>1</v>
          </cell>
          <cell r="D1469">
            <v>1</v>
          </cell>
          <cell r="F1469">
            <v>1</v>
          </cell>
          <cell r="G1469">
            <v>5.4</v>
          </cell>
          <cell r="Q1469" t="str">
            <v>1"</v>
          </cell>
          <cell r="R1469">
            <v>1</v>
          </cell>
          <cell r="S1469">
            <v>5.4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21.438000000000002</v>
          </cell>
          <cell r="AD1469">
            <v>0</v>
          </cell>
        </row>
        <row r="1470">
          <cell r="B1470" t="str">
            <v>Est</v>
          </cell>
          <cell r="C1470">
            <v>1</v>
          </cell>
          <cell r="D1470">
            <v>1</v>
          </cell>
          <cell r="E1470">
            <v>3.15</v>
          </cell>
          <cell r="F1470">
            <v>0.3</v>
          </cell>
          <cell r="G1470">
            <v>0.55000000000000004</v>
          </cell>
          <cell r="Q1470" t="str">
            <v>3/8"</v>
          </cell>
          <cell r="R1470">
            <v>27</v>
          </cell>
          <cell r="S1470">
            <v>1.7000000000000002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25.704000000000004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</row>
        <row r="1471">
          <cell r="B1471" t="str">
            <v>Est</v>
          </cell>
          <cell r="C1471">
            <v>1</v>
          </cell>
          <cell r="D1471">
            <v>1</v>
          </cell>
          <cell r="E1471">
            <v>7.4</v>
          </cell>
          <cell r="F1471">
            <v>0.3</v>
          </cell>
          <cell r="G1471">
            <v>0.55000000000000004</v>
          </cell>
          <cell r="Q1471" t="str">
            <v>3/8"</v>
          </cell>
          <cell r="R1471">
            <v>49</v>
          </cell>
          <cell r="S1471">
            <v>1.7000000000000002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46.64800000000001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</row>
        <row r="1472">
          <cell r="B1472" t="str">
            <v>Est</v>
          </cell>
          <cell r="C1472">
            <v>1</v>
          </cell>
          <cell r="D1472">
            <v>1</v>
          </cell>
          <cell r="E1472">
            <v>2.7</v>
          </cell>
          <cell r="F1472">
            <v>0.3</v>
          </cell>
          <cell r="G1472">
            <v>0.55000000000000004</v>
          </cell>
          <cell r="Q1472" t="str">
            <v>3/8"</v>
          </cell>
          <cell r="R1472">
            <v>25</v>
          </cell>
          <cell r="S1472">
            <v>1.7000000000000002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23.800000000000008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</row>
        <row r="1473"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</row>
        <row r="1474">
          <cell r="B1474" t="str">
            <v xml:space="preserve">B1-VT-11 (.40x.55) </v>
          </cell>
          <cell r="C1474">
            <v>1</v>
          </cell>
          <cell r="D1474">
            <v>1</v>
          </cell>
          <cell r="E1474">
            <v>3.15</v>
          </cell>
          <cell r="F1474">
            <v>0.4</v>
          </cell>
          <cell r="G1474">
            <v>0.55000000000000004</v>
          </cell>
          <cell r="L1474">
            <v>0.69300000000000006</v>
          </cell>
          <cell r="M1474">
            <v>3.15</v>
          </cell>
          <cell r="N1474">
            <v>1.1000000000000001</v>
          </cell>
          <cell r="O1474">
            <v>3.4650000000000003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</row>
        <row r="1475">
          <cell r="C1475">
            <v>1</v>
          </cell>
          <cell r="D1475">
            <v>1</v>
          </cell>
          <cell r="E1475">
            <v>7.25</v>
          </cell>
          <cell r="F1475">
            <v>0.4</v>
          </cell>
          <cell r="G1475">
            <v>0.55000000000000004</v>
          </cell>
          <cell r="L1475">
            <v>1.5950000000000004</v>
          </cell>
          <cell r="M1475">
            <v>7.25</v>
          </cell>
          <cell r="N1475">
            <v>1.1000000000000001</v>
          </cell>
          <cell r="O1475">
            <v>7.9750000000000005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</row>
        <row r="1476">
          <cell r="C1476">
            <v>1</v>
          </cell>
          <cell r="D1476">
            <v>1</v>
          </cell>
          <cell r="E1476">
            <v>6.1</v>
          </cell>
          <cell r="F1476">
            <v>0.4</v>
          </cell>
          <cell r="G1476">
            <v>0.55000000000000004</v>
          </cell>
          <cell r="L1476">
            <v>1.3420000000000001</v>
          </cell>
          <cell r="M1476">
            <v>6.1</v>
          </cell>
          <cell r="N1476">
            <v>1.1000000000000001</v>
          </cell>
          <cell r="O1476">
            <v>6.71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</row>
        <row r="1477">
          <cell r="B1477" t="str">
            <v>Acero Principal</v>
          </cell>
          <cell r="C1477">
            <v>1</v>
          </cell>
          <cell r="D1477">
            <v>1</v>
          </cell>
          <cell r="F1477">
            <v>4</v>
          </cell>
          <cell r="G1477">
            <v>20.149999999999999</v>
          </cell>
          <cell r="P1477" t="str">
            <v>H</v>
          </cell>
          <cell r="Q1477" t="str">
            <v>1"</v>
          </cell>
          <cell r="R1477">
            <v>4</v>
          </cell>
          <cell r="S1477">
            <v>21.049999999999997</v>
          </cell>
          <cell r="T1477">
            <v>2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375.56200000000001</v>
          </cell>
          <cell r="AD1477">
            <v>0</v>
          </cell>
        </row>
        <row r="1478">
          <cell r="B1478" t="str">
            <v>Acero Principal</v>
          </cell>
          <cell r="C1478">
            <v>1</v>
          </cell>
          <cell r="D1478">
            <v>1</v>
          </cell>
          <cell r="F1478">
            <v>4</v>
          </cell>
          <cell r="G1478">
            <v>20.149999999999999</v>
          </cell>
          <cell r="P1478" t="str">
            <v>H</v>
          </cell>
          <cell r="Q1478" t="str">
            <v>3/4"</v>
          </cell>
          <cell r="R1478">
            <v>4</v>
          </cell>
          <cell r="S1478">
            <v>21.049999999999997</v>
          </cell>
          <cell r="T1478">
            <v>2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202.94400000000002</v>
          </cell>
          <cell r="AC1478">
            <v>0</v>
          </cell>
          <cell r="AD1478">
            <v>0</v>
          </cell>
        </row>
        <row r="1479">
          <cell r="B1479" t="str">
            <v>Ref. Sup</v>
          </cell>
          <cell r="C1479">
            <v>1</v>
          </cell>
          <cell r="D1479">
            <v>1</v>
          </cell>
          <cell r="F1479">
            <v>2</v>
          </cell>
          <cell r="G1479">
            <v>4.7</v>
          </cell>
          <cell r="Q1479" t="str">
            <v>1"</v>
          </cell>
          <cell r="R1479">
            <v>2</v>
          </cell>
          <cell r="S1479">
            <v>4.7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37.318000000000005</v>
          </cell>
          <cell r="AD1479">
            <v>0</v>
          </cell>
        </row>
        <row r="1480">
          <cell r="B1480" t="str">
            <v>Ref. Sup</v>
          </cell>
          <cell r="C1480">
            <v>1</v>
          </cell>
          <cell r="D1480">
            <v>1</v>
          </cell>
          <cell r="F1480">
            <v>2</v>
          </cell>
          <cell r="G1480">
            <v>4.05</v>
          </cell>
          <cell r="Q1480" t="str">
            <v>1"</v>
          </cell>
          <cell r="R1480">
            <v>2</v>
          </cell>
          <cell r="S1480">
            <v>4.05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32.157000000000004</v>
          </cell>
          <cell r="AD1480">
            <v>0</v>
          </cell>
        </row>
        <row r="1481">
          <cell r="B1481" t="str">
            <v>Ref. Sup</v>
          </cell>
          <cell r="C1481">
            <v>1</v>
          </cell>
          <cell r="D1481">
            <v>1</v>
          </cell>
          <cell r="F1481">
            <v>1</v>
          </cell>
          <cell r="G1481">
            <v>7.15</v>
          </cell>
          <cell r="Q1481" t="str">
            <v>1"</v>
          </cell>
          <cell r="R1481">
            <v>1</v>
          </cell>
          <cell r="S1481">
            <v>7.15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28.385500000000004</v>
          </cell>
          <cell r="AD1481">
            <v>0</v>
          </cell>
        </row>
        <row r="1482">
          <cell r="B1482" t="str">
            <v>Ref. Inf</v>
          </cell>
          <cell r="C1482">
            <v>1</v>
          </cell>
          <cell r="D1482">
            <v>1</v>
          </cell>
          <cell r="F1482">
            <v>1</v>
          </cell>
          <cell r="G1482">
            <v>4.45</v>
          </cell>
          <cell r="Q1482" t="str">
            <v>3/4"</v>
          </cell>
          <cell r="R1482">
            <v>1</v>
          </cell>
          <cell r="S1482">
            <v>4.45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9.9680000000000017</v>
          </cell>
          <cell r="AC1482">
            <v>0</v>
          </cell>
          <cell r="AD1482">
            <v>0</v>
          </cell>
        </row>
        <row r="1483">
          <cell r="B1483" t="str">
            <v>Est</v>
          </cell>
          <cell r="C1483">
            <v>1</v>
          </cell>
          <cell r="D1483">
            <v>1</v>
          </cell>
          <cell r="E1483">
            <v>3.15</v>
          </cell>
          <cell r="F1483">
            <v>0.4</v>
          </cell>
          <cell r="G1483">
            <v>0.55000000000000004</v>
          </cell>
          <cell r="Q1483" t="str">
            <v>3/8"</v>
          </cell>
          <cell r="R1483">
            <v>27</v>
          </cell>
          <cell r="S1483">
            <v>1.9000000000000001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28.728000000000005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</row>
        <row r="1484">
          <cell r="B1484" t="str">
            <v>Est</v>
          </cell>
          <cell r="C1484">
            <v>1</v>
          </cell>
          <cell r="D1484">
            <v>1</v>
          </cell>
          <cell r="E1484">
            <v>7.25</v>
          </cell>
          <cell r="F1484">
            <v>0.4</v>
          </cell>
          <cell r="G1484">
            <v>0.55000000000000004</v>
          </cell>
          <cell r="Q1484" t="str">
            <v>3/8"</v>
          </cell>
          <cell r="R1484">
            <v>48</v>
          </cell>
          <cell r="S1484">
            <v>1.9000000000000001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51.07200000000001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</row>
        <row r="1485">
          <cell r="B1485" t="str">
            <v>Est</v>
          </cell>
          <cell r="C1485">
            <v>1</v>
          </cell>
          <cell r="D1485">
            <v>1</v>
          </cell>
          <cell r="E1485">
            <v>6.1</v>
          </cell>
          <cell r="F1485">
            <v>0.4</v>
          </cell>
          <cell r="G1485">
            <v>0.55000000000000004</v>
          </cell>
          <cell r="Q1485" t="str">
            <v>3/8"</v>
          </cell>
          <cell r="R1485">
            <v>42</v>
          </cell>
          <cell r="S1485">
            <v>1.9000000000000001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44.688000000000009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</row>
        <row r="1486"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</row>
        <row r="1487">
          <cell r="B1487" t="str">
            <v>B1-VT-12 (.20x.55)</v>
          </cell>
          <cell r="C1487">
            <v>1</v>
          </cell>
          <cell r="D1487">
            <v>1</v>
          </cell>
          <cell r="E1487">
            <v>1.9</v>
          </cell>
          <cell r="F1487">
            <v>0.2</v>
          </cell>
          <cell r="G1487">
            <v>0.55000000000000004</v>
          </cell>
          <cell r="L1487">
            <v>0.20900000000000002</v>
          </cell>
          <cell r="M1487">
            <v>1.9</v>
          </cell>
          <cell r="N1487">
            <v>0.9</v>
          </cell>
          <cell r="O1487">
            <v>1.71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</row>
        <row r="1488">
          <cell r="B1488" t="str">
            <v>Acero Principal</v>
          </cell>
          <cell r="C1488">
            <v>1</v>
          </cell>
          <cell r="D1488">
            <v>1</v>
          </cell>
          <cell r="F1488">
            <v>4</v>
          </cell>
          <cell r="G1488">
            <v>3</v>
          </cell>
          <cell r="P1488" t="str">
            <v>H</v>
          </cell>
          <cell r="Q1488" t="str">
            <v>3/4"</v>
          </cell>
          <cell r="R1488">
            <v>4</v>
          </cell>
          <cell r="S1488">
            <v>3.9000000000000004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34.94400000000001</v>
          </cell>
          <cell r="AC1488">
            <v>0</v>
          </cell>
          <cell r="AD1488">
            <v>0</v>
          </cell>
        </row>
        <row r="1489">
          <cell r="B1489" t="str">
            <v>Ref. Sup</v>
          </cell>
          <cell r="C1489">
            <v>1</v>
          </cell>
          <cell r="D1489">
            <v>1</v>
          </cell>
          <cell r="F1489">
            <v>2</v>
          </cell>
          <cell r="G1489">
            <v>2.2000000000000002</v>
          </cell>
          <cell r="Q1489" t="str">
            <v>3/4"</v>
          </cell>
          <cell r="R1489">
            <v>2</v>
          </cell>
          <cell r="S1489">
            <v>2.2000000000000002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9.8560000000000016</v>
          </cell>
          <cell r="AC1489">
            <v>0</v>
          </cell>
          <cell r="AD1489">
            <v>0</v>
          </cell>
        </row>
        <row r="1490">
          <cell r="B1490" t="str">
            <v>Ref. Sup</v>
          </cell>
          <cell r="C1490">
            <v>1</v>
          </cell>
          <cell r="D1490">
            <v>1</v>
          </cell>
          <cell r="F1490">
            <v>1</v>
          </cell>
          <cell r="G1490">
            <v>2.2000000000000002</v>
          </cell>
          <cell r="Q1490" t="str">
            <v>5/8"</v>
          </cell>
          <cell r="R1490">
            <v>1</v>
          </cell>
          <cell r="S1490">
            <v>2.2000000000000002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3.4100000000000006</v>
          </cell>
          <cell r="AB1490">
            <v>0</v>
          </cell>
          <cell r="AC1490">
            <v>0</v>
          </cell>
          <cell r="AD1490">
            <v>0</v>
          </cell>
        </row>
        <row r="1491">
          <cell r="B1491" t="str">
            <v>Est</v>
          </cell>
          <cell r="C1491">
            <v>1</v>
          </cell>
          <cell r="D1491">
            <v>1</v>
          </cell>
          <cell r="E1491">
            <v>1.9</v>
          </cell>
          <cell r="F1491">
            <v>0.2</v>
          </cell>
          <cell r="G1491">
            <v>0.55000000000000004</v>
          </cell>
          <cell r="Q1491" t="str">
            <v>3/8"</v>
          </cell>
          <cell r="R1491">
            <v>21</v>
          </cell>
          <cell r="S1491">
            <v>1.5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17.64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</row>
        <row r="1492"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</row>
        <row r="1493"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</row>
        <row r="1494">
          <cell r="B1494" t="str">
            <v>PISO 2-14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</row>
        <row r="1495"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</row>
        <row r="1496">
          <cell r="B1496" t="str">
            <v xml:space="preserve">B1-VT-01 Tipo L (.25x.55) 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</row>
        <row r="1497">
          <cell r="C1497">
            <v>13</v>
          </cell>
          <cell r="D1497">
            <v>1</v>
          </cell>
          <cell r="E1497">
            <v>6.45</v>
          </cell>
          <cell r="F1497">
            <v>0.25</v>
          </cell>
          <cell r="G1497">
            <v>0.55000000000000004</v>
          </cell>
          <cell r="L1497">
            <v>11.529375000000002</v>
          </cell>
          <cell r="M1497">
            <v>6.45</v>
          </cell>
          <cell r="N1497">
            <v>0.95000000000000007</v>
          </cell>
          <cell r="O1497">
            <v>79.657499999999999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</row>
        <row r="1498">
          <cell r="B1498" t="str">
            <v>Acero Principal</v>
          </cell>
          <cell r="C1498">
            <v>13</v>
          </cell>
          <cell r="D1498">
            <v>1</v>
          </cell>
          <cell r="F1498">
            <v>4</v>
          </cell>
          <cell r="G1498">
            <v>6.95</v>
          </cell>
          <cell r="P1498" t="str">
            <v>H</v>
          </cell>
          <cell r="Q1498" t="str">
            <v>1"</v>
          </cell>
          <cell r="R1498">
            <v>4</v>
          </cell>
          <cell r="S1498">
            <v>7.8500000000000005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1620.5540000000001</v>
          </cell>
          <cell r="AD1498">
            <v>0</v>
          </cell>
        </row>
        <row r="1499">
          <cell r="B1499" t="str">
            <v>Acero Principal</v>
          </cell>
          <cell r="C1499">
            <v>13</v>
          </cell>
          <cell r="D1499">
            <v>1</v>
          </cell>
          <cell r="F1499">
            <v>3</v>
          </cell>
          <cell r="G1499">
            <v>6.2</v>
          </cell>
          <cell r="P1499" t="str">
            <v>H</v>
          </cell>
          <cell r="Q1499" t="str">
            <v>3/4"</v>
          </cell>
          <cell r="R1499">
            <v>3</v>
          </cell>
          <cell r="S1499">
            <v>7.8500000000000005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685.77600000000007</v>
          </cell>
          <cell r="AC1499">
            <v>0</v>
          </cell>
          <cell r="AD1499">
            <v>0</v>
          </cell>
        </row>
        <row r="1500">
          <cell r="B1500" t="str">
            <v>Ref. Inf</v>
          </cell>
          <cell r="C1500">
            <v>13</v>
          </cell>
          <cell r="D1500">
            <v>1</v>
          </cell>
          <cell r="F1500">
            <v>2</v>
          </cell>
          <cell r="G1500">
            <v>4.8499999999999996</v>
          </cell>
          <cell r="Q1500" t="str">
            <v>3/4"</v>
          </cell>
          <cell r="R1500">
            <v>2</v>
          </cell>
          <cell r="S1500">
            <v>4.8499999999999996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282.464</v>
          </cell>
          <cell r="AC1500">
            <v>0</v>
          </cell>
          <cell r="AD1500">
            <v>0</v>
          </cell>
        </row>
        <row r="1501">
          <cell r="B1501" t="str">
            <v>Est</v>
          </cell>
          <cell r="C1501">
            <v>13</v>
          </cell>
          <cell r="D1501">
            <v>1</v>
          </cell>
          <cell r="E1501">
            <v>6.45</v>
          </cell>
          <cell r="F1501">
            <v>0.25</v>
          </cell>
          <cell r="G1501">
            <v>0.55000000000000004</v>
          </cell>
          <cell r="Q1501" t="str">
            <v>3/8"</v>
          </cell>
          <cell r="R1501">
            <v>44</v>
          </cell>
          <cell r="S1501">
            <v>1.6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512.51200000000006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</row>
        <row r="1502">
          <cell r="C1502">
            <v>13</v>
          </cell>
          <cell r="D1502">
            <v>1</v>
          </cell>
          <cell r="E1502">
            <v>6.45</v>
          </cell>
          <cell r="F1502">
            <v>0.5</v>
          </cell>
          <cell r="G1502">
            <v>0.2</v>
          </cell>
          <cell r="L1502">
            <v>8.3850000000000016</v>
          </cell>
          <cell r="M1502">
            <v>6.45</v>
          </cell>
          <cell r="N1502">
            <v>0.5</v>
          </cell>
          <cell r="O1502">
            <v>41.925000000000004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</row>
        <row r="1503">
          <cell r="B1503" t="str">
            <v>Est</v>
          </cell>
          <cell r="C1503">
            <v>13</v>
          </cell>
          <cell r="D1503">
            <v>1</v>
          </cell>
          <cell r="E1503">
            <v>6.45</v>
          </cell>
          <cell r="F1503">
            <v>0.75</v>
          </cell>
          <cell r="G1503">
            <v>0.2</v>
          </cell>
          <cell r="Q1503" t="str">
            <v>3/8"</v>
          </cell>
          <cell r="R1503">
            <v>44</v>
          </cell>
          <cell r="S1503">
            <v>1.9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608.60800000000006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</row>
        <row r="1504">
          <cell r="C1504">
            <v>13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</row>
        <row r="1505">
          <cell r="B1505" t="str">
            <v xml:space="preserve">B1-VT-02 (.25x.55) </v>
          </cell>
          <cell r="C1505">
            <v>13</v>
          </cell>
          <cell r="D1505">
            <v>1</v>
          </cell>
          <cell r="E1505">
            <v>6.3</v>
          </cell>
          <cell r="F1505">
            <v>0.25</v>
          </cell>
          <cell r="G1505">
            <v>0.55000000000000004</v>
          </cell>
          <cell r="L1505">
            <v>11.26125</v>
          </cell>
          <cell r="M1505">
            <v>6.3</v>
          </cell>
          <cell r="N1505">
            <v>0.95000000000000007</v>
          </cell>
          <cell r="O1505">
            <v>77.805000000000007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</row>
        <row r="1506">
          <cell r="B1506" t="str">
            <v>Acero Principal</v>
          </cell>
          <cell r="C1506">
            <v>13</v>
          </cell>
          <cell r="D1506">
            <v>1</v>
          </cell>
          <cell r="F1506">
            <v>4</v>
          </cell>
          <cell r="G1506">
            <v>8.15</v>
          </cell>
          <cell r="P1506" t="str">
            <v>H</v>
          </cell>
          <cell r="Q1506" t="str">
            <v>1"</v>
          </cell>
          <cell r="R1506">
            <v>4</v>
          </cell>
          <cell r="S1506">
            <v>9.0500000000000007</v>
          </cell>
          <cell r="T1506">
            <v>1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2136.6540000000005</v>
          </cell>
          <cell r="AD1506">
            <v>0</v>
          </cell>
        </row>
        <row r="1507">
          <cell r="B1507" t="str">
            <v>Ref. Sup</v>
          </cell>
          <cell r="C1507">
            <v>13</v>
          </cell>
          <cell r="D1507">
            <v>1</v>
          </cell>
          <cell r="F1507">
            <v>2</v>
          </cell>
          <cell r="G1507">
            <v>3.85</v>
          </cell>
          <cell r="Q1507" t="str">
            <v>1"</v>
          </cell>
          <cell r="R1507">
            <v>2</v>
          </cell>
          <cell r="S1507">
            <v>3.85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397.39700000000005</v>
          </cell>
          <cell r="AD1507">
            <v>0</v>
          </cell>
        </row>
        <row r="1508">
          <cell r="B1508" t="str">
            <v>Ref. Inf</v>
          </cell>
          <cell r="C1508">
            <v>13</v>
          </cell>
          <cell r="D1508">
            <v>1</v>
          </cell>
          <cell r="F1508">
            <v>1</v>
          </cell>
          <cell r="G1508">
            <v>4.2</v>
          </cell>
          <cell r="Q1508" t="str">
            <v>3/4"</v>
          </cell>
          <cell r="R1508">
            <v>1</v>
          </cell>
          <cell r="S1508">
            <v>4.2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122.30400000000002</v>
          </cell>
          <cell r="AC1508">
            <v>0</v>
          </cell>
          <cell r="AD1508">
            <v>0</v>
          </cell>
        </row>
        <row r="1509">
          <cell r="B1509" t="str">
            <v>Est</v>
          </cell>
          <cell r="C1509">
            <v>13</v>
          </cell>
          <cell r="D1509">
            <v>1</v>
          </cell>
          <cell r="E1509">
            <v>6.3</v>
          </cell>
          <cell r="F1509">
            <v>0.25</v>
          </cell>
          <cell r="G1509">
            <v>0.55000000000000004</v>
          </cell>
          <cell r="Q1509" t="str">
            <v>3/8"</v>
          </cell>
          <cell r="R1509">
            <v>43</v>
          </cell>
          <cell r="S1509">
            <v>1.6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500.86399999999998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</row>
        <row r="1510">
          <cell r="C1510">
            <v>13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</row>
        <row r="1511">
          <cell r="B1511" t="str">
            <v xml:space="preserve">B1-VT-03 (.15x1.00) </v>
          </cell>
          <cell r="C1511">
            <v>13</v>
          </cell>
          <cell r="D1511">
            <v>1</v>
          </cell>
          <cell r="E1511">
            <v>2.4</v>
          </cell>
          <cell r="F1511">
            <v>0.15</v>
          </cell>
          <cell r="G1511">
            <v>1</v>
          </cell>
          <cell r="L1511">
            <v>4.68</v>
          </cell>
          <cell r="M1511">
            <v>2.4</v>
          </cell>
          <cell r="N1511">
            <v>1.75</v>
          </cell>
          <cell r="O1511">
            <v>54.6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</row>
        <row r="1512">
          <cell r="B1512" t="str">
            <v>Acero Principal</v>
          </cell>
          <cell r="C1512">
            <v>13</v>
          </cell>
          <cell r="D1512">
            <v>1</v>
          </cell>
          <cell r="F1512">
            <v>12</v>
          </cell>
          <cell r="G1512">
            <v>3.4</v>
          </cell>
          <cell r="P1512" t="str">
            <v>H</v>
          </cell>
          <cell r="Q1512" t="str">
            <v>5/8"</v>
          </cell>
          <cell r="R1512">
            <v>12</v>
          </cell>
          <cell r="S1512">
            <v>5.2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1257.3600000000001</v>
          </cell>
          <cell r="AB1512">
            <v>0</v>
          </cell>
          <cell r="AC1512">
            <v>0</v>
          </cell>
          <cell r="AD1512">
            <v>0</v>
          </cell>
        </row>
        <row r="1513">
          <cell r="B1513" t="str">
            <v>Ref. Central</v>
          </cell>
          <cell r="C1513">
            <v>13</v>
          </cell>
          <cell r="D1513">
            <v>1</v>
          </cell>
          <cell r="F1513">
            <v>6</v>
          </cell>
          <cell r="G1513">
            <v>3.1</v>
          </cell>
          <cell r="Q1513" t="str">
            <v>3/8"</v>
          </cell>
          <cell r="R1513">
            <v>6</v>
          </cell>
          <cell r="S1513">
            <v>3.6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157.24800000000002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</row>
        <row r="1514">
          <cell r="B1514" t="str">
            <v>Est</v>
          </cell>
          <cell r="C1514">
            <v>13</v>
          </cell>
          <cell r="D1514">
            <v>1</v>
          </cell>
          <cell r="E1514">
            <v>2.4</v>
          </cell>
          <cell r="F1514">
            <v>0.15</v>
          </cell>
          <cell r="G1514">
            <v>1</v>
          </cell>
          <cell r="Q1514" t="str">
            <v>3/8"</v>
          </cell>
          <cell r="R1514">
            <v>18</v>
          </cell>
          <cell r="S1514">
            <v>2.2999999999999998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301.392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</row>
        <row r="1515">
          <cell r="C1515">
            <v>13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</row>
        <row r="1516">
          <cell r="B1516" t="str">
            <v>B1-VT-04 (.45x.55)(.25x.55)</v>
          </cell>
          <cell r="C1516">
            <v>13</v>
          </cell>
          <cell r="D1516">
            <v>1</v>
          </cell>
          <cell r="E1516">
            <v>8.1999999999999993</v>
          </cell>
          <cell r="F1516">
            <v>0.45</v>
          </cell>
          <cell r="G1516">
            <v>0.55000000000000004</v>
          </cell>
          <cell r="L1516">
            <v>26.383500000000002</v>
          </cell>
          <cell r="M1516">
            <v>8.1999999999999993</v>
          </cell>
          <cell r="N1516">
            <v>1.1499999999999999</v>
          </cell>
          <cell r="O1516">
            <v>122.58999999999997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</row>
        <row r="1517">
          <cell r="C1517">
            <v>13</v>
          </cell>
          <cell r="D1517">
            <v>1</v>
          </cell>
          <cell r="E1517">
            <v>4.6500000000000004</v>
          </cell>
          <cell r="F1517">
            <v>0.25</v>
          </cell>
          <cell r="G1517">
            <v>0.55000000000000004</v>
          </cell>
          <cell r="L1517">
            <v>8.3118750000000006</v>
          </cell>
          <cell r="M1517">
            <v>4.6500000000000004</v>
          </cell>
          <cell r="N1517">
            <v>0.95000000000000007</v>
          </cell>
          <cell r="O1517">
            <v>57.427500000000009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</row>
        <row r="1518">
          <cell r="B1518" t="str">
            <v>Acero Principal</v>
          </cell>
          <cell r="C1518">
            <v>13</v>
          </cell>
          <cell r="D1518">
            <v>1</v>
          </cell>
          <cell r="F1518">
            <v>4</v>
          </cell>
          <cell r="G1518">
            <v>15.2</v>
          </cell>
          <cell r="P1518" t="str">
            <v>H</v>
          </cell>
          <cell r="Q1518" t="str">
            <v>1"</v>
          </cell>
          <cell r="R1518">
            <v>4</v>
          </cell>
          <cell r="S1518">
            <v>16.099999999999998</v>
          </cell>
          <cell r="T1518">
            <v>1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3592.056</v>
          </cell>
          <cell r="AD1518">
            <v>0</v>
          </cell>
        </row>
        <row r="1519">
          <cell r="B1519" t="str">
            <v>Acero Principal</v>
          </cell>
          <cell r="C1519">
            <v>13</v>
          </cell>
          <cell r="D1519">
            <v>1</v>
          </cell>
          <cell r="F1519">
            <v>2</v>
          </cell>
          <cell r="G1519">
            <v>9</v>
          </cell>
          <cell r="P1519" t="str">
            <v>H</v>
          </cell>
          <cell r="Q1519" t="str">
            <v>1"</v>
          </cell>
          <cell r="R1519">
            <v>2</v>
          </cell>
          <cell r="S1519">
            <v>9.9</v>
          </cell>
          <cell r="T1519">
            <v>1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1156.0640000000001</v>
          </cell>
          <cell r="AD1519">
            <v>0</v>
          </cell>
        </row>
        <row r="1520">
          <cell r="B1520" t="str">
            <v>Acero Principal</v>
          </cell>
          <cell r="C1520">
            <v>13</v>
          </cell>
          <cell r="D1520">
            <v>1</v>
          </cell>
          <cell r="F1520">
            <v>2</v>
          </cell>
          <cell r="G1520">
            <v>9</v>
          </cell>
          <cell r="P1520" t="str">
            <v>H</v>
          </cell>
          <cell r="Q1520" t="str">
            <v>3/4"</v>
          </cell>
          <cell r="R1520">
            <v>2</v>
          </cell>
          <cell r="S1520">
            <v>9.9</v>
          </cell>
          <cell r="T1520">
            <v>1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623.16800000000012</v>
          </cell>
          <cell r="AC1520">
            <v>0</v>
          </cell>
          <cell r="AD1520">
            <v>0</v>
          </cell>
        </row>
        <row r="1521">
          <cell r="B1521" t="str">
            <v>Ref. Sup</v>
          </cell>
          <cell r="C1521">
            <v>13</v>
          </cell>
          <cell r="D1521">
            <v>1</v>
          </cell>
          <cell r="F1521">
            <v>2</v>
          </cell>
          <cell r="G1521">
            <v>3.65</v>
          </cell>
          <cell r="Q1521" t="str">
            <v>1"</v>
          </cell>
          <cell r="R1521">
            <v>2</v>
          </cell>
          <cell r="S1521">
            <v>3.65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376.75300000000004</v>
          </cell>
          <cell r="AD1521">
            <v>0</v>
          </cell>
        </row>
        <row r="1522">
          <cell r="B1522" t="str">
            <v>Ref. Sup</v>
          </cell>
          <cell r="C1522">
            <v>13</v>
          </cell>
          <cell r="D1522">
            <v>1</v>
          </cell>
          <cell r="F1522">
            <v>1</v>
          </cell>
          <cell r="G1522">
            <v>3.25</v>
          </cell>
          <cell r="Q1522" t="str">
            <v>1"</v>
          </cell>
          <cell r="R1522">
            <v>1</v>
          </cell>
          <cell r="S1522">
            <v>3.25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167.73249999999999</v>
          </cell>
          <cell r="AD1522">
            <v>0</v>
          </cell>
        </row>
        <row r="1523">
          <cell r="B1523" t="str">
            <v>Ref. Sup</v>
          </cell>
          <cell r="C1523">
            <v>13</v>
          </cell>
          <cell r="D1523">
            <v>1</v>
          </cell>
          <cell r="F1523">
            <v>3</v>
          </cell>
          <cell r="G1523">
            <v>4.1500000000000004</v>
          </cell>
          <cell r="Q1523" t="str">
            <v>1"</v>
          </cell>
          <cell r="R1523">
            <v>3</v>
          </cell>
          <cell r="S1523">
            <v>4.1500000000000004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642.54450000000008</v>
          </cell>
          <cell r="AD1523">
            <v>0</v>
          </cell>
        </row>
        <row r="1524">
          <cell r="B1524" t="str">
            <v>Ref. Sup</v>
          </cell>
          <cell r="C1524">
            <v>13</v>
          </cell>
          <cell r="D1524">
            <v>1</v>
          </cell>
          <cell r="F1524">
            <v>2</v>
          </cell>
          <cell r="G1524">
            <v>3.75</v>
          </cell>
          <cell r="Q1524" t="str">
            <v>1"</v>
          </cell>
          <cell r="R1524">
            <v>2</v>
          </cell>
          <cell r="S1524">
            <v>3.75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387.07500000000005</v>
          </cell>
          <cell r="AD1524">
            <v>0</v>
          </cell>
        </row>
        <row r="1525">
          <cell r="B1525" t="str">
            <v>Ref. Inf</v>
          </cell>
          <cell r="C1525">
            <v>13</v>
          </cell>
          <cell r="D1525">
            <v>1</v>
          </cell>
          <cell r="F1525">
            <v>2</v>
          </cell>
          <cell r="G1525">
            <v>4.2</v>
          </cell>
          <cell r="Q1525" t="str">
            <v>1"</v>
          </cell>
          <cell r="R1525">
            <v>2</v>
          </cell>
          <cell r="S1525">
            <v>4.2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433.52400000000006</v>
          </cell>
          <cell r="AD1525">
            <v>0</v>
          </cell>
        </row>
        <row r="1526">
          <cell r="B1526" t="str">
            <v>Est</v>
          </cell>
          <cell r="C1526">
            <v>13</v>
          </cell>
          <cell r="D1526">
            <v>1</v>
          </cell>
          <cell r="E1526">
            <v>8.1999999999999993</v>
          </cell>
          <cell r="F1526">
            <v>0.45</v>
          </cell>
          <cell r="G1526">
            <v>0.55000000000000004</v>
          </cell>
          <cell r="Q1526" t="str">
            <v>3/8"</v>
          </cell>
          <cell r="R1526">
            <v>118</v>
          </cell>
          <cell r="S1526">
            <v>2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1718.0800000000004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</row>
        <row r="1527">
          <cell r="B1527" t="str">
            <v>Est</v>
          </cell>
          <cell r="C1527">
            <v>13</v>
          </cell>
          <cell r="D1527">
            <v>1</v>
          </cell>
          <cell r="E1527">
            <v>4.6500000000000004</v>
          </cell>
          <cell r="F1527">
            <v>0.25</v>
          </cell>
          <cell r="G1527">
            <v>0.55000000000000004</v>
          </cell>
          <cell r="Q1527" t="str">
            <v>3/8"</v>
          </cell>
          <cell r="R1527">
            <v>35</v>
          </cell>
          <cell r="S1527">
            <v>1.6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407.68000000000006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</row>
        <row r="1528">
          <cell r="C1528">
            <v>13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</row>
        <row r="1529">
          <cell r="B1529" t="str">
            <v xml:space="preserve">B1-VT-05 (.20x.55) </v>
          </cell>
          <cell r="C1529">
            <v>13</v>
          </cell>
          <cell r="D1529">
            <v>1</v>
          </cell>
          <cell r="E1529">
            <v>6</v>
          </cell>
          <cell r="F1529">
            <v>0.2</v>
          </cell>
          <cell r="G1529">
            <v>0.55000000000000004</v>
          </cell>
          <cell r="L1529">
            <v>8.5800000000000018</v>
          </cell>
          <cell r="M1529">
            <v>6</v>
          </cell>
          <cell r="N1529">
            <v>0.9</v>
          </cell>
          <cell r="O1529">
            <v>70.2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</row>
        <row r="1530">
          <cell r="B1530" t="str">
            <v>Acero Principal</v>
          </cell>
          <cell r="C1530">
            <v>13</v>
          </cell>
          <cell r="D1530">
            <v>1</v>
          </cell>
          <cell r="F1530">
            <v>4</v>
          </cell>
          <cell r="G1530">
            <v>6.65</v>
          </cell>
          <cell r="P1530" t="str">
            <v>H</v>
          </cell>
          <cell r="Q1530" t="str">
            <v>3/4"</v>
          </cell>
          <cell r="R1530">
            <v>4</v>
          </cell>
          <cell r="S1530">
            <v>7.5500000000000007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879.42400000000009</v>
          </cell>
          <cell r="AC1530">
            <v>0</v>
          </cell>
          <cell r="AD1530">
            <v>0</v>
          </cell>
        </row>
        <row r="1531">
          <cell r="B1531" t="str">
            <v>Ref. Inf</v>
          </cell>
          <cell r="C1531">
            <v>13</v>
          </cell>
          <cell r="D1531">
            <v>1</v>
          </cell>
          <cell r="F1531">
            <v>1</v>
          </cell>
          <cell r="G1531">
            <v>4.4000000000000004</v>
          </cell>
          <cell r="Q1531" t="str">
            <v>3/4"</v>
          </cell>
          <cell r="R1531">
            <v>1</v>
          </cell>
          <cell r="S1531">
            <v>4.4000000000000004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128.12800000000001</v>
          </cell>
          <cell r="AC1531">
            <v>0</v>
          </cell>
          <cell r="AD1531">
            <v>0</v>
          </cell>
        </row>
        <row r="1532">
          <cell r="B1532" t="str">
            <v>Est</v>
          </cell>
          <cell r="C1532">
            <v>13</v>
          </cell>
          <cell r="D1532">
            <v>1</v>
          </cell>
          <cell r="E1532">
            <v>6</v>
          </cell>
          <cell r="F1532">
            <v>0.2</v>
          </cell>
          <cell r="G1532">
            <v>0.55000000000000004</v>
          </cell>
          <cell r="Q1532" t="str">
            <v>3/8"</v>
          </cell>
          <cell r="R1532">
            <v>36</v>
          </cell>
          <cell r="S1532">
            <v>1.5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393.12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</row>
        <row r="1533">
          <cell r="C1533">
            <v>13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</row>
        <row r="1534">
          <cell r="B1534" t="str">
            <v xml:space="preserve">B1-VT-06 Tipo T (.30x.55) </v>
          </cell>
          <cell r="C1534">
            <v>13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</row>
        <row r="1535">
          <cell r="C1535">
            <v>13</v>
          </cell>
          <cell r="D1535">
            <v>1</v>
          </cell>
          <cell r="E1535">
            <v>6.35</v>
          </cell>
          <cell r="F1535">
            <v>0.3</v>
          </cell>
          <cell r="G1535">
            <v>0.55000000000000004</v>
          </cell>
          <cell r="L1535">
            <v>13.620749999999999</v>
          </cell>
          <cell r="M1535">
            <v>6.35</v>
          </cell>
          <cell r="N1535">
            <v>1</v>
          </cell>
          <cell r="O1535">
            <v>82.55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</row>
        <row r="1536">
          <cell r="B1536" t="str">
            <v>Acero Principal</v>
          </cell>
          <cell r="C1536">
            <v>13</v>
          </cell>
          <cell r="D1536">
            <v>1</v>
          </cell>
          <cell r="F1536">
            <v>7</v>
          </cell>
          <cell r="G1536">
            <v>7.05</v>
          </cell>
          <cell r="P1536" t="str">
            <v>H</v>
          </cell>
          <cell r="Q1536" t="str">
            <v>1"</v>
          </cell>
          <cell r="R1536">
            <v>7</v>
          </cell>
          <cell r="S1536">
            <v>7.95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2872.0965000000001</v>
          </cell>
          <cell r="AD1536">
            <v>0</v>
          </cell>
        </row>
        <row r="1537">
          <cell r="B1537" t="str">
            <v>Acero Principal</v>
          </cell>
          <cell r="C1537">
            <v>13</v>
          </cell>
          <cell r="D1537">
            <v>1</v>
          </cell>
          <cell r="F1537">
            <v>4</v>
          </cell>
          <cell r="G1537">
            <v>7.05</v>
          </cell>
          <cell r="P1537" t="str">
            <v>H</v>
          </cell>
          <cell r="Q1537" t="str">
            <v>3/4"</v>
          </cell>
          <cell r="R1537">
            <v>4</v>
          </cell>
          <cell r="S1537">
            <v>7.95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926.01600000000019</v>
          </cell>
          <cell r="AC1537">
            <v>0</v>
          </cell>
          <cell r="AD1537">
            <v>0</v>
          </cell>
        </row>
        <row r="1538">
          <cell r="B1538" t="str">
            <v>Ref. Inf</v>
          </cell>
          <cell r="C1538">
            <v>13</v>
          </cell>
          <cell r="D1538">
            <v>1</v>
          </cell>
          <cell r="F1538">
            <v>1</v>
          </cell>
          <cell r="G1538">
            <v>4.75</v>
          </cell>
          <cell r="Q1538" t="str">
            <v>1"</v>
          </cell>
          <cell r="R1538">
            <v>1</v>
          </cell>
          <cell r="S1538">
            <v>4.75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245.14750000000004</v>
          </cell>
          <cell r="AD1538">
            <v>0</v>
          </cell>
        </row>
        <row r="1539">
          <cell r="B1539" t="str">
            <v>Est</v>
          </cell>
          <cell r="C1539">
            <v>13</v>
          </cell>
          <cell r="D1539">
            <v>1</v>
          </cell>
          <cell r="E1539">
            <v>6.35</v>
          </cell>
          <cell r="F1539">
            <v>0.3</v>
          </cell>
          <cell r="G1539">
            <v>0.55000000000000004</v>
          </cell>
          <cell r="Q1539" t="str">
            <v>3/8"</v>
          </cell>
          <cell r="R1539">
            <v>43</v>
          </cell>
          <cell r="S1539">
            <v>1.7000000000000002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532.16800000000012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</row>
        <row r="1540">
          <cell r="C1540">
            <v>13</v>
          </cell>
          <cell r="D1540">
            <v>1</v>
          </cell>
          <cell r="E1540">
            <v>6.45</v>
          </cell>
          <cell r="F1540">
            <v>0.9</v>
          </cell>
          <cell r="G1540">
            <v>0.2</v>
          </cell>
          <cell r="L1540">
            <v>15.093000000000002</v>
          </cell>
          <cell r="M1540">
            <v>6.45</v>
          </cell>
          <cell r="N1540">
            <v>0.9</v>
          </cell>
          <cell r="O1540">
            <v>75.465000000000003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</row>
        <row r="1541">
          <cell r="B1541" t="str">
            <v>Est</v>
          </cell>
          <cell r="C1541">
            <v>13</v>
          </cell>
          <cell r="D1541">
            <v>1</v>
          </cell>
          <cell r="E1541">
            <v>6.45</v>
          </cell>
          <cell r="F1541">
            <v>1.2</v>
          </cell>
          <cell r="G1541">
            <v>0.2</v>
          </cell>
          <cell r="Q1541" t="str">
            <v>3/8"</v>
          </cell>
          <cell r="R1541">
            <v>44</v>
          </cell>
          <cell r="S1541">
            <v>2.8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896.89600000000007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</row>
        <row r="1542">
          <cell r="C1542">
            <v>13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</row>
        <row r="1543">
          <cell r="B1543" t="str">
            <v xml:space="preserve">B1-VT-07 (.25x.55) </v>
          </cell>
          <cell r="C1543">
            <v>13</v>
          </cell>
          <cell r="D1543">
            <v>1</v>
          </cell>
          <cell r="E1543">
            <v>6</v>
          </cell>
          <cell r="F1543">
            <v>0.25</v>
          </cell>
          <cell r="G1543">
            <v>0.55000000000000004</v>
          </cell>
          <cell r="L1543">
            <v>10.725000000000001</v>
          </cell>
          <cell r="M1543">
            <v>6</v>
          </cell>
          <cell r="N1543">
            <v>0.95000000000000007</v>
          </cell>
          <cell r="O1543">
            <v>74.100000000000009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</row>
        <row r="1544">
          <cell r="B1544" t="str">
            <v>Acero Principal</v>
          </cell>
          <cell r="C1544">
            <v>13</v>
          </cell>
          <cell r="D1544">
            <v>1</v>
          </cell>
          <cell r="F1544">
            <v>4</v>
          </cell>
          <cell r="G1544">
            <v>8.5</v>
          </cell>
          <cell r="P1544" t="str">
            <v>H</v>
          </cell>
          <cell r="Q1544" t="str">
            <v>1"</v>
          </cell>
          <cell r="R1544">
            <v>4</v>
          </cell>
          <cell r="S1544">
            <v>9.4</v>
          </cell>
          <cell r="T1544">
            <v>1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2208.9080000000004</v>
          </cell>
          <cell r="AD1544">
            <v>0</v>
          </cell>
        </row>
        <row r="1545">
          <cell r="B1545" t="str">
            <v>Ref. Sup</v>
          </cell>
          <cell r="C1545">
            <v>13</v>
          </cell>
          <cell r="D1545">
            <v>1</v>
          </cell>
          <cell r="F1545">
            <v>2</v>
          </cell>
          <cell r="G1545">
            <v>3.65</v>
          </cell>
          <cell r="Q1545" t="str">
            <v>1"</v>
          </cell>
          <cell r="R1545">
            <v>2</v>
          </cell>
          <cell r="S1545">
            <v>3.65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376.75300000000004</v>
          </cell>
          <cell r="AD1545">
            <v>0</v>
          </cell>
        </row>
        <row r="1546">
          <cell r="B1546" t="str">
            <v>Ref. Sup</v>
          </cell>
          <cell r="C1546">
            <v>13</v>
          </cell>
          <cell r="D1546">
            <v>1</v>
          </cell>
          <cell r="F1546">
            <v>1</v>
          </cell>
          <cell r="G1546">
            <v>3.25</v>
          </cell>
          <cell r="Q1546" t="str">
            <v>3/4"</v>
          </cell>
          <cell r="R1546">
            <v>1</v>
          </cell>
          <cell r="S1546">
            <v>3.25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94.640000000000015</v>
          </cell>
          <cell r="AC1546">
            <v>0</v>
          </cell>
          <cell r="AD1546">
            <v>0</v>
          </cell>
        </row>
        <row r="1547">
          <cell r="B1547" t="str">
            <v>Ref. Sup</v>
          </cell>
          <cell r="C1547">
            <v>13</v>
          </cell>
          <cell r="D1547">
            <v>1</v>
          </cell>
          <cell r="F1547">
            <v>2</v>
          </cell>
          <cell r="G1547">
            <v>3.45</v>
          </cell>
          <cell r="Q1547" t="str">
            <v>1"</v>
          </cell>
          <cell r="R1547">
            <v>2</v>
          </cell>
          <cell r="S1547">
            <v>3.45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356.10900000000004</v>
          </cell>
          <cell r="AD1547">
            <v>0</v>
          </cell>
        </row>
        <row r="1548">
          <cell r="B1548" t="str">
            <v>Ref. Sup</v>
          </cell>
          <cell r="C1548">
            <v>13</v>
          </cell>
          <cell r="D1548">
            <v>1</v>
          </cell>
          <cell r="F1548">
            <v>1</v>
          </cell>
          <cell r="G1548">
            <v>2.95</v>
          </cell>
          <cell r="Q1548" t="str">
            <v>3/4"</v>
          </cell>
          <cell r="R1548">
            <v>1</v>
          </cell>
          <cell r="S1548">
            <v>2.95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85.904000000000025</v>
          </cell>
          <cell r="AC1548">
            <v>0</v>
          </cell>
          <cell r="AD1548">
            <v>0</v>
          </cell>
        </row>
        <row r="1549">
          <cell r="B1549" t="str">
            <v>Ref. Inf</v>
          </cell>
          <cell r="C1549">
            <v>13</v>
          </cell>
          <cell r="D1549">
            <v>1</v>
          </cell>
          <cell r="F1549">
            <v>1</v>
          </cell>
          <cell r="G1549">
            <v>4</v>
          </cell>
          <cell r="Q1549" t="str">
            <v>3/4"</v>
          </cell>
          <cell r="R1549">
            <v>1</v>
          </cell>
          <cell r="S1549">
            <v>4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116.48000000000002</v>
          </cell>
          <cell r="AC1549">
            <v>0</v>
          </cell>
          <cell r="AD1549">
            <v>0</v>
          </cell>
        </row>
        <row r="1550">
          <cell r="B1550" t="str">
            <v>Est</v>
          </cell>
          <cell r="C1550">
            <v>13</v>
          </cell>
          <cell r="D1550">
            <v>1</v>
          </cell>
          <cell r="E1550">
            <v>6</v>
          </cell>
          <cell r="F1550">
            <v>0.25</v>
          </cell>
          <cell r="G1550">
            <v>0.55000000000000004</v>
          </cell>
          <cell r="Q1550" t="str">
            <v>3/8"</v>
          </cell>
          <cell r="R1550">
            <v>46</v>
          </cell>
          <cell r="S1550">
            <v>1.6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535.80800000000011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</row>
        <row r="1551">
          <cell r="C1551">
            <v>13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</row>
        <row r="1552">
          <cell r="B1552" t="str">
            <v xml:space="preserve">B1-VT-08 (.40x.55) </v>
          </cell>
          <cell r="C1552">
            <v>13</v>
          </cell>
          <cell r="D1552">
            <v>1</v>
          </cell>
          <cell r="E1552">
            <v>2.85</v>
          </cell>
          <cell r="F1552">
            <v>0.4</v>
          </cell>
          <cell r="G1552">
            <v>0.55000000000000004</v>
          </cell>
          <cell r="L1552">
            <v>8.1510000000000016</v>
          </cell>
          <cell r="M1552">
            <v>2.85</v>
          </cell>
          <cell r="N1552">
            <v>1.1000000000000001</v>
          </cell>
          <cell r="O1552">
            <v>40.755000000000003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</row>
        <row r="1553">
          <cell r="C1553">
            <v>13</v>
          </cell>
          <cell r="D1553">
            <v>1</v>
          </cell>
          <cell r="E1553">
            <v>7.1</v>
          </cell>
          <cell r="F1553">
            <v>0.4</v>
          </cell>
          <cell r="G1553">
            <v>0.55000000000000004</v>
          </cell>
          <cell r="L1553">
            <v>20.306000000000001</v>
          </cell>
          <cell r="M1553">
            <v>7.1</v>
          </cell>
          <cell r="N1553">
            <v>1.1000000000000001</v>
          </cell>
          <cell r="O1553">
            <v>101.53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</row>
        <row r="1554">
          <cell r="C1554">
            <v>13</v>
          </cell>
          <cell r="D1554">
            <v>1</v>
          </cell>
          <cell r="E1554">
            <v>2.7</v>
          </cell>
          <cell r="F1554">
            <v>0.4</v>
          </cell>
          <cell r="G1554">
            <v>0.55000000000000004</v>
          </cell>
          <cell r="L1554">
            <v>7.7220000000000013</v>
          </cell>
          <cell r="M1554">
            <v>2.7</v>
          </cell>
          <cell r="N1554">
            <v>1.1000000000000001</v>
          </cell>
          <cell r="O1554">
            <v>38.610000000000007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</row>
        <row r="1555">
          <cell r="B1555" t="str">
            <v>Acero Principal</v>
          </cell>
          <cell r="C1555">
            <v>13</v>
          </cell>
          <cell r="D1555">
            <v>1</v>
          </cell>
          <cell r="F1555">
            <v>10</v>
          </cell>
          <cell r="G1555">
            <v>14.35</v>
          </cell>
          <cell r="P1555" t="str">
            <v>H</v>
          </cell>
          <cell r="Q1555" t="str">
            <v>3/4"</v>
          </cell>
          <cell r="R1555">
            <v>10</v>
          </cell>
          <cell r="S1555">
            <v>15.25</v>
          </cell>
          <cell r="T1555">
            <v>1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4673.76</v>
          </cell>
          <cell r="AC1555">
            <v>0</v>
          </cell>
          <cell r="AD1555">
            <v>0</v>
          </cell>
        </row>
        <row r="1556">
          <cell r="B1556" t="str">
            <v>Ref. Sup</v>
          </cell>
          <cell r="C1556">
            <v>13</v>
          </cell>
          <cell r="D1556">
            <v>1</v>
          </cell>
          <cell r="F1556">
            <v>1</v>
          </cell>
          <cell r="G1556">
            <v>1.8</v>
          </cell>
          <cell r="Q1556" t="str">
            <v>3/4"</v>
          </cell>
          <cell r="R1556">
            <v>1</v>
          </cell>
          <cell r="S1556">
            <v>1.8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52.416000000000011</v>
          </cell>
          <cell r="AC1556">
            <v>0</v>
          </cell>
          <cell r="AD1556">
            <v>0</v>
          </cell>
        </row>
        <row r="1557">
          <cell r="B1557" t="str">
            <v>Ref. Sup</v>
          </cell>
          <cell r="C1557">
            <v>13</v>
          </cell>
          <cell r="D1557">
            <v>1</v>
          </cell>
          <cell r="F1557">
            <v>2</v>
          </cell>
          <cell r="G1557">
            <v>3.2</v>
          </cell>
          <cell r="Q1557" t="str">
            <v>1"</v>
          </cell>
          <cell r="R1557">
            <v>2</v>
          </cell>
          <cell r="S1557">
            <v>3.2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330.30400000000003</v>
          </cell>
          <cell r="AD1557">
            <v>0</v>
          </cell>
        </row>
        <row r="1558">
          <cell r="B1558" t="str">
            <v>Ref. Sup</v>
          </cell>
          <cell r="C1558">
            <v>13</v>
          </cell>
          <cell r="D1558">
            <v>1</v>
          </cell>
          <cell r="F1558">
            <v>1</v>
          </cell>
          <cell r="G1558">
            <v>4.25</v>
          </cell>
          <cell r="Q1558" t="str">
            <v>1"</v>
          </cell>
          <cell r="R1558">
            <v>1</v>
          </cell>
          <cell r="S1558">
            <v>4.25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219.34250000000003</v>
          </cell>
          <cell r="AD1558">
            <v>0</v>
          </cell>
        </row>
        <row r="1559">
          <cell r="B1559" t="str">
            <v>Ref. Sup</v>
          </cell>
          <cell r="C1559">
            <v>13</v>
          </cell>
          <cell r="D1559">
            <v>1</v>
          </cell>
          <cell r="F1559">
            <v>2</v>
          </cell>
          <cell r="G1559">
            <v>4.45</v>
          </cell>
          <cell r="Q1559" t="str">
            <v>1"</v>
          </cell>
          <cell r="R1559">
            <v>2</v>
          </cell>
          <cell r="S1559">
            <v>4.45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459.32900000000006</v>
          </cell>
          <cell r="AD1559">
            <v>0</v>
          </cell>
        </row>
        <row r="1560">
          <cell r="B1560" t="str">
            <v>Ref. Sup</v>
          </cell>
          <cell r="C1560">
            <v>13</v>
          </cell>
          <cell r="D1560">
            <v>1</v>
          </cell>
          <cell r="F1560">
            <v>1</v>
          </cell>
          <cell r="G1560">
            <v>4.05</v>
          </cell>
          <cell r="Q1560" t="str">
            <v>1"</v>
          </cell>
          <cell r="R1560">
            <v>1</v>
          </cell>
          <cell r="S1560">
            <v>4.05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209.02050000000003</v>
          </cell>
          <cell r="AD1560">
            <v>0</v>
          </cell>
        </row>
        <row r="1561">
          <cell r="B1561" t="str">
            <v>Ref. Inf</v>
          </cell>
          <cell r="C1561">
            <v>13</v>
          </cell>
          <cell r="D1561">
            <v>1</v>
          </cell>
          <cell r="F1561">
            <v>1</v>
          </cell>
          <cell r="G1561">
            <v>1.8</v>
          </cell>
          <cell r="Q1561" t="str">
            <v>3/4"</v>
          </cell>
          <cell r="R1561">
            <v>1</v>
          </cell>
          <cell r="S1561">
            <v>1.8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52.416000000000011</v>
          </cell>
          <cell r="AC1561">
            <v>0</v>
          </cell>
          <cell r="AD1561">
            <v>0</v>
          </cell>
        </row>
        <row r="1562">
          <cell r="B1562" t="str">
            <v>Ref. Inf</v>
          </cell>
          <cell r="C1562">
            <v>13</v>
          </cell>
          <cell r="D1562">
            <v>1</v>
          </cell>
          <cell r="F1562">
            <v>1</v>
          </cell>
          <cell r="G1562">
            <v>10.3</v>
          </cell>
          <cell r="Q1562" t="str">
            <v>3/4"</v>
          </cell>
          <cell r="R1562">
            <v>1</v>
          </cell>
          <cell r="S1562">
            <v>10.3</v>
          </cell>
          <cell r="T1562">
            <v>1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299.93600000000004</v>
          </cell>
          <cell r="AC1562">
            <v>0</v>
          </cell>
          <cell r="AD1562">
            <v>0</v>
          </cell>
        </row>
        <row r="1563">
          <cell r="B1563" t="str">
            <v>Est</v>
          </cell>
          <cell r="C1563">
            <v>13</v>
          </cell>
          <cell r="D1563">
            <v>1</v>
          </cell>
          <cell r="E1563">
            <v>2.85</v>
          </cell>
          <cell r="F1563">
            <v>0.4</v>
          </cell>
          <cell r="G1563">
            <v>0.55000000000000004</v>
          </cell>
          <cell r="Q1563" t="str">
            <v>3/8"</v>
          </cell>
          <cell r="R1563">
            <v>26</v>
          </cell>
          <cell r="S1563">
            <v>1.9000000000000001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359.63200000000006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</row>
        <row r="1564">
          <cell r="B1564" t="str">
            <v>Est</v>
          </cell>
          <cell r="C1564">
            <v>13</v>
          </cell>
          <cell r="D1564">
            <v>1</v>
          </cell>
          <cell r="E1564">
            <v>7.1</v>
          </cell>
          <cell r="F1564">
            <v>0.4</v>
          </cell>
          <cell r="G1564">
            <v>0.55000000000000004</v>
          </cell>
          <cell r="Q1564" t="str">
            <v>3/8"</v>
          </cell>
          <cell r="R1564">
            <v>47</v>
          </cell>
          <cell r="S1564">
            <v>1.9000000000000001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650.10400000000016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</row>
        <row r="1565">
          <cell r="B1565" t="str">
            <v>Est</v>
          </cell>
          <cell r="C1565">
            <v>13</v>
          </cell>
          <cell r="D1565">
            <v>1</v>
          </cell>
          <cell r="E1565">
            <v>2.7</v>
          </cell>
          <cell r="F1565">
            <v>0.4</v>
          </cell>
          <cell r="G1565">
            <v>0.55000000000000004</v>
          </cell>
          <cell r="Q1565" t="str">
            <v>3/8"</v>
          </cell>
          <cell r="R1565">
            <v>25</v>
          </cell>
          <cell r="S1565">
            <v>1.9000000000000001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345.8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</row>
        <row r="1566">
          <cell r="C1566">
            <v>13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</row>
        <row r="1567">
          <cell r="B1567" t="str">
            <v xml:space="preserve">B1-VT-09 (.30x.55) </v>
          </cell>
          <cell r="C1567">
            <v>13</v>
          </cell>
          <cell r="D1567">
            <v>1</v>
          </cell>
          <cell r="E1567">
            <v>5.6</v>
          </cell>
          <cell r="F1567">
            <v>0.3</v>
          </cell>
          <cell r="G1567">
            <v>0.55000000000000004</v>
          </cell>
          <cell r="L1567">
            <v>12.012</v>
          </cell>
          <cell r="M1567">
            <v>5.6</v>
          </cell>
          <cell r="N1567">
            <v>1</v>
          </cell>
          <cell r="O1567">
            <v>72.8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</row>
        <row r="1568">
          <cell r="B1568" t="str">
            <v>Acero Principal</v>
          </cell>
          <cell r="C1568">
            <v>13</v>
          </cell>
          <cell r="D1568">
            <v>1</v>
          </cell>
          <cell r="F1568">
            <v>4</v>
          </cell>
          <cell r="G1568">
            <v>6.05</v>
          </cell>
          <cell r="P1568" t="str">
            <v>H</v>
          </cell>
          <cell r="Q1568" t="str">
            <v>1"</v>
          </cell>
          <cell r="R1568">
            <v>4</v>
          </cell>
          <cell r="S1568">
            <v>6.95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1434.7580000000003</v>
          </cell>
          <cell r="AD1568">
            <v>0</v>
          </cell>
        </row>
        <row r="1569">
          <cell r="B1569" t="str">
            <v>Ref. Inf</v>
          </cell>
          <cell r="C1569">
            <v>13</v>
          </cell>
          <cell r="D1569">
            <v>1</v>
          </cell>
          <cell r="F1569">
            <v>2</v>
          </cell>
          <cell r="G1569">
            <v>4.4000000000000004</v>
          </cell>
          <cell r="Q1569" t="str">
            <v>3/4"</v>
          </cell>
          <cell r="R1569">
            <v>2</v>
          </cell>
          <cell r="S1569">
            <v>4.4000000000000004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256.25600000000003</v>
          </cell>
          <cell r="AC1569">
            <v>0</v>
          </cell>
          <cell r="AD1569">
            <v>0</v>
          </cell>
        </row>
        <row r="1570">
          <cell r="B1570" t="str">
            <v>Est</v>
          </cell>
          <cell r="C1570">
            <v>13</v>
          </cell>
          <cell r="D1570">
            <v>1</v>
          </cell>
          <cell r="E1570">
            <v>5.6</v>
          </cell>
          <cell r="F1570">
            <v>0.3</v>
          </cell>
          <cell r="G1570">
            <v>0.55000000000000004</v>
          </cell>
          <cell r="Q1570" t="str">
            <v>3/8"</v>
          </cell>
          <cell r="R1570">
            <v>40</v>
          </cell>
          <cell r="S1570">
            <v>1.7000000000000002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495.04000000000008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</row>
        <row r="1571">
          <cell r="C1571">
            <v>13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</row>
        <row r="1572">
          <cell r="B1572" t="str">
            <v xml:space="preserve">B1-VT-10 (.30x.55) </v>
          </cell>
          <cell r="C1572">
            <v>13</v>
          </cell>
          <cell r="D1572">
            <v>1</v>
          </cell>
          <cell r="E1572">
            <v>3.15</v>
          </cell>
          <cell r="F1572">
            <v>0.3</v>
          </cell>
          <cell r="G1572">
            <v>0.55000000000000004</v>
          </cell>
          <cell r="L1572">
            <v>6.7567499999999994</v>
          </cell>
          <cell r="M1572">
            <v>3.15</v>
          </cell>
          <cell r="N1572">
            <v>1</v>
          </cell>
          <cell r="O1572">
            <v>40.949999999999996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</row>
        <row r="1573">
          <cell r="C1573">
            <v>13</v>
          </cell>
          <cell r="D1573">
            <v>1</v>
          </cell>
          <cell r="E1573">
            <v>7.4</v>
          </cell>
          <cell r="F1573">
            <v>0.3</v>
          </cell>
          <cell r="G1573">
            <v>0.55000000000000004</v>
          </cell>
          <cell r="L1573">
            <v>15.873000000000001</v>
          </cell>
          <cell r="M1573">
            <v>7.4</v>
          </cell>
          <cell r="N1573">
            <v>1</v>
          </cell>
          <cell r="O1573">
            <v>96.2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</row>
        <row r="1574">
          <cell r="C1574">
            <v>13</v>
          </cell>
          <cell r="D1574">
            <v>1</v>
          </cell>
          <cell r="E1574">
            <v>2.7</v>
          </cell>
          <cell r="F1574">
            <v>0.3</v>
          </cell>
          <cell r="G1574">
            <v>0.55000000000000004</v>
          </cell>
          <cell r="L1574">
            <v>5.7915000000000001</v>
          </cell>
          <cell r="M1574">
            <v>2.7</v>
          </cell>
          <cell r="N1574">
            <v>1</v>
          </cell>
          <cell r="O1574">
            <v>35.1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</row>
        <row r="1575">
          <cell r="B1575" t="str">
            <v>Acero Principal</v>
          </cell>
          <cell r="C1575">
            <v>13</v>
          </cell>
          <cell r="D1575">
            <v>1</v>
          </cell>
          <cell r="F1575">
            <v>4</v>
          </cell>
          <cell r="G1575">
            <v>14.35</v>
          </cell>
          <cell r="P1575" t="str">
            <v>H</v>
          </cell>
          <cell r="Q1575" t="str">
            <v>1"</v>
          </cell>
          <cell r="R1575">
            <v>4</v>
          </cell>
          <cell r="S1575">
            <v>15.25</v>
          </cell>
          <cell r="T1575">
            <v>1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3416.5820000000003</v>
          </cell>
          <cell r="AD1575">
            <v>0</v>
          </cell>
        </row>
        <row r="1576">
          <cell r="B1576" t="str">
            <v>Ref. Sup</v>
          </cell>
          <cell r="C1576">
            <v>13</v>
          </cell>
          <cell r="D1576">
            <v>1</v>
          </cell>
          <cell r="F1576">
            <v>1</v>
          </cell>
          <cell r="G1576">
            <v>13.25</v>
          </cell>
          <cell r="Q1576" t="str">
            <v>1"</v>
          </cell>
          <cell r="R1576">
            <v>1</v>
          </cell>
          <cell r="S1576">
            <v>13.25</v>
          </cell>
          <cell r="T1576">
            <v>1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683.83249999999998</v>
          </cell>
          <cell r="AD1576">
            <v>0</v>
          </cell>
        </row>
        <row r="1577">
          <cell r="B1577" t="str">
            <v>Ref. Sup</v>
          </cell>
          <cell r="C1577">
            <v>13</v>
          </cell>
          <cell r="D1577">
            <v>1</v>
          </cell>
          <cell r="F1577">
            <v>1</v>
          </cell>
          <cell r="G1577">
            <v>5</v>
          </cell>
          <cell r="Q1577" t="str">
            <v>1"</v>
          </cell>
          <cell r="R1577">
            <v>1</v>
          </cell>
          <cell r="S1577">
            <v>5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258.05</v>
          </cell>
          <cell r="AD1577">
            <v>0</v>
          </cell>
        </row>
        <row r="1578">
          <cell r="B1578" t="str">
            <v>Ref. Inf</v>
          </cell>
          <cell r="C1578">
            <v>13</v>
          </cell>
          <cell r="D1578">
            <v>1</v>
          </cell>
          <cell r="F1578">
            <v>2</v>
          </cell>
          <cell r="G1578">
            <v>6.2</v>
          </cell>
          <cell r="Q1578" t="str">
            <v>1"</v>
          </cell>
          <cell r="R1578">
            <v>2</v>
          </cell>
          <cell r="S1578">
            <v>6.2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639.96400000000006</v>
          </cell>
          <cell r="AD1578">
            <v>0</v>
          </cell>
        </row>
        <row r="1579">
          <cell r="B1579" t="str">
            <v>Ref. Inf</v>
          </cell>
          <cell r="C1579">
            <v>13</v>
          </cell>
          <cell r="D1579">
            <v>1</v>
          </cell>
          <cell r="F1579">
            <v>1</v>
          </cell>
          <cell r="G1579">
            <v>5.4</v>
          </cell>
          <cell r="Q1579" t="str">
            <v>1"</v>
          </cell>
          <cell r="R1579">
            <v>1</v>
          </cell>
          <cell r="S1579">
            <v>5.4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278.69400000000002</v>
          </cell>
          <cell r="AD1579">
            <v>0</v>
          </cell>
        </row>
        <row r="1580">
          <cell r="B1580" t="str">
            <v>Est</v>
          </cell>
          <cell r="C1580">
            <v>13</v>
          </cell>
          <cell r="D1580">
            <v>1</v>
          </cell>
          <cell r="E1580">
            <v>3.15</v>
          </cell>
          <cell r="F1580">
            <v>0.3</v>
          </cell>
          <cell r="G1580">
            <v>0.55000000000000004</v>
          </cell>
          <cell r="Q1580" t="str">
            <v>3/8"</v>
          </cell>
          <cell r="R1580">
            <v>27</v>
          </cell>
          <cell r="S1580">
            <v>1.7000000000000002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334.15200000000004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</row>
        <row r="1581">
          <cell r="B1581" t="str">
            <v>Est</v>
          </cell>
          <cell r="C1581">
            <v>13</v>
          </cell>
          <cell r="D1581">
            <v>1</v>
          </cell>
          <cell r="E1581">
            <v>7.4</v>
          </cell>
          <cell r="F1581">
            <v>0.3</v>
          </cell>
          <cell r="G1581">
            <v>0.55000000000000004</v>
          </cell>
          <cell r="Q1581" t="str">
            <v>3/8"</v>
          </cell>
          <cell r="R1581">
            <v>49</v>
          </cell>
          <cell r="S1581">
            <v>1.7000000000000002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606.42400000000009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</row>
        <row r="1582">
          <cell r="B1582" t="str">
            <v>Est</v>
          </cell>
          <cell r="C1582">
            <v>13</v>
          </cell>
          <cell r="D1582">
            <v>1</v>
          </cell>
          <cell r="E1582">
            <v>2.7</v>
          </cell>
          <cell r="F1582">
            <v>0.3</v>
          </cell>
          <cell r="G1582">
            <v>0.55000000000000004</v>
          </cell>
          <cell r="Q1582" t="str">
            <v>3/8"</v>
          </cell>
          <cell r="R1582">
            <v>25</v>
          </cell>
          <cell r="S1582">
            <v>1.7000000000000002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309.40000000000009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</row>
        <row r="1583">
          <cell r="C1583">
            <v>13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</row>
        <row r="1584">
          <cell r="B1584" t="str">
            <v xml:space="preserve">B1-VT-11 (.40x.55) </v>
          </cell>
          <cell r="C1584">
            <v>13</v>
          </cell>
          <cell r="D1584">
            <v>1</v>
          </cell>
          <cell r="E1584">
            <v>3.15</v>
          </cell>
          <cell r="F1584">
            <v>0.4</v>
          </cell>
          <cell r="G1584">
            <v>0.55000000000000004</v>
          </cell>
          <cell r="L1584">
            <v>9.0090000000000003</v>
          </cell>
          <cell r="M1584">
            <v>3.15</v>
          </cell>
          <cell r="N1584">
            <v>1.1000000000000001</v>
          </cell>
          <cell r="O1584">
            <v>45.045000000000002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</row>
        <row r="1585">
          <cell r="C1585">
            <v>13</v>
          </cell>
          <cell r="D1585">
            <v>1</v>
          </cell>
          <cell r="E1585">
            <v>7.25</v>
          </cell>
          <cell r="F1585">
            <v>0.4</v>
          </cell>
          <cell r="G1585">
            <v>0.55000000000000004</v>
          </cell>
          <cell r="L1585">
            <v>20.735000000000003</v>
          </cell>
          <cell r="M1585">
            <v>7.25</v>
          </cell>
          <cell r="N1585">
            <v>1.1000000000000001</v>
          </cell>
          <cell r="O1585">
            <v>103.67500000000001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</row>
        <row r="1586">
          <cell r="C1586">
            <v>13</v>
          </cell>
          <cell r="D1586">
            <v>1</v>
          </cell>
          <cell r="E1586">
            <v>6.1</v>
          </cell>
          <cell r="F1586">
            <v>0.4</v>
          </cell>
          <cell r="G1586">
            <v>0.55000000000000004</v>
          </cell>
          <cell r="L1586">
            <v>17.446000000000002</v>
          </cell>
          <cell r="M1586">
            <v>6.1</v>
          </cell>
          <cell r="N1586">
            <v>1.1000000000000001</v>
          </cell>
          <cell r="O1586">
            <v>87.23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</row>
        <row r="1587">
          <cell r="B1587" t="str">
            <v>Acero Principal</v>
          </cell>
          <cell r="C1587">
            <v>13</v>
          </cell>
          <cell r="D1587">
            <v>1</v>
          </cell>
          <cell r="F1587">
            <v>4</v>
          </cell>
          <cell r="G1587">
            <v>20.149999999999999</v>
          </cell>
          <cell r="P1587" t="str">
            <v>H</v>
          </cell>
          <cell r="Q1587" t="str">
            <v>1"</v>
          </cell>
          <cell r="R1587">
            <v>4</v>
          </cell>
          <cell r="S1587">
            <v>21.049999999999997</v>
          </cell>
          <cell r="T1587">
            <v>2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4882.3060000000005</v>
          </cell>
          <cell r="AD1587">
            <v>0</v>
          </cell>
        </row>
        <row r="1588">
          <cell r="B1588" t="str">
            <v>Acero Principal</v>
          </cell>
          <cell r="C1588">
            <v>13</v>
          </cell>
          <cell r="D1588">
            <v>1</v>
          </cell>
          <cell r="F1588">
            <v>4</v>
          </cell>
          <cell r="G1588">
            <v>20.149999999999999</v>
          </cell>
          <cell r="P1588" t="str">
            <v>H</v>
          </cell>
          <cell r="Q1588" t="str">
            <v>3/4"</v>
          </cell>
          <cell r="R1588">
            <v>4</v>
          </cell>
          <cell r="S1588">
            <v>21.049999999999997</v>
          </cell>
          <cell r="T1588">
            <v>2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2638.2720000000004</v>
          </cell>
          <cell r="AC1588">
            <v>0</v>
          </cell>
          <cell r="AD1588">
            <v>0</v>
          </cell>
        </row>
        <row r="1589">
          <cell r="B1589" t="str">
            <v>Ref. Sup</v>
          </cell>
          <cell r="C1589">
            <v>13</v>
          </cell>
          <cell r="D1589">
            <v>1</v>
          </cell>
          <cell r="F1589">
            <v>2</v>
          </cell>
          <cell r="G1589">
            <v>4.7</v>
          </cell>
          <cell r="Q1589" t="str">
            <v>1"</v>
          </cell>
          <cell r="R1589">
            <v>2</v>
          </cell>
          <cell r="S1589">
            <v>4.7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485.13400000000007</v>
          </cell>
          <cell r="AD1589">
            <v>0</v>
          </cell>
        </row>
        <row r="1590">
          <cell r="B1590" t="str">
            <v>Ref. Sup</v>
          </cell>
          <cell r="C1590">
            <v>13</v>
          </cell>
          <cell r="D1590">
            <v>1</v>
          </cell>
          <cell r="F1590">
            <v>2</v>
          </cell>
          <cell r="G1590">
            <v>4.05</v>
          </cell>
          <cell r="Q1590" t="str">
            <v>1"</v>
          </cell>
          <cell r="R1590">
            <v>2</v>
          </cell>
          <cell r="S1590">
            <v>4.05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418.04100000000005</v>
          </cell>
          <cell r="AD1590">
            <v>0</v>
          </cell>
        </row>
        <row r="1591">
          <cell r="B1591" t="str">
            <v>Ref. Sup</v>
          </cell>
          <cell r="C1591">
            <v>13</v>
          </cell>
          <cell r="D1591">
            <v>1</v>
          </cell>
          <cell r="F1591">
            <v>1</v>
          </cell>
          <cell r="G1591">
            <v>7.15</v>
          </cell>
          <cell r="Q1591" t="str">
            <v>1"</v>
          </cell>
          <cell r="R1591">
            <v>1</v>
          </cell>
          <cell r="S1591">
            <v>7.15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369.01150000000007</v>
          </cell>
          <cell r="AD1591">
            <v>0</v>
          </cell>
        </row>
        <row r="1592">
          <cell r="B1592" t="str">
            <v>Ref. Inf</v>
          </cell>
          <cell r="C1592">
            <v>13</v>
          </cell>
          <cell r="D1592">
            <v>1</v>
          </cell>
          <cell r="F1592">
            <v>1</v>
          </cell>
          <cell r="G1592">
            <v>4.45</v>
          </cell>
          <cell r="Q1592" t="str">
            <v>3/4"</v>
          </cell>
          <cell r="R1592">
            <v>1</v>
          </cell>
          <cell r="S1592">
            <v>4.45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129.58400000000003</v>
          </cell>
          <cell r="AC1592">
            <v>0</v>
          </cell>
          <cell r="AD1592">
            <v>0</v>
          </cell>
        </row>
        <row r="1593">
          <cell r="B1593" t="str">
            <v>Est</v>
          </cell>
          <cell r="C1593">
            <v>13</v>
          </cell>
          <cell r="D1593">
            <v>1</v>
          </cell>
          <cell r="E1593">
            <v>3.15</v>
          </cell>
          <cell r="F1593">
            <v>0.4</v>
          </cell>
          <cell r="G1593">
            <v>0.55000000000000004</v>
          </cell>
          <cell r="Q1593" t="str">
            <v>3/8"</v>
          </cell>
          <cell r="R1593">
            <v>27</v>
          </cell>
          <cell r="S1593">
            <v>1.9000000000000001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373.46400000000006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</row>
        <row r="1594">
          <cell r="B1594" t="str">
            <v>Est</v>
          </cell>
          <cell r="C1594">
            <v>13</v>
          </cell>
          <cell r="D1594">
            <v>1</v>
          </cell>
          <cell r="E1594">
            <v>7.25</v>
          </cell>
          <cell r="F1594">
            <v>0.4</v>
          </cell>
          <cell r="G1594">
            <v>0.55000000000000004</v>
          </cell>
          <cell r="Q1594" t="str">
            <v>3/8"</v>
          </cell>
          <cell r="R1594">
            <v>48</v>
          </cell>
          <cell r="S1594">
            <v>1.9000000000000001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663.93600000000015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</row>
        <row r="1595">
          <cell r="B1595" t="str">
            <v>Est</v>
          </cell>
          <cell r="C1595">
            <v>13</v>
          </cell>
          <cell r="D1595">
            <v>1</v>
          </cell>
          <cell r="E1595">
            <v>6.1</v>
          </cell>
          <cell r="F1595">
            <v>0.4</v>
          </cell>
          <cell r="G1595">
            <v>0.55000000000000004</v>
          </cell>
          <cell r="Q1595" t="str">
            <v>3/8"</v>
          </cell>
          <cell r="R1595">
            <v>42</v>
          </cell>
          <cell r="S1595">
            <v>1.9000000000000001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580.94400000000007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</row>
        <row r="1596">
          <cell r="C1596">
            <v>13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</row>
        <row r="1597">
          <cell r="B1597" t="str">
            <v>B1-VT-12 (.20x.55)</v>
          </cell>
          <cell r="C1597">
            <v>13</v>
          </cell>
          <cell r="D1597">
            <v>1</v>
          </cell>
          <cell r="E1597">
            <v>1.9</v>
          </cell>
          <cell r="F1597">
            <v>0.2</v>
          </cell>
          <cell r="G1597">
            <v>0.55000000000000004</v>
          </cell>
          <cell r="L1597">
            <v>2.7170000000000005</v>
          </cell>
          <cell r="M1597">
            <v>1.9</v>
          </cell>
          <cell r="N1597">
            <v>0.9</v>
          </cell>
          <cell r="O1597">
            <v>22.23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</row>
        <row r="1598">
          <cell r="B1598" t="str">
            <v>Acero Principal</v>
          </cell>
          <cell r="C1598">
            <v>13</v>
          </cell>
          <cell r="D1598">
            <v>1</v>
          </cell>
          <cell r="F1598">
            <v>4</v>
          </cell>
          <cell r="G1598">
            <v>3</v>
          </cell>
          <cell r="P1598" t="str">
            <v>H</v>
          </cell>
          <cell r="Q1598" t="str">
            <v>3/4"</v>
          </cell>
          <cell r="R1598">
            <v>4</v>
          </cell>
          <cell r="S1598">
            <v>3.9000000000000004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454.27200000000011</v>
          </cell>
          <cell r="AC1598">
            <v>0</v>
          </cell>
          <cell r="AD1598">
            <v>0</v>
          </cell>
        </row>
        <row r="1599">
          <cell r="B1599" t="str">
            <v>Ref. Sup</v>
          </cell>
          <cell r="C1599">
            <v>13</v>
          </cell>
          <cell r="D1599">
            <v>1</v>
          </cell>
          <cell r="F1599">
            <v>2</v>
          </cell>
          <cell r="G1599">
            <v>2.2000000000000002</v>
          </cell>
          <cell r="Q1599" t="str">
            <v>3/4"</v>
          </cell>
          <cell r="R1599">
            <v>2</v>
          </cell>
          <cell r="S1599">
            <v>2.2000000000000002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128.12800000000001</v>
          </cell>
          <cell r="AC1599">
            <v>0</v>
          </cell>
          <cell r="AD1599">
            <v>0</v>
          </cell>
        </row>
        <row r="1600">
          <cell r="B1600" t="str">
            <v>Ref. Sup</v>
          </cell>
          <cell r="C1600">
            <v>13</v>
          </cell>
          <cell r="D1600">
            <v>1</v>
          </cell>
          <cell r="F1600">
            <v>1</v>
          </cell>
          <cell r="G1600">
            <v>2.2000000000000002</v>
          </cell>
          <cell r="Q1600" t="str">
            <v>5/8"</v>
          </cell>
          <cell r="R1600">
            <v>1</v>
          </cell>
          <cell r="S1600">
            <v>2.2000000000000002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44.330000000000005</v>
          </cell>
          <cell r="AB1600">
            <v>0</v>
          </cell>
          <cell r="AC1600">
            <v>0</v>
          </cell>
          <cell r="AD1600">
            <v>0</v>
          </cell>
        </row>
        <row r="1601">
          <cell r="B1601" t="str">
            <v>Est</v>
          </cell>
          <cell r="C1601">
            <v>13</v>
          </cell>
          <cell r="D1601">
            <v>1</v>
          </cell>
          <cell r="E1601">
            <v>1.9</v>
          </cell>
          <cell r="F1601">
            <v>0.2</v>
          </cell>
          <cell r="G1601">
            <v>0.55000000000000004</v>
          </cell>
          <cell r="Q1601" t="str">
            <v>3/8"</v>
          </cell>
          <cell r="R1601">
            <v>21</v>
          </cell>
          <cell r="S1601">
            <v>1.5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229.32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</row>
        <row r="1602">
          <cell r="C1602">
            <v>13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</row>
        <row r="1603"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</row>
        <row r="1604">
          <cell r="B1604" t="str">
            <v>PISO 15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</row>
        <row r="1605"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</row>
        <row r="1606">
          <cell r="B1606" t="str">
            <v xml:space="preserve">B1-VT-01 Tipo L (.25x.55) 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</row>
        <row r="1607">
          <cell r="C1607">
            <v>1</v>
          </cell>
          <cell r="D1607">
            <v>1</v>
          </cell>
          <cell r="E1607">
            <v>6.45</v>
          </cell>
          <cell r="F1607">
            <v>0.25</v>
          </cell>
          <cell r="G1607">
            <v>0.55000000000000004</v>
          </cell>
          <cell r="L1607">
            <v>0.88687500000000008</v>
          </cell>
          <cell r="M1607">
            <v>6.45</v>
          </cell>
          <cell r="N1607">
            <v>0.95000000000000007</v>
          </cell>
          <cell r="O1607">
            <v>6.1275000000000004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</row>
        <row r="1608">
          <cell r="B1608" t="str">
            <v>Acero Principal</v>
          </cell>
          <cell r="C1608">
            <v>1</v>
          </cell>
          <cell r="D1608">
            <v>1</v>
          </cell>
          <cell r="F1608">
            <v>4</v>
          </cell>
          <cell r="G1608">
            <v>6.95</v>
          </cell>
          <cell r="P1608" t="str">
            <v>H</v>
          </cell>
          <cell r="Q1608" t="str">
            <v>1"</v>
          </cell>
          <cell r="R1608">
            <v>4</v>
          </cell>
          <cell r="S1608">
            <v>7.8500000000000005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124.65800000000002</v>
          </cell>
          <cell r="AD1608">
            <v>0</v>
          </cell>
        </row>
        <row r="1609">
          <cell r="B1609" t="str">
            <v>Acero Principal</v>
          </cell>
          <cell r="C1609">
            <v>1</v>
          </cell>
          <cell r="D1609">
            <v>1</v>
          </cell>
          <cell r="F1609">
            <v>3</v>
          </cell>
          <cell r="G1609">
            <v>6.2</v>
          </cell>
          <cell r="P1609" t="str">
            <v>H</v>
          </cell>
          <cell r="Q1609" t="str">
            <v>3/4"</v>
          </cell>
          <cell r="R1609">
            <v>3</v>
          </cell>
          <cell r="S1609">
            <v>7.8500000000000005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52.75200000000001</v>
          </cell>
          <cell r="AC1609">
            <v>0</v>
          </cell>
          <cell r="AD1609">
            <v>0</v>
          </cell>
        </row>
        <row r="1610">
          <cell r="B1610" t="str">
            <v>Ref. Inf</v>
          </cell>
          <cell r="C1610">
            <v>1</v>
          </cell>
          <cell r="D1610">
            <v>1</v>
          </cell>
          <cell r="F1610">
            <v>2</v>
          </cell>
          <cell r="G1610">
            <v>4.8499999999999996</v>
          </cell>
          <cell r="Q1610" t="str">
            <v>3/4"</v>
          </cell>
          <cell r="R1610">
            <v>2</v>
          </cell>
          <cell r="S1610">
            <v>4.8499999999999996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21.728000000000002</v>
          </cell>
          <cell r="AC1610">
            <v>0</v>
          </cell>
          <cell r="AD1610">
            <v>0</v>
          </cell>
        </row>
        <row r="1611">
          <cell r="B1611" t="str">
            <v>Est</v>
          </cell>
          <cell r="C1611">
            <v>1</v>
          </cell>
          <cell r="D1611">
            <v>1</v>
          </cell>
          <cell r="E1611">
            <v>6.45</v>
          </cell>
          <cell r="F1611">
            <v>0.25</v>
          </cell>
          <cell r="G1611">
            <v>0.55000000000000004</v>
          </cell>
          <cell r="Q1611" t="str">
            <v>3/8"</v>
          </cell>
          <cell r="R1611">
            <v>44</v>
          </cell>
          <cell r="S1611">
            <v>1.6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39.424000000000007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</row>
        <row r="1612">
          <cell r="C1612">
            <v>1</v>
          </cell>
          <cell r="D1612">
            <v>1</v>
          </cell>
          <cell r="E1612">
            <v>6.45</v>
          </cell>
          <cell r="F1612">
            <v>0.5</v>
          </cell>
          <cell r="G1612">
            <v>0.2</v>
          </cell>
          <cell r="L1612">
            <v>0.64500000000000002</v>
          </cell>
          <cell r="M1612">
            <v>6.45</v>
          </cell>
          <cell r="N1612">
            <v>0.5</v>
          </cell>
          <cell r="O1612">
            <v>3.2250000000000001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</row>
        <row r="1613">
          <cell r="B1613" t="str">
            <v>Est</v>
          </cell>
          <cell r="C1613">
            <v>1</v>
          </cell>
          <cell r="D1613">
            <v>1</v>
          </cell>
          <cell r="E1613">
            <v>6.45</v>
          </cell>
          <cell r="F1613">
            <v>0.75</v>
          </cell>
          <cell r="G1613">
            <v>0.2</v>
          </cell>
          <cell r="Q1613" t="str">
            <v>3/8"</v>
          </cell>
          <cell r="R1613">
            <v>44</v>
          </cell>
          <cell r="S1613">
            <v>1.9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46.816000000000003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</row>
        <row r="1614">
          <cell r="C1614">
            <v>1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</row>
        <row r="1615">
          <cell r="B1615" t="str">
            <v xml:space="preserve">B1-VT-02 (.25x.55) </v>
          </cell>
          <cell r="C1615">
            <v>1</v>
          </cell>
          <cell r="D1615">
            <v>1</v>
          </cell>
          <cell r="E1615">
            <v>6.3</v>
          </cell>
          <cell r="F1615">
            <v>0.25</v>
          </cell>
          <cell r="G1615">
            <v>0.55000000000000004</v>
          </cell>
          <cell r="L1615">
            <v>0.86625000000000008</v>
          </cell>
          <cell r="M1615">
            <v>6.3</v>
          </cell>
          <cell r="N1615">
            <v>0.95000000000000007</v>
          </cell>
          <cell r="O1615">
            <v>5.9850000000000003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</row>
        <row r="1616">
          <cell r="B1616" t="str">
            <v>Acero Principal</v>
          </cell>
          <cell r="C1616">
            <v>1</v>
          </cell>
          <cell r="D1616">
            <v>1</v>
          </cell>
          <cell r="F1616">
            <v>4</v>
          </cell>
          <cell r="G1616">
            <v>8.15</v>
          </cell>
          <cell r="P1616" t="str">
            <v>H</v>
          </cell>
          <cell r="Q1616" t="str">
            <v>1"</v>
          </cell>
          <cell r="R1616">
            <v>4</v>
          </cell>
          <cell r="S1616">
            <v>9.0500000000000007</v>
          </cell>
          <cell r="T1616">
            <v>1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164.35800000000003</v>
          </cell>
          <cell r="AD1616">
            <v>0</v>
          </cell>
        </row>
        <row r="1617">
          <cell r="B1617" t="str">
            <v>Ref. Sup</v>
          </cell>
          <cell r="C1617">
            <v>1</v>
          </cell>
          <cell r="D1617">
            <v>1</v>
          </cell>
          <cell r="F1617">
            <v>2</v>
          </cell>
          <cell r="G1617">
            <v>3.85</v>
          </cell>
          <cell r="Q1617" t="str">
            <v>1"</v>
          </cell>
          <cell r="R1617">
            <v>2</v>
          </cell>
          <cell r="S1617">
            <v>3.85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30.569000000000003</v>
          </cell>
          <cell r="AD1617">
            <v>0</v>
          </cell>
        </row>
        <row r="1618">
          <cell r="B1618" t="str">
            <v>Ref. Inf</v>
          </cell>
          <cell r="C1618">
            <v>1</v>
          </cell>
          <cell r="D1618">
            <v>1</v>
          </cell>
          <cell r="F1618">
            <v>1</v>
          </cell>
          <cell r="G1618">
            <v>4.2</v>
          </cell>
          <cell r="Q1618" t="str">
            <v>3/4"</v>
          </cell>
          <cell r="R1618">
            <v>1</v>
          </cell>
          <cell r="S1618">
            <v>4.2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9.4080000000000013</v>
          </cell>
          <cell r="AC1618">
            <v>0</v>
          </cell>
          <cell r="AD1618">
            <v>0</v>
          </cell>
        </row>
        <row r="1619">
          <cell r="B1619" t="str">
            <v>Est</v>
          </cell>
          <cell r="C1619">
            <v>1</v>
          </cell>
          <cell r="D1619">
            <v>1</v>
          </cell>
          <cell r="E1619">
            <v>6.3</v>
          </cell>
          <cell r="F1619">
            <v>0.25</v>
          </cell>
          <cell r="G1619">
            <v>0.55000000000000004</v>
          </cell>
          <cell r="Q1619" t="str">
            <v>3/8"</v>
          </cell>
          <cell r="R1619">
            <v>43</v>
          </cell>
          <cell r="S1619">
            <v>1.6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38.527999999999999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</row>
        <row r="1620">
          <cell r="C1620">
            <v>1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</row>
        <row r="1621">
          <cell r="B1621" t="str">
            <v xml:space="preserve">B1-VT-03 (.15x1.00) </v>
          </cell>
          <cell r="C1621">
            <v>1</v>
          </cell>
          <cell r="D1621">
            <v>1</v>
          </cell>
          <cell r="E1621">
            <v>2.4</v>
          </cell>
          <cell r="F1621">
            <v>0.15</v>
          </cell>
          <cell r="G1621">
            <v>1</v>
          </cell>
          <cell r="L1621">
            <v>0.36</v>
          </cell>
          <cell r="M1621">
            <v>2.4</v>
          </cell>
          <cell r="N1621">
            <v>1.75</v>
          </cell>
          <cell r="O1621">
            <v>4.2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</row>
        <row r="1622">
          <cell r="B1622" t="str">
            <v>Acero Principal</v>
          </cell>
          <cell r="C1622">
            <v>1</v>
          </cell>
          <cell r="D1622">
            <v>1</v>
          </cell>
          <cell r="F1622">
            <v>12</v>
          </cell>
          <cell r="G1622">
            <v>3.4</v>
          </cell>
          <cell r="P1622" t="str">
            <v>H</v>
          </cell>
          <cell r="Q1622" t="str">
            <v>5/8"</v>
          </cell>
          <cell r="R1622">
            <v>12</v>
          </cell>
          <cell r="S1622">
            <v>5.2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96.720000000000013</v>
          </cell>
          <cell r="AB1622">
            <v>0</v>
          </cell>
          <cell r="AC1622">
            <v>0</v>
          </cell>
          <cell r="AD1622">
            <v>0</v>
          </cell>
        </row>
        <row r="1623">
          <cell r="B1623" t="str">
            <v>Ref. Central</v>
          </cell>
          <cell r="C1623">
            <v>1</v>
          </cell>
          <cell r="D1623">
            <v>1</v>
          </cell>
          <cell r="F1623">
            <v>6</v>
          </cell>
          <cell r="G1623">
            <v>3.1</v>
          </cell>
          <cell r="Q1623" t="str">
            <v>3/8"</v>
          </cell>
          <cell r="R1623">
            <v>6</v>
          </cell>
          <cell r="S1623">
            <v>3.6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12.096000000000002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</row>
        <row r="1624">
          <cell r="B1624" t="str">
            <v>Est</v>
          </cell>
          <cell r="C1624">
            <v>1</v>
          </cell>
          <cell r="D1624">
            <v>1</v>
          </cell>
          <cell r="E1624">
            <v>2.4</v>
          </cell>
          <cell r="F1624">
            <v>0.15</v>
          </cell>
          <cell r="G1624">
            <v>1</v>
          </cell>
          <cell r="Q1624" t="str">
            <v>3/8"</v>
          </cell>
          <cell r="R1624">
            <v>18</v>
          </cell>
          <cell r="S1624">
            <v>2.2999999999999998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23.184000000000001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</row>
        <row r="1625">
          <cell r="C1625">
            <v>1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</row>
        <row r="1626">
          <cell r="B1626" t="str">
            <v>B1-VT-04 (.45x.55)(.25x.55)</v>
          </cell>
          <cell r="C1626">
            <v>1</v>
          </cell>
          <cell r="D1626">
            <v>1</v>
          </cell>
          <cell r="E1626">
            <v>8.1999999999999993</v>
          </cell>
          <cell r="F1626">
            <v>0.45</v>
          </cell>
          <cell r="G1626">
            <v>0.55000000000000004</v>
          </cell>
          <cell r="L1626">
            <v>2.0295000000000001</v>
          </cell>
          <cell r="M1626">
            <v>8.1999999999999993</v>
          </cell>
          <cell r="N1626">
            <v>1.1499999999999999</v>
          </cell>
          <cell r="O1626">
            <v>9.4299999999999979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</row>
        <row r="1627">
          <cell r="C1627">
            <v>1</v>
          </cell>
          <cell r="D1627">
            <v>1</v>
          </cell>
          <cell r="E1627">
            <v>4.6500000000000004</v>
          </cell>
          <cell r="F1627">
            <v>0.25</v>
          </cell>
          <cell r="G1627">
            <v>0.55000000000000004</v>
          </cell>
          <cell r="L1627">
            <v>0.63937500000000014</v>
          </cell>
          <cell r="M1627">
            <v>4.6500000000000004</v>
          </cell>
          <cell r="N1627">
            <v>0.95000000000000007</v>
          </cell>
          <cell r="O1627">
            <v>4.4175000000000004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</row>
        <row r="1628">
          <cell r="B1628" t="str">
            <v>Acero Principal</v>
          </cell>
          <cell r="C1628">
            <v>1</v>
          </cell>
          <cell r="D1628">
            <v>1</v>
          </cell>
          <cell r="F1628">
            <v>4</v>
          </cell>
          <cell r="G1628">
            <v>15.2</v>
          </cell>
          <cell r="P1628" t="str">
            <v>H</v>
          </cell>
          <cell r="Q1628" t="str">
            <v>1"</v>
          </cell>
          <cell r="R1628">
            <v>4</v>
          </cell>
          <cell r="S1628">
            <v>16.099999999999998</v>
          </cell>
          <cell r="T1628">
            <v>1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276.31200000000001</v>
          </cell>
          <cell r="AD1628">
            <v>0</v>
          </cell>
        </row>
        <row r="1629">
          <cell r="B1629" t="str">
            <v>Acero Principal</v>
          </cell>
          <cell r="C1629">
            <v>1</v>
          </cell>
          <cell r="D1629">
            <v>1</v>
          </cell>
          <cell r="F1629">
            <v>2</v>
          </cell>
          <cell r="G1629">
            <v>9</v>
          </cell>
          <cell r="P1629" t="str">
            <v>H</v>
          </cell>
          <cell r="Q1629" t="str">
            <v>1"</v>
          </cell>
          <cell r="R1629">
            <v>2</v>
          </cell>
          <cell r="S1629">
            <v>9.9</v>
          </cell>
          <cell r="T1629">
            <v>1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88.928000000000011</v>
          </cell>
          <cell r="AD1629">
            <v>0</v>
          </cell>
        </row>
        <row r="1630">
          <cell r="B1630" t="str">
            <v>Acero Principal</v>
          </cell>
          <cell r="C1630">
            <v>1</v>
          </cell>
          <cell r="D1630">
            <v>1</v>
          </cell>
          <cell r="F1630">
            <v>2</v>
          </cell>
          <cell r="G1630">
            <v>9</v>
          </cell>
          <cell r="P1630" t="str">
            <v>H</v>
          </cell>
          <cell r="Q1630" t="str">
            <v>1"</v>
          </cell>
          <cell r="R1630">
            <v>2</v>
          </cell>
          <cell r="S1630">
            <v>9.9</v>
          </cell>
          <cell r="T1630">
            <v>1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88.928000000000011</v>
          </cell>
          <cell r="AD1630">
            <v>0</v>
          </cell>
        </row>
        <row r="1631">
          <cell r="B1631" t="str">
            <v>Ref. Sup</v>
          </cell>
          <cell r="C1631">
            <v>1</v>
          </cell>
          <cell r="D1631">
            <v>1</v>
          </cell>
          <cell r="F1631">
            <v>2</v>
          </cell>
          <cell r="G1631">
            <v>3.95</v>
          </cell>
          <cell r="Q1631" t="str">
            <v>1"</v>
          </cell>
          <cell r="R1631">
            <v>2</v>
          </cell>
          <cell r="S1631">
            <v>3.95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31.363000000000003</v>
          </cell>
          <cell r="AD1631">
            <v>0</v>
          </cell>
        </row>
        <row r="1632">
          <cell r="B1632" t="str">
            <v>Ref. Sup</v>
          </cell>
          <cell r="C1632">
            <v>1</v>
          </cell>
          <cell r="D1632">
            <v>1</v>
          </cell>
          <cell r="F1632">
            <v>2</v>
          </cell>
          <cell r="G1632">
            <v>3.55</v>
          </cell>
          <cell r="Q1632" t="str">
            <v>1"</v>
          </cell>
          <cell r="R1632">
            <v>2</v>
          </cell>
          <cell r="S1632">
            <v>3.55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28.187000000000001</v>
          </cell>
          <cell r="AD1632">
            <v>0</v>
          </cell>
        </row>
        <row r="1633">
          <cell r="B1633" t="str">
            <v>Ref. Sup</v>
          </cell>
          <cell r="C1633">
            <v>1</v>
          </cell>
          <cell r="D1633">
            <v>1</v>
          </cell>
          <cell r="F1633">
            <v>2</v>
          </cell>
          <cell r="G1633">
            <v>4.1500000000000004</v>
          </cell>
          <cell r="Q1633" t="str">
            <v>1"</v>
          </cell>
          <cell r="R1633">
            <v>2</v>
          </cell>
          <cell r="S1633">
            <v>4.1500000000000004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32.951000000000008</v>
          </cell>
          <cell r="AD1633">
            <v>0</v>
          </cell>
        </row>
        <row r="1634">
          <cell r="B1634" t="str">
            <v>Ref. Sup</v>
          </cell>
          <cell r="C1634">
            <v>1</v>
          </cell>
          <cell r="D1634">
            <v>1</v>
          </cell>
          <cell r="F1634">
            <v>2</v>
          </cell>
          <cell r="G1634">
            <v>3.75</v>
          </cell>
          <cell r="Q1634" t="str">
            <v>1"</v>
          </cell>
          <cell r="R1634">
            <v>2</v>
          </cell>
          <cell r="S1634">
            <v>3.75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29.775000000000002</v>
          </cell>
          <cell r="AD1634">
            <v>0</v>
          </cell>
        </row>
        <row r="1635">
          <cell r="B1635" t="str">
            <v>Ref. Inf</v>
          </cell>
          <cell r="C1635">
            <v>1</v>
          </cell>
          <cell r="D1635">
            <v>1</v>
          </cell>
          <cell r="F1635">
            <v>3</v>
          </cell>
          <cell r="G1635">
            <v>4.2</v>
          </cell>
          <cell r="Q1635" t="str">
            <v>1"</v>
          </cell>
          <cell r="R1635">
            <v>3</v>
          </cell>
          <cell r="S1635">
            <v>4.2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50.022000000000006</v>
          </cell>
          <cell r="AD1635">
            <v>0</v>
          </cell>
        </row>
        <row r="1636">
          <cell r="B1636" t="str">
            <v>Est</v>
          </cell>
          <cell r="C1636">
            <v>1</v>
          </cell>
          <cell r="D1636">
            <v>1</v>
          </cell>
          <cell r="E1636">
            <v>8.1999999999999993</v>
          </cell>
          <cell r="F1636">
            <v>0.45</v>
          </cell>
          <cell r="G1636">
            <v>0.55000000000000004</v>
          </cell>
          <cell r="Q1636" t="str">
            <v>3/8"</v>
          </cell>
          <cell r="R1636">
            <v>118</v>
          </cell>
          <cell r="S1636">
            <v>2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132.16000000000003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</row>
        <row r="1637">
          <cell r="B1637" t="str">
            <v>Est</v>
          </cell>
          <cell r="C1637">
            <v>1</v>
          </cell>
          <cell r="D1637">
            <v>1</v>
          </cell>
          <cell r="E1637">
            <v>4.6500000000000004</v>
          </cell>
          <cell r="F1637">
            <v>0.25</v>
          </cell>
          <cell r="G1637">
            <v>0.55000000000000004</v>
          </cell>
          <cell r="Q1637" t="str">
            <v>3/8"</v>
          </cell>
          <cell r="R1637">
            <v>35</v>
          </cell>
          <cell r="S1637">
            <v>1.6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31.360000000000003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</row>
        <row r="1638">
          <cell r="C1638">
            <v>1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</row>
        <row r="1639">
          <cell r="B1639" t="str">
            <v xml:space="preserve">B1-VT-05 (.20x.55) </v>
          </cell>
          <cell r="C1639">
            <v>1</v>
          </cell>
          <cell r="D1639">
            <v>1</v>
          </cell>
          <cell r="E1639">
            <v>6</v>
          </cell>
          <cell r="F1639">
            <v>0.2</v>
          </cell>
          <cell r="G1639">
            <v>0.55000000000000004</v>
          </cell>
          <cell r="L1639">
            <v>0.66000000000000014</v>
          </cell>
          <cell r="M1639">
            <v>6</v>
          </cell>
          <cell r="N1639">
            <v>0.9</v>
          </cell>
          <cell r="O1639">
            <v>5.4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</row>
        <row r="1640">
          <cell r="B1640" t="str">
            <v>Acero Principal</v>
          </cell>
          <cell r="C1640">
            <v>1</v>
          </cell>
          <cell r="D1640">
            <v>1</v>
          </cell>
          <cell r="F1640">
            <v>4</v>
          </cell>
          <cell r="G1640">
            <v>6.65</v>
          </cell>
          <cell r="P1640" t="str">
            <v>H</v>
          </cell>
          <cell r="Q1640" t="str">
            <v>3/4"</v>
          </cell>
          <cell r="R1640">
            <v>4</v>
          </cell>
          <cell r="S1640">
            <v>7.5500000000000007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67.64800000000001</v>
          </cell>
          <cell r="AC1640">
            <v>0</v>
          </cell>
          <cell r="AD1640">
            <v>0</v>
          </cell>
        </row>
        <row r="1641">
          <cell r="B1641" t="str">
            <v>Ref. Inf</v>
          </cell>
          <cell r="C1641">
            <v>1</v>
          </cell>
          <cell r="D1641">
            <v>1</v>
          </cell>
          <cell r="F1641">
            <v>1</v>
          </cell>
          <cell r="G1641">
            <v>4.4000000000000004</v>
          </cell>
          <cell r="Q1641" t="str">
            <v>3/4"</v>
          </cell>
          <cell r="R1641">
            <v>1</v>
          </cell>
          <cell r="S1641">
            <v>4.4000000000000004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9.8560000000000016</v>
          </cell>
          <cell r="AC1641">
            <v>0</v>
          </cell>
          <cell r="AD1641">
            <v>0</v>
          </cell>
        </row>
        <row r="1642">
          <cell r="B1642" t="str">
            <v>Est</v>
          </cell>
          <cell r="C1642">
            <v>1</v>
          </cell>
          <cell r="D1642">
            <v>1</v>
          </cell>
          <cell r="E1642">
            <v>6</v>
          </cell>
          <cell r="F1642">
            <v>0.2</v>
          </cell>
          <cell r="G1642">
            <v>0.55000000000000004</v>
          </cell>
          <cell r="Q1642" t="str">
            <v>3/8"</v>
          </cell>
          <cell r="R1642">
            <v>36</v>
          </cell>
          <cell r="S1642">
            <v>1.5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30.240000000000002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</row>
        <row r="1643">
          <cell r="C1643">
            <v>1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</row>
        <row r="1644">
          <cell r="B1644" t="str">
            <v xml:space="preserve">B1-VT-07 (.25x.55) </v>
          </cell>
          <cell r="C1644">
            <v>1</v>
          </cell>
          <cell r="D1644">
            <v>1</v>
          </cell>
          <cell r="E1644">
            <v>6</v>
          </cell>
          <cell r="F1644">
            <v>0.25</v>
          </cell>
          <cell r="G1644">
            <v>0.55000000000000004</v>
          </cell>
          <cell r="L1644">
            <v>0.82500000000000007</v>
          </cell>
          <cell r="M1644">
            <v>6</v>
          </cell>
          <cell r="N1644">
            <v>0.95000000000000007</v>
          </cell>
          <cell r="O1644">
            <v>5.7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</row>
        <row r="1645">
          <cell r="B1645" t="str">
            <v>Acero Principal</v>
          </cell>
          <cell r="C1645">
            <v>1</v>
          </cell>
          <cell r="D1645">
            <v>1</v>
          </cell>
          <cell r="F1645">
            <v>4</v>
          </cell>
          <cell r="G1645">
            <v>8.5</v>
          </cell>
          <cell r="P1645" t="str">
            <v>H</v>
          </cell>
          <cell r="Q1645" t="str">
            <v>1"</v>
          </cell>
          <cell r="R1645">
            <v>4</v>
          </cell>
          <cell r="S1645">
            <v>9.4</v>
          </cell>
          <cell r="T1645">
            <v>1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169.91600000000003</v>
          </cell>
          <cell r="AD1645">
            <v>0</v>
          </cell>
        </row>
        <row r="1646">
          <cell r="B1646" t="str">
            <v>Ref. Sup</v>
          </cell>
          <cell r="C1646">
            <v>1</v>
          </cell>
          <cell r="D1646">
            <v>1</v>
          </cell>
          <cell r="F1646">
            <v>2</v>
          </cell>
          <cell r="G1646">
            <v>3.65</v>
          </cell>
          <cell r="Q1646" t="str">
            <v>1"</v>
          </cell>
          <cell r="R1646">
            <v>2</v>
          </cell>
          <cell r="S1646">
            <v>3.65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28.981000000000002</v>
          </cell>
          <cell r="AD1646">
            <v>0</v>
          </cell>
        </row>
        <row r="1647">
          <cell r="B1647" t="str">
            <v>Ref. Sup</v>
          </cell>
          <cell r="C1647">
            <v>1</v>
          </cell>
          <cell r="D1647">
            <v>1</v>
          </cell>
          <cell r="F1647">
            <v>1</v>
          </cell>
          <cell r="G1647">
            <v>3.25</v>
          </cell>
          <cell r="Q1647" t="str">
            <v>3/4"</v>
          </cell>
          <cell r="R1647">
            <v>1</v>
          </cell>
          <cell r="S1647">
            <v>3.25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7.2800000000000011</v>
          </cell>
          <cell r="AC1647">
            <v>0</v>
          </cell>
          <cell r="AD1647">
            <v>0</v>
          </cell>
        </row>
        <row r="1648">
          <cell r="B1648" t="str">
            <v>Ref. Sup</v>
          </cell>
          <cell r="C1648">
            <v>1</v>
          </cell>
          <cell r="D1648">
            <v>1</v>
          </cell>
          <cell r="F1648">
            <v>2</v>
          </cell>
          <cell r="G1648">
            <v>3.45</v>
          </cell>
          <cell r="Q1648" t="str">
            <v>1"</v>
          </cell>
          <cell r="R1648">
            <v>2</v>
          </cell>
          <cell r="S1648">
            <v>3.45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27.393000000000004</v>
          </cell>
          <cell r="AD1648">
            <v>0</v>
          </cell>
        </row>
        <row r="1649">
          <cell r="B1649" t="str">
            <v>Ref. Sup</v>
          </cell>
          <cell r="C1649">
            <v>1</v>
          </cell>
          <cell r="D1649">
            <v>1</v>
          </cell>
          <cell r="F1649">
            <v>1</v>
          </cell>
          <cell r="G1649">
            <v>2.95</v>
          </cell>
          <cell r="Q1649" t="str">
            <v>3/4"</v>
          </cell>
          <cell r="R1649">
            <v>1</v>
          </cell>
          <cell r="S1649">
            <v>2.95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6.6080000000000014</v>
          </cell>
          <cell r="AC1649">
            <v>0</v>
          </cell>
          <cell r="AD1649">
            <v>0</v>
          </cell>
        </row>
        <row r="1650">
          <cell r="B1650" t="str">
            <v>Ref. Inf</v>
          </cell>
          <cell r="C1650">
            <v>1</v>
          </cell>
          <cell r="D1650">
            <v>1</v>
          </cell>
          <cell r="F1650">
            <v>1</v>
          </cell>
          <cell r="G1650">
            <v>4</v>
          </cell>
          <cell r="Q1650" t="str">
            <v>3/4"</v>
          </cell>
          <cell r="R1650">
            <v>1</v>
          </cell>
          <cell r="S1650">
            <v>4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8.9600000000000009</v>
          </cell>
          <cell r="AC1650">
            <v>0</v>
          </cell>
          <cell r="AD1650">
            <v>0</v>
          </cell>
        </row>
        <row r="1651">
          <cell r="B1651" t="str">
            <v>Est</v>
          </cell>
          <cell r="C1651">
            <v>1</v>
          </cell>
          <cell r="D1651">
            <v>1</v>
          </cell>
          <cell r="E1651">
            <v>6</v>
          </cell>
          <cell r="F1651">
            <v>0.25</v>
          </cell>
          <cell r="G1651">
            <v>0.55000000000000004</v>
          </cell>
          <cell r="Q1651" t="str">
            <v>3/8"</v>
          </cell>
          <cell r="R1651">
            <v>46</v>
          </cell>
          <cell r="S1651">
            <v>1.6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41.216000000000008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</row>
        <row r="1652">
          <cell r="C1652">
            <v>1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</row>
        <row r="1653">
          <cell r="B1653" t="str">
            <v xml:space="preserve">B1-VT-08 (.40x.55) </v>
          </cell>
          <cell r="C1653">
            <v>1</v>
          </cell>
          <cell r="D1653">
            <v>1</v>
          </cell>
          <cell r="E1653">
            <v>2.85</v>
          </cell>
          <cell r="F1653">
            <v>0.4</v>
          </cell>
          <cell r="G1653">
            <v>0.55000000000000004</v>
          </cell>
          <cell r="L1653">
            <v>0.62700000000000011</v>
          </cell>
          <cell r="M1653">
            <v>2.85</v>
          </cell>
          <cell r="N1653">
            <v>1.1000000000000001</v>
          </cell>
          <cell r="O1653">
            <v>3.1350000000000002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</row>
        <row r="1654">
          <cell r="C1654">
            <v>1</v>
          </cell>
          <cell r="D1654">
            <v>1</v>
          </cell>
          <cell r="E1654">
            <v>7.1</v>
          </cell>
          <cell r="F1654">
            <v>0.4</v>
          </cell>
          <cell r="G1654">
            <v>0.55000000000000004</v>
          </cell>
          <cell r="L1654">
            <v>1.5620000000000001</v>
          </cell>
          <cell r="M1654">
            <v>7.1</v>
          </cell>
          <cell r="N1654">
            <v>1.1000000000000001</v>
          </cell>
          <cell r="O1654">
            <v>7.8100000000000005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</row>
        <row r="1655">
          <cell r="C1655">
            <v>1</v>
          </cell>
          <cell r="D1655">
            <v>1</v>
          </cell>
          <cell r="E1655">
            <v>2.7</v>
          </cell>
          <cell r="F1655">
            <v>0.4</v>
          </cell>
          <cell r="G1655">
            <v>0.55000000000000004</v>
          </cell>
          <cell r="L1655">
            <v>0.59400000000000008</v>
          </cell>
          <cell r="M1655">
            <v>2.7</v>
          </cell>
          <cell r="N1655">
            <v>1.1000000000000001</v>
          </cell>
          <cell r="O1655">
            <v>2.9700000000000006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</row>
        <row r="1656">
          <cell r="B1656" t="str">
            <v>Acero Principal</v>
          </cell>
          <cell r="C1656">
            <v>1</v>
          </cell>
          <cell r="D1656">
            <v>1</v>
          </cell>
          <cell r="F1656">
            <v>10</v>
          </cell>
          <cell r="G1656">
            <v>14.35</v>
          </cell>
          <cell r="P1656" t="str">
            <v>H</v>
          </cell>
          <cell r="Q1656" t="str">
            <v>3/4"</v>
          </cell>
          <cell r="R1656">
            <v>10</v>
          </cell>
          <cell r="S1656">
            <v>15.25</v>
          </cell>
          <cell r="T1656">
            <v>1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359.52000000000004</v>
          </cell>
          <cell r="AC1656">
            <v>0</v>
          </cell>
          <cell r="AD1656">
            <v>0</v>
          </cell>
        </row>
        <row r="1657">
          <cell r="B1657" t="str">
            <v>Ref. Sup</v>
          </cell>
          <cell r="C1657">
            <v>1</v>
          </cell>
          <cell r="D1657">
            <v>1</v>
          </cell>
          <cell r="F1657">
            <v>1</v>
          </cell>
          <cell r="G1657">
            <v>1.8</v>
          </cell>
          <cell r="Q1657" t="str">
            <v>3/4"</v>
          </cell>
          <cell r="R1657">
            <v>1</v>
          </cell>
          <cell r="S1657">
            <v>1.8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4.0320000000000009</v>
          </cell>
          <cell r="AC1657">
            <v>0</v>
          </cell>
          <cell r="AD1657">
            <v>0</v>
          </cell>
        </row>
        <row r="1658">
          <cell r="B1658" t="str">
            <v>Ref. Sup</v>
          </cell>
          <cell r="C1658">
            <v>1</v>
          </cell>
          <cell r="D1658">
            <v>1</v>
          </cell>
          <cell r="F1658">
            <v>1</v>
          </cell>
          <cell r="G1658">
            <v>4.6500000000000004</v>
          </cell>
          <cell r="Q1658" t="str">
            <v>1"</v>
          </cell>
          <cell r="R1658">
            <v>1</v>
          </cell>
          <cell r="S1658">
            <v>4.6500000000000004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18.460500000000003</v>
          </cell>
          <cell r="AD1658">
            <v>0</v>
          </cell>
        </row>
        <row r="1659">
          <cell r="B1659" t="str">
            <v>Ref. Sup</v>
          </cell>
          <cell r="C1659">
            <v>1</v>
          </cell>
          <cell r="D1659">
            <v>1</v>
          </cell>
          <cell r="F1659">
            <v>1</v>
          </cell>
          <cell r="G1659">
            <v>2.6</v>
          </cell>
          <cell r="Q1659" t="str">
            <v>1"</v>
          </cell>
          <cell r="R1659">
            <v>1</v>
          </cell>
          <cell r="S1659">
            <v>2.6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10.322000000000001</v>
          </cell>
          <cell r="AD1659">
            <v>0</v>
          </cell>
        </row>
        <row r="1660">
          <cell r="B1660" t="str">
            <v>Ref. Sup</v>
          </cell>
          <cell r="C1660">
            <v>1</v>
          </cell>
          <cell r="D1660">
            <v>1</v>
          </cell>
          <cell r="F1660">
            <v>2</v>
          </cell>
          <cell r="G1660">
            <v>4.45</v>
          </cell>
          <cell r="Q1660" t="str">
            <v>1"</v>
          </cell>
          <cell r="R1660">
            <v>2</v>
          </cell>
          <cell r="S1660">
            <v>4.45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35.333000000000006</v>
          </cell>
          <cell r="AD1660">
            <v>0</v>
          </cell>
        </row>
        <row r="1661">
          <cell r="B1661" t="str">
            <v>Ref. Sup</v>
          </cell>
          <cell r="C1661">
            <v>1</v>
          </cell>
          <cell r="D1661">
            <v>1</v>
          </cell>
          <cell r="F1661">
            <v>1</v>
          </cell>
          <cell r="G1661">
            <v>4.05</v>
          </cell>
          <cell r="Q1661" t="str">
            <v>1"</v>
          </cell>
          <cell r="R1661">
            <v>1</v>
          </cell>
          <cell r="S1661">
            <v>4.05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16.078500000000002</v>
          </cell>
          <cell r="AD1661">
            <v>0</v>
          </cell>
        </row>
        <row r="1662">
          <cell r="B1662" t="str">
            <v>Ref. Inf</v>
          </cell>
          <cell r="C1662">
            <v>1</v>
          </cell>
          <cell r="D1662">
            <v>1</v>
          </cell>
          <cell r="F1662">
            <v>1</v>
          </cell>
          <cell r="G1662">
            <v>1.55</v>
          </cell>
          <cell r="Q1662" t="str">
            <v>3/4"</v>
          </cell>
          <cell r="R1662">
            <v>1</v>
          </cell>
          <cell r="S1662">
            <v>1.55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3.4720000000000004</v>
          </cell>
          <cell r="AC1662">
            <v>0</v>
          </cell>
          <cell r="AD1662">
            <v>0</v>
          </cell>
        </row>
        <row r="1663">
          <cell r="B1663" t="str">
            <v>Ref. Inf</v>
          </cell>
          <cell r="C1663">
            <v>1</v>
          </cell>
          <cell r="D1663">
            <v>1</v>
          </cell>
          <cell r="F1663">
            <v>1</v>
          </cell>
          <cell r="G1663">
            <v>10.3</v>
          </cell>
          <cell r="Q1663" t="str">
            <v>3/4"</v>
          </cell>
          <cell r="R1663">
            <v>1</v>
          </cell>
          <cell r="S1663">
            <v>10.3</v>
          </cell>
          <cell r="T1663">
            <v>1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23.072000000000003</v>
          </cell>
          <cell r="AC1663">
            <v>0</v>
          </cell>
          <cell r="AD1663">
            <v>0</v>
          </cell>
        </row>
        <row r="1664">
          <cell r="B1664" t="str">
            <v>Est</v>
          </cell>
          <cell r="C1664">
            <v>1</v>
          </cell>
          <cell r="D1664">
            <v>1</v>
          </cell>
          <cell r="E1664">
            <v>2.85</v>
          </cell>
          <cell r="F1664">
            <v>0.4</v>
          </cell>
          <cell r="G1664">
            <v>0.55000000000000004</v>
          </cell>
          <cell r="Q1664" t="str">
            <v>3/8"</v>
          </cell>
          <cell r="R1664">
            <v>26</v>
          </cell>
          <cell r="S1664">
            <v>1.9000000000000001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27.664000000000005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</row>
        <row r="1665">
          <cell r="B1665" t="str">
            <v>Est</v>
          </cell>
          <cell r="C1665">
            <v>1</v>
          </cell>
          <cell r="D1665">
            <v>1</v>
          </cell>
          <cell r="E1665">
            <v>7.1</v>
          </cell>
          <cell r="F1665">
            <v>0.4</v>
          </cell>
          <cell r="G1665">
            <v>0.55000000000000004</v>
          </cell>
          <cell r="Q1665" t="str">
            <v>3/8"</v>
          </cell>
          <cell r="R1665">
            <v>47</v>
          </cell>
          <cell r="S1665">
            <v>1.9000000000000001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50.00800000000001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</row>
        <row r="1666">
          <cell r="B1666" t="str">
            <v>Est</v>
          </cell>
          <cell r="C1666">
            <v>1</v>
          </cell>
          <cell r="D1666">
            <v>1</v>
          </cell>
          <cell r="E1666">
            <v>2.7</v>
          </cell>
          <cell r="F1666">
            <v>0.4</v>
          </cell>
          <cell r="G1666">
            <v>0.55000000000000004</v>
          </cell>
          <cell r="Q1666" t="str">
            <v>3/8"</v>
          </cell>
          <cell r="R1666">
            <v>25</v>
          </cell>
          <cell r="S1666">
            <v>1.9000000000000001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26.6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</row>
        <row r="1667">
          <cell r="C1667">
            <v>1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</row>
        <row r="1668">
          <cell r="B1668" t="str">
            <v xml:space="preserve">B1-VT-09 (.30x.55) </v>
          </cell>
          <cell r="C1668">
            <v>1</v>
          </cell>
          <cell r="D1668">
            <v>1</v>
          </cell>
          <cell r="E1668">
            <v>5.6</v>
          </cell>
          <cell r="F1668">
            <v>0.3</v>
          </cell>
          <cell r="G1668">
            <v>0.55000000000000004</v>
          </cell>
          <cell r="L1668">
            <v>0.92400000000000004</v>
          </cell>
          <cell r="M1668">
            <v>5.6</v>
          </cell>
          <cell r="N1668">
            <v>1</v>
          </cell>
          <cell r="O1668">
            <v>5.6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</row>
        <row r="1669">
          <cell r="B1669" t="str">
            <v>Acero Principal</v>
          </cell>
          <cell r="C1669">
            <v>1</v>
          </cell>
          <cell r="D1669">
            <v>1</v>
          </cell>
          <cell r="F1669">
            <v>4</v>
          </cell>
          <cell r="G1669">
            <v>6.05</v>
          </cell>
          <cell r="P1669" t="str">
            <v>H</v>
          </cell>
          <cell r="Q1669" t="str">
            <v>1"</v>
          </cell>
          <cell r="R1669">
            <v>4</v>
          </cell>
          <cell r="S1669">
            <v>6.95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110.36600000000001</v>
          </cell>
          <cell r="AD1669">
            <v>0</v>
          </cell>
        </row>
        <row r="1670">
          <cell r="B1670" t="str">
            <v>Est</v>
          </cell>
          <cell r="C1670">
            <v>1</v>
          </cell>
          <cell r="D1670">
            <v>1</v>
          </cell>
          <cell r="E1670">
            <v>5.6</v>
          </cell>
          <cell r="F1670">
            <v>0.3</v>
          </cell>
          <cell r="G1670">
            <v>0.55000000000000004</v>
          </cell>
          <cell r="Q1670" t="str">
            <v>3/8"</v>
          </cell>
          <cell r="R1670">
            <v>40</v>
          </cell>
          <cell r="S1670">
            <v>1.7000000000000002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38.080000000000005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</row>
        <row r="1671">
          <cell r="C1671">
            <v>1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</row>
        <row r="1672">
          <cell r="B1672" t="str">
            <v xml:space="preserve">B1-VT-11 (.40x.55) </v>
          </cell>
          <cell r="C1672">
            <v>1</v>
          </cell>
          <cell r="D1672">
            <v>1</v>
          </cell>
          <cell r="E1672">
            <v>3.15</v>
          </cell>
          <cell r="F1672">
            <v>0.4</v>
          </cell>
          <cell r="G1672">
            <v>0.55000000000000004</v>
          </cell>
          <cell r="L1672">
            <v>0.69300000000000006</v>
          </cell>
          <cell r="M1672">
            <v>3.15</v>
          </cell>
          <cell r="N1672">
            <v>1.1000000000000001</v>
          </cell>
          <cell r="O1672">
            <v>3.4650000000000003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</row>
        <row r="1673">
          <cell r="C1673">
            <v>1</v>
          </cell>
          <cell r="D1673">
            <v>1</v>
          </cell>
          <cell r="E1673">
            <v>7.25</v>
          </cell>
          <cell r="F1673">
            <v>0.4</v>
          </cell>
          <cell r="G1673">
            <v>0.55000000000000004</v>
          </cell>
          <cell r="L1673">
            <v>1.5950000000000004</v>
          </cell>
          <cell r="M1673">
            <v>7.25</v>
          </cell>
          <cell r="N1673">
            <v>1.1000000000000001</v>
          </cell>
          <cell r="O1673">
            <v>7.9750000000000005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</row>
        <row r="1674">
          <cell r="C1674">
            <v>1</v>
          </cell>
          <cell r="D1674">
            <v>1</v>
          </cell>
          <cell r="E1674">
            <v>6.1</v>
          </cell>
          <cell r="F1674">
            <v>0.4</v>
          </cell>
          <cell r="G1674">
            <v>0.55000000000000004</v>
          </cell>
          <cell r="L1674">
            <v>1.3420000000000001</v>
          </cell>
          <cell r="M1674">
            <v>6.1</v>
          </cell>
          <cell r="N1674">
            <v>1.1000000000000001</v>
          </cell>
          <cell r="O1674">
            <v>6.71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</row>
        <row r="1675">
          <cell r="B1675" t="str">
            <v>Acero Principal</v>
          </cell>
          <cell r="C1675">
            <v>1</v>
          </cell>
          <cell r="D1675">
            <v>1</v>
          </cell>
          <cell r="F1675">
            <v>4</v>
          </cell>
          <cell r="G1675">
            <v>20.149999999999999</v>
          </cell>
          <cell r="P1675" t="str">
            <v>H</v>
          </cell>
          <cell r="Q1675" t="str">
            <v>1"</v>
          </cell>
          <cell r="R1675">
            <v>4</v>
          </cell>
          <cell r="S1675">
            <v>21.049999999999997</v>
          </cell>
          <cell r="T1675">
            <v>2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375.56200000000001</v>
          </cell>
          <cell r="AD1675">
            <v>0</v>
          </cell>
        </row>
        <row r="1676">
          <cell r="B1676" t="str">
            <v>Acero Principal</v>
          </cell>
          <cell r="C1676">
            <v>1</v>
          </cell>
          <cell r="D1676">
            <v>1</v>
          </cell>
          <cell r="F1676">
            <v>4</v>
          </cell>
          <cell r="G1676">
            <v>20.149999999999999</v>
          </cell>
          <cell r="P1676" t="str">
            <v>H</v>
          </cell>
          <cell r="Q1676" t="str">
            <v>3/4"</v>
          </cell>
          <cell r="R1676">
            <v>4</v>
          </cell>
          <cell r="S1676">
            <v>21.049999999999997</v>
          </cell>
          <cell r="T1676">
            <v>2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202.94400000000002</v>
          </cell>
          <cell r="AC1676">
            <v>0</v>
          </cell>
          <cell r="AD1676">
            <v>0</v>
          </cell>
        </row>
        <row r="1677">
          <cell r="B1677" t="str">
            <v>Ref. Sup</v>
          </cell>
          <cell r="C1677">
            <v>1</v>
          </cell>
          <cell r="D1677">
            <v>1</v>
          </cell>
          <cell r="F1677">
            <v>2</v>
          </cell>
          <cell r="G1677">
            <v>4.7</v>
          </cell>
          <cell r="Q1677" t="str">
            <v>1"</v>
          </cell>
          <cell r="R1677">
            <v>2</v>
          </cell>
          <cell r="S1677">
            <v>4.7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37.318000000000005</v>
          </cell>
          <cell r="AD1677">
            <v>0</v>
          </cell>
        </row>
        <row r="1678">
          <cell r="B1678" t="str">
            <v>Ref. Sup</v>
          </cell>
          <cell r="C1678">
            <v>1</v>
          </cell>
          <cell r="D1678">
            <v>1</v>
          </cell>
          <cell r="F1678">
            <v>2</v>
          </cell>
          <cell r="G1678">
            <v>4.05</v>
          </cell>
          <cell r="Q1678" t="str">
            <v>1"</v>
          </cell>
          <cell r="R1678">
            <v>2</v>
          </cell>
          <cell r="S1678">
            <v>4.05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32.157000000000004</v>
          </cell>
          <cell r="AD1678">
            <v>0</v>
          </cell>
        </row>
        <row r="1679">
          <cell r="B1679" t="str">
            <v>Ref. Sup</v>
          </cell>
          <cell r="C1679">
            <v>1</v>
          </cell>
          <cell r="D1679">
            <v>1</v>
          </cell>
          <cell r="F1679">
            <v>1</v>
          </cell>
          <cell r="G1679">
            <v>7.15</v>
          </cell>
          <cell r="Q1679" t="str">
            <v>1"</v>
          </cell>
          <cell r="R1679">
            <v>1</v>
          </cell>
          <cell r="S1679">
            <v>7.15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28.385500000000004</v>
          </cell>
          <cell r="AD1679">
            <v>0</v>
          </cell>
        </row>
        <row r="1680">
          <cell r="B1680" t="str">
            <v>Ref. Inf</v>
          </cell>
          <cell r="C1680">
            <v>1</v>
          </cell>
          <cell r="D1680">
            <v>1</v>
          </cell>
          <cell r="F1680">
            <v>1</v>
          </cell>
          <cell r="G1680">
            <v>4.45</v>
          </cell>
          <cell r="Q1680" t="str">
            <v>3/4"</v>
          </cell>
          <cell r="R1680">
            <v>1</v>
          </cell>
          <cell r="S1680">
            <v>4.45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9.9680000000000017</v>
          </cell>
          <cell r="AC1680">
            <v>0</v>
          </cell>
          <cell r="AD1680">
            <v>0</v>
          </cell>
        </row>
        <row r="1681">
          <cell r="B1681" t="str">
            <v>Est</v>
          </cell>
          <cell r="C1681">
            <v>1</v>
          </cell>
          <cell r="D1681">
            <v>1</v>
          </cell>
          <cell r="E1681">
            <v>3.15</v>
          </cell>
          <cell r="F1681">
            <v>0.4</v>
          </cell>
          <cell r="G1681">
            <v>0.55000000000000004</v>
          </cell>
          <cell r="Q1681" t="str">
            <v>3/8"</v>
          </cell>
          <cell r="R1681">
            <v>27</v>
          </cell>
          <cell r="S1681">
            <v>1.9000000000000001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28.728000000000005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</row>
        <row r="1682">
          <cell r="B1682" t="str">
            <v>Est</v>
          </cell>
          <cell r="C1682">
            <v>1</v>
          </cell>
          <cell r="D1682">
            <v>1</v>
          </cell>
          <cell r="E1682">
            <v>7.25</v>
          </cell>
          <cell r="F1682">
            <v>0.4</v>
          </cell>
          <cell r="G1682">
            <v>0.55000000000000004</v>
          </cell>
          <cell r="Q1682" t="str">
            <v>3/8"</v>
          </cell>
          <cell r="R1682">
            <v>48</v>
          </cell>
          <cell r="S1682">
            <v>1.9000000000000001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51.07200000000001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</row>
        <row r="1683">
          <cell r="B1683" t="str">
            <v>Est</v>
          </cell>
          <cell r="C1683">
            <v>1</v>
          </cell>
          <cell r="D1683">
            <v>1</v>
          </cell>
          <cell r="E1683">
            <v>6.1</v>
          </cell>
          <cell r="F1683">
            <v>0.4</v>
          </cell>
          <cell r="G1683">
            <v>0.55000000000000004</v>
          </cell>
          <cell r="Q1683" t="str">
            <v>3/8"</v>
          </cell>
          <cell r="R1683">
            <v>42</v>
          </cell>
          <cell r="S1683">
            <v>1.9000000000000001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44.688000000000009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</row>
        <row r="1684">
          <cell r="C1684">
            <v>1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</row>
        <row r="1685">
          <cell r="B1685" t="str">
            <v>B1-VT-12 (.20x.55)</v>
          </cell>
          <cell r="C1685">
            <v>1</v>
          </cell>
          <cell r="D1685">
            <v>1</v>
          </cell>
          <cell r="E1685">
            <v>1.9</v>
          </cell>
          <cell r="F1685">
            <v>0.2</v>
          </cell>
          <cell r="G1685">
            <v>0.55000000000000004</v>
          </cell>
          <cell r="L1685">
            <v>0.20900000000000002</v>
          </cell>
          <cell r="M1685">
            <v>1.9</v>
          </cell>
          <cell r="N1685">
            <v>0.9</v>
          </cell>
          <cell r="O1685">
            <v>1.71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</row>
        <row r="1686">
          <cell r="B1686" t="str">
            <v>Acero Principal</v>
          </cell>
          <cell r="C1686">
            <v>1</v>
          </cell>
          <cell r="D1686">
            <v>1</v>
          </cell>
          <cell r="F1686">
            <v>4</v>
          </cell>
          <cell r="G1686">
            <v>3</v>
          </cell>
          <cell r="P1686" t="str">
            <v>H</v>
          </cell>
          <cell r="Q1686" t="str">
            <v>3/4"</v>
          </cell>
          <cell r="R1686">
            <v>4</v>
          </cell>
          <cell r="S1686">
            <v>3.9000000000000004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34.94400000000001</v>
          </cell>
          <cell r="AC1686">
            <v>0</v>
          </cell>
          <cell r="AD1686">
            <v>0</v>
          </cell>
        </row>
        <row r="1687">
          <cell r="B1687" t="str">
            <v>Ref. Sup</v>
          </cell>
          <cell r="C1687">
            <v>1</v>
          </cell>
          <cell r="D1687">
            <v>1</v>
          </cell>
          <cell r="F1687">
            <v>2</v>
          </cell>
          <cell r="G1687">
            <v>2.2000000000000002</v>
          </cell>
          <cell r="Q1687" t="str">
            <v>3/4"</v>
          </cell>
          <cell r="R1687">
            <v>2</v>
          </cell>
          <cell r="S1687">
            <v>2.2000000000000002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9.8560000000000016</v>
          </cell>
          <cell r="AC1687">
            <v>0</v>
          </cell>
          <cell r="AD1687">
            <v>0</v>
          </cell>
        </row>
        <row r="1688">
          <cell r="B1688" t="str">
            <v>Ref. Sup</v>
          </cell>
          <cell r="C1688">
            <v>1</v>
          </cell>
          <cell r="D1688">
            <v>1</v>
          </cell>
          <cell r="F1688">
            <v>1</v>
          </cell>
          <cell r="G1688">
            <v>2.2000000000000002</v>
          </cell>
          <cell r="Q1688" t="str">
            <v>5/8"</v>
          </cell>
          <cell r="R1688">
            <v>1</v>
          </cell>
          <cell r="S1688">
            <v>2.2000000000000002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3.4100000000000006</v>
          </cell>
          <cell r="AB1688">
            <v>0</v>
          </cell>
          <cell r="AC1688">
            <v>0</v>
          </cell>
          <cell r="AD1688">
            <v>0</v>
          </cell>
        </row>
        <row r="1689">
          <cell r="B1689" t="str">
            <v>Est</v>
          </cell>
          <cell r="C1689">
            <v>1</v>
          </cell>
          <cell r="D1689">
            <v>1</v>
          </cell>
          <cell r="E1689">
            <v>1.9</v>
          </cell>
          <cell r="F1689">
            <v>0.2</v>
          </cell>
          <cell r="G1689">
            <v>0.55000000000000004</v>
          </cell>
          <cell r="Q1689" t="str">
            <v>3/8"</v>
          </cell>
          <cell r="R1689">
            <v>21</v>
          </cell>
          <cell r="S1689">
            <v>1.5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17.64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</row>
        <row r="1690">
          <cell r="C1690">
            <v>1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</row>
        <row r="1691">
          <cell r="B1691" t="str">
            <v>B1-VT-15 (.30x.55)</v>
          </cell>
          <cell r="C1691">
            <v>1</v>
          </cell>
          <cell r="D1691">
            <v>1</v>
          </cell>
          <cell r="E1691">
            <v>7.4</v>
          </cell>
          <cell r="F1691">
            <v>0.3</v>
          </cell>
          <cell r="G1691">
            <v>0.55000000000000004</v>
          </cell>
          <cell r="L1691">
            <v>1.2210000000000003</v>
          </cell>
          <cell r="M1691">
            <v>7.4</v>
          </cell>
          <cell r="N1691">
            <v>1</v>
          </cell>
          <cell r="O1691">
            <v>7.4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</row>
        <row r="1692">
          <cell r="C1692">
            <v>1</v>
          </cell>
          <cell r="D1692">
            <v>1</v>
          </cell>
          <cell r="E1692">
            <v>2.7</v>
          </cell>
          <cell r="F1692">
            <v>0.3</v>
          </cell>
          <cell r="G1692">
            <v>0.55000000000000004</v>
          </cell>
          <cell r="L1692">
            <v>0.44550000000000006</v>
          </cell>
          <cell r="M1692">
            <v>2.7</v>
          </cell>
          <cell r="N1692">
            <v>1</v>
          </cell>
          <cell r="O1692">
            <v>2.7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</row>
        <row r="1693">
          <cell r="B1693" t="str">
            <v>Acero Principal</v>
          </cell>
          <cell r="C1693">
            <v>1</v>
          </cell>
          <cell r="D1693">
            <v>1</v>
          </cell>
          <cell r="F1693">
            <v>4</v>
          </cell>
          <cell r="G1693">
            <v>11.05</v>
          </cell>
          <cell r="P1693" t="str">
            <v>H</v>
          </cell>
          <cell r="Q1693" t="str">
            <v>1"</v>
          </cell>
          <cell r="R1693">
            <v>4</v>
          </cell>
          <cell r="S1693">
            <v>11.950000000000001</v>
          </cell>
          <cell r="T1693">
            <v>1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210.41000000000003</v>
          </cell>
          <cell r="AD1693">
            <v>0</v>
          </cell>
        </row>
        <row r="1694">
          <cell r="B1694" t="str">
            <v>Ref. Sup</v>
          </cell>
          <cell r="C1694">
            <v>1</v>
          </cell>
          <cell r="D1694">
            <v>1</v>
          </cell>
          <cell r="F1694">
            <v>1</v>
          </cell>
          <cell r="G1694">
            <v>5.85</v>
          </cell>
          <cell r="Q1694" t="str">
            <v>1"</v>
          </cell>
          <cell r="R1694">
            <v>1</v>
          </cell>
          <cell r="S1694">
            <v>6.75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26.797500000000003</v>
          </cell>
          <cell r="AD1694">
            <v>0</v>
          </cell>
        </row>
        <row r="1695">
          <cell r="B1695" t="str">
            <v>Ref. Sup</v>
          </cell>
          <cell r="C1695">
            <v>1</v>
          </cell>
          <cell r="D1695">
            <v>1</v>
          </cell>
          <cell r="F1695">
            <v>2</v>
          </cell>
          <cell r="G1695">
            <v>5.45</v>
          </cell>
          <cell r="Q1695" t="str">
            <v>1"</v>
          </cell>
          <cell r="R1695">
            <v>2</v>
          </cell>
          <cell r="S1695">
            <v>6.3500000000000005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50.419000000000004</v>
          </cell>
          <cell r="AD1695">
            <v>0</v>
          </cell>
        </row>
        <row r="1696">
          <cell r="B1696" t="str">
            <v>Ref. Inf</v>
          </cell>
          <cell r="C1696">
            <v>1</v>
          </cell>
          <cell r="D1696">
            <v>1</v>
          </cell>
          <cell r="F1696">
            <v>3</v>
          </cell>
          <cell r="G1696">
            <v>7.05</v>
          </cell>
          <cell r="Q1696" t="str">
            <v>1"</v>
          </cell>
          <cell r="R1696">
            <v>3</v>
          </cell>
          <cell r="S1696">
            <v>7.05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83.965499999999992</v>
          </cell>
          <cell r="AD1696">
            <v>0</v>
          </cell>
        </row>
        <row r="1697">
          <cell r="B1697" t="str">
            <v>Est</v>
          </cell>
          <cell r="C1697">
            <v>1</v>
          </cell>
          <cell r="D1697">
            <v>1</v>
          </cell>
          <cell r="E1697">
            <v>7.4</v>
          </cell>
          <cell r="F1697">
            <v>0.3</v>
          </cell>
          <cell r="G1697">
            <v>0.55000000000000004</v>
          </cell>
          <cell r="Q1697" t="str">
            <v>3/8"</v>
          </cell>
          <cell r="R1697">
            <v>49</v>
          </cell>
          <cell r="S1697">
            <v>1.7000000000000002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46.64800000000001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</row>
        <row r="1698">
          <cell r="B1698" t="str">
            <v>Est</v>
          </cell>
          <cell r="C1698">
            <v>1</v>
          </cell>
          <cell r="D1698">
            <v>1</v>
          </cell>
          <cell r="E1698">
            <v>2.7</v>
          </cell>
          <cell r="F1698">
            <v>0.3</v>
          </cell>
          <cell r="G1698">
            <v>0.55000000000000004</v>
          </cell>
          <cell r="Q1698" t="str">
            <v>3/8"</v>
          </cell>
          <cell r="R1698">
            <v>25</v>
          </cell>
          <cell r="S1698">
            <v>1.7000000000000002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23.800000000000008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</row>
        <row r="1699">
          <cell r="C1699">
            <v>1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</row>
        <row r="1700"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</row>
        <row r="1701">
          <cell r="B1701" t="str">
            <v>AZOTEA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</row>
        <row r="1702"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</row>
        <row r="1703">
          <cell r="C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</row>
        <row r="1704">
          <cell r="B1704" t="str">
            <v xml:space="preserve">B1-VA-01 (.25x.55) </v>
          </cell>
          <cell r="C1704">
            <v>1</v>
          </cell>
          <cell r="D1704">
            <v>1</v>
          </cell>
          <cell r="E1704">
            <v>5.3</v>
          </cell>
          <cell r="F1704">
            <v>0.25</v>
          </cell>
          <cell r="G1704">
            <v>0.55000000000000004</v>
          </cell>
          <cell r="L1704">
            <v>0.72875000000000001</v>
          </cell>
          <cell r="M1704">
            <v>5.3</v>
          </cell>
          <cell r="N1704">
            <v>0.95000000000000007</v>
          </cell>
          <cell r="O1704">
            <v>5.0350000000000001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</row>
        <row r="1705">
          <cell r="B1705" t="str">
            <v>Acero Principal</v>
          </cell>
          <cell r="C1705">
            <v>1</v>
          </cell>
          <cell r="D1705">
            <v>1</v>
          </cell>
          <cell r="F1705">
            <v>4</v>
          </cell>
          <cell r="G1705">
            <v>5.95</v>
          </cell>
          <cell r="P1705" t="str">
            <v>H</v>
          </cell>
          <cell r="Q1705" t="str">
            <v>5/8"</v>
          </cell>
          <cell r="R1705">
            <v>4</v>
          </cell>
          <cell r="S1705">
            <v>6.8500000000000005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42.470000000000006</v>
          </cell>
          <cell r="AB1705">
            <v>0</v>
          </cell>
          <cell r="AC1705">
            <v>0</v>
          </cell>
          <cell r="AD1705">
            <v>0</v>
          </cell>
        </row>
        <row r="1706">
          <cell r="B1706" t="str">
            <v>Ref. Inf</v>
          </cell>
          <cell r="C1706">
            <v>1</v>
          </cell>
          <cell r="D1706">
            <v>1</v>
          </cell>
          <cell r="F1706">
            <v>1</v>
          </cell>
          <cell r="G1706">
            <v>5.0999999999999996</v>
          </cell>
          <cell r="Q1706" t="str">
            <v>5/8"</v>
          </cell>
          <cell r="R1706">
            <v>1</v>
          </cell>
          <cell r="S1706">
            <v>5.0999999999999996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7.9049999999999994</v>
          </cell>
          <cell r="AB1706">
            <v>0</v>
          </cell>
          <cell r="AC1706">
            <v>0</v>
          </cell>
          <cell r="AD1706">
            <v>0</v>
          </cell>
        </row>
        <row r="1707">
          <cell r="B1707" t="str">
            <v>Est</v>
          </cell>
          <cell r="C1707">
            <v>1</v>
          </cell>
          <cell r="D1707">
            <v>1</v>
          </cell>
          <cell r="E1707">
            <v>5.3</v>
          </cell>
          <cell r="F1707">
            <v>0.25</v>
          </cell>
          <cell r="G1707">
            <v>0.55000000000000004</v>
          </cell>
          <cell r="Q1707" t="str">
            <v>3/8"</v>
          </cell>
          <cell r="R1707">
            <v>32</v>
          </cell>
          <cell r="S1707">
            <v>1.6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28.672000000000004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</row>
        <row r="1708">
          <cell r="C1708">
            <v>1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</row>
        <row r="1709">
          <cell r="B1709" t="str">
            <v xml:space="preserve">B1-VA-02 (.25x.55) </v>
          </cell>
          <cell r="C1709">
            <v>1</v>
          </cell>
          <cell r="D1709">
            <v>1</v>
          </cell>
          <cell r="E1709">
            <v>6.55</v>
          </cell>
          <cell r="F1709">
            <v>0.25</v>
          </cell>
          <cell r="G1709">
            <v>0.55000000000000004</v>
          </cell>
          <cell r="L1709">
            <v>0.90062500000000001</v>
          </cell>
          <cell r="M1709">
            <v>6.55</v>
          </cell>
          <cell r="N1709">
            <v>0.95000000000000007</v>
          </cell>
          <cell r="O1709">
            <v>6.2225000000000001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</row>
        <row r="1710">
          <cell r="B1710" t="str">
            <v>Acero Principal</v>
          </cell>
          <cell r="C1710">
            <v>1</v>
          </cell>
          <cell r="D1710">
            <v>1</v>
          </cell>
          <cell r="F1710">
            <v>4</v>
          </cell>
          <cell r="G1710">
            <v>7.2</v>
          </cell>
          <cell r="P1710" t="str">
            <v>H</v>
          </cell>
          <cell r="Q1710" t="str">
            <v>5/8"</v>
          </cell>
          <cell r="R1710">
            <v>4</v>
          </cell>
          <cell r="S1710">
            <v>8.1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50.22</v>
          </cell>
          <cell r="AB1710">
            <v>0</v>
          </cell>
          <cell r="AC1710">
            <v>0</v>
          </cell>
          <cell r="AD1710">
            <v>0</v>
          </cell>
        </row>
        <row r="1711">
          <cell r="B1711" t="str">
            <v>Ref. Inf</v>
          </cell>
          <cell r="C1711">
            <v>1</v>
          </cell>
          <cell r="D1711">
            <v>1</v>
          </cell>
          <cell r="F1711">
            <v>2</v>
          </cell>
          <cell r="G1711">
            <v>6.2</v>
          </cell>
          <cell r="Q1711" t="str">
            <v>5/8"</v>
          </cell>
          <cell r="R1711">
            <v>2</v>
          </cell>
          <cell r="S1711">
            <v>6.2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19.220000000000002</v>
          </cell>
          <cell r="AB1711">
            <v>0</v>
          </cell>
          <cell r="AC1711">
            <v>0</v>
          </cell>
          <cell r="AD1711">
            <v>0</v>
          </cell>
        </row>
        <row r="1712">
          <cell r="B1712" t="str">
            <v>Est</v>
          </cell>
          <cell r="C1712">
            <v>1</v>
          </cell>
          <cell r="D1712">
            <v>1</v>
          </cell>
          <cell r="E1712">
            <v>6.55</v>
          </cell>
          <cell r="F1712">
            <v>0.25</v>
          </cell>
          <cell r="G1712">
            <v>0.55000000000000004</v>
          </cell>
          <cell r="Q1712" t="str">
            <v>3/8"</v>
          </cell>
          <cell r="R1712">
            <v>38</v>
          </cell>
          <cell r="S1712">
            <v>1.6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34.048000000000009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</row>
        <row r="1713">
          <cell r="C1713">
            <v>1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</row>
        <row r="1714">
          <cell r="B1714" t="str">
            <v xml:space="preserve">B1-VA-03 (.25x.55) </v>
          </cell>
          <cell r="C1714">
            <v>1</v>
          </cell>
          <cell r="D1714">
            <v>1</v>
          </cell>
          <cell r="E1714">
            <v>5.2</v>
          </cell>
          <cell r="F1714">
            <v>0.25</v>
          </cell>
          <cell r="G1714">
            <v>0.55000000000000004</v>
          </cell>
          <cell r="L1714">
            <v>0.71500000000000008</v>
          </cell>
          <cell r="M1714">
            <v>5.2</v>
          </cell>
          <cell r="N1714">
            <v>0.95000000000000007</v>
          </cell>
          <cell r="O1714">
            <v>4.9400000000000004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</row>
        <row r="1715">
          <cell r="B1715" t="str">
            <v>Acero Principal</v>
          </cell>
          <cell r="C1715">
            <v>1</v>
          </cell>
          <cell r="D1715">
            <v>1</v>
          </cell>
          <cell r="F1715">
            <v>4</v>
          </cell>
          <cell r="G1715">
            <v>7.2</v>
          </cell>
          <cell r="P1715" t="str">
            <v>H</v>
          </cell>
          <cell r="Q1715" t="str">
            <v>5/8"</v>
          </cell>
          <cell r="R1715">
            <v>4</v>
          </cell>
          <cell r="S1715">
            <v>8.1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50.22</v>
          </cell>
          <cell r="AB1715">
            <v>0</v>
          </cell>
          <cell r="AC1715">
            <v>0</v>
          </cell>
          <cell r="AD1715">
            <v>0</v>
          </cell>
        </row>
        <row r="1716">
          <cell r="B1716" t="str">
            <v>Est</v>
          </cell>
          <cell r="C1716">
            <v>1</v>
          </cell>
          <cell r="D1716">
            <v>1</v>
          </cell>
          <cell r="E1716">
            <v>5.2</v>
          </cell>
          <cell r="F1716">
            <v>0.25</v>
          </cell>
          <cell r="G1716">
            <v>0.55000000000000004</v>
          </cell>
          <cell r="Q1716" t="str">
            <v>3/8"</v>
          </cell>
          <cell r="R1716">
            <v>32</v>
          </cell>
          <cell r="S1716">
            <v>1.6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28.672000000000004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</row>
        <row r="1717"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</row>
        <row r="1718">
          <cell r="B1718" t="str">
            <v xml:space="preserve">B1-VA-04 (.25x.55) </v>
          </cell>
          <cell r="C1718">
            <v>1</v>
          </cell>
          <cell r="D1718">
            <v>1</v>
          </cell>
          <cell r="E1718">
            <v>1.45</v>
          </cell>
          <cell r="F1718">
            <v>0.25</v>
          </cell>
          <cell r="G1718">
            <v>0.55000000000000004</v>
          </cell>
          <cell r="L1718">
            <v>0.199375</v>
          </cell>
          <cell r="M1718">
            <v>1.45</v>
          </cell>
          <cell r="N1718">
            <v>0.95000000000000007</v>
          </cell>
          <cell r="O1718">
            <v>1.3774999999999999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</row>
        <row r="1719">
          <cell r="C1719">
            <v>1</v>
          </cell>
          <cell r="D1719">
            <v>1</v>
          </cell>
          <cell r="E1719">
            <v>5.7</v>
          </cell>
          <cell r="F1719">
            <v>0.25</v>
          </cell>
          <cell r="G1719">
            <v>0.55000000000000004</v>
          </cell>
          <cell r="L1719">
            <v>0.78375000000000006</v>
          </cell>
          <cell r="M1719">
            <v>5.7</v>
          </cell>
          <cell r="N1719">
            <v>0.95000000000000007</v>
          </cell>
          <cell r="O1719">
            <v>5.4150000000000009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</row>
        <row r="1720">
          <cell r="B1720" t="str">
            <v>Acero Principal</v>
          </cell>
          <cell r="C1720">
            <v>1</v>
          </cell>
          <cell r="D1720">
            <v>1</v>
          </cell>
          <cell r="F1720">
            <v>4</v>
          </cell>
          <cell r="G1720">
            <v>7.5</v>
          </cell>
          <cell r="P1720" t="str">
            <v>H</v>
          </cell>
          <cell r="Q1720" t="str">
            <v>5/8"</v>
          </cell>
          <cell r="R1720">
            <v>4</v>
          </cell>
          <cell r="S1720">
            <v>8.4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52.080000000000005</v>
          </cell>
          <cell r="AB1720">
            <v>0</v>
          </cell>
          <cell r="AC1720">
            <v>0</v>
          </cell>
          <cell r="AD1720">
            <v>0</v>
          </cell>
        </row>
        <row r="1721">
          <cell r="B1721" t="str">
            <v>Est</v>
          </cell>
          <cell r="C1721">
            <v>1</v>
          </cell>
          <cell r="D1721">
            <v>1</v>
          </cell>
          <cell r="E1721">
            <v>1.45</v>
          </cell>
          <cell r="F1721">
            <v>0.25</v>
          </cell>
          <cell r="G1721">
            <v>0.55000000000000004</v>
          </cell>
          <cell r="Q1721" t="str">
            <v>3/8"</v>
          </cell>
          <cell r="R1721">
            <v>13</v>
          </cell>
          <cell r="S1721">
            <v>1.6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11.648000000000001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</row>
        <row r="1722">
          <cell r="B1722" t="str">
            <v>Est</v>
          </cell>
          <cell r="C1722">
            <v>1</v>
          </cell>
          <cell r="D1722">
            <v>1</v>
          </cell>
          <cell r="E1722">
            <v>5.7</v>
          </cell>
          <cell r="F1722">
            <v>0.25</v>
          </cell>
          <cell r="G1722">
            <v>0.55000000000000004</v>
          </cell>
          <cell r="Q1722" t="str">
            <v>3/8"</v>
          </cell>
          <cell r="R1722">
            <v>34</v>
          </cell>
          <cell r="S1722">
            <v>1.6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30.464000000000006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</row>
        <row r="1723">
          <cell r="C1723">
            <v>1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</row>
        <row r="1724">
          <cell r="B1724" t="str">
            <v xml:space="preserve">B1-VA-05 (.25x.55) </v>
          </cell>
          <cell r="C1724">
            <v>1</v>
          </cell>
          <cell r="D1724">
            <v>1</v>
          </cell>
          <cell r="E1724">
            <v>5.6</v>
          </cell>
          <cell r="F1724">
            <v>0.25</v>
          </cell>
          <cell r="G1724">
            <v>0.55000000000000004</v>
          </cell>
          <cell r="L1724">
            <v>0.77</v>
          </cell>
          <cell r="M1724">
            <v>5.6</v>
          </cell>
          <cell r="N1724">
            <v>0.95000000000000007</v>
          </cell>
          <cell r="O1724">
            <v>5.32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</row>
        <row r="1725">
          <cell r="B1725" t="str">
            <v>Acero Principal</v>
          </cell>
          <cell r="C1725">
            <v>1</v>
          </cell>
          <cell r="D1725">
            <v>1</v>
          </cell>
          <cell r="F1725">
            <v>4</v>
          </cell>
          <cell r="G1725">
            <v>6.1</v>
          </cell>
          <cell r="P1725" t="str">
            <v>H</v>
          </cell>
          <cell r="Q1725" t="str">
            <v>5/8"</v>
          </cell>
          <cell r="R1725">
            <v>4</v>
          </cell>
          <cell r="S1725">
            <v>7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43.4</v>
          </cell>
          <cell r="AB1725">
            <v>0</v>
          </cell>
          <cell r="AC1725">
            <v>0</v>
          </cell>
          <cell r="AD1725">
            <v>0</v>
          </cell>
        </row>
        <row r="1726">
          <cell r="B1726" t="str">
            <v>Est</v>
          </cell>
          <cell r="C1726">
            <v>1</v>
          </cell>
          <cell r="D1726">
            <v>1</v>
          </cell>
          <cell r="E1726">
            <v>5.6</v>
          </cell>
          <cell r="F1726">
            <v>0.25</v>
          </cell>
          <cell r="G1726">
            <v>0.55000000000000004</v>
          </cell>
          <cell r="Q1726" t="str">
            <v>3/8"</v>
          </cell>
          <cell r="R1726">
            <v>34</v>
          </cell>
          <cell r="S1726">
            <v>1.6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30.464000000000006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</row>
        <row r="1727">
          <cell r="C1727">
            <v>1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</row>
        <row r="1728">
          <cell r="B1728" t="str">
            <v xml:space="preserve">B1-VA-06 (.25x.55) </v>
          </cell>
          <cell r="C1728">
            <v>1</v>
          </cell>
          <cell r="D1728">
            <v>1</v>
          </cell>
          <cell r="E1728">
            <v>3.15</v>
          </cell>
          <cell r="F1728">
            <v>0.25</v>
          </cell>
          <cell r="G1728">
            <v>0.55000000000000004</v>
          </cell>
          <cell r="L1728">
            <v>0.43312500000000004</v>
          </cell>
          <cell r="M1728">
            <v>3.15</v>
          </cell>
          <cell r="N1728">
            <v>0.95000000000000007</v>
          </cell>
          <cell r="O1728">
            <v>2.9925000000000002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</row>
        <row r="1729">
          <cell r="C1729">
            <v>1</v>
          </cell>
          <cell r="D1729">
            <v>1</v>
          </cell>
          <cell r="E1729">
            <v>5.9</v>
          </cell>
          <cell r="F1729">
            <v>0.25</v>
          </cell>
          <cell r="G1729">
            <v>0.55000000000000004</v>
          </cell>
          <cell r="L1729">
            <v>0.81125000000000014</v>
          </cell>
          <cell r="M1729">
            <v>5.9</v>
          </cell>
          <cell r="N1729">
            <v>0.95000000000000007</v>
          </cell>
          <cell r="O1729">
            <v>5.6050000000000004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</row>
        <row r="1730">
          <cell r="B1730" t="str">
            <v>Acero Principal</v>
          </cell>
          <cell r="C1730">
            <v>1</v>
          </cell>
          <cell r="D1730">
            <v>1</v>
          </cell>
          <cell r="F1730">
            <v>4</v>
          </cell>
          <cell r="G1730">
            <v>9.6999999999999993</v>
          </cell>
          <cell r="P1730" t="str">
            <v>H</v>
          </cell>
          <cell r="Q1730" t="str">
            <v>5/8"</v>
          </cell>
          <cell r="R1730">
            <v>4</v>
          </cell>
          <cell r="S1730">
            <v>10.6</v>
          </cell>
          <cell r="T1730">
            <v>1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70.06</v>
          </cell>
          <cell r="AB1730">
            <v>0</v>
          </cell>
          <cell r="AC1730">
            <v>0</v>
          </cell>
          <cell r="AD1730">
            <v>0</v>
          </cell>
        </row>
        <row r="1731">
          <cell r="B1731" t="str">
            <v>Ref. Sup</v>
          </cell>
          <cell r="C1731">
            <v>1</v>
          </cell>
          <cell r="D1731">
            <v>1</v>
          </cell>
          <cell r="F1731">
            <v>2</v>
          </cell>
          <cell r="G1731">
            <v>3.25</v>
          </cell>
          <cell r="Q1731" t="str">
            <v>5/8"</v>
          </cell>
          <cell r="R1731">
            <v>2</v>
          </cell>
          <cell r="S1731">
            <v>3.25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10.075000000000001</v>
          </cell>
          <cell r="AB1731">
            <v>0</v>
          </cell>
          <cell r="AC1731">
            <v>0</v>
          </cell>
          <cell r="AD1731">
            <v>0</v>
          </cell>
        </row>
        <row r="1732">
          <cell r="B1732" t="str">
            <v>Est</v>
          </cell>
          <cell r="C1732">
            <v>1</v>
          </cell>
          <cell r="D1732">
            <v>1</v>
          </cell>
          <cell r="E1732">
            <v>3.15</v>
          </cell>
          <cell r="F1732">
            <v>0.25</v>
          </cell>
          <cell r="G1732">
            <v>0.55000000000000004</v>
          </cell>
          <cell r="Q1732" t="str">
            <v>3/8"</v>
          </cell>
          <cell r="R1732">
            <v>21</v>
          </cell>
          <cell r="S1732">
            <v>1.6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18.816000000000003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</row>
        <row r="1733">
          <cell r="B1733" t="str">
            <v>Est</v>
          </cell>
          <cell r="C1733">
            <v>1</v>
          </cell>
          <cell r="D1733">
            <v>1</v>
          </cell>
          <cell r="E1733">
            <v>5.9</v>
          </cell>
          <cell r="F1733">
            <v>0.25</v>
          </cell>
          <cell r="G1733">
            <v>0.55000000000000004</v>
          </cell>
          <cell r="Q1733" t="str">
            <v>3/8"</v>
          </cell>
          <cell r="R1733">
            <v>35</v>
          </cell>
          <cell r="S1733">
            <v>1.6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31.360000000000003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</row>
        <row r="1734">
          <cell r="C1734">
            <v>1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</row>
        <row r="1735">
          <cell r="B1735" t="str">
            <v xml:space="preserve">B1-VA-07 (.25x.55) </v>
          </cell>
          <cell r="C1735">
            <v>1</v>
          </cell>
          <cell r="D1735">
            <v>1</v>
          </cell>
          <cell r="E1735">
            <v>5.8</v>
          </cell>
          <cell r="F1735">
            <v>0.25</v>
          </cell>
          <cell r="G1735">
            <v>0.55000000000000004</v>
          </cell>
          <cell r="L1735">
            <v>0.79749999999999999</v>
          </cell>
          <cell r="M1735">
            <v>5.8</v>
          </cell>
          <cell r="N1735">
            <v>0.95000000000000007</v>
          </cell>
          <cell r="O1735">
            <v>5.51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</row>
        <row r="1736">
          <cell r="B1736" t="str">
            <v>Acero Principal</v>
          </cell>
          <cell r="C1736">
            <v>1</v>
          </cell>
          <cell r="D1736">
            <v>1</v>
          </cell>
          <cell r="F1736">
            <v>4</v>
          </cell>
          <cell r="G1736">
            <v>6.3</v>
          </cell>
          <cell r="P1736" t="str">
            <v>H</v>
          </cell>
          <cell r="Q1736" t="str">
            <v>5/8"</v>
          </cell>
          <cell r="R1736">
            <v>4</v>
          </cell>
          <cell r="S1736">
            <v>7.2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44.64</v>
          </cell>
          <cell r="AB1736">
            <v>0</v>
          </cell>
          <cell r="AC1736">
            <v>0</v>
          </cell>
          <cell r="AD1736">
            <v>0</v>
          </cell>
        </row>
        <row r="1737">
          <cell r="B1737" t="str">
            <v>Ref. Inf</v>
          </cell>
          <cell r="C1737">
            <v>1</v>
          </cell>
          <cell r="D1737">
            <v>1</v>
          </cell>
          <cell r="F1737">
            <v>1</v>
          </cell>
          <cell r="G1737">
            <v>4.2</v>
          </cell>
          <cell r="Q1737" t="str">
            <v>5/8"</v>
          </cell>
          <cell r="R1737">
            <v>1</v>
          </cell>
          <cell r="S1737">
            <v>4.2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6.5100000000000007</v>
          </cell>
          <cell r="AB1737">
            <v>0</v>
          </cell>
          <cell r="AC1737">
            <v>0</v>
          </cell>
          <cell r="AD1737">
            <v>0</v>
          </cell>
        </row>
        <row r="1738">
          <cell r="B1738" t="str">
            <v>Est</v>
          </cell>
          <cell r="C1738">
            <v>1</v>
          </cell>
          <cell r="D1738">
            <v>1</v>
          </cell>
          <cell r="E1738">
            <v>5.8</v>
          </cell>
          <cell r="F1738">
            <v>0.25</v>
          </cell>
          <cell r="G1738">
            <v>0.55000000000000004</v>
          </cell>
          <cell r="Q1738" t="str">
            <v>3/8"</v>
          </cell>
          <cell r="R1738">
            <v>35</v>
          </cell>
          <cell r="S1738">
            <v>1.6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31.360000000000003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</row>
        <row r="1740">
          <cell r="AH1740">
            <v>0</v>
          </cell>
        </row>
        <row r="1741">
          <cell r="A1741" t="str">
            <v>VIGA-CON</v>
          </cell>
          <cell r="B1741" t="str">
            <v>Concreto f'c= 350 kg/cm2</v>
          </cell>
          <cell r="D1741" t="str">
            <v>M3</v>
          </cell>
          <cell r="E1741">
            <v>286.20587499999988</v>
          </cell>
          <cell r="AH1741">
            <v>0</v>
          </cell>
        </row>
        <row r="1742">
          <cell r="A1742" t="str">
            <v>VIGA-ENC</v>
          </cell>
          <cell r="B1742" t="str">
            <v xml:space="preserve">Encofrado y desencofrado </v>
          </cell>
          <cell r="D1742" t="str">
            <v>M2</v>
          </cell>
          <cell r="E1742">
            <v>1666.0875000000003</v>
          </cell>
          <cell r="AH1742">
            <v>0</v>
          </cell>
        </row>
        <row r="1743">
          <cell r="A1743" t="str">
            <v>VIGA-ACE</v>
          </cell>
          <cell r="B1743" t="str">
            <v>Acero de refuerzo</v>
          </cell>
          <cell r="D1743" t="str">
            <v>KG</v>
          </cell>
          <cell r="E1743">
            <v>65375.663500000017</v>
          </cell>
          <cell r="F1743">
            <v>228.42180825253865</v>
          </cell>
          <cell r="AH1743">
            <v>0</v>
          </cell>
        </row>
        <row r="1744">
          <cell r="AH1744">
            <v>0</v>
          </cell>
        </row>
        <row r="1747">
          <cell r="B1747" t="str">
            <v>CORTES</v>
          </cell>
          <cell r="AH1747">
            <v>0</v>
          </cell>
        </row>
        <row r="1748">
          <cell r="AH1748">
            <v>0</v>
          </cell>
        </row>
        <row r="1749">
          <cell r="B1749" t="str">
            <v>1 PISO</v>
          </cell>
        </row>
        <row r="1750"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</row>
        <row r="1751">
          <cell r="B1751" t="str">
            <v>CORTE 1</v>
          </cell>
          <cell r="C1751">
            <v>1</v>
          </cell>
          <cell r="D1751">
            <v>1</v>
          </cell>
          <cell r="E1751">
            <v>3.8</v>
          </cell>
          <cell r="F1751">
            <v>0.1</v>
          </cell>
          <cell r="G1751">
            <v>0.2</v>
          </cell>
          <cell r="L1751">
            <v>7.6000000000000012E-2</v>
          </cell>
          <cell r="M1751">
            <v>3.8</v>
          </cell>
          <cell r="N1751">
            <v>9.9999999999999978E-2</v>
          </cell>
          <cell r="O1751">
            <v>0.37999999999999989</v>
          </cell>
          <cell r="Q1751" t="str">
            <v>3/8"</v>
          </cell>
          <cell r="R1751">
            <v>2</v>
          </cell>
          <cell r="S1751">
            <v>5.0999999999999996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5.7119999999999997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H1751">
            <v>5.7119999999999997</v>
          </cell>
        </row>
        <row r="1752">
          <cell r="C1752">
            <v>1</v>
          </cell>
          <cell r="D1752">
            <v>1</v>
          </cell>
          <cell r="Q1752" t="str">
            <v>1/4"</v>
          </cell>
          <cell r="R1752">
            <v>16</v>
          </cell>
          <cell r="S1752">
            <v>0.60000000000000009</v>
          </cell>
          <cell r="T1752">
            <v>0</v>
          </cell>
          <cell r="U1752">
            <v>2.4000000000000004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H1752">
            <v>0</v>
          </cell>
        </row>
        <row r="1753">
          <cell r="B1753" t="str">
            <v>CORTE 1</v>
          </cell>
          <cell r="C1753">
            <v>1</v>
          </cell>
          <cell r="D1753">
            <v>1</v>
          </cell>
          <cell r="E1753">
            <v>21.3</v>
          </cell>
          <cell r="F1753">
            <v>0.1</v>
          </cell>
          <cell r="G1753">
            <v>0.2</v>
          </cell>
          <cell r="L1753">
            <v>0.4260000000000001</v>
          </cell>
          <cell r="M1753">
            <v>21.3</v>
          </cell>
          <cell r="N1753">
            <v>9.9999999999999978E-2</v>
          </cell>
          <cell r="O1753">
            <v>2.1299999999999994</v>
          </cell>
          <cell r="Q1753" t="str">
            <v>3/8"</v>
          </cell>
          <cell r="R1753">
            <v>2</v>
          </cell>
          <cell r="S1753">
            <v>22.6</v>
          </cell>
          <cell r="T1753">
            <v>2</v>
          </cell>
          <cell r="U1753">
            <v>0</v>
          </cell>
          <cell r="V1753">
            <v>0</v>
          </cell>
          <cell r="W1753">
            <v>0</v>
          </cell>
          <cell r="X1753">
            <v>25.312000000000005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H1753">
            <v>25.312000000000005</v>
          </cell>
        </row>
        <row r="1754">
          <cell r="C1754">
            <v>1</v>
          </cell>
          <cell r="D1754">
            <v>1</v>
          </cell>
          <cell r="Q1754" t="str">
            <v>1/4"</v>
          </cell>
          <cell r="R1754">
            <v>86</v>
          </cell>
          <cell r="S1754">
            <v>0.60000000000000009</v>
          </cell>
          <cell r="T1754">
            <v>0</v>
          </cell>
          <cell r="U1754">
            <v>12.900000000000002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H1754">
            <v>0</v>
          </cell>
        </row>
        <row r="1755">
          <cell r="B1755" t="str">
            <v>CORTE 1</v>
          </cell>
          <cell r="C1755">
            <v>1</v>
          </cell>
          <cell r="D1755">
            <v>1</v>
          </cell>
          <cell r="E1755">
            <v>1.75</v>
          </cell>
          <cell r="F1755">
            <v>0.1</v>
          </cell>
          <cell r="G1755">
            <v>0.2</v>
          </cell>
          <cell r="L1755">
            <v>3.5000000000000003E-2</v>
          </cell>
          <cell r="M1755">
            <v>1.75</v>
          </cell>
          <cell r="N1755">
            <v>9.9999999999999978E-2</v>
          </cell>
          <cell r="O1755">
            <v>0.17499999999999996</v>
          </cell>
          <cell r="Q1755" t="str">
            <v>3/8"</v>
          </cell>
          <cell r="R1755">
            <v>2</v>
          </cell>
          <cell r="S1755">
            <v>3.05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3.4159999999999999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H1755">
            <v>3.4159999999999999</v>
          </cell>
        </row>
        <row r="1756">
          <cell r="C1756">
            <v>1</v>
          </cell>
          <cell r="D1756">
            <v>1</v>
          </cell>
          <cell r="Q1756" t="str">
            <v>1/4"</v>
          </cell>
          <cell r="R1756">
            <v>8</v>
          </cell>
          <cell r="S1756">
            <v>0.60000000000000009</v>
          </cell>
          <cell r="T1756">
            <v>0</v>
          </cell>
          <cell r="U1756">
            <v>1.2000000000000002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H1756">
            <v>0</v>
          </cell>
        </row>
        <row r="1757">
          <cell r="B1757" t="str">
            <v>CORTE 1</v>
          </cell>
          <cell r="C1757">
            <v>1</v>
          </cell>
          <cell r="D1757">
            <v>1</v>
          </cell>
          <cell r="E1757">
            <v>1.85</v>
          </cell>
          <cell r="F1757">
            <v>0.1</v>
          </cell>
          <cell r="G1757">
            <v>0.2</v>
          </cell>
          <cell r="L1757">
            <v>3.7000000000000005E-2</v>
          </cell>
          <cell r="M1757">
            <v>1.85</v>
          </cell>
          <cell r="N1757">
            <v>9.9999999999999978E-2</v>
          </cell>
          <cell r="O1757">
            <v>0.18499999999999997</v>
          </cell>
          <cell r="Q1757" t="str">
            <v>3/8"</v>
          </cell>
          <cell r="R1757">
            <v>2</v>
          </cell>
          <cell r="S1757">
            <v>3.15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3.528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H1757">
            <v>3.528</v>
          </cell>
        </row>
        <row r="1758">
          <cell r="C1758">
            <v>1</v>
          </cell>
          <cell r="D1758">
            <v>1</v>
          </cell>
          <cell r="Q1758" t="str">
            <v>1/4"</v>
          </cell>
          <cell r="R1758">
            <v>8</v>
          </cell>
          <cell r="S1758">
            <v>0.60000000000000009</v>
          </cell>
          <cell r="T1758">
            <v>0</v>
          </cell>
          <cell r="U1758">
            <v>1.2000000000000002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H1758">
            <v>0</v>
          </cell>
        </row>
        <row r="1759">
          <cell r="B1759" t="str">
            <v>CORTE 1</v>
          </cell>
          <cell r="C1759">
            <v>1</v>
          </cell>
          <cell r="D1759">
            <v>1</v>
          </cell>
          <cell r="E1759">
            <v>2</v>
          </cell>
          <cell r="F1759">
            <v>0.1</v>
          </cell>
          <cell r="G1759">
            <v>0.2</v>
          </cell>
          <cell r="L1759">
            <v>4.0000000000000008E-2</v>
          </cell>
          <cell r="M1759">
            <v>2</v>
          </cell>
          <cell r="N1759">
            <v>9.9999999999999978E-2</v>
          </cell>
          <cell r="O1759">
            <v>0.19999999999999996</v>
          </cell>
          <cell r="Q1759" t="str">
            <v>3/8"</v>
          </cell>
          <cell r="R1759">
            <v>2</v>
          </cell>
          <cell r="S1759">
            <v>3.3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3.6960000000000002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H1759">
            <v>3.6960000000000002</v>
          </cell>
        </row>
        <row r="1760">
          <cell r="C1760">
            <v>1</v>
          </cell>
          <cell r="D1760">
            <v>1</v>
          </cell>
          <cell r="Q1760" t="str">
            <v>1/4"</v>
          </cell>
          <cell r="R1760">
            <v>9</v>
          </cell>
          <cell r="S1760">
            <v>0.60000000000000009</v>
          </cell>
          <cell r="T1760">
            <v>0</v>
          </cell>
          <cell r="U1760">
            <v>1.35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H1760">
            <v>0</v>
          </cell>
        </row>
        <row r="1761">
          <cell r="B1761" t="str">
            <v>CORTE 2</v>
          </cell>
          <cell r="C1761">
            <v>1</v>
          </cell>
          <cell r="D1761">
            <v>1</v>
          </cell>
          <cell r="E1761">
            <v>2.8</v>
          </cell>
          <cell r="F1761">
            <v>0.2</v>
          </cell>
          <cell r="G1761">
            <v>0.2</v>
          </cell>
          <cell r="L1761">
            <v>0.11199999999999999</v>
          </cell>
          <cell r="M1761">
            <v>2.8</v>
          </cell>
          <cell r="N1761">
            <v>0.20000000000000007</v>
          </cell>
          <cell r="O1761">
            <v>0.56000000000000016</v>
          </cell>
          <cell r="Q1761" t="str">
            <v>3/8"</v>
          </cell>
          <cell r="R1761">
            <v>4</v>
          </cell>
          <cell r="S1761">
            <v>4.0999999999999996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9.1839999999999993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</row>
        <row r="1762">
          <cell r="C1762">
            <v>1</v>
          </cell>
          <cell r="D1762">
            <v>1</v>
          </cell>
          <cell r="Q1762" t="str">
            <v>1/4"</v>
          </cell>
          <cell r="R1762">
            <v>12</v>
          </cell>
          <cell r="S1762">
            <v>0.8</v>
          </cell>
          <cell r="T1762">
            <v>0</v>
          </cell>
          <cell r="U1762">
            <v>2.4000000000000004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</row>
        <row r="1763">
          <cell r="B1763" t="str">
            <v>CORTE 2</v>
          </cell>
          <cell r="C1763">
            <v>1</v>
          </cell>
          <cell r="D1763">
            <v>1</v>
          </cell>
          <cell r="E1763">
            <v>2.5499999999999998</v>
          </cell>
          <cell r="F1763">
            <v>0.2</v>
          </cell>
          <cell r="G1763">
            <v>0.2</v>
          </cell>
          <cell r="L1763">
            <v>0.10200000000000001</v>
          </cell>
          <cell r="M1763">
            <v>2.5499999999999998</v>
          </cell>
          <cell r="N1763">
            <v>0.20000000000000007</v>
          </cell>
          <cell r="O1763">
            <v>0.51000000000000012</v>
          </cell>
          <cell r="Q1763" t="str">
            <v>3/8"</v>
          </cell>
          <cell r="R1763">
            <v>4</v>
          </cell>
          <cell r="S1763">
            <v>3.8499999999999996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8.6240000000000006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</row>
        <row r="1764">
          <cell r="C1764">
            <v>1</v>
          </cell>
          <cell r="D1764">
            <v>1</v>
          </cell>
          <cell r="Q1764" t="str">
            <v>1/4"</v>
          </cell>
          <cell r="R1764">
            <v>11</v>
          </cell>
          <cell r="S1764">
            <v>0.8</v>
          </cell>
          <cell r="T1764">
            <v>0</v>
          </cell>
          <cell r="U1764">
            <v>2.2000000000000002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</row>
        <row r="1765">
          <cell r="B1765" t="str">
            <v>CORTE 2</v>
          </cell>
          <cell r="C1765">
            <v>1</v>
          </cell>
          <cell r="D1765">
            <v>1</v>
          </cell>
          <cell r="E1765">
            <v>2.2000000000000002</v>
          </cell>
          <cell r="F1765">
            <v>0.2</v>
          </cell>
          <cell r="G1765">
            <v>0.2</v>
          </cell>
          <cell r="L1765">
            <v>8.8000000000000023E-2</v>
          </cell>
          <cell r="M1765">
            <v>2.2000000000000002</v>
          </cell>
          <cell r="N1765">
            <v>0.20000000000000007</v>
          </cell>
          <cell r="O1765">
            <v>0.44000000000000017</v>
          </cell>
          <cell r="Q1765" t="str">
            <v>3/8"</v>
          </cell>
          <cell r="R1765">
            <v>4</v>
          </cell>
          <cell r="S1765">
            <v>3.5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7.8400000000000007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</row>
        <row r="1766">
          <cell r="C1766">
            <v>1</v>
          </cell>
          <cell r="D1766">
            <v>1</v>
          </cell>
          <cell r="Q1766" t="str">
            <v>1/4"</v>
          </cell>
          <cell r="R1766">
            <v>9</v>
          </cell>
          <cell r="S1766">
            <v>0.8</v>
          </cell>
          <cell r="T1766">
            <v>0</v>
          </cell>
          <cell r="U1766">
            <v>1.8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</row>
        <row r="1767">
          <cell r="B1767" t="str">
            <v>CORTE 2</v>
          </cell>
          <cell r="C1767">
            <v>1</v>
          </cell>
          <cell r="D1767">
            <v>1</v>
          </cell>
          <cell r="E1767">
            <v>4.05</v>
          </cell>
          <cell r="F1767">
            <v>0.2</v>
          </cell>
          <cell r="G1767">
            <v>0.2</v>
          </cell>
          <cell r="L1767">
            <v>0.16200000000000003</v>
          </cell>
          <cell r="M1767">
            <v>4.05</v>
          </cell>
          <cell r="N1767">
            <v>0.20000000000000007</v>
          </cell>
          <cell r="O1767">
            <v>0.81000000000000028</v>
          </cell>
          <cell r="Q1767" t="str">
            <v>3/8"</v>
          </cell>
          <cell r="R1767">
            <v>4</v>
          </cell>
          <cell r="S1767">
            <v>5.35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11.984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</row>
        <row r="1768">
          <cell r="C1768">
            <v>1</v>
          </cell>
          <cell r="D1768">
            <v>1</v>
          </cell>
          <cell r="Q1768" t="str">
            <v>1/4"</v>
          </cell>
          <cell r="R1768">
            <v>17</v>
          </cell>
          <cell r="S1768">
            <v>0.8</v>
          </cell>
          <cell r="T1768">
            <v>0</v>
          </cell>
          <cell r="U1768">
            <v>3.4000000000000004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G1768" t="str">
            <v>200/9.2</v>
          </cell>
        </row>
        <row r="1769">
          <cell r="B1769" t="str">
            <v>CORTE 2</v>
          </cell>
          <cell r="C1769">
            <v>1</v>
          </cell>
          <cell r="D1769">
            <v>1</v>
          </cell>
          <cell r="E1769">
            <v>2.2999999999999998</v>
          </cell>
          <cell r="F1769">
            <v>0.2</v>
          </cell>
          <cell r="G1769">
            <v>0.2</v>
          </cell>
          <cell r="L1769">
            <v>9.1999999999999998E-2</v>
          </cell>
          <cell r="M1769">
            <v>2.2999999999999998</v>
          </cell>
          <cell r="N1769">
            <v>0.20000000000000007</v>
          </cell>
          <cell r="O1769">
            <v>0.46000000000000013</v>
          </cell>
          <cell r="Q1769" t="str">
            <v>3/8"</v>
          </cell>
          <cell r="R1769">
            <v>4</v>
          </cell>
          <cell r="S1769">
            <v>3.5999999999999996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8.0640000000000001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</row>
        <row r="1770">
          <cell r="C1770">
            <v>1</v>
          </cell>
          <cell r="D1770">
            <v>1</v>
          </cell>
          <cell r="Q1770" t="str">
            <v>1/4"</v>
          </cell>
          <cell r="R1770">
            <v>10</v>
          </cell>
          <cell r="S1770">
            <v>0.8</v>
          </cell>
          <cell r="T1770">
            <v>0</v>
          </cell>
          <cell r="U1770">
            <v>2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</row>
        <row r="1771">
          <cell r="B1771" t="str">
            <v>CORTE 2</v>
          </cell>
          <cell r="C1771">
            <v>1</v>
          </cell>
          <cell r="D1771">
            <v>1</v>
          </cell>
          <cell r="E1771">
            <v>4.8</v>
          </cell>
          <cell r="F1771">
            <v>0.2</v>
          </cell>
          <cell r="G1771">
            <v>0.2</v>
          </cell>
          <cell r="L1771">
            <v>0.192</v>
          </cell>
          <cell r="M1771">
            <v>4.8</v>
          </cell>
          <cell r="N1771">
            <v>0.20000000000000007</v>
          </cell>
          <cell r="O1771">
            <v>0.9600000000000003</v>
          </cell>
          <cell r="Q1771" t="str">
            <v>3/8"</v>
          </cell>
          <cell r="R1771">
            <v>4</v>
          </cell>
          <cell r="S1771">
            <v>6.1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13.664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</row>
        <row r="1772">
          <cell r="C1772">
            <v>1</v>
          </cell>
          <cell r="D1772">
            <v>1</v>
          </cell>
          <cell r="Q1772" t="str">
            <v>1/4"</v>
          </cell>
          <cell r="R1772">
            <v>20</v>
          </cell>
          <cell r="S1772">
            <v>0.8</v>
          </cell>
          <cell r="T1772">
            <v>0</v>
          </cell>
          <cell r="U1772">
            <v>4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</row>
        <row r="1773">
          <cell r="B1773" t="str">
            <v>CORTE 2</v>
          </cell>
          <cell r="C1773">
            <v>1</v>
          </cell>
          <cell r="D1773">
            <v>1</v>
          </cell>
          <cell r="E1773">
            <v>2.35</v>
          </cell>
          <cell r="F1773">
            <v>0.2</v>
          </cell>
          <cell r="G1773">
            <v>0.2</v>
          </cell>
          <cell r="L1773">
            <v>9.4000000000000014E-2</v>
          </cell>
          <cell r="M1773">
            <v>2.35</v>
          </cell>
          <cell r="N1773">
            <v>0.20000000000000007</v>
          </cell>
          <cell r="O1773">
            <v>0.4700000000000002</v>
          </cell>
          <cell r="Q1773" t="str">
            <v>3/8"</v>
          </cell>
          <cell r="R1773">
            <v>4</v>
          </cell>
          <cell r="S1773">
            <v>3.65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8.1760000000000002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</row>
        <row r="1774">
          <cell r="C1774">
            <v>1</v>
          </cell>
          <cell r="D1774">
            <v>1</v>
          </cell>
          <cell r="Q1774" t="str">
            <v>1/4"</v>
          </cell>
          <cell r="R1774">
            <v>10</v>
          </cell>
          <cell r="S1774">
            <v>0.8</v>
          </cell>
          <cell r="T1774">
            <v>0</v>
          </cell>
          <cell r="U1774">
            <v>2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</row>
        <row r="1775">
          <cell r="B1775" t="str">
            <v>CORTE 2</v>
          </cell>
          <cell r="C1775">
            <v>1</v>
          </cell>
          <cell r="D1775">
            <v>1</v>
          </cell>
          <cell r="E1775">
            <v>4</v>
          </cell>
          <cell r="F1775">
            <v>0.2</v>
          </cell>
          <cell r="G1775">
            <v>0.2</v>
          </cell>
          <cell r="L1775">
            <v>0.16000000000000003</v>
          </cell>
          <cell r="M1775">
            <v>4</v>
          </cell>
          <cell r="N1775">
            <v>0.20000000000000007</v>
          </cell>
          <cell r="O1775">
            <v>0.80000000000000027</v>
          </cell>
          <cell r="Q1775" t="str">
            <v>3/8"</v>
          </cell>
          <cell r="R1775">
            <v>4</v>
          </cell>
          <cell r="S1775">
            <v>5.3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11.872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</row>
        <row r="1776">
          <cell r="C1776">
            <v>1</v>
          </cell>
          <cell r="D1776">
            <v>1</v>
          </cell>
          <cell r="Q1776" t="str">
            <v>1/4"</v>
          </cell>
          <cell r="R1776">
            <v>17</v>
          </cell>
          <cell r="S1776">
            <v>0.8</v>
          </cell>
          <cell r="T1776">
            <v>0</v>
          </cell>
          <cell r="U1776">
            <v>3.4000000000000004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</row>
        <row r="1777">
          <cell r="B1777" t="str">
            <v>CORTE 6</v>
          </cell>
          <cell r="C1777">
            <v>1</v>
          </cell>
          <cell r="D1777">
            <v>1</v>
          </cell>
          <cell r="E1777">
            <v>1.3</v>
          </cell>
          <cell r="F1777">
            <v>0.56000000000000005</v>
          </cell>
          <cell r="G1777">
            <v>0.2</v>
          </cell>
          <cell r="L1777">
            <v>0.14560000000000003</v>
          </cell>
          <cell r="M1777">
            <v>1.3</v>
          </cell>
          <cell r="N1777">
            <v>0.56000000000000005</v>
          </cell>
          <cell r="O1777">
            <v>0.72800000000000009</v>
          </cell>
          <cell r="Q1777" t="str">
            <v>3/8"</v>
          </cell>
          <cell r="R1777">
            <v>7</v>
          </cell>
          <cell r="S1777">
            <v>2.5999999999999996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10.191999999999998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</row>
        <row r="1778">
          <cell r="C1778">
            <v>1</v>
          </cell>
          <cell r="D1778">
            <v>1</v>
          </cell>
          <cell r="Q1778" t="str">
            <v>3/8"</v>
          </cell>
          <cell r="R1778">
            <v>6</v>
          </cell>
          <cell r="S1778">
            <v>1.52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5.1072000000000006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</row>
        <row r="1779">
          <cell r="B1779" t="str">
            <v>CORTE 8</v>
          </cell>
          <cell r="C1779">
            <v>1</v>
          </cell>
          <cell r="D1779">
            <v>1</v>
          </cell>
          <cell r="E1779">
            <v>3.45</v>
          </cell>
          <cell r="F1779">
            <v>0.15</v>
          </cell>
          <cell r="G1779">
            <v>0.55000000000000004</v>
          </cell>
          <cell r="L1779">
            <v>0.28462500000000002</v>
          </cell>
          <cell r="M1779">
            <v>3.45</v>
          </cell>
          <cell r="N1779">
            <v>0.85</v>
          </cell>
          <cell r="O1779">
            <v>2.9325000000000001</v>
          </cell>
          <cell r="Q1779" t="str">
            <v>5/8"</v>
          </cell>
          <cell r="R1779">
            <v>4</v>
          </cell>
          <cell r="S1779">
            <v>4.75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29.45</v>
          </cell>
          <cell r="AB1779">
            <v>0</v>
          </cell>
          <cell r="AC1779">
            <v>0</v>
          </cell>
          <cell r="AD1779">
            <v>0</v>
          </cell>
        </row>
        <row r="1780">
          <cell r="C1780">
            <v>1</v>
          </cell>
          <cell r="D1780">
            <v>1</v>
          </cell>
          <cell r="Q1780" t="str">
            <v>3/8"</v>
          </cell>
          <cell r="R1780">
            <v>14</v>
          </cell>
          <cell r="S1780">
            <v>1.4000000000000001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10.976000000000003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</row>
        <row r="1781">
          <cell r="B1781" t="str">
            <v>CORTE 8</v>
          </cell>
          <cell r="C1781">
            <v>1</v>
          </cell>
          <cell r="D1781">
            <v>1</v>
          </cell>
          <cell r="E1781">
            <v>2.0499999999999998</v>
          </cell>
          <cell r="F1781">
            <v>0.15</v>
          </cell>
          <cell r="G1781">
            <v>0.55000000000000004</v>
          </cell>
          <cell r="L1781">
            <v>0.16912499999999997</v>
          </cell>
          <cell r="M1781">
            <v>2.0499999999999998</v>
          </cell>
          <cell r="N1781">
            <v>0.85</v>
          </cell>
          <cell r="O1781">
            <v>1.7424999999999997</v>
          </cell>
          <cell r="Q1781" t="str">
            <v>5/8"</v>
          </cell>
          <cell r="R1781">
            <v>4</v>
          </cell>
          <cell r="S1781">
            <v>3.3499999999999996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20.77</v>
          </cell>
          <cell r="AB1781">
            <v>0</v>
          </cell>
          <cell r="AC1781">
            <v>0</v>
          </cell>
          <cell r="AD1781">
            <v>0</v>
          </cell>
        </row>
        <row r="1782">
          <cell r="C1782">
            <v>1</v>
          </cell>
          <cell r="D1782">
            <v>1</v>
          </cell>
          <cell r="Q1782" t="str">
            <v>3/8"</v>
          </cell>
          <cell r="R1782">
            <v>9</v>
          </cell>
          <cell r="S1782">
            <v>1.4000000000000001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7.0560000000000018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</row>
        <row r="1783">
          <cell r="B1783" t="str">
            <v>CORTE 9</v>
          </cell>
          <cell r="C1783">
            <v>1</v>
          </cell>
          <cell r="D1783">
            <v>1</v>
          </cell>
          <cell r="E1783">
            <v>4.3499999999999996</v>
          </cell>
          <cell r="F1783">
            <v>0.6</v>
          </cell>
          <cell r="G1783">
            <v>0.2</v>
          </cell>
          <cell r="L1783">
            <v>0.52200000000000002</v>
          </cell>
          <cell r="M1783">
            <v>4.3499999999999996</v>
          </cell>
          <cell r="N1783">
            <v>0.6</v>
          </cell>
          <cell r="O1783">
            <v>2.61</v>
          </cell>
          <cell r="Q1783" t="str">
            <v>5/8"</v>
          </cell>
          <cell r="R1783">
            <v>4</v>
          </cell>
          <cell r="S1783">
            <v>5.6499999999999995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35.03</v>
          </cell>
          <cell r="AB1783">
            <v>0</v>
          </cell>
          <cell r="AC1783">
            <v>0</v>
          </cell>
          <cell r="AD1783">
            <v>0</v>
          </cell>
        </row>
        <row r="1784">
          <cell r="C1784">
            <v>1</v>
          </cell>
          <cell r="D1784">
            <v>1</v>
          </cell>
          <cell r="Q1784" t="str">
            <v>3/4"</v>
          </cell>
          <cell r="R1784">
            <v>4</v>
          </cell>
          <cell r="S1784">
            <v>5.6499999999999995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50.624000000000002</v>
          </cell>
          <cell r="AC1784">
            <v>0</v>
          </cell>
          <cell r="AD1784">
            <v>0</v>
          </cell>
        </row>
        <row r="1785">
          <cell r="C1785">
            <v>1</v>
          </cell>
          <cell r="D1785">
            <v>1</v>
          </cell>
          <cell r="Q1785" t="str">
            <v>3/8"</v>
          </cell>
          <cell r="R1785">
            <v>31</v>
          </cell>
          <cell r="S1785">
            <v>1.6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27.776000000000003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</row>
        <row r="1786">
          <cell r="C1786">
            <v>1</v>
          </cell>
          <cell r="D1786">
            <v>1</v>
          </cell>
          <cell r="E1786">
            <v>4.3499999999999996</v>
          </cell>
          <cell r="F1786">
            <v>0.2</v>
          </cell>
          <cell r="G1786">
            <v>0.35</v>
          </cell>
          <cell r="L1786">
            <v>0.30449999999999999</v>
          </cell>
          <cell r="M1786">
            <v>4.3499999999999996</v>
          </cell>
          <cell r="N1786">
            <v>0.49999999999999989</v>
          </cell>
          <cell r="O1786">
            <v>2.1749999999999994</v>
          </cell>
          <cell r="Q1786" t="str">
            <v>3/8"</v>
          </cell>
          <cell r="R1786">
            <v>31</v>
          </cell>
          <cell r="S1786">
            <v>1.5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26.040000000000003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</row>
        <row r="1787">
          <cell r="B1787" t="str">
            <v>CORTE 9</v>
          </cell>
          <cell r="C1787">
            <v>1</v>
          </cell>
          <cell r="D1787">
            <v>1</v>
          </cell>
          <cell r="E1787">
            <v>5.35</v>
          </cell>
          <cell r="F1787">
            <v>0.6</v>
          </cell>
          <cell r="G1787">
            <v>0.2</v>
          </cell>
          <cell r="L1787">
            <v>0.6419999999999999</v>
          </cell>
          <cell r="M1787">
            <v>5.35</v>
          </cell>
          <cell r="N1787">
            <v>0.6</v>
          </cell>
          <cell r="O1787">
            <v>3.2099999999999995</v>
          </cell>
          <cell r="Q1787" t="str">
            <v>5/8"</v>
          </cell>
          <cell r="R1787">
            <v>4</v>
          </cell>
          <cell r="S1787">
            <v>6.6499999999999995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41.23</v>
          </cell>
          <cell r="AB1787">
            <v>0</v>
          </cell>
          <cell r="AC1787">
            <v>0</v>
          </cell>
          <cell r="AD1787">
            <v>0</v>
          </cell>
        </row>
        <row r="1788">
          <cell r="C1788">
            <v>1</v>
          </cell>
          <cell r="D1788">
            <v>1</v>
          </cell>
          <cell r="Q1788" t="str">
            <v>3/4"</v>
          </cell>
          <cell r="R1788">
            <v>4</v>
          </cell>
          <cell r="S1788">
            <v>6.6499999999999995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59.584000000000003</v>
          </cell>
          <cell r="AC1788">
            <v>0</v>
          </cell>
          <cell r="AD1788">
            <v>0</v>
          </cell>
        </row>
        <row r="1789">
          <cell r="C1789">
            <v>1</v>
          </cell>
          <cell r="D1789">
            <v>1</v>
          </cell>
          <cell r="Q1789" t="str">
            <v>3/8"</v>
          </cell>
          <cell r="R1789">
            <v>35</v>
          </cell>
          <cell r="S1789">
            <v>1.6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31.360000000000003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</row>
        <row r="1790">
          <cell r="C1790">
            <v>1</v>
          </cell>
          <cell r="D1790">
            <v>1</v>
          </cell>
          <cell r="E1790">
            <v>5.35</v>
          </cell>
          <cell r="F1790">
            <v>0.2</v>
          </cell>
          <cell r="G1790">
            <v>0.35</v>
          </cell>
          <cell r="L1790">
            <v>0.3745</v>
          </cell>
          <cell r="M1790">
            <v>5.35</v>
          </cell>
          <cell r="N1790">
            <v>0.49999999999999989</v>
          </cell>
          <cell r="O1790">
            <v>2.6749999999999994</v>
          </cell>
          <cell r="Q1790" t="str">
            <v>3/8"</v>
          </cell>
          <cell r="R1790">
            <v>35</v>
          </cell>
          <cell r="S1790">
            <v>1.5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29.400000000000002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</row>
        <row r="1791">
          <cell r="B1791" t="str">
            <v>CORTE 10</v>
          </cell>
          <cell r="C1791">
            <v>1</v>
          </cell>
          <cell r="D1791">
            <v>1</v>
          </cell>
          <cell r="E1791">
            <v>4.8</v>
          </cell>
          <cell r="F1791">
            <v>0.2</v>
          </cell>
          <cell r="G1791">
            <v>0.55000000000000004</v>
          </cell>
          <cell r="L1791">
            <v>0.52800000000000002</v>
          </cell>
          <cell r="M1791">
            <v>4.8</v>
          </cell>
          <cell r="N1791">
            <v>0.9</v>
          </cell>
          <cell r="O1791">
            <v>4.32</v>
          </cell>
          <cell r="Q1791" t="str">
            <v>3/4"</v>
          </cell>
          <cell r="R1791">
            <v>4</v>
          </cell>
          <cell r="S1791">
            <v>6.1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54.655999999999999</v>
          </cell>
          <cell r="AC1791">
            <v>0</v>
          </cell>
          <cell r="AD1791">
            <v>0</v>
          </cell>
        </row>
        <row r="1792">
          <cell r="C1792">
            <v>1</v>
          </cell>
          <cell r="D1792">
            <v>1</v>
          </cell>
          <cell r="Q1792" t="str">
            <v>3/8"</v>
          </cell>
          <cell r="R1792">
            <v>20</v>
          </cell>
          <cell r="S1792">
            <v>1.5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16.8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</row>
        <row r="1793"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</row>
        <row r="1794">
          <cell r="B1794" t="str">
            <v>PISO 2-14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</row>
        <row r="1795"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</row>
        <row r="1796">
          <cell r="B1796" t="str">
            <v>CORTE 1</v>
          </cell>
          <cell r="C1796">
            <v>12</v>
          </cell>
          <cell r="D1796">
            <v>1</v>
          </cell>
          <cell r="E1796">
            <v>3.8</v>
          </cell>
          <cell r="F1796">
            <v>0.1</v>
          </cell>
          <cell r="G1796">
            <v>0.2</v>
          </cell>
          <cell r="L1796">
            <v>0.91199999999999992</v>
          </cell>
          <cell r="M1796">
            <v>3.8</v>
          </cell>
          <cell r="N1796">
            <v>9.9999999999999978E-2</v>
          </cell>
          <cell r="O1796">
            <v>4.5599999999999987</v>
          </cell>
          <cell r="Q1796" t="str">
            <v>3/8"</v>
          </cell>
          <cell r="R1796">
            <v>2</v>
          </cell>
          <cell r="S1796">
            <v>5.0999999999999996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68.543999999999997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H1796">
            <v>68.543999999999997</v>
          </cell>
        </row>
        <row r="1797">
          <cell r="C1797">
            <v>12</v>
          </cell>
          <cell r="D1797">
            <v>1</v>
          </cell>
          <cell r="Q1797" t="str">
            <v>1/4"</v>
          </cell>
          <cell r="R1797">
            <v>16</v>
          </cell>
          <cell r="S1797">
            <v>0.60000000000000009</v>
          </cell>
          <cell r="T1797">
            <v>0</v>
          </cell>
          <cell r="U1797">
            <v>28.800000000000004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H1797">
            <v>0</v>
          </cell>
        </row>
        <row r="1798">
          <cell r="B1798" t="str">
            <v>CORTE 1</v>
          </cell>
          <cell r="C1798">
            <v>12</v>
          </cell>
          <cell r="D1798">
            <v>1</v>
          </cell>
          <cell r="E1798">
            <v>21.3</v>
          </cell>
          <cell r="F1798">
            <v>0.1</v>
          </cell>
          <cell r="G1798">
            <v>0.2</v>
          </cell>
          <cell r="L1798">
            <v>5.112000000000001</v>
          </cell>
          <cell r="M1798">
            <v>21.3</v>
          </cell>
          <cell r="N1798">
            <v>9.9999999999999978E-2</v>
          </cell>
          <cell r="O1798">
            <v>25.559999999999995</v>
          </cell>
          <cell r="Q1798" t="str">
            <v>3/8"</v>
          </cell>
          <cell r="R1798">
            <v>2</v>
          </cell>
          <cell r="S1798">
            <v>22.6</v>
          </cell>
          <cell r="T1798">
            <v>2</v>
          </cell>
          <cell r="U1798">
            <v>0</v>
          </cell>
          <cell r="V1798">
            <v>0</v>
          </cell>
          <cell r="W1798">
            <v>0</v>
          </cell>
          <cell r="X1798">
            <v>303.74400000000003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H1798">
            <v>303.74400000000003</v>
          </cell>
        </row>
        <row r="1799">
          <cell r="C1799">
            <v>12</v>
          </cell>
          <cell r="D1799">
            <v>1</v>
          </cell>
          <cell r="Q1799" t="str">
            <v>1/4"</v>
          </cell>
          <cell r="R1799">
            <v>86</v>
          </cell>
          <cell r="S1799">
            <v>0.60000000000000009</v>
          </cell>
          <cell r="T1799">
            <v>0</v>
          </cell>
          <cell r="U1799">
            <v>154.80000000000001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H1799">
            <v>0</v>
          </cell>
        </row>
        <row r="1800">
          <cell r="B1800" t="str">
            <v>CORTE 1</v>
          </cell>
          <cell r="C1800">
            <v>12</v>
          </cell>
          <cell r="D1800">
            <v>1</v>
          </cell>
          <cell r="E1800">
            <v>1.75</v>
          </cell>
          <cell r="F1800">
            <v>0.1</v>
          </cell>
          <cell r="G1800">
            <v>0.2</v>
          </cell>
          <cell r="L1800">
            <v>0.42000000000000004</v>
          </cell>
          <cell r="M1800">
            <v>1.75</v>
          </cell>
          <cell r="N1800">
            <v>9.9999999999999978E-2</v>
          </cell>
          <cell r="O1800">
            <v>2.0999999999999996</v>
          </cell>
          <cell r="Q1800" t="str">
            <v>3/8"</v>
          </cell>
          <cell r="R1800">
            <v>2</v>
          </cell>
          <cell r="S1800">
            <v>3.05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40.991999999999997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H1800">
            <v>40.991999999999997</v>
          </cell>
        </row>
        <row r="1801">
          <cell r="C1801">
            <v>12</v>
          </cell>
          <cell r="D1801">
            <v>1</v>
          </cell>
          <cell r="Q1801" t="str">
            <v>1/4"</v>
          </cell>
          <cell r="R1801">
            <v>8</v>
          </cell>
          <cell r="S1801">
            <v>0.60000000000000009</v>
          </cell>
          <cell r="T1801">
            <v>0</v>
          </cell>
          <cell r="U1801">
            <v>14.400000000000002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H1801">
            <v>0</v>
          </cell>
        </row>
        <row r="1802">
          <cell r="B1802" t="str">
            <v>CORTE 1</v>
          </cell>
          <cell r="C1802">
            <v>12</v>
          </cell>
          <cell r="D1802">
            <v>1</v>
          </cell>
          <cell r="E1802">
            <v>1.85</v>
          </cell>
          <cell r="F1802">
            <v>0.1</v>
          </cell>
          <cell r="G1802">
            <v>0.2</v>
          </cell>
          <cell r="L1802">
            <v>0.44400000000000006</v>
          </cell>
          <cell r="M1802">
            <v>1.85</v>
          </cell>
          <cell r="N1802">
            <v>9.9999999999999978E-2</v>
          </cell>
          <cell r="O1802">
            <v>2.2199999999999998</v>
          </cell>
          <cell r="Q1802" t="str">
            <v>3/8"</v>
          </cell>
          <cell r="R1802">
            <v>2</v>
          </cell>
          <cell r="S1802">
            <v>3.15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42.335999999999999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H1802">
            <v>42.335999999999999</v>
          </cell>
        </row>
        <row r="1803">
          <cell r="C1803">
            <v>12</v>
          </cell>
          <cell r="D1803">
            <v>1</v>
          </cell>
          <cell r="Q1803" t="str">
            <v>1/4"</v>
          </cell>
          <cell r="R1803">
            <v>8</v>
          </cell>
          <cell r="S1803">
            <v>0.60000000000000009</v>
          </cell>
          <cell r="T1803">
            <v>0</v>
          </cell>
          <cell r="U1803">
            <v>14.400000000000002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H1803">
            <v>0</v>
          </cell>
        </row>
        <row r="1804">
          <cell r="B1804" t="str">
            <v>CORTE 1</v>
          </cell>
          <cell r="C1804">
            <v>12</v>
          </cell>
          <cell r="D1804">
            <v>1</v>
          </cell>
          <cell r="E1804">
            <v>2</v>
          </cell>
          <cell r="F1804">
            <v>0.1</v>
          </cell>
          <cell r="G1804">
            <v>0.2</v>
          </cell>
          <cell r="L1804">
            <v>0.48000000000000009</v>
          </cell>
          <cell r="M1804">
            <v>2</v>
          </cell>
          <cell r="N1804">
            <v>9.9999999999999978E-2</v>
          </cell>
          <cell r="O1804">
            <v>2.3999999999999995</v>
          </cell>
          <cell r="Q1804" t="str">
            <v>3/8"</v>
          </cell>
          <cell r="R1804">
            <v>2</v>
          </cell>
          <cell r="S1804">
            <v>3.3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44.352000000000004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H1804">
            <v>44.352000000000004</v>
          </cell>
        </row>
        <row r="1805">
          <cell r="C1805">
            <v>12</v>
          </cell>
          <cell r="D1805">
            <v>1</v>
          </cell>
          <cell r="Q1805" t="str">
            <v>1/4"</v>
          </cell>
          <cell r="R1805">
            <v>9</v>
          </cell>
          <cell r="S1805">
            <v>0.60000000000000009</v>
          </cell>
          <cell r="T1805">
            <v>0</v>
          </cell>
          <cell r="U1805">
            <v>16.200000000000003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H1805">
            <v>0</v>
          </cell>
        </row>
        <row r="1806">
          <cell r="B1806" t="str">
            <v>CORTE 1</v>
          </cell>
          <cell r="C1806">
            <v>12</v>
          </cell>
          <cell r="D1806">
            <v>1</v>
          </cell>
          <cell r="E1806">
            <v>2</v>
          </cell>
          <cell r="F1806">
            <v>0.1</v>
          </cell>
          <cell r="G1806">
            <v>0.2</v>
          </cell>
          <cell r="L1806">
            <v>0.48000000000000009</v>
          </cell>
          <cell r="M1806">
            <v>2</v>
          </cell>
          <cell r="N1806">
            <v>9.9999999999999978E-2</v>
          </cell>
          <cell r="O1806">
            <v>2.3999999999999995</v>
          </cell>
          <cell r="Q1806" t="str">
            <v>3/8"</v>
          </cell>
          <cell r="R1806">
            <v>2</v>
          </cell>
          <cell r="S1806">
            <v>3.3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44.352000000000004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H1806">
            <v>44.352000000000004</v>
          </cell>
        </row>
        <row r="1807">
          <cell r="C1807">
            <v>12</v>
          </cell>
          <cell r="D1807">
            <v>1</v>
          </cell>
          <cell r="Q1807" t="str">
            <v>1/4"</v>
          </cell>
          <cell r="R1807">
            <v>9</v>
          </cell>
          <cell r="S1807">
            <v>0.60000000000000009</v>
          </cell>
          <cell r="T1807">
            <v>0</v>
          </cell>
          <cell r="U1807">
            <v>16.200000000000003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H1807">
            <v>0</v>
          </cell>
        </row>
        <row r="1808">
          <cell r="B1808" t="str">
            <v>CORTE 2</v>
          </cell>
          <cell r="C1808">
            <v>12</v>
          </cell>
          <cell r="D1808">
            <v>1</v>
          </cell>
          <cell r="E1808">
            <v>3.15</v>
          </cell>
          <cell r="F1808">
            <v>0.2</v>
          </cell>
          <cell r="G1808">
            <v>0.2</v>
          </cell>
          <cell r="L1808">
            <v>1.512</v>
          </cell>
          <cell r="M1808">
            <v>3.15</v>
          </cell>
          <cell r="N1808">
            <v>0.20000000000000007</v>
          </cell>
          <cell r="O1808">
            <v>7.5600000000000023</v>
          </cell>
          <cell r="Q1808" t="str">
            <v>3/8"</v>
          </cell>
          <cell r="R1808">
            <v>4</v>
          </cell>
          <cell r="S1808">
            <v>4.45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119.61600000000001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</row>
        <row r="1809">
          <cell r="C1809">
            <v>12</v>
          </cell>
          <cell r="D1809">
            <v>1</v>
          </cell>
          <cell r="Q1809" t="str">
            <v>1/4"</v>
          </cell>
          <cell r="R1809">
            <v>13</v>
          </cell>
          <cell r="S1809">
            <v>0.8</v>
          </cell>
          <cell r="T1809">
            <v>0</v>
          </cell>
          <cell r="U1809">
            <v>31.200000000000003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</row>
        <row r="1810">
          <cell r="B1810" t="str">
            <v>CORTE 2</v>
          </cell>
          <cell r="C1810">
            <v>12</v>
          </cell>
          <cell r="D1810">
            <v>1</v>
          </cell>
          <cell r="E1810">
            <v>2.5499999999999998</v>
          </cell>
          <cell r="F1810">
            <v>0.2</v>
          </cell>
          <cell r="G1810">
            <v>0.2</v>
          </cell>
          <cell r="L1810">
            <v>1.2240000000000002</v>
          </cell>
          <cell r="M1810">
            <v>2.5499999999999998</v>
          </cell>
          <cell r="N1810">
            <v>0.20000000000000007</v>
          </cell>
          <cell r="O1810">
            <v>6.120000000000001</v>
          </cell>
          <cell r="Q1810" t="str">
            <v>3/8"</v>
          </cell>
          <cell r="R1810">
            <v>4</v>
          </cell>
          <cell r="S1810">
            <v>3.8499999999999996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103.488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</row>
        <row r="1811">
          <cell r="C1811">
            <v>12</v>
          </cell>
          <cell r="D1811">
            <v>1</v>
          </cell>
          <cell r="Q1811" t="str">
            <v>1/4"</v>
          </cell>
          <cell r="R1811">
            <v>11</v>
          </cell>
          <cell r="S1811">
            <v>0.8</v>
          </cell>
          <cell r="T1811">
            <v>0</v>
          </cell>
          <cell r="U1811">
            <v>26.400000000000002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</row>
        <row r="1812">
          <cell r="B1812" t="str">
            <v>CORTE 2</v>
          </cell>
          <cell r="C1812">
            <v>12</v>
          </cell>
          <cell r="D1812">
            <v>1</v>
          </cell>
          <cell r="E1812">
            <v>2.2000000000000002</v>
          </cell>
          <cell r="F1812">
            <v>0.2</v>
          </cell>
          <cell r="G1812">
            <v>0.2</v>
          </cell>
          <cell r="L1812">
            <v>1.0560000000000003</v>
          </cell>
          <cell r="M1812">
            <v>2.2000000000000002</v>
          </cell>
          <cell r="N1812">
            <v>0.20000000000000007</v>
          </cell>
          <cell r="O1812">
            <v>5.280000000000002</v>
          </cell>
          <cell r="Q1812" t="str">
            <v>3/8"</v>
          </cell>
          <cell r="R1812">
            <v>4</v>
          </cell>
          <cell r="S1812">
            <v>3.5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94.080000000000013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</row>
        <row r="1813">
          <cell r="C1813">
            <v>12</v>
          </cell>
          <cell r="D1813">
            <v>1</v>
          </cell>
          <cell r="Q1813" t="str">
            <v>1/4"</v>
          </cell>
          <cell r="R1813">
            <v>9</v>
          </cell>
          <cell r="S1813">
            <v>0.8</v>
          </cell>
          <cell r="T1813">
            <v>0</v>
          </cell>
          <cell r="U1813">
            <v>21.6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</row>
        <row r="1814">
          <cell r="B1814" t="str">
            <v>CORTE 2</v>
          </cell>
          <cell r="C1814">
            <v>12</v>
          </cell>
          <cell r="D1814">
            <v>1</v>
          </cell>
          <cell r="E1814">
            <v>4.05</v>
          </cell>
          <cell r="F1814">
            <v>0.2</v>
          </cell>
          <cell r="G1814">
            <v>0.2</v>
          </cell>
          <cell r="L1814">
            <v>1.944</v>
          </cell>
          <cell r="M1814">
            <v>4.05</v>
          </cell>
          <cell r="N1814">
            <v>0.20000000000000007</v>
          </cell>
          <cell r="O1814">
            <v>9.7200000000000024</v>
          </cell>
          <cell r="Q1814" t="str">
            <v>3/8"</v>
          </cell>
          <cell r="R1814">
            <v>4</v>
          </cell>
          <cell r="S1814">
            <v>5.35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143.80799999999999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</row>
        <row r="1815">
          <cell r="C1815">
            <v>12</v>
          </cell>
          <cell r="D1815">
            <v>1</v>
          </cell>
          <cell r="Q1815" t="str">
            <v>1/4"</v>
          </cell>
          <cell r="R1815">
            <v>17</v>
          </cell>
          <cell r="S1815">
            <v>0.8</v>
          </cell>
          <cell r="T1815">
            <v>0</v>
          </cell>
          <cell r="U1815">
            <v>40.800000000000004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</row>
        <row r="1816">
          <cell r="B1816" t="str">
            <v>CORTE 2</v>
          </cell>
          <cell r="C1816">
            <v>12</v>
          </cell>
          <cell r="D1816">
            <v>1</v>
          </cell>
          <cell r="E1816">
            <v>2.2999999999999998</v>
          </cell>
          <cell r="F1816">
            <v>0.2</v>
          </cell>
          <cell r="G1816">
            <v>0.2</v>
          </cell>
          <cell r="L1816">
            <v>1.1039999999999999</v>
          </cell>
          <cell r="M1816">
            <v>2.2999999999999998</v>
          </cell>
          <cell r="N1816">
            <v>0.20000000000000007</v>
          </cell>
          <cell r="O1816">
            <v>5.5200000000000014</v>
          </cell>
          <cell r="Q1816" t="str">
            <v>3/8"</v>
          </cell>
          <cell r="R1816">
            <v>4</v>
          </cell>
          <cell r="S1816">
            <v>3.5999999999999996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96.768000000000001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</row>
        <row r="1817">
          <cell r="C1817">
            <v>12</v>
          </cell>
          <cell r="D1817">
            <v>1</v>
          </cell>
          <cell r="Q1817" t="str">
            <v>1/4"</v>
          </cell>
          <cell r="R1817">
            <v>10</v>
          </cell>
          <cell r="S1817">
            <v>0.8</v>
          </cell>
          <cell r="T1817">
            <v>0</v>
          </cell>
          <cell r="U1817">
            <v>24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</row>
        <row r="1818">
          <cell r="B1818" t="str">
            <v>CORTE 2</v>
          </cell>
          <cell r="C1818">
            <v>12</v>
          </cell>
          <cell r="D1818">
            <v>1</v>
          </cell>
          <cell r="E1818">
            <v>4.8</v>
          </cell>
          <cell r="F1818">
            <v>0.2</v>
          </cell>
          <cell r="G1818">
            <v>0.2</v>
          </cell>
          <cell r="L1818">
            <v>2.3039999999999998</v>
          </cell>
          <cell r="M1818">
            <v>4.8</v>
          </cell>
          <cell r="N1818">
            <v>0.20000000000000007</v>
          </cell>
          <cell r="O1818">
            <v>11.520000000000003</v>
          </cell>
          <cell r="Q1818" t="str">
            <v>3/8"</v>
          </cell>
          <cell r="R1818">
            <v>4</v>
          </cell>
          <cell r="S1818">
            <v>6.1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163.96799999999999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</row>
        <row r="1819">
          <cell r="C1819">
            <v>12</v>
          </cell>
          <cell r="D1819">
            <v>1</v>
          </cell>
          <cell r="Q1819" t="str">
            <v>1/4"</v>
          </cell>
          <cell r="R1819">
            <v>20</v>
          </cell>
          <cell r="S1819">
            <v>0.8</v>
          </cell>
          <cell r="T1819">
            <v>0</v>
          </cell>
          <cell r="U1819">
            <v>48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</row>
        <row r="1820">
          <cell r="B1820" t="str">
            <v>CORTE 2</v>
          </cell>
          <cell r="C1820">
            <v>12</v>
          </cell>
          <cell r="D1820">
            <v>1</v>
          </cell>
          <cell r="E1820">
            <v>2.35</v>
          </cell>
          <cell r="F1820">
            <v>0.2</v>
          </cell>
          <cell r="G1820">
            <v>0.2</v>
          </cell>
          <cell r="L1820">
            <v>1.1280000000000001</v>
          </cell>
          <cell r="M1820">
            <v>2.35</v>
          </cell>
          <cell r="N1820">
            <v>0.20000000000000007</v>
          </cell>
          <cell r="O1820">
            <v>5.6400000000000023</v>
          </cell>
          <cell r="Q1820" t="str">
            <v>3/8"</v>
          </cell>
          <cell r="R1820">
            <v>4</v>
          </cell>
          <cell r="S1820">
            <v>3.65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98.111999999999995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</row>
        <row r="1821">
          <cell r="C1821">
            <v>12</v>
          </cell>
          <cell r="D1821">
            <v>1</v>
          </cell>
          <cell r="Q1821" t="str">
            <v>1/4"</v>
          </cell>
          <cell r="R1821">
            <v>10</v>
          </cell>
          <cell r="S1821">
            <v>0.8</v>
          </cell>
          <cell r="T1821">
            <v>0</v>
          </cell>
          <cell r="U1821">
            <v>24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</row>
        <row r="1822">
          <cell r="B1822" t="str">
            <v>CORTE 2</v>
          </cell>
          <cell r="C1822">
            <v>12</v>
          </cell>
          <cell r="D1822">
            <v>1</v>
          </cell>
          <cell r="E1822">
            <v>4</v>
          </cell>
          <cell r="F1822">
            <v>0.2</v>
          </cell>
          <cell r="G1822">
            <v>0.2</v>
          </cell>
          <cell r="L1822">
            <v>1.9200000000000004</v>
          </cell>
          <cell r="M1822">
            <v>4</v>
          </cell>
          <cell r="N1822">
            <v>0.20000000000000007</v>
          </cell>
          <cell r="O1822">
            <v>9.6000000000000032</v>
          </cell>
          <cell r="Q1822" t="str">
            <v>3/8"</v>
          </cell>
          <cell r="R1822">
            <v>4</v>
          </cell>
          <cell r="S1822">
            <v>5.3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142.464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</row>
        <row r="1823">
          <cell r="C1823">
            <v>12</v>
          </cell>
          <cell r="D1823">
            <v>1</v>
          </cell>
          <cell r="Q1823" t="str">
            <v>1/4"</v>
          </cell>
          <cell r="R1823">
            <v>17</v>
          </cell>
          <cell r="S1823">
            <v>0.8</v>
          </cell>
          <cell r="T1823">
            <v>0</v>
          </cell>
          <cell r="U1823">
            <v>40.800000000000004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</row>
        <row r="1824">
          <cell r="B1824" t="str">
            <v>CORTE 3</v>
          </cell>
          <cell r="C1824">
            <v>12</v>
          </cell>
          <cell r="D1824">
            <v>1</v>
          </cell>
          <cell r="E1824">
            <v>3.35</v>
          </cell>
          <cell r="F1824">
            <v>0.2</v>
          </cell>
          <cell r="G1824">
            <v>0.2</v>
          </cell>
          <cell r="L1824">
            <v>1.6080000000000003</v>
          </cell>
          <cell r="M1824">
            <v>3.35</v>
          </cell>
          <cell r="N1824">
            <v>0.20000000000000007</v>
          </cell>
          <cell r="O1824">
            <v>8.0400000000000027</v>
          </cell>
          <cell r="Q1824" t="str">
            <v>1/2"</v>
          </cell>
          <cell r="R1824">
            <v>2</v>
          </cell>
          <cell r="S1824">
            <v>4.6499999999999995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110.48399999999998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</row>
        <row r="1825">
          <cell r="C1825">
            <v>12</v>
          </cell>
          <cell r="D1825">
            <v>1</v>
          </cell>
          <cell r="Q1825" t="str">
            <v>3/8"</v>
          </cell>
          <cell r="R1825">
            <v>2</v>
          </cell>
          <cell r="S1825">
            <v>4.6499999999999995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62.496000000000002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</row>
        <row r="1826">
          <cell r="C1826">
            <v>12</v>
          </cell>
          <cell r="D1826">
            <v>1</v>
          </cell>
          <cell r="Q1826" t="str">
            <v>3/8"</v>
          </cell>
          <cell r="R1826">
            <v>14</v>
          </cell>
          <cell r="S1826">
            <v>0.8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75.26400000000001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</row>
        <row r="1827">
          <cell r="B1827" t="str">
            <v>CORTE 3</v>
          </cell>
          <cell r="C1827">
            <v>12</v>
          </cell>
          <cell r="D1827">
            <v>1</v>
          </cell>
          <cell r="E1827">
            <v>2.8</v>
          </cell>
          <cell r="F1827">
            <v>0.2</v>
          </cell>
          <cell r="G1827">
            <v>0.2</v>
          </cell>
          <cell r="L1827">
            <v>1.3439999999999999</v>
          </cell>
          <cell r="M1827">
            <v>2.8</v>
          </cell>
          <cell r="N1827">
            <v>0.20000000000000007</v>
          </cell>
          <cell r="O1827">
            <v>6.7200000000000024</v>
          </cell>
          <cell r="Q1827" t="str">
            <v>1/2"</v>
          </cell>
          <cell r="R1827">
            <v>2</v>
          </cell>
          <cell r="S1827">
            <v>4.0999999999999996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97.415999999999983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</row>
        <row r="1828">
          <cell r="C1828">
            <v>12</v>
          </cell>
          <cell r="D1828">
            <v>1</v>
          </cell>
          <cell r="Q1828" t="str">
            <v>3/8"</v>
          </cell>
          <cell r="R1828">
            <v>2</v>
          </cell>
          <cell r="S1828">
            <v>4.0999999999999996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55.103999999999999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</row>
        <row r="1829">
          <cell r="C1829">
            <v>12</v>
          </cell>
          <cell r="D1829">
            <v>1</v>
          </cell>
          <cell r="Q1829" t="str">
            <v>3/8"</v>
          </cell>
          <cell r="R1829">
            <v>12</v>
          </cell>
          <cell r="S1829">
            <v>0.8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64.512000000000015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</row>
        <row r="1830">
          <cell r="B1830" t="str">
            <v>CORTE 6</v>
          </cell>
          <cell r="C1830">
            <v>12</v>
          </cell>
          <cell r="D1830">
            <v>1</v>
          </cell>
          <cell r="E1830">
            <v>2</v>
          </cell>
          <cell r="F1830">
            <v>0.56000000000000005</v>
          </cell>
          <cell r="G1830">
            <v>0.2</v>
          </cell>
          <cell r="L1830">
            <v>2.6880000000000006</v>
          </cell>
          <cell r="M1830">
            <v>2</v>
          </cell>
          <cell r="N1830">
            <v>0.56000000000000005</v>
          </cell>
          <cell r="O1830">
            <v>13.440000000000001</v>
          </cell>
          <cell r="Q1830" t="str">
            <v>3/8"</v>
          </cell>
          <cell r="R1830">
            <v>7</v>
          </cell>
          <cell r="S1830">
            <v>3.3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155.232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</row>
        <row r="1831">
          <cell r="C1831">
            <v>12</v>
          </cell>
          <cell r="D1831">
            <v>1</v>
          </cell>
          <cell r="Q1831" t="str">
            <v>3/8"</v>
          </cell>
          <cell r="R1831">
            <v>9</v>
          </cell>
          <cell r="S1831">
            <v>1.52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91.929600000000008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</row>
        <row r="1832">
          <cell r="B1832" t="str">
            <v>CORTE 8</v>
          </cell>
          <cell r="C1832">
            <v>12</v>
          </cell>
          <cell r="D1832">
            <v>1</v>
          </cell>
          <cell r="E1832">
            <v>3.45</v>
          </cell>
          <cell r="F1832">
            <v>0.15</v>
          </cell>
          <cell r="G1832">
            <v>0.55000000000000004</v>
          </cell>
          <cell r="L1832">
            <v>3.4155000000000006</v>
          </cell>
          <cell r="M1832">
            <v>3.45</v>
          </cell>
          <cell r="N1832">
            <v>0.85</v>
          </cell>
          <cell r="O1832">
            <v>35.19</v>
          </cell>
          <cell r="Q1832" t="str">
            <v>5/8"</v>
          </cell>
          <cell r="R1832">
            <v>4</v>
          </cell>
          <cell r="S1832">
            <v>4.75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353.4</v>
          </cell>
          <cell r="AB1832">
            <v>0</v>
          </cell>
          <cell r="AC1832">
            <v>0</v>
          </cell>
          <cell r="AD1832">
            <v>0</v>
          </cell>
        </row>
        <row r="1833">
          <cell r="C1833">
            <v>12</v>
          </cell>
          <cell r="D1833">
            <v>1</v>
          </cell>
          <cell r="Q1833" t="str">
            <v>3/8"</v>
          </cell>
          <cell r="R1833">
            <v>14</v>
          </cell>
          <cell r="S1833">
            <v>1.4000000000000001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131.71200000000005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</row>
        <row r="1834">
          <cell r="B1834" t="str">
            <v>CORTE 8</v>
          </cell>
          <cell r="C1834">
            <v>12</v>
          </cell>
          <cell r="D1834">
            <v>1</v>
          </cell>
          <cell r="E1834">
            <v>2.0499999999999998</v>
          </cell>
          <cell r="F1834">
            <v>0.15</v>
          </cell>
          <cell r="G1834">
            <v>0.55000000000000004</v>
          </cell>
          <cell r="L1834">
            <v>2.0295000000000001</v>
          </cell>
          <cell r="M1834">
            <v>2.0499999999999998</v>
          </cell>
          <cell r="N1834">
            <v>0.85</v>
          </cell>
          <cell r="O1834">
            <v>20.909999999999997</v>
          </cell>
          <cell r="Q1834" t="str">
            <v>5/8"</v>
          </cell>
          <cell r="R1834">
            <v>4</v>
          </cell>
          <cell r="S1834">
            <v>3.3499999999999996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249.24</v>
          </cell>
          <cell r="AB1834">
            <v>0</v>
          </cell>
          <cell r="AC1834">
            <v>0</v>
          </cell>
          <cell r="AD1834">
            <v>0</v>
          </cell>
        </row>
        <row r="1835">
          <cell r="C1835">
            <v>12</v>
          </cell>
          <cell r="D1835">
            <v>1</v>
          </cell>
          <cell r="Q1835" t="str">
            <v>3/8"</v>
          </cell>
          <cell r="R1835">
            <v>9</v>
          </cell>
          <cell r="S1835">
            <v>1.4000000000000001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84.672000000000025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</row>
        <row r="1836">
          <cell r="B1836" t="str">
            <v>CORTE 9</v>
          </cell>
          <cell r="C1836">
            <v>12</v>
          </cell>
          <cell r="D1836">
            <v>1</v>
          </cell>
          <cell r="E1836">
            <v>4.8</v>
          </cell>
          <cell r="F1836">
            <v>0.6</v>
          </cell>
          <cell r="G1836">
            <v>0.2</v>
          </cell>
          <cell r="L1836">
            <v>6.911999999999999</v>
          </cell>
          <cell r="M1836">
            <v>4.8</v>
          </cell>
          <cell r="N1836">
            <v>0.6</v>
          </cell>
          <cell r="O1836">
            <v>34.56</v>
          </cell>
          <cell r="Q1836" t="str">
            <v>3/4"</v>
          </cell>
          <cell r="R1836">
            <v>4</v>
          </cell>
          <cell r="S1836">
            <v>6.1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655.87199999999996</v>
          </cell>
          <cell r="AC1836">
            <v>0</v>
          </cell>
          <cell r="AD1836">
            <v>0</v>
          </cell>
        </row>
        <row r="1837">
          <cell r="C1837">
            <v>12</v>
          </cell>
          <cell r="D1837">
            <v>1</v>
          </cell>
          <cell r="Q1837" t="str">
            <v>3/8"</v>
          </cell>
          <cell r="R1837">
            <v>33</v>
          </cell>
          <cell r="S1837">
            <v>1.6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354.81600000000003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</row>
        <row r="1838">
          <cell r="B1838" t="str">
            <v>CORTE 9</v>
          </cell>
          <cell r="C1838">
            <v>12</v>
          </cell>
          <cell r="D1838">
            <v>1</v>
          </cell>
          <cell r="E1838">
            <v>4.6500000000000004</v>
          </cell>
          <cell r="F1838">
            <v>0.6</v>
          </cell>
          <cell r="G1838">
            <v>0.2</v>
          </cell>
          <cell r="L1838">
            <v>6.6960000000000015</v>
          </cell>
          <cell r="M1838">
            <v>4.6500000000000004</v>
          </cell>
          <cell r="N1838">
            <v>0.6</v>
          </cell>
          <cell r="O1838">
            <v>33.480000000000004</v>
          </cell>
          <cell r="Q1838" t="str">
            <v>3/4"</v>
          </cell>
          <cell r="R1838">
            <v>4</v>
          </cell>
          <cell r="S1838">
            <v>5.95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639.74400000000003</v>
          </cell>
          <cell r="AC1838">
            <v>0</v>
          </cell>
          <cell r="AD1838">
            <v>0</v>
          </cell>
        </row>
        <row r="1839">
          <cell r="C1839">
            <v>12</v>
          </cell>
          <cell r="D1839">
            <v>1</v>
          </cell>
          <cell r="Q1839" t="str">
            <v>3/8"</v>
          </cell>
          <cell r="R1839">
            <v>32</v>
          </cell>
          <cell r="S1839">
            <v>1.6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344.06400000000008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</row>
        <row r="1840">
          <cell r="B1840" t="str">
            <v>CORTE 10</v>
          </cell>
          <cell r="C1840">
            <v>12</v>
          </cell>
          <cell r="D1840">
            <v>1</v>
          </cell>
          <cell r="E1840">
            <v>4.8</v>
          </cell>
          <cell r="F1840">
            <v>0.2</v>
          </cell>
          <cell r="G1840">
            <v>0.55000000000000004</v>
          </cell>
          <cell r="L1840">
            <v>6.3360000000000003</v>
          </cell>
          <cell r="M1840">
            <v>4.8</v>
          </cell>
          <cell r="N1840">
            <v>0.9</v>
          </cell>
          <cell r="O1840">
            <v>51.84</v>
          </cell>
          <cell r="Q1840" t="str">
            <v>3/4"</v>
          </cell>
          <cell r="R1840">
            <v>4</v>
          </cell>
          <cell r="S1840">
            <v>6.1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655.87199999999996</v>
          </cell>
          <cell r="AC1840">
            <v>0</v>
          </cell>
          <cell r="AD1840">
            <v>0</v>
          </cell>
        </row>
        <row r="1841">
          <cell r="C1841">
            <v>12</v>
          </cell>
          <cell r="D1841">
            <v>1</v>
          </cell>
          <cell r="Q1841" t="str">
            <v>3/8"</v>
          </cell>
          <cell r="R1841">
            <v>20</v>
          </cell>
          <cell r="S1841">
            <v>1.5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201.60000000000002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</row>
        <row r="1842"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</row>
        <row r="1843">
          <cell r="B1843" t="str">
            <v>PISO 14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</row>
        <row r="1844"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</row>
        <row r="1845">
          <cell r="B1845" t="str">
            <v>CORTE 1</v>
          </cell>
          <cell r="C1845">
            <v>1</v>
          </cell>
          <cell r="D1845">
            <v>1</v>
          </cell>
          <cell r="E1845">
            <v>3.8</v>
          </cell>
          <cell r="F1845">
            <v>0.1</v>
          </cell>
          <cell r="G1845">
            <v>0.2</v>
          </cell>
          <cell r="L1845">
            <v>7.6000000000000012E-2</v>
          </cell>
          <cell r="M1845">
            <v>3.8</v>
          </cell>
          <cell r="N1845">
            <v>9.9999999999999978E-2</v>
          </cell>
          <cell r="O1845">
            <v>0.37999999999999989</v>
          </cell>
          <cell r="Q1845" t="str">
            <v>3/8"</v>
          </cell>
          <cell r="R1845">
            <v>2</v>
          </cell>
          <cell r="S1845">
            <v>5.0999999999999996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5.7119999999999997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H1845">
            <v>5.7119999999999997</v>
          </cell>
        </row>
        <row r="1846">
          <cell r="C1846">
            <v>1</v>
          </cell>
          <cell r="D1846">
            <v>1</v>
          </cell>
          <cell r="Q1846" t="str">
            <v>1/4"</v>
          </cell>
          <cell r="R1846">
            <v>16</v>
          </cell>
          <cell r="S1846">
            <v>0.60000000000000009</v>
          </cell>
          <cell r="T1846">
            <v>0</v>
          </cell>
          <cell r="U1846">
            <v>2.4000000000000004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H1846">
            <v>0</v>
          </cell>
        </row>
        <row r="1847">
          <cell r="B1847" t="str">
            <v>CORTE 1</v>
          </cell>
          <cell r="C1847">
            <v>1</v>
          </cell>
          <cell r="D1847">
            <v>1</v>
          </cell>
          <cell r="E1847">
            <v>21.3</v>
          </cell>
          <cell r="F1847">
            <v>0.1</v>
          </cell>
          <cell r="G1847">
            <v>0.2</v>
          </cell>
          <cell r="L1847">
            <v>0.4260000000000001</v>
          </cell>
          <cell r="M1847">
            <v>21.3</v>
          </cell>
          <cell r="N1847">
            <v>9.9999999999999978E-2</v>
          </cell>
          <cell r="O1847">
            <v>2.1299999999999994</v>
          </cell>
          <cell r="Q1847" t="str">
            <v>3/8"</v>
          </cell>
          <cell r="R1847">
            <v>2</v>
          </cell>
          <cell r="S1847">
            <v>22.6</v>
          </cell>
          <cell r="T1847">
            <v>2</v>
          </cell>
          <cell r="U1847">
            <v>0</v>
          </cell>
          <cell r="V1847">
            <v>0</v>
          </cell>
          <cell r="W1847">
            <v>0</v>
          </cell>
          <cell r="X1847">
            <v>25.312000000000005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H1847">
            <v>25.312000000000005</v>
          </cell>
        </row>
        <row r="1848">
          <cell r="C1848">
            <v>1</v>
          </cell>
          <cell r="D1848">
            <v>1</v>
          </cell>
          <cell r="Q1848" t="str">
            <v>1/4"</v>
          </cell>
          <cell r="R1848">
            <v>86</v>
          </cell>
          <cell r="S1848">
            <v>0.60000000000000009</v>
          </cell>
          <cell r="T1848">
            <v>0</v>
          </cell>
          <cell r="U1848">
            <v>12.900000000000002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H1848">
            <v>0</v>
          </cell>
        </row>
        <row r="1849">
          <cell r="B1849" t="str">
            <v>CORTE 1</v>
          </cell>
          <cell r="C1849">
            <v>1</v>
          </cell>
          <cell r="D1849">
            <v>1</v>
          </cell>
          <cell r="E1849">
            <v>1.75</v>
          </cell>
          <cell r="F1849">
            <v>0.1</v>
          </cell>
          <cell r="G1849">
            <v>0.2</v>
          </cell>
          <cell r="L1849">
            <v>3.5000000000000003E-2</v>
          </cell>
          <cell r="M1849">
            <v>1.75</v>
          </cell>
          <cell r="N1849">
            <v>9.9999999999999978E-2</v>
          </cell>
          <cell r="O1849">
            <v>0.17499999999999996</v>
          </cell>
          <cell r="Q1849" t="str">
            <v>3/8"</v>
          </cell>
          <cell r="R1849">
            <v>2</v>
          </cell>
          <cell r="S1849">
            <v>3.05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3.4159999999999999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H1849">
            <v>3.4159999999999999</v>
          </cell>
        </row>
        <row r="1850">
          <cell r="C1850">
            <v>1</v>
          </cell>
          <cell r="D1850">
            <v>1</v>
          </cell>
          <cell r="Q1850" t="str">
            <v>1/4"</v>
          </cell>
          <cell r="R1850">
            <v>8</v>
          </cell>
          <cell r="S1850">
            <v>0.60000000000000009</v>
          </cell>
          <cell r="T1850">
            <v>0</v>
          </cell>
          <cell r="U1850">
            <v>1.2000000000000002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H1850">
            <v>0</v>
          </cell>
        </row>
        <row r="1851">
          <cell r="B1851" t="str">
            <v>CORTE 1</v>
          </cell>
          <cell r="C1851">
            <v>1</v>
          </cell>
          <cell r="D1851">
            <v>1</v>
          </cell>
          <cell r="E1851">
            <v>1.85</v>
          </cell>
          <cell r="F1851">
            <v>0.1</v>
          </cell>
          <cell r="G1851">
            <v>0.2</v>
          </cell>
          <cell r="L1851">
            <v>3.7000000000000005E-2</v>
          </cell>
          <cell r="M1851">
            <v>1.85</v>
          </cell>
          <cell r="N1851">
            <v>9.9999999999999978E-2</v>
          </cell>
          <cell r="O1851">
            <v>0.18499999999999997</v>
          </cell>
          <cell r="Q1851" t="str">
            <v>3/8"</v>
          </cell>
          <cell r="R1851">
            <v>2</v>
          </cell>
          <cell r="S1851">
            <v>3.15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3.528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H1851">
            <v>3.528</v>
          </cell>
        </row>
        <row r="1852">
          <cell r="C1852">
            <v>1</v>
          </cell>
          <cell r="D1852">
            <v>1</v>
          </cell>
          <cell r="Q1852" t="str">
            <v>1/4"</v>
          </cell>
          <cell r="R1852">
            <v>8</v>
          </cell>
          <cell r="S1852">
            <v>0.60000000000000009</v>
          </cell>
          <cell r="T1852">
            <v>0</v>
          </cell>
          <cell r="U1852">
            <v>1.2000000000000002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H1852">
            <v>0</v>
          </cell>
        </row>
        <row r="1853">
          <cell r="B1853" t="str">
            <v>CORTE 1</v>
          </cell>
          <cell r="C1853">
            <v>1</v>
          </cell>
          <cell r="D1853">
            <v>1</v>
          </cell>
          <cell r="E1853">
            <v>2</v>
          </cell>
          <cell r="F1853">
            <v>0.1</v>
          </cell>
          <cell r="G1853">
            <v>0.2</v>
          </cell>
          <cell r="L1853">
            <v>4.0000000000000008E-2</v>
          </cell>
          <cell r="M1853">
            <v>2</v>
          </cell>
          <cell r="N1853">
            <v>9.9999999999999978E-2</v>
          </cell>
          <cell r="O1853">
            <v>0.19999999999999996</v>
          </cell>
          <cell r="Q1853" t="str">
            <v>3/8"</v>
          </cell>
          <cell r="R1853">
            <v>2</v>
          </cell>
          <cell r="S1853">
            <v>3.3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3.6960000000000002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H1853">
            <v>3.6960000000000002</v>
          </cell>
        </row>
        <row r="1854">
          <cell r="C1854">
            <v>1</v>
          </cell>
          <cell r="D1854">
            <v>1</v>
          </cell>
          <cell r="Q1854" t="str">
            <v>1/4"</v>
          </cell>
          <cell r="R1854">
            <v>9</v>
          </cell>
          <cell r="S1854">
            <v>0.60000000000000009</v>
          </cell>
          <cell r="T1854">
            <v>0</v>
          </cell>
          <cell r="U1854">
            <v>1.35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H1854">
            <v>0</v>
          </cell>
        </row>
        <row r="1855">
          <cell r="B1855" t="str">
            <v>CORTE 1</v>
          </cell>
          <cell r="C1855">
            <v>1</v>
          </cell>
          <cell r="D1855">
            <v>1</v>
          </cell>
          <cell r="E1855">
            <v>2</v>
          </cell>
          <cell r="F1855">
            <v>0.1</v>
          </cell>
          <cell r="G1855">
            <v>0.2</v>
          </cell>
          <cell r="L1855">
            <v>4.0000000000000008E-2</v>
          </cell>
          <cell r="M1855">
            <v>2</v>
          </cell>
          <cell r="N1855">
            <v>9.9999999999999978E-2</v>
          </cell>
          <cell r="O1855">
            <v>0.19999999999999996</v>
          </cell>
          <cell r="Q1855" t="str">
            <v>3/8"</v>
          </cell>
          <cell r="R1855">
            <v>2</v>
          </cell>
          <cell r="S1855">
            <v>3.3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3.6960000000000002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H1855">
            <v>3.6960000000000002</v>
          </cell>
        </row>
        <row r="1856">
          <cell r="C1856">
            <v>1</v>
          </cell>
          <cell r="D1856">
            <v>1</v>
          </cell>
          <cell r="Q1856" t="str">
            <v>1/4"</v>
          </cell>
          <cell r="R1856">
            <v>9</v>
          </cell>
          <cell r="S1856">
            <v>0.60000000000000009</v>
          </cell>
          <cell r="T1856">
            <v>0</v>
          </cell>
          <cell r="U1856">
            <v>1.35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H1856">
            <v>0</v>
          </cell>
        </row>
        <row r="1857">
          <cell r="B1857" t="str">
            <v>CORTE 2</v>
          </cell>
          <cell r="C1857">
            <v>1</v>
          </cell>
          <cell r="D1857">
            <v>1</v>
          </cell>
          <cell r="E1857">
            <v>3.15</v>
          </cell>
          <cell r="F1857">
            <v>0.2</v>
          </cell>
          <cell r="G1857">
            <v>0.2</v>
          </cell>
          <cell r="L1857">
            <v>0.126</v>
          </cell>
          <cell r="M1857">
            <v>3.15</v>
          </cell>
          <cell r="N1857">
            <v>0.20000000000000007</v>
          </cell>
          <cell r="O1857">
            <v>0.63000000000000023</v>
          </cell>
          <cell r="Q1857" t="str">
            <v>3/8"</v>
          </cell>
          <cell r="R1857">
            <v>4</v>
          </cell>
          <cell r="S1857">
            <v>4.45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9.9680000000000017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</row>
        <row r="1858">
          <cell r="C1858">
            <v>1</v>
          </cell>
          <cell r="D1858">
            <v>1</v>
          </cell>
          <cell r="Q1858" t="str">
            <v>1/4"</v>
          </cell>
          <cell r="R1858">
            <v>13</v>
          </cell>
          <cell r="S1858">
            <v>0.8</v>
          </cell>
          <cell r="T1858">
            <v>0</v>
          </cell>
          <cell r="U1858">
            <v>2.6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</row>
        <row r="1859">
          <cell r="B1859" t="str">
            <v>CORTE 2</v>
          </cell>
          <cell r="C1859">
            <v>1</v>
          </cell>
          <cell r="D1859">
            <v>1</v>
          </cell>
          <cell r="E1859">
            <v>2.5499999999999998</v>
          </cell>
          <cell r="F1859">
            <v>0.2</v>
          </cell>
          <cell r="G1859">
            <v>0.2</v>
          </cell>
          <cell r="L1859">
            <v>0.10200000000000001</v>
          </cell>
          <cell r="M1859">
            <v>2.5499999999999998</v>
          </cell>
          <cell r="N1859">
            <v>0.20000000000000007</v>
          </cell>
          <cell r="O1859">
            <v>0.51000000000000012</v>
          </cell>
          <cell r="Q1859" t="str">
            <v>3/8"</v>
          </cell>
          <cell r="R1859">
            <v>4</v>
          </cell>
          <cell r="S1859">
            <v>3.8499999999999996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8.6240000000000006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</row>
        <row r="1860">
          <cell r="C1860">
            <v>1</v>
          </cell>
          <cell r="D1860">
            <v>1</v>
          </cell>
          <cell r="Q1860" t="str">
            <v>1/4"</v>
          </cell>
          <cell r="R1860">
            <v>11</v>
          </cell>
          <cell r="S1860">
            <v>0.8</v>
          </cell>
          <cell r="T1860">
            <v>0</v>
          </cell>
          <cell r="U1860">
            <v>2.2000000000000002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</row>
        <row r="1861">
          <cell r="B1861" t="str">
            <v>CORTE 2</v>
          </cell>
          <cell r="C1861">
            <v>1</v>
          </cell>
          <cell r="D1861">
            <v>1</v>
          </cell>
          <cell r="E1861">
            <v>2.2000000000000002</v>
          </cell>
          <cell r="F1861">
            <v>0.2</v>
          </cell>
          <cell r="G1861">
            <v>0.2</v>
          </cell>
          <cell r="L1861">
            <v>8.8000000000000023E-2</v>
          </cell>
          <cell r="M1861">
            <v>2.2000000000000002</v>
          </cell>
          <cell r="N1861">
            <v>0.20000000000000007</v>
          </cell>
          <cell r="O1861">
            <v>0.44000000000000017</v>
          </cell>
          <cell r="Q1861" t="str">
            <v>3/8"</v>
          </cell>
          <cell r="R1861">
            <v>4</v>
          </cell>
          <cell r="S1861">
            <v>3.5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7.8400000000000007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</row>
        <row r="1862">
          <cell r="C1862">
            <v>1</v>
          </cell>
          <cell r="D1862">
            <v>1</v>
          </cell>
          <cell r="Q1862" t="str">
            <v>1/4"</v>
          </cell>
          <cell r="R1862">
            <v>9</v>
          </cell>
          <cell r="S1862">
            <v>0.8</v>
          </cell>
          <cell r="T1862">
            <v>0</v>
          </cell>
          <cell r="U1862">
            <v>1.8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</row>
        <row r="1863">
          <cell r="B1863" t="str">
            <v>CORTE 2</v>
          </cell>
          <cell r="C1863">
            <v>1</v>
          </cell>
          <cell r="D1863">
            <v>1</v>
          </cell>
          <cell r="E1863">
            <v>4.05</v>
          </cell>
          <cell r="F1863">
            <v>0.2</v>
          </cell>
          <cell r="G1863">
            <v>0.2</v>
          </cell>
          <cell r="L1863">
            <v>0.16200000000000003</v>
          </cell>
          <cell r="M1863">
            <v>4.05</v>
          </cell>
          <cell r="N1863">
            <v>0.20000000000000007</v>
          </cell>
          <cell r="O1863">
            <v>0.81000000000000028</v>
          </cell>
          <cell r="Q1863" t="str">
            <v>3/8"</v>
          </cell>
          <cell r="R1863">
            <v>4</v>
          </cell>
          <cell r="S1863">
            <v>5.35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11.984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</row>
        <row r="1864">
          <cell r="C1864">
            <v>1</v>
          </cell>
          <cell r="D1864">
            <v>1</v>
          </cell>
          <cell r="Q1864" t="str">
            <v>1/4"</v>
          </cell>
          <cell r="R1864">
            <v>17</v>
          </cell>
          <cell r="S1864">
            <v>0.8</v>
          </cell>
          <cell r="T1864">
            <v>0</v>
          </cell>
          <cell r="U1864">
            <v>3.4000000000000004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</row>
        <row r="1865">
          <cell r="B1865" t="str">
            <v>CORTE 2</v>
          </cell>
          <cell r="C1865">
            <v>1</v>
          </cell>
          <cell r="D1865">
            <v>1</v>
          </cell>
          <cell r="E1865">
            <v>2.2999999999999998</v>
          </cell>
          <cell r="F1865">
            <v>0.2</v>
          </cell>
          <cell r="G1865">
            <v>0.2</v>
          </cell>
          <cell r="L1865">
            <v>9.1999999999999998E-2</v>
          </cell>
          <cell r="M1865">
            <v>2.2999999999999998</v>
          </cell>
          <cell r="N1865">
            <v>0.20000000000000007</v>
          </cell>
          <cell r="O1865">
            <v>0.46000000000000013</v>
          </cell>
          <cell r="Q1865" t="str">
            <v>3/8"</v>
          </cell>
          <cell r="R1865">
            <v>4</v>
          </cell>
          <cell r="S1865">
            <v>3.5999999999999996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8.0640000000000001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</row>
        <row r="1866">
          <cell r="C1866">
            <v>1</v>
          </cell>
          <cell r="D1866">
            <v>1</v>
          </cell>
          <cell r="Q1866" t="str">
            <v>1/4"</v>
          </cell>
          <cell r="R1866">
            <v>10</v>
          </cell>
          <cell r="S1866">
            <v>0.8</v>
          </cell>
          <cell r="T1866">
            <v>0</v>
          </cell>
          <cell r="U1866">
            <v>2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</row>
        <row r="1867">
          <cell r="B1867" t="str">
            <v>CORTE 2</v>
          </cell>
          <cell r="C1867">
            <v>1</v>
          </cell>
          <cell r="D1867">
            <v>1</v>
          </cell>
          <cell r="E1867">
            <v>4.8</v>
          </cell>
          <cell r="F1867">
            <v>0.2</v>
          </cell>
          <cell r="G1867">
            <v>0.2</v>
          </cell>
          <cell r="L1867">
            <v>0.192</v>
          </cell>
          <cell r="M1867">
            <v>4.8</v>
          </cell>
          <cell r="N1867">
            <v>0.20000000000000007</v>
          </cell>
          <cell r="O1867">
            <v>0.9600000000000003</v>
          </cell>
          <cell r="Q1867" t="str">
            <v>3/8"</v>
          </cell>
          <cell r="R1867">
            <v>4</v>
          </cell>
          <cell r="S1867">
            <v>6.1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13.664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</row>
        <row r="1868">
          <cell r="C1868">
            <v>1</v>
          </cell>
          <cell r="D1868">
            <v>1</v>
          </cell>
          <cell r="Q1868" t="str">
            <v>1/4"</v>
          </cell>
          <cell r="R1868">
            <v>20</v>
          </cell>
          <cell r="S1868">
            <v>0.8</v>
          </cell>
          <cell r="T1868">
            <v>0</v>
          </cell>
          <cell r="U1868">
            <v>4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</row>
        <row r="1869">
          <cell r="B1869" t="str">
            <v>CORTE 2</v>
          </cell>
          <cell r="C1869">
            <v>1</v>
          </cell>
          <cell r="D1869">
            <v>1</v>
          </cell>
          <cell r="E1869">
            <v>2.35</v>
          </cell>
          <cell r="F1869">
            <v>0.2</v>
          </cell>
          <cell r="G1869">
            <v>0.2</v>
          </cell>
          <cell r="L1869">
            <v>9.4000000000000014E-2</v>
          </cell>
          <cell r="M1869">
            <v>2.35</v>
          </cell>
          <cell r="N1869">
            <v>0.20000000000000007</v>
          </cell>
          <cell r="O1869">
            <v>0.4700000000000002</v>
          </cell>
          <cell r="Q1869" t="str">
            <v>3/8"</v>
          </cell>
          <cell r="R1869">
            <v>4</v>
          </cell>
          <cell r="S1869">
            <v>3.65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8.1760000000000002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</row>
        <row r="1870">
          <cell r="C1870">
            <v>1</v>
          </cell>
          <cell r="D1870">
            <v>1</v>
          </cell>
          <cell r="Q1870" t="str">
            <v>1/4"</v>
          </cell>
          <cell r="R1870">
            <v>10</v>
          </cell>
          <cell r="S1870">
            <v>0.8</v>
          </cell>
          <cell r="T1870">
            <v>0</v>
          </cell>
          <cell r="U1870">
            <v>2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</row>
        <row r="1871">
          <cell r="B1871" t="str">
            <v>CORTE 2</v>
          </cell>
          <cell r="C1871">
            <v>1</v>
          </cell>
          <cell r="D1871">
            <v>1</v>
          </cell>
          <cell r="E1871">
            <v>4</v>
          </cell>
          <cell r="F1871">
            <v>0.2</v>
          </cell>
          <cell r="G1871">
            <v>0.2</v>
          </cell>
          <cell r="L1871">
            <v>0.16000000000000003</v>
          </cell>
          <cell r="M1871">
            <v>4</v>
          </cell>
          <cell r="N1871">
            <v>0.20000000000000007</v>
          </cell>
          <cell r="O1871">
            <v>0.80000000000000027</v>
          </cell>
          <cell r="Q1871" t="str">
            <v>3/8"</v>
          </cell>
          <cell r="R1871">
            <v>4</v>
          </cell>
          <cell r="S1871">
            <v>5.3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11.872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</row>
        <row r="1872">
          <cell r="C1872">
            <v>1</v>
          </cell>
          <cell r="D1872">
            <v>1</v>
          </cell>
          <cell r="Q1872" t="str">
            <v>1/4"</v>
          </cell>
          <cell r="R1872">
            <v>17</v>
          </cell>
          <cell r="S1872">
            <v>0.8</v>
          </cell>
          <cell r="T1872">
            <v>0</v>
          </cell>
          <cell r="U1872">
            <v>3.4000000000000004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</row>
        <row r="1873">
          <cell r="B1873" t="str">
            <v>CORTE 3</v>
          </cell>
          <cell r="C1873">
            <v>1</v>
          </cell>
          <cell r="D1873">
            <v>1</v>
          </cell>
          <cell r="E1873">
            <v>3.35</v>
          </cell>
          <cell r="F1873">
            <v>0.2</v>
          </cell>
          <cell r="G1873">
            <v>0.2</v>
          </cell>
          <cell r="L1873">
            <v>0.13400000000000001</v>
          </cell>
          <cell r="M1873">
            <v>3.35</v>
          </cell>
          <cell r="N1873">
            <v>0.20000000000000007</v>
          </cell>
          <cell r="O1873">
            <v>0.67000000000000026</v>
          </cell>
          <cell r="Q1873" t="str">
            <v>1/2"</v>
          </cell>
          <cell r="R1873">
            <v>2</v>
          </cell>
          <cell r="S1873">
            <v>4.6499999999999995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9.206999999999999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</row>
        <row r="1874">
          <cell r="C1874">
            <v>1</v>
          </cell>
          <cell r="D1874">
            <v>1</v>
          </cell>
          <cell r="Q1874" t="str">
            <v>3/8"</v>
          </cell>
          <cell r="R1874">
            <v>2</v>
          </cell>
          <cell r="S1874">
            <v>4.6499999999999995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5.2080000000000002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</row>
        <row r="1875">
          <cell r="C1875">
            <v>1</v>
          </cell>
          <cell r="D1875">
            <v>1</v>
          </cell>
          <cell r="Q1875" t="str">
            <v>3/8"</v>
          </cell>
          <cell r="R1875">
            <v>14</v>
          </cell>
          <cell r="S1875">
            <v>0.8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6.2720000000000011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</row>
        <row r="1876">
          <cell r="B1876" t="str">
            <v>CORTE 3</v>
          </cell>
          <cell r="C1876">
            <v>1</v>
          </cell>
          <cell r="D1876">
            <v>1</v>
          </cell>
          <cell r="E1876">
            <v>2.8</v>
          </cell>
          <cell r="F1876">
            <v>0.2</v>
          </cell>
          <cell r="G1876">
            <v>0.2</v>
          </cell>
          <cell r="L1876">
            <v>0.11199999999999999</v>
          </cell>
          <cell r="M1876">
            <v>2.8</v>
          </cell>
          <cell r="N1876">
            <v>0.20000000000000007</v>
          </cell>
          <cell r="O1876">
            <v>0.56000000000000016</v>
          </cell>
          <cell r="Q1876" t="str">
            <v>1/2"</v>
          </cell>
          <cell r="R1876">
            <v>2</v>
          </cell>
          <cell r="S1876">
            <v>4.0999999999999996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8.1179999999999986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</row>
        <row r="1877">
          <cell r="C1877">
            <v>1</v>
          </cell>
          <cell r="D1877">
            <v>1</v>
          </cell>
          <cell r="Q1877" t="str">
            <v>3/8"</v>
          </cell>
          <cell r="R1877">
            <v>2</v>
          </cell>
          <cell r="S1877">
            <v>4.0999999999999996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4.5919999999999996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</row>
        <row r="1878">
          <cell r="C1878">
            <v>1</v>
          </cell>
          <cell r="D1878">
            <v>1</v>
          </cell>
          <cell r="Q1878" t="str">
            <v>3/8"</v>
          </cell>
          <cell r="R1878">
            <v>12</v>
          </cell>
          <cell r="S1878">
            <v>0.8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5.3760000000000012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</row>
        <row r="1879">
          <cell r="B1879" t="str">
            <v>CORTE 6</v>
          </cell>
          <cell r="C1879">
            <v>1</v>
          </cell>
          <cell r="D1879">
            <v>1</v>
          </cell>
          <cell r="E1879">
            <v>2</v>
          </cell>
          <cell r="F1879">
            <v>0.56000000000000005</v>
          </cell>
          <cell r="G1879">
            <v>0.2</v>
          </cell>
          <cell r="L1879">
            <v>0.22400000000000003</v>
          </cell>
          <cell r="M1879">
            <v>2</v>
          </cell>
          <cell r="N1879">
            <v>0.56000000000000005</v>
          </cell>
          <cell r="O1879">
            <v>1.1200000000000001</v>
          </cell>
          <cell r="Q1879" t="str">
            <v>3/8"</v>
          </cell>
          <cell r="R1879">
            <v>7</v>
          </cell>
          <cell r="S1879">
            <v>3.3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12.936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</row>
        <row r="1880">
          <cell r="C1880">
            <v>1</v>
          </cell>
          <cell r="D1880">
            <v>1</v>
          </cell>
          <cell r="Q1880" t="str">
            <v>3/8"</v>
          </cell>
          <cell r="R1880">
            <v>9</v>
          </cell>
          <cell r="S1880">
            <v>1.52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7.6608000000000009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</row>
        <row r="1881">
          <cell r="B1881" t="str">
            <v>CORTE 8</v>
          </cell>
          <cell r="C1881">
            <v>1</v>
          </cell>
          <cell r="D1881">
            <v>1</v>
          </cell>
          <cell r="E1881">
            <v>3.45</v>
          </cell>
          <cell r="F1881">
            <v>0.15</v>
          </cell>
          <cell r="G1881">
            <v>0.55000000000000004</v>
          </cell>
          <cell r="L1881">
            <v>0.28462500000000002</v>
          </cell>
          <cell r="M1881">
            <v>3.45</v>
          </cell>
          <cell r="N1881">
            <v>0.85</v>
          </cell>
          <cell r="O1881">
            <v>2.9325000000000001</v>
          </cell>
          <cell r="Q1881" t="str">
            <v>5/8"</v>
          </cell>
          <cell r="R1881">
            <v>4</v>
          </cell>
          <cell r="S1881">
            <v>4.75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29.45</v>
          </cell>
          <cell r="AB1881">
            <v>0</v>
          </cell>
          <cell r="AC1881">
            <v>0</v>
          </cell>
          <cell r="AD1881">
            <v>0</v>
          </cell>
        </row>
        <row r="1882">
          <cell r="C1882">
            <v>1</v>
          </cell>
          <cell r="D1882">
            <v>1</v>
          </cell>
          <cell r="Q1882" t="str">
            <v>3/8"</v>
          </cell>
          <cell r="R1882">
            <v>14</v>
          </cell>
          <cell r="S1882">
            <v>1.4000000000000001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10.976000000000003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</row>
        <row r="1883">
          <cell r="B1883" t="str">
            <v>CORTE 8</v>
          </cell>
          <cell r="C1883">
            <v>1</v>
          </cell>
          <cell r="D1883">
            <v>1</v>
          </cell>
          <cell r="E1883">
            <v>2.0499999999999998</v>
          </cell>
          <cell r="F1883">
            <v>0.15</v>
          </cell>
          <cell r="G1883">
            <v>0.55000000000000004</v>
          </cell>
          <cell r="L1883">
            <v>0.16912499999999997</v>
          </cell>
          <cell r="M1883">
            <v>2.0499999999999998</v>
          </cell>
          <cell r="N1883">
            <v>0.85</v>
          </cell>
          <cell r="O1883">
            <v>1.7424999999999997</v>
          </cell>
          <cell r="Q1883" t="str">
            <v>5/8"</v>
          </cell>
          <cell r="R1883">
            <v>4</v>
          </cell>
          <cell r="S1883">
            <v>3.3499999999999996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20.77</v>
          </cell>
          <cell r="AB1883">
            <v>0</v>
          </cell>
          <cell r="AC1883">
            <v>0</v>
          </cell>
          <cell r="AD1883">
            <v>0</v>
          </cell>
        </row>
        <row r="1884">
          <cell r="C1884">
            <v>1</v>
          </cell>
          <cell r="D1884">
            <v>1</v>
          </cell>
          <cell r="Q1884" t="str">
            <v>3/8"</v>
          </cell>
          <cell r="R1884">
            <v>9</v>
          </cell>
          <cell r="S1884">
            <v>1.4000000000000001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7.0560000000000018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</row>
        <row r="1885">
          <cell r="B1885" t="str">
            <v>CORTE 9</v>
          </cell>
          <cell r="C1885">
            <v>1</v>
          </cell>
          <cell r="D1885">
            <v>1</v>
          </cell>
          <cell r="E1885">
            <v>4.8</v>
          </cell>
          <cell r="F1885">
            <v>0.6</v>
          </cell>
          <cell r="G1885">
            <v>0.2</v>
          </cell>
          <cell r="L1885">
            <v>0.57599999999999996</v>
          </cell>
          <cell r="M1885">
            <v>4.8</v>
          </cell>
          <cell r="N1885">
            <v>0.6</v>
          </cell>
          <cell r="O1885">
            <v>2.88</v>
          </cell>
          <cell r="Q1885" t="str">
            <v>3/4"</v>
          </cell>
          <cell r="R1885">
            <v>4</v>
          </cell>
          <cell r="S1885">
            <v>6.1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54.655999999999999</v>
          </cell>
          <cell r="AC1885">
            <v>0</v>
          </cell>
          <cell r="AD1885">
            <v>0</v>
          </cell>
        </row>
        <row r="1886">
          <cell r="C1886">
            <v>1</v>
          </cell>
          <cell r="D1886">
            <v>1</v>
          </cell>
          <cell r="Q1886" t="str">
            <v>3/8"</v>
          </cell>
          <cell r="R1886">
            <v>33</v>
          </cell>
          <cell r="S1886">
            <v>1.6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29.568000000000005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</row>
        <row r="1887">
          <cell r="B1887" t="str">
            <v>CORTE 9</v>
          </cell>
          <cell r="C1887">
            <v>1</v>
          </cell>
          <cell r="D1887">
            <v>1</v>
          </cell>
          <cell r="E1887">
            <v>4.6500000000000004</v>
          </cell>
          <cell r="F1887">
            <v>0.6</v>
          </cell>
          <cell r="G1887">
            <v>0.2</v>
          </cell>
          <cell r="L1887">
            <v>0.55800000000000005</v>
          </cell>
          <cell r="M1887">
            <v>4.6500000000000004</v>
          </cell>
          <cell r="N1887">
            <v>0.6</v>
          </cell>
          <cell r="O1887">
            <v>2.79</v>
          </cell>
          <cell r="Q1887" t="str">
            <v>3/4"</v>
          </cell>
          <cell r="R1887">
            <v>4</v>
          </cell>
          <cell r="S1887">
            <v>5.95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53.312000000000005</v>
          </cell>
          <cell r="AC1887">
            <v>0</v>
          </cell>
          <cell r="AD1887">
            <v>0</v>
          </cell>
        </row>
        <row r="1888">
          <cell r="C1888">
            <v>1</v>
          </cell>
          <cell r="D1888">
            <v>1</v>
          </cell>
          <cell r="Q1888" t="str">
            <v>3/8"</v>
          </cell>
          <cell r="R1888">
            <v>32</v>
          </cell>
          <cell r="S1888">
            <v>1.6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28.672000000000004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</row>
        <row r="1889">
          <cell r="B1889" t="str">
            <v>CORTE 10</v>
          </cell>
          <cell r="C1889">
            <v>1</v>
          </cell>
          <cell r="D1889">
            <v>1</v>
          </cell>
          <cell r="E1889">
            <v>4.8</v>
          </cell>
          <cell r="F1889">
            <v>0.2</v>
          </cell>
          <cell r="G1889">
            <v>0.55000000000000004</v>
          </cell>
          <cell r="L1889">
            <v>0.52800000000000002</v>
          </cell>
          <cell r="M1889">
            <v>4.8</v>
          </cell>
          <cell r="N1889">
            <v>0.9</v>
          </cell>
          <cell r="O1889">
            <v>4.32</v>
          </cell>
          <cell r="Q1889" t="str">
            <v>3/4"</v>
          </cell>
          <cell r="R1889">
            <v>4</v>
          </cell>
          <cell r="S1889">
            <v>6.1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54.655999999999999</v>
          </cell>
          <cell r="AC1889">
            <v>0</v>
          </cell>
          <cell r="AD1889">
            <v>0</v>
          </cell>
        </row>
        <row r="1890">
          <cell r="C1890">
            <v>1</v>
          </cell>
          <cell r="D1890">
            <v>1</v>
          </cell>
          <cell r="Q1890" t="str">
            <v>3/8"</v>
          </cell>
          <cell r="R1890">
            <v>20</v>
          </cell>
          <cell r="S1890">
            <v>1.5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16.8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</row>
        <row r="1891"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</row>
        <row r="1892">
          <cell r="B1892" t="str">
            <v>PISO 15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</row>
        <row r="1893"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</row>
        <row r="1894">
          <cell r="B1894" t="str">
            <v>CORTE 1</v>
          </cell>
          <cell r="C1894">
            <v>1</v>
          </cell>
          <cell r="D1894">
            <v>1</v>
          </cell>
          <cell r="E1894">
            <v>1.25</v>
          </cell>
          <cell r="F1894">
            <v>0.1</v>
          </cell>
          <cell r="G1894">
            <v>0.2</v>
          </cell>
          <cell r="L1894">
            <v>2.5000000000000001E-2</v>
          </cell>
          <cell r="M1894">
            <v>1.25</v>
          </cell>
          <cell r="N1894">
            <v>9.9999999999999978E-2</v>
          </cell>
          <cell r="O1894">
            <v>0.12499999999999997</v>
          </cell>
          <cell r="Q1894" t="str">
            <v>3/8"</v>
          </cell>
          <cell r="R1894">
            <v>2</v>
          </cell>
          <cell r="S1894">
            <v>2.5499999999999998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2.8559999999999999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H1894">
            <v>2.8559999999999999</v>
          </cell>
        </row>
        <row r="1895">
          <cell r="C1895">
            <v>1</v>
          </cell>
          <cell r="D1895">
            <v>1</v>
          </cell>
          <cell r="Q1895" t="str">
            <v>1/4"</v>
          </cell>
          <cell r="R1895">
            <v>6</v>
          </cell>
          <cell r="S1895">
            <v>0.60000000000000009</v>
          </cell>
          <cell r="T1895">
            <v>0</v>
          </cell>
          <cell r="U1895">
            <v>0.90000000000000013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H1895">
            <v>0</v>
          </cell>
        </row>
        <row r="1896">
          <cell r="B1896" t="str">
            <v>CORTE 1</v>
          </cell>
          <cell r="C1896">
            <v>1</v>
          </cell>
          <cell r="D1896">
            <v>2</v>
          </cell>
          <cell r="E1896">
            <v>3</v>
          </cell>
          <cell r="F1896">
            <v>0.1</v>
          </cell>
          <cell r="G1896">
            <v>0.2</v>
          </cell>
          <cell r="L1896">
            <v>0.12000000000000002</v>
          </cell>
          <cell r="M1896">
            <v>3</v>
          </cell>
          <cell r="N1896">
            <v>9.9999999999999978E-2</v>
          </cell>
          <cell r="O1896">
            <v>0.59999999999999987</v>
          </cell>
          <cell r="Q1896" t="str">
            <v>3/8"</v>
          </cell>
          <cell r="R1896">
            <v>2</v>
          </cell>
          <cell r="S1896">
            <v>4.3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9.6319999999999997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H1896">
            <v>9.6319999999999997</v>
          </cell>
        </row>
        <row r="1897">
          <cell r="C1897">
            <v>1</v>
          </cell>
          <cell r="D1897">
            <v>2</v>
          </cell>
          <cell r="Q1897" t="str">
            <v>1/4"</v>
          </cell>
          <cell r="R1897">
            <v>13</v>
          </cell>
          <cell r="S1897">
            <v>0.60000000000000009</v>
          </cell>
          <cell r="T1897">
            <v>0</v>
          </cell>
          <cell r="U1897">
            <v>3.9000000000000004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H1897">
            <v>0</v>
          </cell>
        </row>
        <row r="1898">
          <cell r="B1898" t="str">
            <v>CORTE 1</v>
          </cell>
          <cell r="C1898">
            <v>1</v>
          </cell>
          <cell r="D1898">
            <v>1</v>
          </cell>
          <cell r="E1898">
            <v>1.85</v>
          </cell>
          <cell r="F1898">
            <v>0.1</v>
          </cell>
          <cell r="G1898">
            <v>0.2</v>
          </cell>
          <cell r="L1898">
            <v>3.7000000000000005E-2</v>
          </cell>
          <cell r="M1898">
            <v>1.85</v>
          </cell>
          <cell r="N1898">
            <v>9.9999999999999978E-2</v>
          </cell>
          <cell r="O1898">
            <v>0.18499999999999997</v>
          </cell>
          <cell r="Q1898" t="str">
            <v>3/8"</v>
          </cell>
          <cell r="R1898">
            <v>2</v>
          </cell>
          <cell r="S1898">
            <v>3.15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3.528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H1898">
            <v>3.528</v>
          </cell>
        </row>
        <row r="1899">
          <cell r="C1899">
            <v>1</v>
          </cell>
          <cell r="D1899">
            <v>1</v>
          </cell>
          <cell r="Q1899" t="str">
            <v>1/4"</v>
          </cell>
          <cell r="R1899">
            <v>8</v>
          </cell>
          <cell r="S1899">
            <v>0.60000000000000009</v>
          </cell>
          <cell r="T1899">
            <v>0</v>
          </cell>
          <cell r="U1899">
            <v>1.2000000000000002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H1899">
            <v>0</v>
          </cell>
        </row>
        <row r="1900">
          <cell r="B1900" t="str">
            <v>CORTE 1</v>
          </cell>
          <cell r="C1900">
            <v>1</v>
          </cell>
          <cell r="D1900">
            <v>2</v>
          </cell>
          <cell r="E1900">
            <v>0.8</v>
          </cell>
          <cell r="F1900">
            <v>0.1</v>
          </cell>
          <cell r="G1900">
            <v>0.2</v>
          </cell>
          <cell r="L1900">
            <v>3.2000000000000008E-2</v>
          </cell>
          <cell r="M1900">
            <v>0.8</v>
          </cell>
          <cell r="N1900">
            <v>9.9999999999999978E-2</v>
          </cell>
          <cell r="O1900">
            <v>0.15999999999999998</v>
          </cell>
          <cell r="Q1900" t="str">
            <v>3/8"</v>
          </cell>
          <cell r="R1900">
            <v>2</v>
          </cell>
          <cell r="S1900">
            <v>2.1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4.7040000000000006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H1900">
            <v>4.7040000000000006</v>
          </cell>
        </row>
        <row r="1901">
          <cell r="C1901">
            <v>1</v>
          </cell>
          <cell r="D1901">
            <v>2</v>
          </cell>
          <cell r="Q1901" t="str">
            <v>1/4"</v>
          </cell>
          <cell r="R1901">
            <v>4</v>
          </cell>
          <cell r="S1901">
            <v>0.60000000000000009</v>
          </cell>
          <cell r="T1901">
            <v>0</v>
          </cell>
          <cell r="U1901">
            <v>1.2000000000000002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H1901">
            <v>0</v>
          </cell>
        </row>
        <row r="1902">
          <cell r="B1902" t="str">
            <v>CORTE 1</v>
          </cell>
          <cell r="C1902">
            <v>1</v>
          </cell>
          <cell r="D1902">
            <v>1</v>
          </cell>
          <cell r="E1902">
            <v>0.4</v>
          </cell>
          <cell r="F1902">
            <v>0.1</v>
          </cell>
          <cell r="G1902">
            <v>0.2</v>
          </cell>
          <cell r="L1902">
            <v>8.0000000000000019E-3</v>
          </cell>
          <cell r="M1902">
            <v>0.4</v>
          </cell>
          <cell r="N1902">
            <v>9.9999999999999978E-2</v>
          </cell>
          <cell r="O1902">
            <v>3.9999999999999994E-2</v>
          </cell>
          <cell r="Q1902" t="str">
            <v>3/8"</v>
          </cell>
          <cell r="R1902">
            <v>2</v>
          </cell>
          <cell r="S1902">
            <v>1.7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1.9040000000000001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H1902">
            <v>1.9040000000000001</v>
          </cell>
        </row>
        <row r="1903">
          <cell r="C1903">
            <v>1</v>
          </cell>
          <cell r="D1903">
            <v>1</v>
          </cell>
          <cell r="Q1903" t="str">
            <v>1/4"</v>
          </cell>
          <cell r="R1903">
            <v>2</v>
          </cell>
          <cell r="S1903">
            <v>0.60000000000000009</v>
          </cell>
          <cell r="T1903">
            <v>0</v>
          </cell>
          <cell r="U1903">
            <v>0.30000000000000004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H1903">
            <v>0</v>
          </cell>
        </row>
        <row r="1904">
          <cell r="B1904" t="str">
            <v>CORTE 1</v>
          </cell>
          <cell r="C1904">
            <v>1</v>
          </cell>
          <cell r="D1904">
            <v>1</v>
          </cell>
          <cell r="E1904">
            <v>1.9</v>
          </cell>
          <cell r="F1904">
            <v>0.1</v>
          </cell>
          <cell r="G1904">
            <v>0.2</v>
          </cell>
          <cell r="L1904">
            <v>3.8000000000000006E-2</v>
          </cell>
          <cell r="M1904">
            <v>1.9</v>
          </cell>
          <cell r="N1904">
            <v>9.9999999999999978E-2</v>
          </cell>
          <cell r="O1904">
            <v>0.18999999999999995</v>
          </cell>
          <cell r="Q1904" t="str">
            <v>3/8"</v>
          </cell>
          <cell r="R1904">
            <v>2</v>
          </cell>
          <cell r="S1904">
            <v>3.1999999999999997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3.5840000000000001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H1904">
            <v>3.5840000000000001</v>
          </cell>
        </row>
        <row r="1905">
          <cell r="C1905">
            <v>1</v>
          </cell>
          <cell r="D1905">
            <v>1</v>
          </cell>
          <cell r="Q1905" t="str">
            <v>1/4"</v>
          </cell>
          <cell r="R1905">
            <v>8</v>
          </cell>
          <cell r="S1905">
            <v>0.60000000000000009</v>
          </cell>
          <cell r="T1905">
            <v>0</v>
          </cell>
          <cell r="U1905">
            <v>1.2000000000000002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H1905">
            <v>0</v>
          </cell>
        </row>
        <row r="1906">
          <cell r="B1906" t="str">
            <v>CORTE 1</v>
          </cell>
          <cell r="C1906">
            <v>1</v>
          </cell>
          <cell r="D1906">
            <v>1</v>
          </cell>
          <cell r="E1906">
            <v>1.6</v>
          </cell>
          <cell r="F1906">
            <v>0.1</v>
          </cell>
          <cell r="G1906">
            <v>0.2</v>
          </cell>
          <cell r="L1906">
            <v>3.2000000000000008E-2</v>
          </cell>
          <cell r="M1906">
            <v>1.6</v>
          </cell>
          <cell r="N1906">
            <v>9.9999999999999978E-2</v>
          </cell>
          <cell r="O1906">
            <v>0.15999999999999998</v>
          </cell>
          <cell r="Q1906" t="str">
            <v>3/8"</v>
          </cell>
          <cell r="R1906">
            <v>2</v>
          </cell>
          <cell r="S1906">
            <v>2.9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3.2480000000000002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H1906">
            <v>3.2480000000000002</v>
          </cell>
        </row>
        <row r="1907">
          <cell r="C1907">
            <v>1</v>
          </cell>
          <cell r="D1907">
            <v>1</v>
          </cell>
          <cell r="Q1907" t="str">
            <v>1/4"</v>
          </cell>
          <cell r="R1907">
            <v>7</v>
          </cell>
          <cell r="S1907">
            <v>0.60000000000000009</v>
          </cell>
          <cell r="T1907">
            <v>0</v>
          </cell>
          <cell r="U1907">
            <v>1.0500000000000003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H1907">
            <v>0</v>
          </cell>
        </row>
        <row r="1908">
          <cell r="B1908" t="str">
            <v>CORTE 2</v>
          </cell>
          <cell r="C1908">
            <v>1</v>
          </cell>
          <cell r="D1908">
            <v>1</v>
          </cell>
          <cell r="E1908">
            <v>3.85</v>
          </cell>
          <cell r="F1908">
            <v>0.2</v>
          </cell>
          <cell r="G1908">
            <v>0.2</v>
          </cell>
          <cell r="L1908">
            <v>0.15400000000000003</v>
          </cell>
          <cell r="M1908">
            <v>3.85</v>
          </cell>
          <cell r="N1908">
            <v>0.20000000000000007</v>
          </cell>
          <cell r="O1908">
            <v>0.77000000000000024</v>
          </cell>
          <cell r="Q1908" t="str">
            <v>3/8"</v>
          </cell>
          <cell r="R1908">
            <v>4</v>
          </cell>
          <cell r="S1908">
            <v>5.1499999999999995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11.536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</row>
        <row r="1909">
          <cell r="C1909">
            <v>1</v>
          </cell>
          <cell r="D1909">
            <v>1</v>
          </cell>
          <cell r="Q1909" t="str">
            <v>1/4"</v>
          </cell>
          <cell r="R1909">
            <v>16</v>
          </cell>
          <cell r="S1909">
            <v>0.8</v>
          </cell>
          <cell r="T1909">
            <v>0</v>
          </cell>
          <cell r="U1909">
            <v>3.2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</row>
        <row r="1910">
          <cell r="B1910" t="str">
            <v>CORTE 2</v>
          </cell>
          <cell r="C1910">
            <v>1</v>
          </cell>
          <cell r="D1910">
            <v>1</v>
          </cell>
          <cell r="E1910">
            <v>2.7</v>
          </cell>
          <cell r="F1910">
            <v>0.2</v>
          </cell>
          <cell r="G1910">
            <v>0.2</v>
          </cell>
          <cell r="L1910">
            <v>0.10800000000000001</v>
          </cell>
          <cell r="M1910">
            <v>2.7</v>
          </cell>
          <cell r="N1910">
            <v>0.20000000000000007</v>
          </cell>
          <cell r="O1910">
            <v>0.54000000000000026</v>
          </cell>
          <cell r="Q1910" t="str">
            <v>3/8"</v>
          </cell>
          <cell r="R1910">
            <v>4</v>
          </cell>
          <cell r="S1910">
            <v>4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8.9600000000000009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</row>
        <row r="1911">
          <cell r="C1911">
            <v>1</v>
          </cell>
          <cell r="D1911">
            <v>1</v>
          </cell>
          <cell r="Q1911" t="str">
            <v>1/4"</v>
          </cell>
          <cell r="R1911">
            <v>11</v>
          </cell>
          <cell r="S1911">
            <v>0.8</v>
          </cell>
          <cell r="T1911">
            <v>0</v>
          </cell>
          <cell r="U1911">
            <v>2.2000000000000002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</row>
        <row r="1912">
          <cell r="B1912" t="str">
            <v>CORTE 2</v>
          </cell>
          <cell r="C1912">
            <v>1</v>
          </cell>
          <cell r="D1912">
            <v>1</v>
          </cell>
          <cell r="E1912">
            <v>3.85</v>
          </cell>
          <cell r="F1912">
            <v>0.2</v>
          </cell>
          <cell r="G1912">
            <v>0.2</v>
          </cell>
          <cell r="L1912">
            <v>0.15400000000000003</v>
          </cell>
          <cell r="M1912">
            <v>3.85</v>
          </cell>
          <cell r="N1912">
            <v>0.20000000000000007</v>
          </cell>
          <cell r="O1912">
            <v>0.77000000000000024</v>
          </cell>
          <cell r="Q1912" t="str">
            <v>3/8"</v>
          </cell>
          <cell r="R1912">
            <v>4</v>
          </cell>
          <cell r="S1912">
            <v>5.1499999999999995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11.536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</row>
        <row r="1913">
          <cell r="C1913">
            <v>1</v>
          </cell>
          <cell r="D1913">
            <v>1</v>
          </cell>
          <cell r="Q1913" t="str">
            <v>1/4"</v>
          </cell>
          <cell r="R1913">
            <v>16</v>
          </cell>
          <cell r="S1913">
            <v>0.8</v>
          </cell>
          <cell r="T1913">
            <v>0</v>
          </cell>
          <cell r="U1913">
            <v>3.2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</row>
        <row r="1914">
          <cell r="B1914" t="str">
            <v>CORTE 2</v>
          </cell>
          <cell r="C1914">
            <v>1</v>
          </cell>
          <cell r="D1914">
            <v>1</v>
          </cell>
          <cell r="E1914">
            <v>3.9</v>
          </cell>
          <cell r="F1914">
            <v>0.2</v>
          </cell>
          <cell r="G1914">
            <v>0.2</v>
          </cell>
          <cell r="L1914">
            <v>0.15600000000000003</v>
          </cell>
          <cell r="M1914">
            <v>3.9</v>
          </cell>
          <cell r="N1914">
            <v>0.20000000000000007</v>
          </cell>
          <cell r="O1914">
            <v>0.78000000000000025</v>
          </cell>
          <cell r="Q1914" t="str">
            <v>3/8"</v>
          </cell>
          <cell r="R1914">
            <v>4</v>
          </cell>
          <cell r="S1914">
            <v>5.2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11.648000000000001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</row>
        <row r="1915">
          <cell r="C1915">
            <v>1</v>
          </cell>
          <cell r="D1915">
            <v>1</v>
          </cell>
          <cell r="Q1915" t="str">
            <v>1/4"</v>
          </cell>
          <cell r="R1915">
            <v>16</v>
          </cell>
          <cell r="S1915">
            <v>0.8</v>
          </cell>
          <cell r="T1915">
            <v>0</v>
          </cell>
          <cell r="U1915">
            <v>3.2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</row>
        <row r="1916">
          <cell r="B1916" t="str">
            <v>CORTE 2</v>
          </cell>
          <cell r="C1916">
            <v>1</v>
          </cell>
          <cell r="D1916">
            <v>1</v>
          </cell>
          <cell r="E1916">
            <v>4.8</v>
          </cell>
          <cell r="F1916">
            <v>0.2</v>
          </cell>
          <cell r="G1916">
            <v>0.2</v>
          </cell>
          <cell r="L1916">
            <v>0.192</v>
          </cell>
          <cell r="M1916">
            <v>4.8</v>
          </cell>
          <cell r="N1916">
            <v>0.20000000000000007</v>
          </cell>
          <cell r="O1916">
            <v>0.9600000000000003</v>
          </cell>
          <cell r="Q1916" t="str">
            <v>3/8"</v>
          </cell>
          <cell r="R1916">
            <v>4</v>
          </cell>
          <cell r="S1916">
            <v>6.1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13.664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</row>
        <row r="1917">
          <cell r="C1917">
            <v>1</v>
          </cell>
          <cell r="D1917">
            <v>1</v>
          </cell>
          <cell r="Q1917" t="str">
            <v>1/4"</v>
          </cell>
          <cell r="R1917">
            <v>20</v>
          </cell>
          <cell r="S1917">
            <v>0.8</v>
          </cell>
          <cell r="T1917">
            <v>0</v>
          </cell>
          <cell r="U1917">
            <v>4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</row>
        <row r="1918">
          <cell r="B1918" t="str">
            <v>CORTE 2</v>
          </cell>
          <cell r="C1918">
            <v>1</v>
          </cell>
          <cell r="D1918">
            <v>1</v>
          </cell>
          <cell r="E1918">
            <v>2.75</v>
          </cell>
          <cell r="F1918">
            <v>0.2</v>
          </cell>
          <cell r="G1918">
            <v>0.2</v>
          </cell>
          <cell r="L1918">
            <v>0.11000000000000001</v>
          </cell>
          <cell r="M1918">
            <v>2.75</v>
          </cell>
          <cell r="N1918">
            <v>0.20000000000000007</v>
          </cell>
          <cell r="O1918">
            <v>0.55000000000000016</v>
          </cell>
          <cell r="Q1918" t="str">
            <v>3/8"</v>
          </cell>
          <cell r="R1918">
            <v>4</v>
          </cell>
          <cell r="S1918">
            <v>4.05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9.072000000000001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</row>
        <row r="1919">
          <cell r="C1919">
            <v>1</v>
          </cell>
          <cell r="D1919">
            <v>1</v>
          </cell>
          <cell r="Q1919" t="str">
            <v>1/4"</v>
          </cell>
          <cell r="R1919">
            <v>12</v>
          </cell>
          <cell r="S1919">
            <v>0.8</v>
          </cell>
          <cell r="T1919">
            <v>0</v>
          </cell>
          <cell r="U1919">
            <v>2.4000000000000004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</row>
        <row r="1920">
          <cell r="B1920" t="str">
            <v>CORTE 2</v>
          </cell>
          <cell r="C1920">
            <v>1</v>
          </cell>
          <cell r="D1920">
            <v>1</v>
          </cell>
          <cell r="E1920">
            <v>2.0499999999999998</v>
          </cell>
          <cell r="F1920">
            <v>0.2</v>
          </cell>
          <cell r="G1920">
            <v>0.2</v>
          </cell>
          <cell r="L1920">
            <v>8.2000000000000003E-2</v>
          </cell>
          <cell r="M1920">
            <v>2.0499999999999998</v>
          </cell>
          <cell r="N1920">
            <v>0.20000000000000007</v>
          </cell>
          <cell r="O1920">
            <v>0.41000000000000009</v>
          </cell>
          <cell r="Q1920" t="str">
            <v>3/8"</v>
          </cell>
          <cell r="R1920">
            <v>4</v>
          </cell>
          <cell r="S1920">
            <v>3.3499999999999996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7.5039999999999996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</row>
        <row r="1921">
          <cell r="C1921">
            <v>1</v>
          </cell>
          <cell r="D1921">
            <v>1</v>
          </cell>
          <cell r="Q1921" t="str">
            <v>1/4"</v>
          </cell>
          <cell r="R1921">
            <v>9</v>
          </cell>
          <cell r="S1921">
            <v>0.8</v>
          </cell>
          <cell r="T1921">
            <v>0</v>
          </cell>
          <cell r="U1921">
            <v>1.8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</row>
        <row r="1922">
          <cell r="B1922" t="str">
            <v>CORTE 2</v>
          </cell>
          <cell r="C1922">
            <v>1</v>
          </cell>
          <cell r="D1922">
            <v>1</v>
          </cell>
          <cell r="E1922">
            <v>2.6</v>
          </cell>
          <cell r="F1922">
            <v>0.2</v>
          </cell>
          <cell r="G1922">
            <v>0.2</v>
          </cell>
          <cell r="L1922">
            <v>0.10400000000000001</v>
          </cell>
          <cell r="M1922">
            <v>2.6</v>
          </cell>
          <cell r="N1922">
            <v>0.20000000000000007</v>
          </cell>
          <cell r="O1922">
            <v>0.52000000000000024</v>
          </cell>
          <cell r="Q1922" t="str">
            <v>3/8"</v>
          </cell>
          <cell r="R1922">
            <v>4</v>
          </cell>
          <cell r="S1922">
            <v>3.9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8.7360000000000007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</row>
        <row r="1923">
          <cell r="C1923">
            <v>1</v>
          </cell>
          <cell r="D1923">
            <v>1</v>
          </cell>
          <cell r="Q1923" t="str">
            <v>1/4"</v>
          </cell>
          <cell r="R1923">
            <v>11</v>
          </cell>
          <cell r="S1923">
            <v>0.8</v>
          </cell>
          <cell r="T1923">
            <v>0</v>
          </cell>
          <cell r="U1923">
            <v>2.2000000000000002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</row>
        <row r="1924">
          <cell r="B1924" t="str">
            <v>CORTE 3</v>
          </cell>
          <cell r="C1924">
            <v>1</v>
          </cell>
          <cell r="D1924">
            <v>1</v>
          </cell>
          <cell r="E1924">
            <v>2.2999999999999998</v>
          </cell>
          <cell r="F1924">
            <v>0.35</v>
          </cell>
          <cell r="G1924">
            <v>0.2</v>
          </cell>
          <cell r="L1924">
            <v>0.161</v>
          </cell>
          <cell r="M1924">
            <v>2.2999999999999998</v>
          </cell>
          <cell r="N1924">
            <v>0.35</v>
          </cell>
          <cell r="O1924">
            <v>0.80499999999999994</v>
          </cell>
          <cell r="Q1924" t="str">
            <v>1/2"</v>
          </cell>
          <cell r="R1924">
            <v>2</v>
          </cell>
          <cell r="S1924">
            <v>3.5999999999999996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7.1279999999999992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</row>
        <row r="1925">
          <cell r="C1925">
            <v>1</v>
          </cell>
          <cell r="D1925">
            <v>1</v>
          </cell>
          <cell r="Q1925" t="str">
            <v>5/8"</v>
          </cell>
          <cell r="R1925">
            <v>4</v>
          </cell>
          <cell r="S1925">
            <v>3.5999999999999996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22.319999999999997</v>
          </cell>
          <cell r="AB1925">
            <v>0</v>
          </cell>
          <cell r="AC1925">
            <v>0</v>
          </cell>
          <cell r="AD1925">
            <v>0</v>
          </cell>
        </row>
        <row r="1926">
          <cell r="C1926">
            <v>1</v>
          </cell>
          <cell r="D1926">
            <v>1</v>
          </cell>
          <cell r="Q1926" t="str">
            <v>3/8"</v>
          </cell>
          <cell r="R1926">
            <v>10</v>
          </cell>
          <cell r="S1926">
            <v>1.1000000000000001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6.16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</row>
        <row r="1927">
          <cell r="B1927" t="str">
            <v>CORTE 3</v>
          </cell>
          <cell r="C1927">
            <v>1</v>
          </cell>
          <cell r="D1927">
            <v>1</v>
          </cell>
          <cell r="E1927">
            <v>4.8</v>
          </cell>
          <cell r="F1927">
            <v>0.35</v>
          </cell>
          <cell r="G1927">
            <v>0.2</v>
          </cell>
          <cell r="L1927">
            <v>0.33600000000000002</v>
          </cell>
          <cell r="M1927">
            <v>4.8</v>
          </cell>
          <cell r="N1927">
            <v>0.35</v>
          </cell>
          <cell r="O1927">
            <v>1.68</v>
          </cell>
          <cell r="Q1927" t="str">
            <v>1/2"</v>
          </cell>
          <cell r="R1927">
            <v>2</v>
          </cell>
          <cell r="S1927">
            <v>6.1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12.077999999999999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</row>
        <row r="1928">
          <cell r="C1928">
            <v>1</v>
          </cell>
          <cell r="D1928">
            <v>1</v>
          </cell>
          <cell r="Q1928" t="str">
            <v>5/8"</v>
          </cell>
          <cell r="R1928">
            <v>4</v>
          </cell>
          <cell r="S1928">
            <v>6.1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37.82</v>
          </cell>
          <cell r="AB1928">
            <v>0</v>
          </cell>
          <cell r="AC1928">
            <v>0</v>
          </cell>
          <cell r="AD1928">
            <v>0</v>
          </cell>
        </row>
        <row r="1929">
          <cell r="C1929">
            <v>1</v>
          </cell>
          <cell r="D1929">
            <v>1</v>
          </cell>
          <cell r="Q1929" t="str">
            <v>3/8"</v>
          </cell>
          <cell r="R1929">
            <v>20</v>
          </cell>
          <cell r="S1929">
            <v>1.1000000000000001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12.32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</row>
        <row r="1930">
          <cell r="B1930" t="str">
            <v>CORTE 4</v>
          </cell>
          <cell r="C1930">
            <v>1</v>
          </cell>
          <cell r="D1930">
            <v>1</v>
          </cell>
          <cell r="E1930">
            <v>3.15</v>
          </cell>
          <cell r="F1930">
            <v>0.25</v>
          </cell>
          <cell r="G1930">
            <v>0.2</v>
          </cell>
          <cell r="L1930">
            <v>0.1575</v>
          </cell>
          <cell r="M1930">
            <v>3.15</v>
          </cell>
          <cell r="N1930">
            <v>0.25</v>
          </cell>
          <cell r="O1930">
            <v>0.78749999999999998</v>
          </cell>
          <cell r="Q1930" t="str">
            <v>3/8"</v>
          </cell>
          <cell r="R1930">
            <v>6</v>
          </cell>
          <cell r="S1930">
            <v>4.45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14.952000000000004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</row>
        <row r="1931">
          <cell r="C1931">
            <v>1</v>
          </cell>
          <cell r="D1931">
            <v>1</v>
          </cell>
          <cell r="Q1931" t="str">
            <v>3/8"</v>
          </cell>
          <cell r="R1931">
            <v>13</v>
          </cell>
          <cell r="S1931">
            <v>0.9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6.5520000000000014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</row>
        <row r="1932">
          <cell r="B1932" t="str">
            <v>CORTE 4</v>
          </cell>
          <cell r="C1932">
            <v>1</v>
          </cell>
          <cell r="D1932">
            <v>1</v>
          </cell>
          <cell r="E1932">
            <v>3.15</v>
          </cell>
          <cell r="F1932">
            <v>0.25</v>
          </cell>
          <cell r="G1932">
            <v>0.2</v>
          </cell>
          <cell r="L1932">
            <v>0.1575</v>
          </cell>
          <cell r="M1932">
            <v>3.15</v>
          </cell>
          <cell r="N1932">
            <v>0.25</v>
          </cell>
          <cell r="O1932">
            <v>0.78749999999999998</v>
          </cell>
          <cell r="Q1932" t="str">
            <v>3/8"</v>
          </cell>
          <cell r="R1932">
            <v>6</v>
          </cell>
          <cell r="S1932">
            <v>4.45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14.952000000000004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</row>
        <row r="1933">
          <cell r="C1933">
            <v>1</v>
          </cell>
          <cell r="D1933">
            <v>1</v>
          </cell>
          <cell r="Q1933" t="str">
            <v>3/8"</v>
          </cell>
          <cell r="R1933">
            <v>13</v>
          </cell>
          <cell r="S1933">
            <v>0.9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6.5520000000000014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</row>
        <row r="1934">
          <cell r="B1934" t="str">
            <v>CORTE 4</v>
          </cell>
          <cell r="C1934">
            <v>1</v>
          </cell>
          <cell r="D1934">
            <v>1</v>
          </cell>
          <cell r="E1934">
            <v>2.75</v>
          </cell>
          <cell r="F1934">
            <v>0.25</v>
          </cell>
          <cell r="G1934">
            <v>0.2</v>
          </cell>
          <cell r="L1934">
            <v>0.13750000000000001</v>
          </cell>
          <cell r="M1934">
            <v>2.75</v>
          </cell>
          <cell r="N1934">
            <v>0.25</v>
          </cell>
          <cell r="O1934">
            <v>0.6875</v>
          </cell>
          <cell r="Q1934" t="str">
            <v>3/8"</v>
          </cell>
          <cell r="R1934">
            <v>6</v>
          </cell>
          <cell r="S1934">
            <v>4.05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13.608000000000001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</row>
        <row r="1935">
          <cell r="C1935">
            <v>1</v>
          </cell>
          <cell r="D1935">
            <v>1</v>
          </cell>
          <cell r="Q1935" t="str">
            <v>3/8"</v>
          </cell>
          <cell r="R1935">
            <v>12</v>
          </cell>
          <cell r="S1935">
            <v>0.9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6.0480000000000009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</row>
        <row r="1936">
          <cell r="B1936" t="str">
            <v>CORTE 4</v>
          </cell>
          <cell r="C1936">
            <v>1</v>
          </cell>
          <cell r="D1936">
            <v>1</v>
          </cell>
          <cell r="E1936">
            <v>2.6</v>
          </cell>
          <cell r="F1936">
            <v>0.25</v>
          </cell>
          <cell r="G1936">
            <v>0.2</v>
          </cell>
          <cell r="L1936">
            <v>0.13</v>
          </cell>
          <cell r="M1936">
            <v>2.6</v>
          </cell>
          <cell r="N1936">
            <v>0.25</v>
          </cell>
          <cell r="O1936">
            <v>0.65</v>
          </cell>
          <cell r="Q1936" t="str">
            <v>3/8"</v>
          </cell>
          <cell r="R1936">
            <v>6</v>
          </cell>
          <cell r="S1936">
            <v>3.9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13.104000000000001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</row>
        <row r="1937">
          <cell r="C1937">
            <v>1</v>
          </cell>
          <cell r="D1937">
            <v>1</v>
          </cell>
          <cell r="Q1937" t="str">
            <v>3/8"</v>
          </cell>
          <cell r="R1937">
            <v>11</v>
          </cell>
          <cell r="S1937">
            <v>0.9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5.5440000000000005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</row>
        <row r="1938">
          <cell r="B1938" t="str">
            <v>CORTE 5</v>
          </cell>
          <cell r="C1938">
            <v>1</v>
          </cell>
          <cell r="D1938">
            <v>1</v>
          </cell>
          <cell r="E1938">
            <v>2.8</v>
          </cell>
          <cell r="F1938">
            <v>0.25</v>
          </cell>
          <cell r="G1938">
            <v>0.2</v>
          </cell>
          <cell r="L1938">
            <v>0.13999999999999999</v>
          </cell>
          <cell r="M1938">
            <v>2.8</v>
          </cell>
          <cell r="N1938">
            <v>0.25</v>
          </cell>
          <cell r="O1938">
            <v>0.7</v>
          </cell>
          <cell r="Q1938" t="str">
            <v>3/8"</v>
          </cell>
          <cell r="R1938">
            <v>4</v>
          </cell>
          <cell r="S1938">
            <v>4.0999999999999996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9.1839999999999993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</row>
        <row r="1939">
          <cell r="C1939">
            <v>1</v>
          </cell>
          <cell r="D1939">
            <v>1</v>
          </cell>
          <cell r="Q1939" t="str">
            <v>3/8"</v>
          </cell>
          <cell r="R1939">
            <v>12</v>
          </cell>
          <cell r="S1939">
            <v>0.9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6.0480000000000009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</row>
        <row r="1940">
          <cell r="B1940" t="str">
            <v>CORTE 5</v>
          </cell>
          <cell r="C1940">
            <v>1</v>
          </cell>
          <cell r="D1940">
            <v>1</v>
          </cell>
          <cell r="E1940">
            <v>2.0499999999999998</v>
          </cell>
          <cell r="F1940">
            <v>0.25</v>
          </cell>
          <cell r="G1940">
            <v>0.2</v>
          </cell>
          <cell r="L1940">
            <v>0.10249999999999999</v>
          </cell>
          <cell r="M1940">
            <v>2.0499999999999998</v>
          </cell>
          <cell r="N1940">
            <v>0.25</v>
          </cell>
          <cell r="O1940">
            <v>0.51249999999999996</v>
          </cell>
          <cell r="Q1940" t="str">
            <v>3/8"</v>
          </cell>
          <cell r="R1940">
            <v>4</v>
          </cell>
          <cell r="S1940">
            <v>3.3499999999999996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7.5039999999999996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</row>
        <row r="1941">
          <cell r="C1941">
            <v>1</v>
          </cell>
          <cell r="D1941">
            <v>1</v>
          </cell>
          <cell r="Q1941" t="str">
            <v>3/8"</v>
          </cell>
          <cell r="R1941">
            <v>9</v>
          </cell>
          <cell r="S1941">
            <v>0.9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4.5360000000000005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</row>
        <row r="1942">
          <cell r="B1942" t="str">
            <v>CORTE 11</v>
          </cell>
          <cell r="C1942">
            <v>1</v>
          </cell>
          <cell r="D1942">
            <v>1</v>
          </cell>
          <cell r="E1942">
            <v>4.6500000000000004</v>
          </cell>
          <cell r="F1942">
            <v>0.3</v>
          </cell>
          <cell r="G1942">
            <v>0.55000000000000004</v>
          </cell>
          <cell r="L1942">
            <v>0.7672500000000001</v>
          </cell>
          <cell r="M1942">
            <v>4.6500000000000004</v>
          </cell>
          <cell r="N1942">
            <v>1</v>
          </cell>
          <cell r="O1942">
            <v>4.6500000000000004</v>
          </cell>
          <cell r="Q1942" t="str">
            <v>3/4"</v>
          </cell>
          <cell r="R1942">
            <v>5</v>
          </cell>
          <cell r="S1942">
            <v>5.95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66.64</v>
          </cell>
          <cell r="AC1942">
            <v>0</v>
          </cell>
          <cell r="AD1942">
            <v>0</v>
          </cell>
        </row>
        <row r="1943">
          <cell r="C1943">
            <v>1</v>
          </cell>
          <cell r="D1943">
            <v>1</v>
          </cell>
          <cell r="Q1943" t="str">
            <v>3/8"</v>
          </cell>
          <cell r="R1943">
            <v>35</v>
          </cell>
          <cell r="S1943">
            <v>1.7000000000000002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33.320000000000007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</row>
        <row r="1944">
          <cell r="B1944" t="str">
            <v>CORTE 11</v>
          </cell>
          <cell r="C1944">
            <v>1</v>
          </cell>
          <cell r="D1944">
            <v>1</v>
          </cell>
          <cell r="E1944">
            <v>1.75</v>
          </cell>
          <cell r="F1944">
            <v>0.3</v>
          </cell>
          <cell r="G1944">
            <v>0.55000000000000004</v>
          </cell>
          <cell r="L1944">
            <v>0.28875000000000006</v>
          </cell>
          <cell r="M1944">
            <v>1.75</v>
          </cell>
          <cell r="N1944">
            <v>1</v>
          </cell>
          <cell r="O1944">
            <v>1.75</v>
          </cell>
          <cell r="Q1944" t="str">
            <v>3/4"</v>
          </cell>
          <cell r="R1944">
            <v>5</v>
          </cell>
          <cell r="S1944">
            <v>3.05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34.160000000000004</v>
          </cell>
          <cell r="AC1944">
            <v>0</v>
          </cell>
          <cell r="AD1944">
            <v>0</v>
          </cell>
        </row>
        <row r="1945">
          <cell r="C1945">
            <v>1</v>
          </cell>
          <cell r="D1945">
            <v>1</v>
          </cell>
          <cell r="Q1945" t="str">
            <v>3/8"</v>
          </cell>
          <cell r="R1945">
            <v>20</v>
          </cell>
          <cell r="S1945">
            <v>1.7000000000000002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19.040000000000003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</row>
        <row r="1946">
          <cell r="B1946" t="str">
            <v>CORTE 12</v>
          </cell>
          <cell r="C1946">
            <v>1</v>
          </cell>
          <cell r="D1946">
            <v>1</v>
          </cell>
          <cell r="E1946">
            <v>4.1500000000000004</v>
          </cell>
          <cell r="F1946">
            <v>0.25</v>
          </cell>
          <cell r="G1946">
            <v>0.55000000000000004</v>
          </cell>
          <cell r="L1946">
            <v>0.57062500000000005</v>
          </cell>
          <cell r="M1946">
            <v>4.1500000000000004</v>
          </cell>
          <cell r="N1946">
            <v>0.95000000000000007</v>
          </cell>
          <cell r="O1946">
            <v>3.9425000000000008</v>
          </cell>
          <cell r="Q1946" t="str">
            <v>3/4"</v>
          </cell>
          <cell r="R1946">
            <v>4</v>
          </cell>
          <cell r="S1946">
            <v>5.45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48.832000000000008</v>
          </cell>
          <cell r="AC1946">
            <v>0</v>
          </cell>
          <cell r="AD1946">
            <v>0</v>
          </cell>
        </row>
        <row r="1947">
          <cell r="C1947">
            <v>1</v>
          </cell>
          <cell r="D1947">
            <v>1</v>
          </cell>
          <cell r="Q1947" t="str">
            <v>3/8"</v>
          </cell>
          <cell r="R1947">
            <v>32</v>
          </cell>
          <cell r="S1947">
            <v>1.6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28.672000000000004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</row>
        <row r="1948">
          <cell r="B1948" t="str">
            <v>CORTE 13</v>
          </cell>
          <cell r="C1948">
            <v>1</v>
          </cell>
          <cell r="D1948">
            <v>1</v>
          </cell>
          <cell r="E1948">
            <v>2</v>
          </cell>
          <cell r="F1948">
            <v>0.15</v>
          </cell>
          <cell r="G1948">
            <v>0.55000000000000004</v>
          </cell>
          <cell r="L1948">
            <v>0.16500000000000001</v>
          </cell>
          <cell r="M1948">
            <v>2</v>
          </cell>
          <cell r="N1948">
            <v>0.85</v>
          </cell>
          <cell r="O1948">
            <v>1.7</v>
          </cell>
          <cell r="Q1948" t="str">
            <v>5/8"</v>
          </cell>
          <cell r="R1948">
            <v>5</v>
          </cell>
          <cell r="S1948">
            <v>3.3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25.574999999999999</v>
          </cell>
          <cell r="AB1948">
            <v>0</v>
          </cell>
          <cell r="AC1948">
            <v>0</v>
          </cell>
          <cell r="AD1948">
            <v>0</v>
          </cell>
        </row>
        <row r="1949">
          <cell r="C1949">
            <v>1</v>
          </cell>
          <cell r="D1949">
            <v>1</v>
          </cell>
          <cell r="Q1949" t="str">
            <v>3/8"</v>
          </cell>
          <cell r="R1949">
            <v>22</v>
          </cell>
          <cell r="S1949">
            <v>1.4000000000000001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17.248000000000005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</row>
        <row r="1950">
          <cell r="B1950" t="str">
            <v>CORTE 13</v>
          </cell>
          <cell r="C1950">
            <v>1</v>
          </cell>
          <cell r="D1950">
            <v>1</v>
          </cell>
          <cell r="E1950">
            <v>1.8</v>
          </cell>
          <cell r="F1950">
            <v>0.15</v>
          </cell>
          <cell r="G1950">
            <v>0.55000000000000004</v>
          </cell>
          <cell r="L1950">
            <v>0.14850000000000002</v>
          </cell>
          <cell r="M1950">
            <v>1.8</v>
          </cell>
          <cell r="N1950">
            <v>0.85</v>
          </cell>
          <cell r="O1950">
            <v>1.53</v>
          </cell>
          <cell r="Q1950" t="str">
            <v>5/8"</v>
          </cell>
          <cell r="R1950">
            <v>5</v>
          </cell>
          <cell r="S1950">
            <v>3.0999999999999996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24.024999999999999</v>
          </cell>
          <cell r="AB1950">
            <v>0</v>
          </cell>
          <cell r="AC1950">
            <v>0</v>
          </cell>
          <cell r="AD1950">
            <v>0</v>
          </cell>
        </row>
        <row r="1951">
          <cell r="C1951">
            <v>1</v>
          </cell>
          <cell r="D1951">
            <v>1</v>
          </cell>
          <cell r="Q1951" t="str">
            <v>3/8"</v>
          </cell>
          <cell r="R1951">
            <v>21</v>
          </cell>
          <cell r="S1951">
            <v>1.4000000000000001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16.464000000000002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</row>
        <row r="1952">
          <cell r="B1952" t="str">
            <v>CORTE 13</v>
          </cell>
          <cell r="C1952">
            <v>1</v>
          </cell>
          <cell r="D1952">
            <v>1</v>
          </cell>
          <cell r="E1952">
            <v>2.15</v>
          </cell>
          <cell r="F1952">
            <v>0.15</v>
          </cell>
          <cell r="G1952">
            <v>0.55000000000000004</v>
          </cell>
          <cell r="L1952">
            <v>0.17737499999999998</v>
          </cell>
          <cell r="M1952">
            <v>2.15</v>
          </cell>
          <cell r="N1952">
            <v>0.85</v>
          </cell>
          <cell r="O1952">
            <v>1.8274999999999999</v>
          </cell>
          <cell r="Q1952" t="str">
            <v>5/8"</v>
          </cell>
          <cell r="R1952">
            <v>5</v>
          </cell>
          <cell r="S1952">
            <v>3.4499999999999997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26.737500000000001</v>
          </cell>
          <cell r="AB1952">
            <v>0</v>
          </cell>
          <cell r="AC1952">
            <v>0</v>
          </cell>
          <cell r="AD1952">
            <v>0</v>
          </cell>
        </row>
        <row r="1953">
          <cell r="C1953">
            <v>1</v>
          </cell>
          <cell r="D1953">
            <v>1</v>
          </cell>
          <cell r="Q1953" t="str">
            <v>3/8"</v>
          </cell>
          <cell r="R1953">
            <v>22</v>
          </cell>
          <cell r="S1953">
            <v>1.4000000000000001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17.248000000000005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</row>
        <row r="1954"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</row>
        <row r="1955">
          <cell r="B1955" t="str">
            <v>AZOTEA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</row>
        <row r="1956"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</row>
        <row r="1957">
          <cell r="B1957" t="str">
            <v>CORTE 1</v>
          </cell>
          <cell r="C1957">
            <v>1</v>
          </cell>
          <cell r="D1957">
            <v>1</v>
          </cell>
          <cell r="E1957">
            <v>0.5</v>
          </cell>
          <cell r="F1957">
            <v>0.1</v>
          </cell>
          <cell r="G1957">
            <v>0.2</v>
          </cell>
          <cell r="L1957">
            <v>1.0000000000000002E-2</v>
          </cell>
          <cell r="M1957">
            <v>0.5</v>
          </cell>
          <cell r="N1957">
            <v>9.9999999999999978E-2</v>
          </cell>
          <cell r="O1957">
            <v>4.9999999999999989E-2</v>
          </cell>
          <cell r="Q1957" t="str">
            <v>3/8"</v>
          </cell>
          <cell r="R1957">
            <v>2</v>
          </cell>
          <cell r="S1957">
            <v>1.8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2.0160000000000005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H1957">
            <v>2.0160000000000005</v>
          </cell>
        </row>
        <row r="1958">
          <cell r="C1958">
            <v>1</v>
          </cell>
          <cell r="D1958">
            <v>1</v>
          </cell>
          <cell r="Q1958" t="str">
            <v>1/4"</v>
          </cell>
          <cell r="R1958">
            <v>3</v>
          </cell>
          <cell r="S1958">
            <v>0.60000000000000009</v>
          </cell>
          <cell r="T1958">
            <v>0</v>
          </cell>
          <cell r="U1958">
            <v>0.45000000000000007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H1958">
            <v>0</v>
          </cell>
        </row>
        <row r="1959">
          <cell r="B1959" t="str">
            <v>CORTE 1</v>
          </cell>
          <cell r="C1959">
            <v>1</v>
          </cell>
          <cell r="D1959">
            <v>1</v>
          </cell>
          <cell r="E1959">
            <v>1.85</v>
          </cell>
          <cell r="F1959">
            <v>0.1</v>
          </cell>
          <cell r="G1959">
            <v>0.2</v>
          </cell>
          <cell r="L1959">
            <v>3.7000000000000005E-2</v>
          </cell>
          <cell r="M1959">
            <v>1.85</v>
          </cell>
          <cell r="N1959">
            <v>9.9999999999999978E-2</v>
          </cell>
          <cell r="O1959">
            <v>0.18499999999999997</v>
          </cell>
          <cell r="Q1959" t="str">
            <v>3/8"</v>
          </cell>
          <cell r="R1959">
            <v>2</v>
          </cell>
          <cell r="S1959">
            <v>3.15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3.528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H1959">
            <v>3.528</v>
          </cell>
        </row>
        <row r="1960">
          <cell r="C1960">
            <v>1</v>
          </cell>
          <cell r="D1960">
            <v>1</v>
          </cell>
          <cell r="Q1960" t="str">
            <v>1/4"</v>
          </cell>
          <cell r="R1960">
            <v>8</v>
          </cell>
          <cell r="S1960">
            <v>0.60000000000000009</v>
          </cell>
          <cell r="T1960">
            <v>0</v>
          </cell>
          <cell r="U1960">
            <v>1.2000000000000002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H1960">
            <v>0</v>
          </cell>
        </row>
        <row r="1961">
          <cell r="B1961" t="str">
            <v>CORTE 1</v>
          </cell>
          <cell r="C1961">
            <v>1</v>
          </cell>
          <cell r="D1961">
            <v>1</v>
          </cell>
          <cell r="E1961">
            <v>1.1000000000000001</v>
          </cell>
          <cell r="F1961">
            <v>0.1</v>
          </cell>
          <cell r="G1961">
            <v>0.2</v>
          </cell>
          <cell r="L1961">
            <v>2.2000000000000006E-2</v>
          </cell>
          <cell r="M1961">
            <v>1.1000000000000001</v>
          </cell>
          <cell r="N1961">
            <v>9.9999999999999978E-2</v>
          </cell>
          <cell r="O1961">
            <v>0.10999999999999999</v>
          </cell>
          <cell r="Q1961" t="str">
            <v>3/8"</v>
          </cell>
          <cell r="R1961">
            <v>2</v>
          </cell>
          <cell r="S1961">
            <v>2.4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2.6880000000000002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H1961">
            <v>2.6880000000000002</v>
          </cell>
        </row>
        <row r="1962">
          <cell r="C1962">
            <v>1</v>
          </cell>
          <cell r="D1962">
            <v>1</v>
          </cell>
          <cell r="Q1962" t="str">
            <v>1/4"</v>
          </cell>
          <cell r="R1962">
            <v>5</v>
          </cell>
          <cell r="S1962">
            <v>0.60000000000000009</v>
          </cell>
          <cell r="T1962">
            <v>0</v>
          </cell>
          <cell r="U1962">
            <v>0.75000000000000011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H1962">
            <v>0</v>
          </cell>
        </row>
        <row r="1963">
          <cell r="B1963" t="str">
            <v>CORTE 1</v>
          </cell>
          <cell r="C1963">
            <v>1</v>
          </cell>
          <cell r="D1963">
            <v>1</v>
          </cell>
          <cell r="E1963">
            <v>0.85</v>
          </cell>
          <cell r="F1963">
            <v>0.1</v>
          </cell>
          <cell r="G1963">
            <v>0.2</v>
          </cell>
          <cell r="L1963">
            <v>1.7000000000000001E-2</v>
          </cell>
          <cell r="M1963">
            <v>0.85</v>
          </cell>
          <cell r="N1963">
            <v>9.9999999999999978E-2</v>
          </cell>
          <cell r="O1963">
            <v>8.4999999999999978E-2</v>
          </cell>
          <cell r="Q1963" t="str">
            <v>3/8"</v>
          </cell>
          <cell r="R1963">
            <v>2</v>
          </cell>
          <cell r="S1963">
            <v>2.15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2.4079999999999999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H1963">
            <v>2.4079999999999999</v>
          </cell>
        </row>
        <row r="1964">
          <cell r="C1964">
            <v>1</v>
          </cell>
          <cell r="D1964">
            <v>1</v>
          </cell>
          <cell r="Q1964" t="str">
            <v>1/4"</v>
          </cell>
          <cell r="R1964">
            <v>4</v>
          </cell>
          <cell r="S1964">
            <v>0.60000000000000009</v>
          </cell>
          <cell r="T1964">
            <v>0</v>
          </cell>
          <cell r="U1964">
            <v>0.60000000000000009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H1964">
            <v>0</v>
          </cell>
        </row>
        <row r="1965">
          <cell r="B1965" t="str">
            <v>CORTE 1</v>
          </cell>
          <cell r="C1965">
            <v>1</v>
          </cell>
          <cell r="D1965">
            <v>1</v>
          </cell>
          <cell r="E1965">
            <v>2.9</v>
          </cell>
          <cell r="F1965">
            <v>0.1</v>
          </cell>
          <cell r="G1965">
            <v>0.2</v>
          </cell>
          <cell r="L1965">
            <v>5.7999999999999996E-2</v>
          </cell>
          <cell r="M1965">
            <v>2.9</v>
          </cell>
          <cell r="N1965">
            <v>9.9999999999999978E-2</v>
          </cell>
          <cell r="O1965">
            <v>0.28999999999999992</v>
          </cell>
          <cell r="Q1965" t="str">
            <v>3/8"</v>
          </cell>
          <cell r="R1965">
            <v>2</v>
          </cell>
          <cell r="S1965">
            <v>4.2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4.7040000000000006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H1965">
            <v>4.7040000000000006</v>
          </cell>
        </row>
        <row r="1966">
          <cell r="C1966">
            <v>1</v>
          </cell>
          <cell r="D1966">
            <v>1</v>
          </cell>
          <cell r="Q1966" t="str">
            <v>1/4"</v>
          </cell>
          <cell r="R1966">
            <v>12</v>
          </cell>
          <cell r="S1966">
            <v>0.60000000000000009</v>
          </cell>
          <cell r="T1966">
            <v>0</v>
          </cell>
          <cell r="U1966">
            <v>1.8000000000000003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H1966">
            <v>0</v>
          </cell>
        </row>
        <row r="1967">
          <cell r="B1967" t="str">
            <v>CORTE 1</v>
          </cell>
          <cell r="C1967">
            <v>1</v>
          </cell>
          <cell r="D1967">
            <v>1</v>
          </cell>
          <cell r="E1967">
            <v>1.65</v>
          </cell>
          <cell r="F1967">
            <v>0.1</v>
          </cell>
          <cell r="G1967">
            <v>0.2</v>
          </cell>
          <cell r="L1967">
            <v>3.3000000000000002E-2</v>
          </cell>
          <cell r="M1967">
            <v>1.65</v>
          </cell>
          <cell r="N1967">
            <v>9.9999999999999978E-2</v>
          </cell>
          <cell r="O1967">
            <v>0.16499999999999995</v>
          </cell>
          <cell r="Q1967" t="str">
            <v>3/8"</v>
          </cell>
          <cell r="R1967">
            <v>2</v>
          </cell>
          <cell r="S1967">
            <v>2.9499999999999997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3.3039999999999998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H1967">
            <v>3.3039999999999998</v>
          </cell>
        </row>
        <row r="1968">
          <cell r="C1968">
            <v>1</v>
          </cell>
          <cell r="D1968">
            <v>1</v>
          </cell>
          <cell r="Q1968" t="str">
            <v>1/4"</v>
          </cell>
          <cell r="R1968">
            <v>7</v>
          </cell>
          <cell r="S1968">
            <v>0.60000000000000009</v>
          </cell>
          <cell r="T1968">
            <v>0</v>
          </cell>
          <cell r="U1968">
            <v>1.0500000000000003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H1968">
            <v>0</v>
          </cell>
        </row>
        <row r="1969">
          <cell r="B1969" t="str">
            <v>CORTE 2</v>
          </cell>
          <cell r="C1969">
            <v>1</v>
          </cell>
          <cell r="D1969">
            <v>1</v>
          </cell>
          <cell r="E1969">
            <v>2.8</v>
          </cell>
          <cell r="F1969">
            <v>0.2</v>
          </cell>
          <cell r="G1969">
            <v>0.2</v>
          </cell>
          <cell r="L1969">
            <v>0.11199999999999999</v>
          </cell>
          <cell r="M1969">
            <v>2.8</v>
          </cell>
          <cell r="N1969">
            <v>0.20000000000000007</v>
          </cell>
          <cell r="O1969">
            <v>0.56000000000000016</v>
          </cell>
          <cell r="Q1969" t="str">
            <v>3/8"</v>
          </cell>
          <cell r="R1969">
            <v>4</v>
          </cell>
          <cell r="S1969">
            <v>4.0999999999999996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9.1839999999999993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</row>
        <row r="1970">
          <cell r="C1970">
            <v>1</v>
          </cell>
          <cell r="D1970">
            <v>1</v>
          </cell>
          <cell r="Q1970" t="str">
            <v>1/4"</v>
          </cell>
          <cell r="R1970">
            <v>12</v>
          </cell>
          <cell r="S1970">
            <v>0.8</v>
          </cell>
          <cell r="T1970">
            <v>0</v>
          </cell>
          <cell r="U1970">
            <v>2.4000000000000004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</row>
        <row r="1971">
          <cell r="B1971" t="str">
            <v>CORTE 2</v>
          </cell>
          <cell r="C1971">
            <v>1</v>
          </cell>
          <cell r="D1971">
            <v>1</v>
          </cell>
          <cell r="E1971">
            <v>1.5</v>
          </cell>
          <cell r="F1971">
            <v>0.2</v>
          </cell>
          <cell r="G1971">
            <v>0.2</v>
          </cell>
          <cell r="L1971">
            <v>6.0000000000000012E-2</v>
          </cell>
          <cell r="M1971">
            <v>1.5</v>
          </cell>
          <cell r="N1971">
            <v>0.20000000000000007</v>
          </cell>
          <cell r="O1971">
            <v>0.3000000000000001</v>
          </cell>
          <cell r="Q1971" t="str">
            <v>3/8"</v>
          </cell>
          <cell r="R1971">
            <v>4</v>
          </cell>
          <cell r="S1971">
            <v>2.8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6.2720000000000002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</row>
        <row r="1972">
          <cell r="C1972">
            <v>1</v>
          </cell>
          <cell r="D1972">
            <v>1</v>
          </cell>
          <cell r="Q1972" t="str">
            <v>1/4"</v>
          </cell>
          <cell r="R1972">
            <v>7</v>
          </cell>
          <cell r="S1972">
            <v>0.8</v>
          </cell>
          <cell r="T1972">
            <v>0</v>
          </cell>
          <cell r="U1972">
            <v>1.4000000000000001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</row>
        <row r="1973">
          <cell r="B1973" t="str">
            <v>CORTE 3</v>
          </cell>
          <cell r="C1973">
            <v>1</v>
          </cell>
          <cell r="D1973">
            <v>1</v>
          </cell>
          <cell r="E1973">
            <v>2.8</v>
          </cell>
          <cell r="F1973">
            <v>0.25</v>
          </cell>
          <cell r="G1973">
            <v>0.55000000000000004</v>
          </cell>
          <cell r="L1973">
            <v>0.38500000000000001</v>
          </cell>
          <cell r="M1973">
            <v>2.8</v>
          </cell>
          <cell r="N1973">
            <v>0.95000000000000007</v>
          </cell>
          <cell r="O1973">
            <v>2.66</v>
          </cell>
          <cell r="Q1973" t="str">
            <v>3/4"</v>
          </cell>
          <cell r="R1973">
            <v>4</v>
          </cell>
          <cell r="S1973">
            <v>4.0999999999999996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36.735999999999997</v>
          </cell>
          <cell r="AC1973">
            <v>0</v>
          </cell>
          <cell r="AD1973">
            <v>0</v>
          </cell>
        </row>
        <row r="1974">
          <cell r="C1974">
            <v>1</v>
          </cell>
          <cell r="D1974">
            <v>1</v>
          </cell>
          <cell r="Q1974" t="str">
            <v>3/8"</v>
          </cell>
          <cell r="R1974">
            <v>20</v>
          </cell>
          <cell r="S1974">
            <v>1.6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17.920000000000002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</row>
        <row r="1975">
          <cell r="B1975" t="str">
            <v>CORTE 3</v>
          </cell>
          <cell r="C1975">
            <v>1</v>
          </cell>
          <cell r="D1975">
            <v>1</v>
          </cell>
          <cell r="E1975">
            <v>4.1500000000000004</v>
          </cell>
          <cell r="F1975">
            <v>0.25</v>
          </cell>
          <cell r="G1975">
            <v>0.55000000000000004</v>
          </cell>
          <cell r="L1975">
            <v>0.57062500000000005</v>
          </cell>
          <cell r="M1975">
            <v>4.1500000000000004</v>
          </cell>
          <cell r="N1975">
            <v>0.95000000000000007</v>
          </cell>
          <cell r="O1975">
            <v>3.9425000000000008</v>
          </cell>
          <cell r="Q1975" t="str">
            <v>3/4"</v>
          </cell>
          <cell r="R1975">
            <v>4</v>
          </cell>
          <cell r="S1975">
            <v>5.45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48.832000000000008</v>
          </cell>
          <cell r="AC1975">
            <v>0</v>
          </cell>
          <cell r="AD1975">
            <v>0</v>
          </cell>
        </row>
        <row r="1976">
          <cell r="C1976">
            <v>1</v>
          </cell>
          <cell r="D1976">
            <v>1</v>
          </cell>
          <cell r="Q1976" t="str">
            <v>3/8"</v>
          </cell>
          <cell r="R1976">
            <v>26</v>
          </cell>
          <cell r="S1976">
            <v>1.6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23.296000000000003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</row>
        <row r="1977">
          <cell r="B1977" t="str">
            <v>CORTE 3</v>
          </cell>
          <cell r="C1977">
            <v>1</v>
          </cell>
          <cell r="D1977">
            <v>1</v>
          </cell>
          <cell r="E1977">
            <v>1.25</v>
          </cell>
          <cell r="F1977">
            <v>0.25</v>
          </cell>
          <cell r="G1977">
            <v>0.55000000000000004</v>
          </cell>
          <cell r="L1977">
            <v>0.171875</v>
          </cell>
          <cell r="M1977">
            <v>1.25</v>
          </cell>
          <cell r="N1977">
            <v>0.95000000000000007</v>
          </cell>
          <cell r="O1977">
            <v>1.1875</v>
          </cell>
          <cell r="Q1977" t="str">
            <v>3/4"</v>
          </cell>
          <cell r="R1977">
            <v>4</v>
          </cell>
          <cell r="S1977">
            <v>2.5499999999999998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22.847999999999999</v>
          </cell>
          <cell r="AC1977">
            <v>0</v>
          </cell>
          <cell r="AD1977">
            <v>0</v>
          </cell>
        </row>
        <row r="1978">
          <cell r="C1978">
            <v>1</v>
          </cell>
          <cell r="D1978">
            <v>1</v>
          </cell>
          <cell r="Q1978" t="str">
            <v>3/8"</v>
          </cell>
          <cell r="R1978">
            <v>12</v>
          </cell>
          <cell r="S1978">
            <v>1.6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10.752000000000002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</row>
        <row r="1979">
          <cell r="B1979" t="str">
            <v>CORTE 3</v>
          </cell>
          <cell r="C1979">
            <v>1</v>
          </cell>
          <cell r="D1979">
            <v>1</v>
          </cell>
          <cell r="E1979">
            <v>4.1500000000000004</v>
          </cell>
          <cell r="F1979">
            <v>0.25</v>
          </cell>
          <cell r="G1979">
            <v>0.55000000000000004</v>
          </cell>
          <cell r="L1979">
            <v>0.57062500000000005</v>
          </cell>
          <cell r="M1979">
            <v>4.1500000000000004</v>
          </cell>
          <cell r="N1979">
            <v>0.95000000000000007</v>
          </cell>
          <cell r="O1979">
            <v>3.9425000000000008</v>
          </cell>
          <cell r="Q1979" t="str">
            <v>3/4"</v>
          </cell>
          <cell r="R1979">
            <v>4</v>
          </cell>
          <cell r="S1979">
            <v>5.45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48.832000000000008</v>
          </cell>
          <cell r="AC1979">
            <v>0</v>
          </cell>
          <cell r="AD1979">
            <v>0</v>
          </cell>
        </row>
        <row r="1980">
          <cell r="C1980">
            <v>1</v>
          </cell>
          <cell r="D1980">
            <v>1</v>
          </cell>
          <cell r="Q1980" t="str">
            <v>3/8"</v>
          </cell>
          <cell r="R1980">
            <v>26</v>
          </cell>
          <cell r="S1980">
            <v>1.6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23.296000000000003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</row>
        <row r="1981">
          <cell r="B1981" t="str">
            <v>CORTE 3</v>
          </cell>
          <cell r="C1981">
            <v>1</v>
          </cell>
          <cell r="D1981">
            <v>1</v>
          </cell>
          <cell r="E1981">
            <v>2.65</v>
          </cell>
          <cell r="F1981">
            <v>0.25</v>
          </cell>
          <cell r="G1981">
            <v>0.55000000000000004</v>
          </cell>
          <cell r="L1981">
            <v>0.364375</v>
          </cell>
          <cell r="M1981">
            <v>2.65</v>
          </cell>
          <cell r="N1981">
            <v>0.95000000000000007</v>
          </cell>
          <cell r="O1981">
            <v>2.5175000000000001</v>
          </cell>
          <cell r="Q1981" t="str">
            <v>3/4"</v>
          </cell>
          <cell r="R1981">
            <v>4</v>
          </cell>
          <cell r="S1981">
            <v>3.9499999999999997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35.392000000000003</v>
          </cell>
          <cell r="AC1981">
            <v>0</v>
          </cell>
          <cell r="AD1981">
            <v>0</v>
          </cell>
        </row>
        <row r="1982">
          <cell r="C1982">
            <v>1</v>
          </cell>
          <cell r="D1982">
            <v>1</v>
          </cell>
          <cell r="Q1982" t="str">
            <v>3/8"</v>
          </cell>
          <cell r="R1982">
            <v>19</v>
          </cell>
          <cell r="S1982">
            <v>1.6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17.024000000000004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</row>
        <row r="1983">
          <cell r="B1983" t="str">
            <v>CORTE 3</v>
          </cell>
          <cell r="C1983">
            <v>1</v>
          </cell>
          <cell r="D1983">
            <v>1</v>
          </cell>
          <cell r="E1983">
            <v>1.9</v>
          </cell>
          <cell r="F1983">
            <v>0.25</v>
          </cell>
          <cell r="G1983">
            <v>0.55000000000000004</v>
          </cell>
          <cell r="L1983">
            <v>0.26124999999999998</v>
          </cell>
          <cell r="M1983">
            <v>1.9</v>
          </cell>
          <cell r="N1983">
            <v>0.95000000000000007</v>
          </cell>
          <cell r="O1983">
            <v>1.8049999999999999</v>
          </cell>
          <cell r="Q1983" t="str">
            <v>3/4"</v>
          </cell>
          <cell r="R1983">
            <v>4</v>
          </cell>
          <cell r="S1983">
            <v>3.1999999999999997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28.672000000000001</v>
          </cell>
          <cell r="AC1983">
            <v>0</v>
          </cell>
          <cell r="AD1983">
            <v>0</v>
          </cell>
        </row>
        <row r="1984">
          <cell r="C1984">
            <v>1</v>
          </cell>
          <cell r="D1984">
            <v>1</v>
          </cell>
          <cell r="Q1984" t="str">
            <v>3/8"</v>
          </cell>
          <cell r="R1984">
            <v>15</v>
          </cell>
          <cell r="S1984">
            <v>1.6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13.440000000000001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</row>
        <row r="1985">
          <cell r="B1985" t="str">
            <v>CORTE 4</v>
          </cell>
          <cell r="C1985">
            <v>1</v>
          </cell>
          <cell r="D1985">
            <v>1</v>
          </cell>
          <cell r="E1985">
            <v>1.85</v>
          </cell>
          <cell r="F1985">
            <v>0.25</v>
          </cell>
          <cell r="G1985">
            <v>0.55000000000000004</v>
          </cell>
          <cell r="L1985">
            <v>0.25437500000000002</v>
          </cell>
          <cell r="M1985">
            <v>1.85</v>
          </cell>
          <cell r="N1985">
            <v>0.95000000000000007</v>
          </cell>
          <cell r="O1985">
            <v>1.7575000000000003</v>
          </cell>
          <cell r="Q1985" t="str">
            <v>5/8"</v>
          </cell>
          <cell r="R1985">
            <v>5</v>
          </cell>
          <cell r="S1985">
            <v>3.15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24.412500000000001</v>
          </cell>
          <cell r="AB1985">
            <v>0</v>
          </cell>
          <cell r="AC1985">
            <v>0</v>
          </cell>
          <cell r="AD1985">
            <v>0</v>
          </cell>
        </row>
        <row r="1986">
          <cell r="C1986">
            <v>1</v>
          </cell>
          <cell r="D1986">
            <v>1</v>
          </cell>
          <cell r="Q1986" t="str">
            <v>3/8"</v>
          </cell>
          <cell r="R1986">
            <v>15</v>
          </cell>
          <cell r="S1986">
            <v>1.6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13.440000000000001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</row>
        <row r="1987">
          <cell r="B1987" t="str">
            <v>CORTE 5</v>
          </cell>
          <cell r="C1987">
            <v>1</v>
          </cell>
          <cell r="D1987">
            <v>1</v>
          </cell>
          <cell r="E1987">
            <v>3.8</v>
          </cell>
          <cell r="F1987">
            <v>0.15</v>
          </cell>
          <cell r="G1987">
            <v>0.55000000000000004</v>
          </cell>
          <cell r="L1987">
            <v>0.3135</v>
          </cell>
          <cell r="M1987">
            <v>3.8</v>
          </cell>
          <cell r="N1987">
            <v>0.85</v>
          </cell>
          <cell r="O1987">
            <v>3.23</v>
          </cell>
          <cell r="Q1987" t="str">
            <v>5/8"</v>
          </cell>
          <cell r="R1987">
            <v>4</v>
          </cell>
          <cell r="S1987">
            <v>5.0999999999999996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31.619999999999997</v>
          </cell>
          <cell r="AB1987">
            <v>0</v>
          </cell>
          <cell r="AC1987">
            <v>0</v>
          </cell>
          <cell r="AD1987">
            <v>0</v>
          </cell>
        </row>
        <row r="1988">
          <cell r="C1988">
            <v>1</v>
          </cell>
          <cell r="D1988">
            <v>1</v>
          </cell>
          <cell r="Q1988" t="str">
            <v>3/8"</v>
          </cell>
          <cell r="R1988">
            <v>25</v>
          </cell>
          <cell r="S1988">
            <v>1.4000000000000001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19.600000000000001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</row>
        <row r="1989">
          <cell r="B1989" t="str">
            <v>CORTE 6</v>
          </cell>
          <cell r="C1989">
            <v>1</v>
          </cell>
          <cell r="D1989">
            <v>1</v>
          </cell>
          <cell r="E1989">
            <v>1.9</v>
          </cell>
          <cell r="F1989">
            <v>0.4</v>
          </cell>
          <cell r="G1989">
            <v>1.4</v>
          </cell>
          <cell r="L1989">
            <v>1.0639999999999998</v>
          </cell>
          <cell r="M1989">
            <v>1.9</v>
          </cell>
          <cell r="N1989">
            <v>2.8</v>
          </cell>
          <cell r="O1989">
            <v>5.3199999999999994</v>
          </cell>
          <cell r="Q1989" t="str">
            <v>3/4"</v>
          </cell>
          <cell r="R1989">
            <v>10</v>
          </cell>
          <cell r="S1989">
            <v>3.1999999999999997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71.679999999999993</v>
          </cell>
          <cell r="AC1989">
            <v>0</v>
          </cell>
          <cell r="AD1989">
            <v>0</v>
          </cell>
        </row>
        <row r="1990">
          <cell r="C1990">
            <v>1</v>
          </cell>
          <cell r="D1990">
            <v>1</v>
          </cell>
          <cell r="Q1990" t="str">
            <v>5/8"</v>
          </cell>
          <cell r="R1990">
            <v>10</v>
          </cell>
          <cell r="S1990">
            <v>3.1999999999999997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49.599999999999994</v>
          </cell>
          <cell r="AB1990">
            <v>0</v>
          </cell>
          <cell r="AC1990">
            <v>0</v>
          </cell>
          <cell r="AD1990">
            <v>0</v>
          </cell>
        </row>
        <row r="1991">
          <cell r="C1991">
            <v>1</v>
          </cell>
          <cell r="D1991">
            <v>1</v>
          </cell>
          <cell r="Q1991" t="str">
            <v>3/8"</v>
          </cell>
          <cell r="R1991">
            <v>10</v>
          </cell>
          <cell r="S1991">
            <v>3.1999999999999997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17.919999999999998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</row>
        <row r="1992">
          <cell r="C1992">
            <v>1</v>
          </cell>
          <cell r="D1992">
            <v>1</v>
          </cell>
          <cell r="Q1992" t="str">
            <v>3/8"</v>
          </cell>
          <cell r="R1992">
            <v>10</v>
          </cell>
          <cell r="S1992">
            <v>3.5999999999999996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20.160000000000004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</row>
        <row r="1993">
          <cell r="B1993" t="str">
            <v>CORTE 8</v>
          </cell>
          <cell r="C1993">
            <v>1</v>
          </cell>
          <cell r="D1993">
            <v>1</v>
          </cell>
          <cell r="E1993">
            <v>2.2000000000000002</v>
          </cell>
          <cell r="F1993">
            <v>0.1</v>
          </cell>
          <cell r="G1993">
            <v>0.2</v>
          </cell>
          <cell r="L1993">
            <v>4.4000000000000011E-2</v>
          </cell>
          <cell r="M1993">
            <v>2.2000000000000002</v>
          </cell>
          <cell r="N1993">
            <v>9.9999999999999978E-2</v>
          </cell>
          <cell r="O1993">
            <v>0.21999999999999997</v>
          </cell>
          <cell r="Q1993" t="str">
            <v>3/8"</v>
          </cell>
          <cell r="R1993">
            <v>2</v>
          </cell>
          <cell r="S1993">
            <v>3.5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3.9200000000000004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H1993">
            <v>3.9200000000000004</v>
          </cell>
        </row>
        <row r="1994">
          <cell r="C1994">
            <v>1</v>
          </cell>
          <cell r="D1994">
            <v>1</v>
          </cell>
          <cell r="Q1994" t="str">
            <v>1/4"</v>
          </cell>
          <cell r="R1994">
            <v>9</v>
          </cell>
          <cell r="S1994">
            <v>0.60000000000000009</v>
          </cell>
          <cell r="T1994">
            <v>0</v>
          </cell>
          <cell r="U1994">
            <v>1.35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H1994">
            <v>0</v>
          </cell>
        </row>
        <row r="1995">
          <cell r="B1995" t="str">
            <v>CORTE 8</v>
          </cell>
          <cell r="C1995">
            <v>1</v>
          </cell>
          <cell r="D1995">
            <v>1</v>
          </cell>
          <cell r="E1995">
            <v>3.8</v>
          </cell>
          <cell r="F1995">
            <v>0.1</v>
          </cell>
          <cell r="G1995">
            <v>0.2</v>
          </cell>
          <cell r="L1995">
            <v>7.6000000000000012E-2</v>
          </cell>
          <cell r="M1995">
            <v>3.8</v>
          </cell>
          <cell r="N1995">
            <v>9.9999999999999978E-2</v>
          </cell>
          <cell r="O1995">
            <v>0.37999999999999989</v>
          </cell>
          <cell r="Q1995" t="str">
            <v>3/8"</v>
          </cell>
          <cell r="R1995">
            <v>2</v>
          </cell>
          <cell r="S1995">
            <v>5.0999999999999996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5.7119999999999997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H1995">
            <v>5.7119999999999997</v>
          </cell>
        </row>
        <row r="1996">
          <cell r="C1996">
            <v>1</v>
          </cell>
          <cell r="D1996">
            <v>1</v>
          </cell>
          <cell r="Q1996" t="str">
            <v>1/4"</v>
          </cell>
          <cell r="R1996">
            <v>16</v>
          </cell>
          <cell r="S1996">
            <v>0.60000000000000009</v>
          </cell>
          <cell r="T1996">
            <v>0</v>
          </cell>
          <cell r="U1996">
            <v>2.4000000000000004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H1996">
            <v>0</v>
          </cell>
        </row>
        <row r="1997">
          <cell r="AH1997">
            <v>0</v>
          </cell>
        </row>
        <row r="1998">
          <cell r="A1998" t="str">
            <v>CORTE-CON</v>
          </cell>
          <cell r="B1998" t="str">
            <v>Concreto f'c= 210 kg/cm2</v>
          </cell>
          <cell r="D1998" t="str">
            <v>M3</v>
          </cell>
          <cell r="E1998">
            <v>69.127224999999996</v>
          </cell>
          <cell r="AH1998">
            <v>0</v>
          </cell>
        </row>
        <row r="1999">
          <cell r="A1999" t="str">
            <v>CORTE-ENC</v>
          </cell>
          <cell r="B1999" t="str">
            <v xml:space="preserve">Encofrado y desencofrado </v>
          </cell>
          <cell r="D1999" t="str">
            <v>M2</v>
          </cell>
          <cell r="E1999">
            <v>415.69550000000015</v>
          </cell>
          <cell r="AH1999">
            <v>0</v>
          </cell>
        </row>
        <row r="2000">
          <cell r="A2000" t="str">
            <v>CORTE-ACE</v>
          </cell>
          <cell r="B2000" t="str">
            <v>Acero de refuerzo</v>
          </cell>
          <cell r="D2000" t="str">
            <v>KG</v>
          </cell>
          <cell r="E2000">
            <v>8882.7065999999995</v>
          </cell>
          <cell r="AH2000">
            <v>0</v>
          </cell>
        </row>
        <row r="2004">
          <cell r="B2004" t="str">
            <v>LOSA MACIZA H=20CM</v>
          </cell>
          <cell r="AH2004">
            <v>0</v>
          </cell>
        </row>
        <row r="2005">
          <cell r="AH2005">
            <v>0</v>
          </cell>
        </row>
        <row r="2006">
          <cell r="B2006" t="str">
            <v>PISO 1</v>
          </cell>
          <cell r="AH2006">
            <v>0</v>
          </cell>
        </row>
        <row r="2007">
          <cell r="AH2007">
            <v>0</v>
          </cell>
        </row>
        <row r="2008">
          <cell r="C2008">
            <v>1</v>
          </cell>
          <cell r="D2008">
            <v>1</v>
          </cell>
          <cell r="E2008">
            <v>85</v>
          </cell>
          <cell r="F2008">
            <v>1</v>
          </cell>
          <cell r="G2008">
            <v>0.2</v>
          </cell>
          <cell r="L2008">
            <v>17</v>
          </cell>
          <cell r="M2008">
            <v>85</v>
          </cell>
          <cell r="N2008">
            <v>1</v>
          </cell>
          <cell r="O2008">
            <v>85</v>
          </cell>
          <cell r="AH2008">
            <v>0</v>
          </cell>
        </row>
        <row r="2009">
          <cell r="B2009" t="str">
            <v>Acero Longitudinal</v>
          </cell>
          <cell r="C2009">
            <v>1</v>
          </cell>
          <cell r="D2009">
            <v>1</v>
          </cell>
          <cell r="AH2009">
            <v>0</v>
          </cell>
        </row>
        <row r="2010">
          <cell r="B2010" t="str">
            <v>Acero Inferior</v>
          </cell>
          <cell r="C2010">
            <v>1</v>
          </cell>
          <cell r="D2010">
            <v>1</v>
          </cell>
          <cell r="E2010">
            <v>3.35</v>
          </cell>
          <cell r="F2010">
            <v>0.2</v>
          </cell>
          <cell r="G2010">
            <v>1.65</v>
          </cell>
          <cell r="Q2010" t="str">
            <v>3/8"</v>
          </cell>
          <cell r="R2010">
            <v>17</v>
          </cell>
          <cell r="S2010">
            <v>1.95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18.564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</row>
        <row r="2011">
          <cell r="B2011" t="str">
            <v>Acero Superior</v>
          </cell>
          <cell r="C2011">
            <v>1</v>
          </cell>
          <cell r="D2011">
            <v>1</v>
          </cell>
          <cell r="E2011">
            <v>3.35</v>
          </cell>
          <cell r="F2011">
            <v>0.4</v>
          </cell>
          <cell r="G2011">
            <v>1.65</v>
          </cell>
          <cell r="Q2011" t="str">
            <v>3/8"</v>
          </cell>
          <cell r="R2011">
            <v>8</v>
          </cell>
          <cell r="S2011">
            <v>1.95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8.7360000000000007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</row>
        <row r="2012">
          <cell r="B2012" t="str">
            <v>Acero Inferior</v>
          </cell>
          <cell r="C2012">
            <v>1</v>
          </cell>
          <cell r="D2012">
            <v>1</v>
          </cell>
          <cell r="E2012">
            <v>3.35</v>
          </cell>
          <cell r="F2012">
            <v>0.2</v>
          </cell>
          <cell r="G2012">
            <v>1.4</v>
          </cell>
          <cell r="Q2012" t="str">
            <v>3/8"</v>
          </cell>
          <cell r="R2012">
            <v>17</v>
          </cell>
          <cell r="S2012">
            <v>1.7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16.184000000000001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</row>
        <row r="2013">
          <cell r="B2013" t="str">
            <v>Acero Superior</v>
          </cell>
          <cell r="C2013">
            <v>1</v>
          </cell>
          <cell r="D2013">
            <v>1</v>
          </cell>
          <cell r="E2013">
            <v>3.35</v>
          </cell>
          <cell r="F2013">
            <v>0.4</v>
          </cell>
          <cell r="G2013">
            <v>1.4</v>
          </cell>
          <cell r="Q2013" t="str">
            <v>3/8"</v>
          </cell>
          <cell r="R2013">
            <v>8</v>
          </cell>
          <cell r="S2013">
            <v>1.7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7.6160000000000005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</row>
        <row r="2014">
          <cell r="B2014" t="str">
            <v>Acero Inferior</v>
          </cell>
          <cell r="C2014">
            <v>1</v>
          </cell>
          <cell r="D2014">
            <v>1</v>
          </cell>
          <cell r="E2014">
            <v>1.45</v>
          </cell>
          <cell r="F2014">
            <v>0.2</v>
          </cell>
          <cell r="G2014">
            <v>1.45</v>
          </cell>
          <cell r="Q2014" t="str">
            <v>3/8"</v>
          </cell>
          <cell r="R2014">
            <v>7</v>
          </cell>
          <cell r="S2014">
            <v>1.75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6.86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</row>
        <row r="2015">
          <cell r="B2015" t="str">
            <v>Acero Superior</v>
          </cell>
          <cell r="C2015">
            <v>1</v>
          </cell>
          <cell r="D2015">
            <v>1</v>
          </cell>
          <cell r="E2015">
            <v>1.45</v>
          </cell>
          <cell r="F2015">
            <v>0.4</v>
          </cell>
          <cell r="G2015">
            <v>1.45</v>
          </cell>
          <cell r="Q2015" t="str">
            <v>3/8"</v>
          </cell>
          <cell r="R2015">
            <v>4</v>
          </cell>
          <cell r="S2015">
            <v>1.75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3.9200000000000004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</row>
        <row r="2016">
          <cell r="B2016" t="str">
            <v>Acero Inferior</v>
          </cell>
          <cell r="C2016">
            <v>1</v>
          </cell>
          <cell r="D2016">
            <v>1</v>
          </cell>
          <cell r="E2016">
            <v>1</v>
          </cell>
          <cell r="F2016">
            <v>0.2</v>
          </cell>
          <cell r="G2016">
            <v>1.2</v>
          </cell>
          <cell r="Q2016" t="str">
            <v>3/8"</v>
          </cell>
          <cell r="R2016">
            <v>5</v>
          </cell>
          <cell r="S2016">
            <v>1.5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4.2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</row>
        <row r="2017">
          <cell r="B2017" t="str">
            <v>Acero Superior</v>
          </cell>
          <cell r="C2017">
            <v>1</v>
          </cell>
          <cell r="D2017">
            <v>1</v>
          </cell>
          <cell r="E2017">
            <v>1</v>
          </cell>
          <cell r="F2017">
            <v>0.4</v>
          </cell>
          <cell r="G2017">
            <v>1.2</v>
          </cell>
          <cell r="Q2017" t="str">
            <v>3/8"</v>
          </cell>
          <cell r="R2017">
            <v>3</v>
          </cell>
          <cell r="S2017">
            <v>1.5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2.5200000000000005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</row>
        <row r="2018">
          <cell r="B2018" t="str">
            <v>Acero Inferior</v>
          </cell>
          <cell r="C2018">
            <v>1</v>
          </cell>
          <cell r="D2018">
            <v>1</v>
          </cell>
          <cell r="E2018">
            <v>3.9</v>
          </cell>
          <cell r="F2018">
            <v>0.2</v>
          </cell>
          <cell r="G2018">
            <v>1.2</v>
          </cell>
          <cell r="Q2018" t="str">
            <v>3/8"</v>
          </cell>
          <cell r="R2018">
            <v>20</v>
          </cell>
          <cell r="S2018">
            <v>1.5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16.8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</row>
        <row r="2019">
          <cell r="B2019" t="str">
            <v>Acero Superior</v>
          </cell>
          <cell r="C2019">
            <v>1</v>
          </cell>
          <cell r="D2019">
            <v>1</v>
          </cell>
          <cell r="E2019">
            <v>3.9</v>
          </cell>
          <cell r="F2019">
            <v>0.4</v>
          </cell>
          <cell r="G2019">
            <v>1.2</v>
          </cell>
          <cell r="Q2019" t="str">
            <v>3/8"</v>
          </cell>
          <cell r="R2019">
            <v>10</v>
          </cell>
          <cell r="S2019">
            <v>1.5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8.4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</row>
        <row r="2020">
          <cell r="B2020" t="str">
            <v>Acero Inferior</v>
          </cell>
          <cell r="C2020">
            <v>1</v>
          </cell>
          <cell r="D2020">
            <v>1</v>
          </cell>
          <cell r="E2020">
            <v>2.5</v>
          </cell>
          <cell r="F2020">
            <v>0.2</v>
          </cell>
          <cell r="G2020">
            <v>3.3</v>
          </cell>
          <cell r="Q2020" t="str">
            <v>3/8"</v>
          </cell>
          <cell r="R2020">
            <v>13</v>
          </cell>
          <cell r="S2020">
            <v>3.5999999999999996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26.208000000000002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</row>
        <row r="2021">
          <cell r="B2021" t="str">
            <v>Acero Superior</v>
          </cell>
          <cell r="C2021">
            <v>1</v>
          </cell>
          <cell r="D2021">
            <v>1</v>
          </cell>
          <cell r="E2021">
            <v>2.5</v>
          </cell>
          <cell r="F2021">
            <v>0.4</v>
          </cell>
          <cell r="G2021">
            <v>3.3</v>
          </cell>
          <cell r="Q2021" t="str">
            <v>3/8"</v>
          </cell>
          <cell r="R2021">
            <v>6</v>
          </cell>
          <cell r="S2021">
            <v>3.5999999999999996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12.096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</row>
        <row r="2022">
          <cell r="B2022" t="str">
            <v>Acero Inferior</v>
          </cell>
          <cell r="C2022">
            <v>1</v>
          </cell>
          <cell r="D2022">
            <v>1</v>
          </cell>
          <cell r="E2022">
            <v>1.1000000000000001</v>
          </cell>
          <cell r="F2022">
            <v>0.2</v>
          </cell>
          <cell r="G2022">
            <v>15.2</v>
          </cell>
          <cell r="P2022" t="str">
            <v>H</v>
          </cell>
          <cell r="Q2022" t="str">
            <v>3/8"</v>
          </cell>
          <cell r="R2022">
            <v>6</v>
          </cell>
          <cell r="S2022">
            <v>15.5</v>
          </cell>
          <cell r="T2022">
            <v>1</v>
          </cell>
          <cell r="U2022">
            <v>0</v>
          </cell>
          <cell r="V2022">
            <v>0</v>
          </cell>
          <cell r="W2022">
            <v>0</v>
          </cell>
          <cell r="X2022">
            <v>53.424000000000007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</row>
        <row r="2023">
          <cell r="B2023" t="str">
            <v>Acero Superior</v>
          </cell>
          <cell r="C2023">
            <v>1</v>
          </cell>
          <cell r="D2023">
            <v>1</v>
          </cell>
          <cell r="E2023">
            <v>1.1000000000000001</v>
          </cell>
          <cell r="F2023">
            <v>0.4</v>
          </cell>
          <cell r="G2023">
            <v>15.2</v>
          </cell>
          <cell r="P2023" t="str">
            <v>H</v>
          </cell>
          <cell r="Q2023" t="str">
            <v>3/8"</v>
          </cell>
          <cell r="R2023">
            <v>3</v>
          </cell>
          <cell r="S2023">
            <v>15.5</v>
          </cell>
          <cell r="T2023">
            <v>1</v>
          </cell>
          <cell r="U2023">
            <v>0</v>
          </cell>
          <cell r="V2023">
            <v>0</v>
          </cell>
          <cell r="W2023">
            <v>0</v>
          </cell>
          <cell r="X2023">
            <v>26.712000000000003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</row>
        <row r="2024">
          <cell r="B2024" t="str">
            <v>Acero Inferior</v>
          </cell>
          <cell r="C2024">
            <v>1</v>
          </cell>
          <cell r="D2024">
            <v>1</v>
          </cell>
          <cell r="E2024">
            <v>2.75</v>
          </cell>
          <cell r="F2024">
            <v>0.2</v>
          </cell>
          <cell r="G2024">
            <v>10.5</v>
          </cell>
          <cell r="P2024" t="str">
            <v>H</v>
          </cell>
          <cell r="Q2024" t="str">
            <v>3/8"</v>
          </cell>
          <cell r="R2024">
            <v>14</v>
          </cell>
          <cell r="S2024">
            <v>10.8</v>
          </cell>
          <cell r="T2024">
            <v>1</v>
          </cell>
          <cell r="U2024">
            <v>0</v>
          </cell>
          <cell r="V2024">
            <v>0</v>
          </cell>
          <cell r="W2024">
            <v>0</v>
          </cell>
          <cell r="X2024">
            <v>87.808000000000021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</row>
        <row r="2025">
          <cell r="B2025" t="str">
            <v>Acero Superior</v>
          </cell>
          <cell r="C2025">
            <v>1</v>
          </cell>
          <cell r="D2025">
            <v>1</v>
          </cell>
          <cell r="E2025">
            <v>2.75</v>
          </cell>
          <cell r="F2025">
            <v>0.4</v>
          </cell>
          <cell r="G2025">
            <v>10.5</v>
          </cell>
          <cell r="P2025" t="str">
            <v>H</v>
          </cell>
          <cell r="Q2025" t="str">
            <v>3/8"</v>
          </cell>
          <cell r="R2025">
            <v>7</v>
          </cell>
          <cell r="S2025">
            <v>10.8</v>
          </cell>
          <cell r="T2025">
            <v>1</v>
          </cell>
          <cell r="U2025">
            <v>0</v>
          </cell>
          <cell r="V2025">
            <v>0</v>
          </cell>
          <cell r="W2025">
            <v>0</v>
          </cell>
          <cell r="X2025">
            <v>43.904000000000011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</row>
        <row r="2026">
          <cell r="B2026" t="str">
            <v>Acero Inferior</v>
          </cell>
          <cell r="C2026">
            <v>1</v>
          </cell>
          <cell r="D2026">
            <v>1</v>
          </cell>
          <cell r="E2026">
            <v>1.7</v>
          </cell>
          <cell r="F2026">
            <v>0.2</v>
          </cell>
          <cell r="G2026">
            <v>3.85</v>
          </cell>
          <cell r="Q2026" t="str">
            <v>3/8"</v>
          </cell>
          <cell r="R2026">
            <v>9</v>
          </cell>
          <cell r="S2026">
            <v>4.1500000000000004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20.916000000000004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</row>
        <row r="2027">
          <cell r="B2027" t="str">
            <v>Acero Superior</v>
          </cell>
          <cell r="C2027">
            <v>1</v>
          </cell>
          <cell r="D2027">
            <v>1</v>
          </cell>
          <cell r="E2027">
            <v>1.7</v>
          </cell>
          <cell r="F2027">
            <v>0.4</v>
          </cell>
          <cell r="G2027">
            <v>3.85</v>
          </cell>
          <cell r="Q2027" t="str">
            <v>3/8"</v>
          </cell>
          <cell r="R2027">
            <v>4</v>
          </cell>
          <cell r="S2027">
            <v>4.1500000000000004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9.2960000000000012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</row>
        <row r="2028">
          <cell r="B2028" t="str">
            <v>Acero Inferior</v>
          </cell>
          <cell r="C2028">
            <v>1</v>
          </cell>
          <cell r="D2028">
            <v>1</v>
          </cell>
          <cell r="E2028">
            <v>1.85</v>
          </cell>
          <cell r="F2028">
            <v>0.2</v>
          </cell>
          <cell r="G2028">
            <v>2.25</v>
          </cell>
          <cell r="Q2028" t="str">
            <v>3/8"</v>
          </cell>
          <cell r="R2028">
            <v>9</v>
          </cell>
          <cell r="S2028">
            <v>2.5499999999999998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12.852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</row>
        <row r="2029">
          <cell r="B2029" t="str">
            <v>Acero Superior</v>
          </cell>
          <cell r="C2029">
            <v>1</v>
          </cell>
          <cell r="D2029">
            <v>1</v>
          </cell>
          <cell r="E2029">
            <v>1.85</v>
          </cell>
          <cell r="F2029">
            <v>0.4</v>
          </cell>
          <cell r="G2029">
            <v>2.25</v>
          </cell>
          <cell r="Q2029" t="str">
            <v>3/8"</v>
          </cell>
          <cell r="R2029">
            <v>5</v>
          </cell>
          <cell r="S2029">
            <v>2.5499999999999998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7.1400000000000006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</row>
        <row r="2030">
          <cell r="B2030" t="str">
            <v>Acero Inferior</v>
          </cell>
          <cell r="C2030">
            <v>1</v>
          </cell>
          <cell r="D2030">
            <v>1</v>
          </cell>
          <cell r="E2030">
            <v>2.8</v>
          </cell>
          <cell r="F2030">
            <v>0.2</v>
          </cell>
          <cell r="G2030">
            <v>1.8</v>
          </cell>
          <cell r="Q2030" t="str">
            <v>3/8"</v>
          </cell>
          <cell r="R2030">
            <v>14</v>
          </cell>
          <cell r="S2030">
            <v>2.1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16.464000000000002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</row>
        <row r="2031">
          <cell r="B2031" t="str">
            <v>Acero Superior</v>
          </cell>
          <cell r="C2031">
            <v>1</v>
          </cell>
          <cell r="D2031">
            <v>1</v>
          </cell>
          <cell r="E2031">
            <v>2.8</v>
          </cell>
          <cell r="F2031">
            <v>0.4</v>
          </cell>
          <cell r="G2031">
            <v>1.8</v>
          </cell>
          <cell r="Q2031" t="str">
            <v>3/8"</v>
          </cell>
          <cell r="R2031">
            <v>7</v>
          </cell>
          <cell r="S2031">
            <v>2.1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8.2320000000000011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</row>
        <row r="2032">
          <cell r="B2032" t="str">
            <v>Acero Inferior</v>
          </cell>
          <cell r="C2032">
            <v>1</v>
          </cell>
          <cell r="D2032">
            <v>1</v>
          </cell>
          <cell r="E2032">
            <v>3.35</v>
          </cell>
          <cell r="F2032">
            <v>0.2</v>
          </cell>
          <cell r="G2032">
            <v>1.8</v>
          </cell>
          <cell r="Q2032" t="str">
            <v>3/8"</v>
          </cell>
          <cell r="R2032">
            <v>17</v>
          </cell>
          <cell r="S2032">
            <v>2.1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19.992000000000004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</row>
        <row r="2033">
          <cell r="B2033" t="str">
            <v>Acero Superior</v>
          </cell>
          <cell r="C2033">
            <v>1</v>
          </cell>
          <cell r="D2033">
            <v>1</v>
          </cell>
          <cell r="E2033">
            <v>3.35</v>
          </cell>
          <cell r="F2033">
            <v>0.4</v>
          </cell>
          <cell r="G2033">
            <v>1.8</v>
          </cell>
          <cell r="Q2033" t="str">
            <v>3/8"</v>
          </cell>
          <cell r="R2033">
            <v>8</v>
          </cell>
          <cell r="S2033">
            <v>2.1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9.4080000000000013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</row>
        <row r="2034">
          <cell r="B2034" t="str">
            <v>Acero Inferior</v>
          </cell>
          <cell r="C2034">
            <v>1</v>
          </cell>
          <cell r="D2034">
            <v>1</v>
          </cell>
          <cell r="E2034">
            <v>3.15</v>
          </cell>
          <cell r="F2034">
            <v>0.2</v>
          </cell>
          <cell r="G2034">
            <v>3.75</v>
          </cell>
          <cell r="Q2034" t="str">
            <v>3/8"</v>
          </cell>
          <cell r="R2034">
            <v>16</v>
          </cell>
          <cell r="S2034">
            <v>4.05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36.288000000000004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</row>
        <row r="2035">
          <cell r="B2035" t="str">
            <v>Acero Superior</v>
          </cell>
          <cell r="C2035">
            <v>1</v>
          </cell>
          <cell r="D2035">
            <v>1</v>
          </cell>
          <cell r="E2035">
            <v>3.15</v>
          </cell>
          <cell r="F2035">
            <v>0.4</v>
          </cell>
          <cell r="G2035">
            <v>3.75</v>
          </cell>
          <cell r="Q2035" t="str">
            <v>3/8"</v>
          </cell>
          <cell r="R2035">
            <v>8</v>
          </cell>
          <cell r="S2035">
            <v>4.05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18.144000000000002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</row>
        <row r="2036">
          <cell r="B2036" t="str">
            <v>Acero Transversal</v>
          </cell>
          <cell r="C2036">
            <v>1</v>
          </cell>
          <cell r="D2036">
            <v>1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</row>
        <row r="2037">
          <cell r="B2037" t="str">
            <v>Acero Inferior</v>
          </cell>
          <cell r="C2037">
            <v>1</v>
          </cell>
          <cell r="D2037">
            <v>1</v>
          </cell>
          <cell r="E2037">
            <v>1.3</v>
          </cell>
          <cell r="F2037">
            <v>0.2</v>
          </cell>
          <cell r="G2037">
            <v>4.3</v>
          </cell>
          <cell r="Q2037" t="str">
            <v>3/8"</v>
          </cell>
          <cell r="R2037">
            <v>7</v>
          </cell>
          <cell r="S2037">
            <v>4.5999999999999996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18.032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</row>
        <row r="2038">
          <cell r="B2038" t="str">
            <v>Acero Superior</v>
          </cell>
          <cell r="C2038">
            <v>1</v>
          </cell>
          <cell r="D2038">
            <v>1</v>
          </cell>
          <cell r="E2038">
            <v>1.3</v>
          </cell>
          <cell r="F2038">
            <v>0.4</v>
          </cell>
          <cell r="G2038">
            <v>4.3</v>
          </cell>
          <cell r="Q2038" t="str">
            <v>3/8"</v>
          </cell>
          <cell r="R2038">
            <v>3</v>
          </cell>
          <cell r="S2038">
            <v>4.5999999999999996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7.7279999999999998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</row>
        <row r="2039">
          <cell r="B2039" t="str">
            <v>Acero Inferior</v>
          </cell>
          <cell r="C2039">
            <v>1</v>
          </cell>
          <cell r="D2039">
            <v>1</v>
          </cell>
          <cell r="E2039">
            <v>1</v>
          </cell>
          <cell r="F2039">
            <v>0.2</v>
          </cell>
          <cell r="G2039">
            <v>4.3</v>
          </cell>
          <cell r="Q2039" t="str">
            <v>3/8"</v>
          </cell>
          <cell r="R2039">
            <v>5</v>
          </cell>
          <cell r="S2039">
            <v>4.5999999999999996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12.88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</row>
        <row r="2040">
          <cell r="B2040" t="str">
            <v>Acero Superior</v>
          </cell>
          <cell r="C2040">
            <v>1</v>
          </cell>
          <cell r="D2040">
            <v>1</v>
          </cell>
          <cell r="E2040">
            <v>1</v>
          </cell>
          <cell r="F2040">
            <v>0.4</v>
          </cell>
          <cell r="G2040">
            <v>4.3</v>
          </cell>
          <cell r="Q2040" t="str">
            <v>3/8"</v>
          </cell>
          <cell r="R2040">
            <v>3</v>
          </cell>
          <cell r="S2040">
            <v>4.5999999999999996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7.7279999999999998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</row>
        <row r="2041">
          <cell r="B2041" t="str">
            <v>Acero Inferior</v>
          </cell>
          <cell r="C2041">
            <v>1</v>
          </cell>
          <cell r="D2041">
            <v>1</v>
          </cell>
          <cell r="E2041">
            <v>1.05</v>
          </cell>
          <cell r="F2041">
            <v>0.2</v>
          </cell>
          <cell r="G2041">
            <v>1.95</v>
          </cell>
          <cell r="Q2041" t="str">
            <v>3/8"</v>
          </cell>
          <cell r="R2041">
            <v>5</v>
          </cell>
          <cell r="S2041">
            <v>2.25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6.3000000000000007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</row>
        <row r="2042">
          <cell r="B2042" t="str">
            <v>Acero Superior</v>
          </cell>
          <cell r="C2042">
            <v>1</v>
          </cell>
          <cell r="D2042">
            <v>1</v>
          </cell>
          <cell r="E2042">
            <v>1.05</v>
          </cell>
          <cell r="F2042">
            <v>0.4</v>
          </cell>
          <cell r="G2042">
            <v>1.95</v>
          </cell>
          <cell r="Q2042" t="str">
            <v>3/8"</v>
          </cell>
          <cell r="R2042">
            <v>3</v>
          </cell>
          <cell r="S2042">
            <v>2.25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3.7800000000000002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</row>
        <row r="2043">
          <cell r="B2043" t="str">
            <v>Acero Inferior</v>
          </cell>
          <cell r="C2043">
            <v>1</v>
          </cell>
          <cell r="D2043">
            <v>1</v>
          </cell>
          <cell r="E2043">
            <v>0.7</v>
          </cell>
          <cell r="F2043">
            <v>0.2</v>
          </cell>
          <cell r="G2043">
            <v>5.8</v>
          </cell>
          <cell r="Q2043" t="str">
            <v>3/8"</v>
          </cell>
          <cell r="R2043">
            <v>4</v>
          </cell>
          <cell r="S2043">
            <v>6.1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13.664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</row>
        <row r="2044">
          <cell r="B2044" t="str">
            <v>Acero Superior</v>
          </cell>
          <cell r="C2044">
            <v>1</v>
          </cell>
          <cell r="D2044">
            <v>1</v>
          </cell>
          <cell r="E2044">
            <v>0.7</v>
          </cell>
          <cell r="F2044">
            <v>0.4</v>
          </cell>
          <cell r="G2044">
            <v>5.8</v>
          </cell>
          <cell r="Q2044" t="str">
            <v>3/8"</v>
          </cell>
          <cell r="R2044">
            <v>2</v>
          </cell>
          <cell r="S2044">
            <v>6.1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6.8319999999999999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</row>
        <row r="2045">
          <cell r="B2045" t="str">
            <v>Acero Inferior</v>
          </cell>
          <cell r="C2045">
            <v>1</v>
          </cell>
          <cell r="D2045">
            <v>1</v>
          </cell>
          <cell r="E2045">
            <v>6.35</v>
          </cell>
          <cell r="F2045">
            <v>0.2</v>
          </cell>
          <cell r="G2045">
            <v>4.75</v>
          </cell>
          <cell r="Q2045" t="str">
            <v>3/8"</v>
          </cell>
          <cell r="R2045">
            <v>32</v>
          </cell>
          <cell r="S2045">
            <v>5.05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90.496000000000009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</row>
        <row r="2046">
          <cell r="B2046" t="str">
            <v>Acero Superior</v>
          </cell>
          <cell r="C2046">
            <v>1</v>
          </cell>
          <cell r="D2046">
            <v>1</v>
          </cell>
          <cell r="E2046">
            <v>6.35</v>
          </cell>
          <cell r="F2046">
            <v>0.4</v>
          </cell>
          <cell r="G2046">
            <v>4.75</v>
          </cell>
          <cell r="Q2046" t="str">
            <v>3/8"</v>
          </cell>
          <cell r="R2046">
            <v>16</v>
          </cell>
          <cell r="S2046">
            <v>5.05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45.248000000000005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</row>
        <row r="2047">
          <cell r="B2047" t="str">
            <v>Acero Inferior</v>
          </cell>
          <cell r="C2047">
            <v>1</v>
          </cell>
          <cell r="D2047">
            <v>1</v>
          </cell>
          <cell r="E2047">
            <v>1.5</v>
          </cell>
          <cell r="F2047">
            <v>0.2</v>
          </cell>
          <cell r="G2047">
            <v>6.85</v>
          </cell>
          <cell r="Q2047" t="str">
            <v>3/8"</v>
          </cell>
          <cell r="R2047">
            <v>8</v>
          </cell>
          <cell r="S2047">
            <v>7.1499999999999995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32.032000000000004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</row>
        <row r="2048">
          <cell r="B2048" t="str">
            <v>Acero Superior</v>
          </cell>
          <cell r="C2048">
            <v>1</v>
          </cell>
          <cell r="D2048">
            <v>1</v>
          </cell>
          <cell r="E2048">
            <v>1.5</v>
          </cell>
          <cell r="F2048">
            <v>0.4</v>
          </cell>
          <cell r="G2048">
            <v>6.85</v>
          </cell>
          <cell r="Q2048" t="str">
            <v>3/8"</v>
          </cell>
          <cell r="R2048">
            <v>4</v>
          </cell>
          <cell r="S2048">
            <v>7.1499999999999995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16.016000000000002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</row>
        <row r="2049">
          <cell r="B2049" t="str">
            <v>Acero Inferior</v>
          </cell>
          <cell r="C2049">
            <v>1</v>
          </cell>
          <cell r="D2049">
            <v>1</v>
          </cell>
          <cell r="E2049">
            <v>3.15</v>
          </cell>
          <cell r="F2049">
            <v>0.2</v>
          </cell>
          <cell r="G2049">
            <v>3.5</v>
          </cell>
          <cell r="Q2049" t="str">
            <v>3/8"</v>
          </cell>
          <cell r="R2049">
            <v>16</v>
          </cell>
          <cell r="S2049">
            <v>3.8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34.048000000000002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</row>
        <row r="2050">
          <cell r="B2050" t="str">
            <v>Acero Superior</v>
          </cell>
          <cell r="C2050">
            <v>1</v>
          </cell>
          <cell r="D2050">
            <v>1</v>
          </cell>
          <cell r="E2050">
            <v>3.15</v>
          </cell>
          <cell r="F2050">
            <v>0.4</v>
          </cell>
          <cell r="G2050">
            <v>3.5</v>
          </cell>
          <cell r="Q2050" t="str">
            <v>3/8"</v>
          </cell>
          <cell r="R2050">
            <v>8</v>
          </cell>
          <cell r="S2050">
            <v>3.8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17.024000000000001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</row>
        <row r="2051">
          <cell r="B2051" t="str">
            <v>Acero Inferior</v>
          </cell>
          <cell r="C2051">
            <v>1</v>
          </cell>
          <cell r="D2051">
            <v>1</v>
          </cell>
          <cell r="E2051">
            <v>1.55</v>
          </cell>
          <cell r="F2051">
            <v>0.2</v>
          </cell>
          <cell r="G2051">
            <v>8.1</v>
          </cell>
          <cell r="Q2051" t="str">
            <v>3/8"</v>
          </cell>
          <cell r="R2051">
            <v>8</v>
          </cell>
          <cell r="S2051">
            <v>8.4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37.632000000000005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</row>
        <row r="2052">
          <cell r="B2052" t="str">
            <v>Acero Superior</v>
          </cell>
          <cell r="C2052">
            <v>1</v>
          </cell>
          <cell r="D2052">
            <v>1</v>
          </cell>
          <cell r="E2052">
            <v>1.55</v>
          </cell>
          <cell r="F2052">
            <v>0.4</v>
          </cell>
          <cell r="G2052">
            <v>8.1</v>
          </cell>
          <cell r="Q2052" t="str">
            <v>3/8"</v>
          </cell>
          <cell r="R2052">
            <v>4</v>
          </cell>
          <cell r="S2052">
            <v>8.4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18.816000000000003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</row>
        <row r="2053">
          <cell r="B2053" t="str">
            <v>Acero Inferior</v>
          </cell>
          <cell r="C2053">
            <v>1</v>
          </cell>
          <cell r="D2053">
            <v>1</v>
          </cell>
          <cell r="E2053">
            <v>1.5</v>
          </cell>
          <cell r="F2053">
            <v>0.2</v>
          </cell>
          <cell r="G2053">
            <v>5.9</v>
          </cell>
          <cell r="Q2053" t="str">
            <v>3/8"</v>
          </cell>
          <cell r="R2053">
            <v>8</v>
          </cell>
          <cell r="S2053">
            <v>6.2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27.776000000000003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</row>
        <row r="2054">
          <cell r="B2054" t="str">
            <v>Acero Superior</v>
          </cell>
          <cell r="C2054">
            <v>1</v>
          </cell>
          <cell r="D2054">
            <v>1</v>
          </cell>
          <cell r="E2054">
            <v>1.5</v>
          </cell>
          <cell r="F2054">
            <v>0.4</v>
          </cell>
          <cell r="G2054">
            <v>5.9</v>
          </cell>
          <cell r="Q2054" t="str">
            <v>3/8"</v>
          </cell>
          <cell r="R2054">
            <v>4</v>
          </cell>
          <cell r="S2054">
            <v>6.2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13.888000000000002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</row>
        <row r="2055">
          <cell r="B2055" t="str">
            <v>Acero Inferior</v>
          </cell>
          <cell r="C2055">
            <v>1</v>
          </cell>
          <cell r="D2055">
            <v>1</v>
          </cell>
          <cell r="E2055">
            <v>3.1</v>
          </cell>
          <cell r="F2055">
            <v>0.2</v>
          </cell>
          <cell r="G2055">
            <v>4.2</v>
          </cell>
          <cell r="Q2055" t="str">
            <v>3/8"</v>
          </cell>
          <cell r="R2055">
            <v>16</v>
          </cell>
          <cell r="S2055">
            <v>4.5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40.320000000000007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</row>
        <row r="2056">
          <cell r="B2056" t="str">
            <v>Acero Superior</v>
          </cell>
          <cell r="C2056">
            <v>1</v>
          </cell>
          <cell r="D2056">
            <v>1</v>
          </cell>
          <cell r="E2056">
            <v>3.1</v>
          </cell>
          <cell r="F2056">
            <v>0.4</v>
          </cell>
          <cell r="G2056">
            <v>4.2</v>
          </cell>
          <cell r="Q2056" t="str">
            <v>3/8"</v>
          </cell>
          <cell r="R2056">
            <v>8</v>
          </cell>
          <cell r="S2056">
            <v>4.5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20.160000000000004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</row>
        <row r="2057">
          <cell r="B2057" t="str">
            <v>PISO 2-13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H2057">
            <v>0</v>
          </cell>
        </row>
        <row r="2058"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H2058">
            <v>0</v>
          </cell>
        </row>
        <row r="2059">
          <cell r="C2059">
            <v>12</v>
          </cell>
          <cell r="D2059">
            <v>1</v>
          </cell>
          <cell r="E2059">
            <v>85</v>
          </cell>
          <cell r="F2059">
            <v>1</v>
          </cell>
          <cell r="G2059">
            <v>0.2</v>
          </cell>
          <cell r="L2059">
            <v>204</v>
          </cell>
          <cell r="M2059">
            <v>85</v>
          </cell>
          <cell r="N2059">
            <v>1</v>
          </cell>
          <cell r="O2059">
            <v>1020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H2059">
            <v>0</v>
          </cell>
        </row>
        <row r="2060">
          <cell r="B2060" t="str">
            <v>Acero Longitudinal</v>
          </cell>
          <cell r="C2060">
            <v>12</v>
          </cell>
          <cell r="D2060">
            <v>1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H2060">
            <v>0</v>
          </cell>
        </row>
        <row r="2061">
          <cell r="B2061" t="str">
            <v>Acero Inferior</v>
          </cell>
          <cell r="C2061">
            <v>12</v>
          </cell>
          <cell r="D2061">
            <v>1</v>
          </cell>
          <cell r="E2061">
            <v>3.35</v>
          </cell>
          <cell r="F2061">
            <v>0.2</v>
          </cell>
          <cell r="G2061">
            <v>1.65</v>
          </cell>
          <cell r="Q2061" t="str">
            <v>3/8"</v>
          </cell>
          <cell r="R2061">
            <v>17</v>
          </cell>
          <cell r="S2061">
            <v>1.95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222.768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</row>
        <row r="2062">
          <cell r="B2062" t="str">
            <v>Acero Superior</v>
          </cell>
          <cell r="C2062">
            <v>12</v>
          </cell>
          <cell r="D2062">
            <v>1</v>
          </cell>
          <cell r="E2062">
            <v>3.35</v>
          </cell>
          <cell r="F2062">
            <v>0.4</v>
          </cell>
          <cell r="G2062">
            <v>1.65</v>
          </cell>
          <cell r="Q2062" t="str">
            <v>3/8"</v>
          </cell>
          <cell r="R2062">
            <v>8</v>
          </cell>
          <cell r="S2062">
            <v>1.95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104.83200000000001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</row>
        <row r="2063">
          <cell r="B2063" t="str">
            <v>Acero Inferior</v>
          </cell>
          <cell r="C2063">
            <v>12</v>
          </cell>
          <cell r="D2063">
            <v>1</v>
          </cell>
          <cell r="E2063">
            <v>3.35</v>
          </cell>
          <cell r="F2063">
            <v>0.2</v>
          </cell>
          <cell r="G2063">
            <v>1.4</v>
          </cell>
          <cell r="Q2063" t="str">
            <v>3/8"</v>
          </cell>
          <cell r="R2063">
            <v>17</v>
          </cell>
          <cell r="S2063">
            <v>1.7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194.20800000000003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</row>
        <row r="2064">
          <cell r="B2064" t="str">
            <v>Acero Superior</v>
          </cell>
          <cell r="C2064">
            <v>12</v>
          </cell>
          <cell r="D2064">
            <v>1</v>
          </cell>
          <cell r="E2064">
            <v>3.35</v>
          </cell>
          <cell r="F2064">
            <v>0.4</v>
          </cell>
          <cell r="G2064">
            <v>1.4</v>
          </cell>
          <cell r="Q2064" t="str">
            <v>3/8"</v>
          </cell>
          <cell r="R2064">
            <v>8</v>
          </cell>
          <cell r="S2064">
            <v>1.7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91.39200000000001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</row>
        <row r="2065">
          <cell r="B2065" t="str">
            <v>Acero Inferior</v>
          </cell>
          <cell r="C2065">
            <v>12</v>
          </cell>
          <cell r="D2065">
            <v>1</v>
          </cell>
          <cell r="E2065">
            <v>1.45</v>
          </cell>
          <cell r="F2065">
            <v>0.2</v>
          </cell>
          <cell r="G2065">
            <v>1.45</v>
          </cell>
          <cell r="Q2065" t="str">
            <v>3/8"</v>
          </cell>
          <cell r="R2065">
            <v>7</v>
          </cell>
          <cell r="S2065">
            <v>1.75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82.320000000000007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</row>
        <row r="2066">
          <cell r="B2066" t="str">
            <v>Acero Superior</v>
          </cell>
          <cell r="C2066">
            <v>12</v>
          </cell>
          <cell r="D2066">
            <v>1</v>
          </cell>
          <cell r="E2066">
            <v>1.45</v>
          </cell>
          <cell r="F2066">
            <v>0.4</v>
          </cell>
          <cell r="G2066">
            <v>1.45</v>
          </cell>
          <cell r="Q2066" t="str">
            <v>3/8"</v>
          </cell>
          <cell r="R2066">
            <v>4</v>
          </cell>
          <cell r="S2066">
            <v>1.75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47.040000000000006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</row>
        <row r="2067">
          <cell r="B2067" t="str">
            <v>Acero Inferior</v>
          </cell>
          <cell r="C2067">
            <v>12</v>
          </cell>
          <cell r="D2067">
            <v>1</v>
          </cell>
          <cell r="E2067">
            <v>1</v>
          </cell>
          <cell r="F2067">
            <v>0.2</v>
          </cell>
          <cell r="G2067">
            <v>1.2</v>
          </cell>
          <cell r="Q2067" t="str">
            <v>3/8"</v>
          </cell>
          <cell r="R2067">
            <v>5</v>
          </cell>
          <cell r="S2067">
            <v>1.5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50.400000000000006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</row>
        <row r="2068">
          <cell r="B2068" t="str">
            <v>Acero Superior</v>
          </cell>
          <cell r="C2068">
            <v>12</v>
          </cell>
          <cell r="D2068">
            <v>1</v>
          </cell>
          <cell r="E2068">
            <v>1</v>
          </cell>
          <cell r="F2068">
            <v>0.4</v>
          </cell>
          <cell r="G2068">
            <v>1.2</v>
          </cell>
          <cell r="Q2068" t="str">
            <v>3/8"</v>
          </cell>
          <cell r="R2068">
            <v>3</v>
          </cell>
          <cell r="S2068">
            <v>1.5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30.240000000000006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</row>
        <row r="2069">
          <cell r="B2069" t="str">
            <v>Acero Inferior</v>
          </cell>
          <cell r="C2069">
            <v>12</v>
          </cell>
          <cell r="D2069">
            <v>1</v>
          </cell>
          <cell r="E2069">
            <v>3.9</v>
          </cell>
          <cell r="F2069">
            <v>0.2</v>
          </cell>
          <cell r="G2069">
            <v>1.2</v>
          </cell>
          <cell r="Q2069" t="str">
            <v>3/8"</v>
          </cell>
          <cell r="R2069">
            <v>20</v>
          </cell>
          <cell r="S2069">
            <v>1.5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201.60000000000002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</row>
        <row r="2070">
          <cell r="B2070" t="str">
            <v>Acero Superior</v>
          </cell>
          <cell r="C2070">
            <v>12</v>
          </cell>
          <cell r="D2070">
            <v>1</v>
          </cell>
          <cell r="E2070">
            <v>3.9</v>
          </cell>
          <cell r="F2070">
            <v>0.4</v>
          </cell>
          <cell r="G2070">
            <v>1.2</v>
          </cell>
          <cell r="Q2070" t="str">
            <v>3/8"</v>
          </cell>
          <cell r="R2070">
            <v>10</v>
          </cell>
          <cell r="S2070">
            <v>1.5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100.80000000000001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</row>
        <row r="2071">
          <cell r="B2071" t="str">
            <v>Acero Inferior</v>
          </cell>
          <cell r="C2071">
            <v>12</v>
          </cell>
          <cell r="D2071">
            <v>1</v>
          </cell>
          <cell r="E2071">
            <v>2.5</v>
          </cell>
          <cell r="F2071">
            <v>0.2</v>
          </cell>
          <cell r="G2071">
            <v>3.3</v>
          </cell>
          <cell r="Q2071" t="str">
            <v>3/8"</v>
          </cell>
          <cell r="R2071">
            <v>13</v>
          </cell>
          <cell r="S2071">
            <v>3.5999999999999996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314.49600000000004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</row>
        <row r="2072">
          <cell r="B2072" t="str">
            <v>Acero Superior</v>
          </cell>
          <cell r="C2072">
            <v>12</v>
          </cell>
          <cell r="D2072">
            <v>1</v>
          </cell>
          <cell r="E2072">
            <v>2.5</v>
          </cell>
          <cell r="F2072">
            <v>0.4</v>
          </cell>
          <cell r="G2072">
            <v>3.3</v>
          </cell>
          <cell r="Q2072" t="str">
            <v>3/8"</v>
          </cell>
          <cell r="R2072">
            <v>6</v>
          </cell>
          <cell r="S2072">
            <v>3.5999999999999996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145.15199999999999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</row>
        <row r="2073">
          <cell r="B2073" t="str">
            <v>Acero Inferior</v>
          </cell>
          <cell r="C2073">
            <v>12</v>
          </cell>
          <cell r="D2073">
            <v>1</v>
          </cell>
          <cell r="E2073">
            <v>1.1000000000000001</v>
          </cell>
          <cell r="F2073">
            <v>0.2</v>
          </cell>
          <cell r="G2073">
            <v>15.2</v>
          </cell>
          <cell r="P2073" t="str">
            <v>H</v>
          </cell>
          <cell r="Q2073" t="str">
            <v>3/8"</v>
          </cell>
          <cell r="R2073">
            <v>6</v>
          </cell>
          <cell r="S2073">
            <v>15.5</v>
          </cell>
          <cell r="T2073">
            <v>1</v>
          </cell>
          <cell r="U2073">
            <v>0</v>
          </cell>
          <cell r="V2073">
            <v>0</v>
          </cell>
          <cell r="W2073">
            <v>0</v>
          </cell>
          <cell r="X2073">
            <v>641.08800000000008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</row>
        <row r="2074">
          <cell r="B2074" t="str">
            <v>Acero Superior</v>
          </cell>
          <cell r="C2074">
            <v>12</v>
          </cell>
          <cell r="D2074">
            <v>1</v>
          </cell>
          <cell r="E2074">
            <v>1.1000000000000001</v>
          </cell>
          <cell r="F2074">
            <v>0.4</v>
          </cell>
          <cell r="G2074">
            <v>15.2</v>
          </cell>
          <cell r="P2074" t="str">
            <v>H</v>
          </cell>
          <cell r="Q2074" t="str">
            <v>3/8"</v>
          </cell>
          <cell r="R2074">
            <v>3</v>
          </cell>
          <cell r="S2074">
            <v>15.5</v>
          </cell>
          <cell r="T2074">
            <v>1</v>
          </cell>
          <cell r="U2074">
            <v>0</v>
          </cell>
          <cell r="V2074">
            <v>0</v>
          </cell>
          <cell r="W2074">
            <v>0</v>
          </cell>
          <cell r="X2074">
            <v>320.54400000000004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</row>
        <row r="2075">
          <cell r="B2075" t="str">
            <v>Acero Inferior</v>
          </cell>
          <cell r="C2075">
            <v>12</v>
          </cell>
          <cell r="D2075">
            <v>1</v>
          </cell>
          <cell r="E2075">
            <v>2.75</v>
          </cell>
          <cell r="F2075">
            <v>0.2</v>
          </cell>
          <cell r="G2075">
            <v>10.5</v>
          </cell>
          <cell r="P2075" t="str">
            <v>H</v>
          </cell>
          <cell r="Q2075" t="str">
            <v>3/8"</v>
          </cell>
          <cell r="R2075">
            <v>14</v>
          </cell>
          <cell r="S2075">
            <v>10.8</v>
          </cell>
          <cell r="T2075">
            <v>1</v>
          </cell>
          <cell r="U2075">
            <v>0</v>
          </cell>
          <cell r="V2075">
            <v>0</v>
          </cell>
          <cell r="W2075">
            <v>0</v>
          </cell>
          <cell r="X2075">
            <v>1053.6960000000004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</row>
        <row r="2076">
          <cell r="B2076" t="str">
            <v>Acero Superior</v>
          </cell>
          <cell r="C2076">
            <v>12</v>
          </cell>
          <cell r="D2076">
            <v>1</v>
          </cell>
          <cell r="E2076">
            <v>2.75</v>
          </cell>
          <cell r="F2076">
            <v>0.4</v>
          </cell>
          <cell r="G2076">
            <v>10.5</v>
          </cell>
          <cell r="P2076" t="str">
            <v>H</v>
          </cell>
          <cell r="Q2076" t="str">
            <v>3/8"</v>
          </cell>
          <cell r="R2076">
            <v>7</v>
          </cell>
          <cell r="S2076">
            <v>10.8</v>
          </cell>
          <cell r="T2076">
            <v>1</v>
          </cell>
          <cell r="U2076">
            <v>0</v>
          </cell>
          <cell r="V2076">
            <v>0</v>
          </cell>
          <cell r="W2076">
            <v>0</v>
          </cell>
          <cell r="X2076">
            <v>526.84800000000018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</row>
        <row r="2077">
          <cell r="B2077" t="str">
            <v>Acero Inferior</v>
          </cell>
          <cell r="C2077">
            <v>12</v>
          </cell>
          <cell r="D2077">
            <v>1</v>
          </cell>
          <cell r="E2077">
            <v>1.7</v>
          </cell>
          <cell r="F2077">
            <v>0.2</v>
          </cell>
          <cell r="G2077">
            <v>3.85</v>
          </cell>
          <cell r="Q2077" t="str">
            <v>3/8"</v>
          </cell>
          <cell r="R2077">
            <v>9</v>
          </cell>
          <cell r="S2077">
            <v>4.1500000000000004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250.99200000000005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</row>
        <row r="2078">
          <cell r="B2078" t="str">
            <v>Acero Superior</v>
          </cell>
          <cell r="C2078">
            <v>12</v>
          </cell>
          <cell r="D2078">
            <v>1</v>
          </cell>
          <cell r="E2078">
            <v>1.7</v>
          </cell>
          <cell r="F2078">
            <v>0.4</v>
          </cell>
          <cell r="G2078">
            <v>3.85</v>
          </cell>
          <cell r="Q2078" t="str">
            <v>3/8"</v>
          </cell>
          <cell r="R2078">
            <v>4</v>
          </cell>
          <cell r="S2078">
            <v>4.1500000000000004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111.55200000000002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</row>
        <row r="2079">
          <cell r="B2079" t="str">
            <v>Acero Inferior</v>
          </cell>
          <cell r="C2079">
            <v>12</v>
          </cell>
          <cell r="D2079">
            <v>1</v>
          </cell>
          <cell r="E2079">
            <v>1.85</v>
          </cell>
          <cell r="F2079">
            <v>0.2</v>
          </cell>
          <cell r="G2079">
            <v>2.25</v>
          </cell>
          <cell r="Q2079" t="str">
            <v>3/8"</v>
          </cell>
          <cell r="R2079">
            <v>9</v>
          </cell>
          <cell r="S2079">
            <v>2.5499999999999998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154.22399999999999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</row>
        <row r="2080">
          <cell r="B2080" t="str">
            <v>Acero Superior</v>
          </cell>
          <cell r="C2080">
            <v>12</v>
          </cell>
          <cell r="D2080">
            <v>1</v>
          </cell>
          <cell r="E2080">
            <v>1.85</v>
          </cell>
          <cell r="F2080">
            <v>0.4</v>
          </cell>
          <cell r="G2080">
            <v>2.25</v>
          </cell>
          <cell r="Q2080" t="str">
            <v>3/8"</v>
          </cell>
          <cell r="R2080">
            <v>5</v>
          </cell>
          <cell r="S2080">
            <v>2.5499999999999998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85.68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</row>
        <row r="2081">
          <cell r="B2081" t="str">
            <v>Acero Inferior</v>
          </cell>
          <cell r="C2081">
            <v>12</v>
          </cell>
          <cell r="D2081">
            <v>1</v>
          </cell>
          <cell r="E2081">
            <v>2.8</v>
          </cell>
          <cell r="F2081">
            <v>0.2</v>
          </cell>
          <cell r="G2081">
            <v>1.8</v>
          </cell>
          <cell r="Q2081" t="str">
            <v>3/8"</v>
          </cell>
          <cell r="R2081">
            <v>14</v>
          </cell>
          <cell r="S2081">
            <v>2.1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197.56800000000004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</row>
        <row r="2082">
          <cell r="B2082" t="str">
            <v>Acero Superior</v>
          </cell>
          <cell r="C2082">
            <v>12</v>
          </cell>
          <cell r="D2082">
            <v>1</v>
          </cell>
          <cell r="E2082">
            <v>2.8</v>
          </cell>
          <cell r="F2082">
            <v>0.4</v>
          </cell>
          <cell r="G2082">
            <v>1.8</v>
          </cell>
          <cell r="Q2082" t="str">
            <v>3/8"</v>
          </cell>
          <cell r="R2082">
            <v>7</v>
          </cell>
          <cell r="S2082">
            <v>2.1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98.78400000000002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</row>
        <row r="2083">
          <cell r="B2083" t="str">
            <v>Acero Inferior</v>
          </cell>
          <cell r="C2083">
            <v>12</v>
          </cell>
          <cell r="D2083">
            <v>1</v>
          </cell>
          <cell r="E2083">
            <v>3.35</v>
          </cell>
          <cell r="F2083">
            <v>0.2</v>
          </cell>
          <cell r="G2083">
            <v>1.8</v>
          </cell>
          <cell r="Q2083" t="str">
            <v>3/8"</v>
          </cell>
          <cell r="R2083">
            <v>17</v>
          </cell>
          <cell r="S2083">
            <v>2.1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239.90400000000005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</row>
        <row r="2084">
          <cell r="B2084" t="str">
            <v>Acero Superior</v>
          </cell>
          <cell r="C2084">
            <v>12</v>
          </cell>
          <cell r="D2084">
            <v>1</v>
          </cell>
          <cell r="E2084">
            <v>3.35</v>
          </cell>
          <cell r="F2084">
            <v>0.4</v>
          </cell>
          <cell r="G2084">
            <v>1.8</v>
          </cell>
          <cell r="Q2084" t="str">
            <v>3/8"</v>
          </cell>
          <cell r="R2084">
            <v>8</v>
          </cell>
          <cell r="S2084">
            <v>2.1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112.89600000000002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</row>
        <row r="2085">
          <cell r="B2085" t="str">
            <v>Acero Inferior</v>
          </cell>
          <cell r="C2085">
            <v>12</v>
          </cell>
          <cell r="D2085">
            <v>1</v>
          </cell>
          <cell r="E2085">
            <v>3.15</v>
          </cell>
          <cell r="F2085">
            <v>0.2</v>
          </cell>
          <cell r="G2085">
            <v>3.75</v>
          </cell>
          <cell r="Q2085" t="str">
            <v>3/8"</v>
          </cell>
          <cell r="R2085">
            <v>16</v>
          </cell>
          <cell r="S2085">
            <v>4.05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435.45600000000002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</row>
        <row r="2086">
          <cell r="B2086" t="str">
            <v>Acero Superior</v>
          </cell>
          <cell r="C2086">
            <v>12</v>
          </cell>
          <cell r="D2086">
            <v>1</v>
          </cell>
          <cell r="E2086">
            <v>3.15</v>
          </cell>
          <cell r="F2086">
            <v>0.4</v>
          </cell>
          <cell r="G2086">
            <v>3.75</v>
          </cell>
          <cell r="Q2086" t="str">
            <v>3/8"</v>
          </cell>
          <cell r="R2086">
            <v>8</v>
          </cell>
          <cell r="S2086">
            <v>4.05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217.72800000000001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</row>
        <row r="2087">
          <cell r="B2087" t="str">
            <v>Acero Transversal</v>
          </cell>
          <cell r="C2087">
            <v>12</v>
          </cell>
          <cell r="D2087">
            <v>1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</row>
        <row r="2088">
          <cell r="B2088" t="str">
            <v>Acero Inferior</v>
          </cell>
          <cell r="C2088">
            <v>12</v>
          </cell>
          <cell r="D2088">
            <v>1</v>
          </cell>
          <cell r="E2088">
            <v>1.3</v>
          </cell>
          <cell r="F2088">
            <v>0.2</v>
          </cell>
          <cell r="G2088">
            <v>4.3</v>
          </cell>
          <cell r="Q2088" t="str">
            <v>3/8"</v>
          </cell>
          <cell r="R2088">
            <v>7</v>
          </cell>
          <cell r="S2088">
            <v>4.5999999999999996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216.38400000000001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</row>
        <row r="2089">
          <cell r="B2089" t="str">
            <v>Acero Superior</v>
          </cell>
          <cell r="C2089">
            <v>12</v>
          </cell>
          <cell r="D2089">
            <v>1</v>
          </cell>
          <cell r="E2089">
            <v>1.3</v>
          </cell>
          <cell r="F2089">
            <v>0.4</v>
          </cell>
          <cell r="G2089">
            <v>4.3</v>
          </cell>
          <cell r="Q2089" t="str">
            <v>3/8"</v>
          </cell>
          <cell r="R2089">
            <v>3</v>
          </cell>
          <cell r="S2089">
            <v>4.5999999999999996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92.73599999999999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</row>
        <row r="2090">
          <cell r="B2090" t="str">
            <v>Acero Inferior</v>
          </cell>
          <cell r="C2090">
            <v>12</v>
          </cell>
          <cell r="D2090">
            <v>1</v>
          </cell>
          <cell r="E2090">
            <v>1</v>
          </cell>
          <cell r="F2090">
            <v>0.2</v>
          </cell>
          <cell r="G2090">
            <v>4.3</v>
          </cell>
          <cell r="Q2090" t="str">
            <v>3/8"</v>
          </cell>
          <cell r="R2090">
            <v>5</v>
          </cell>
          <cell r="S2090">
            <v>4.5999999999999996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154.56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</row>
        <row r="2091">
          <cell r="B2091" t="str">
            <v>Acero Superior</v>
          </cell>
          <cell r="C2091">
            <v>12</v>
          </cell>
          <cell r="D2091">
            <v>1</v>
          </cell>
          <cell r="E2091">
            <v>1</v>
          </cell>
          <cell r="F2091">
            <v>0.4</v>
          </cell>
          <cell r="G2091">
            <v>4.3</v>
          </cell>
          <cell r="Q2091" t="str">
            <v>3/8"</v>
          </cell>
          <cell r="R2091">
            <v>3</v>
          </cell>
          <cell r="S2091">
            <v>4.5999999999999996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92.73599999999999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</row>
        <row r="2092">
          <cell r="B2092" t="str">
            <v>Acero Inferior</v>
          </cell>
          <cell r="C2092">
            <v>12</v>
          </cell>
          <cell r="D2092">
            <v>1</v>
          </cell>
          <cell r="E2092">
            <v>1.05</v>
          </cell>
          <cell r="F2092">
            <v>0.2</v>
          </cell>
          <cell r="G2092">
            <v>1.95</v>
          </cell>
          <cell r="Q2092" t="str">
            <v>3/8"</v>
          </cell>
          <cell r="R2092">
            <v>5</v>
          </cell>
          <cell r="S2092">
            <v>2.25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75.600000000000009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</row>
        <row r="2093">
          <cell r="B2093" t="str">
            <v>Acero Superior</v>
          </cell>
          <cell r="C2093">
            <v>12</v>
          </cell>
          <cell r="D2093">
            <v>1</v>
          </cell>
          <cell r="E2093">
            <v>1.05</v>
          </cell>
          <cell r="F2093">
            <v>0.4</v>
          </cell>
          <cell r="G2093">
            <v>1.95</v>
          </cell>
          <cell r="Q2093" t="str">
            <v>3/8"</v>
          </cell>
          <cell r="R2093">
            <v>3</v>
          </cell>
          <cell r="S2093">
            <v>2.25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45.36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</row>
        <row r="2094">
          <cell r="B2094" t="str">
            <v>Acero Inferior</v>
          </cell>
          <cell r="C2094">
            <v>12</v>
          </cell>
          <cell r="D2094">
            <v>1</v>
          </cell>
          <cell r="E2094">
            <v>0.7</v>
          </cell>
          <cell r="F2094">
            <v>0.2</v>
          </cell>
          <cell r="G2094">
            <v>5.8</v>
          </cell>
          <cell r="Q2094" t="str">
            <v>3/8"</v>
          </cell>
          <cell r="R2094">
            <v>4</v>
          </cell>
          <cell r="S2094">
            <v>6.1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163.96799999999999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</row>
        <row r="2095">
          <cell r="B2095" t="str">
            <v>Acero Superior</v>
          </cell>
          <cell r="C2095">
            <v>12</v>
          </cell>
          <cell r="D2095">
            <v>1</v>
          </cell>
          <cell r="E2095">
            <v>0.7</v>
          </cell>
          <cell r="F2095">
            <v>0.4</v>
          </cell>
          <cell r="G2095">
            <v>5.8</v>
          </cell>
          <cell r="Q2095" t="str">
            <v>3/8"</v>
          </cell>
          <cell r="R2095">
            <v>2</v>
          </cell>
          <cell r="S2095">
            <v>6.1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81.983999999999995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</row>
        <row r="2096">
          <cell r="B2096" t="str">
            <v>Acero Inferior</v>
          </cell>
          <cell r="C2096">
            <v>12</v>
          </cell>
          <cell r="D2096">
            <v>1</v>
          </cell>
          <cell r="E2096">
            <v>6.35</v>
          </cell>
          <cell r="F2096">
            <v>0.2</v>
          </cell>
          <cell r="G2096">
            <v>4.75</v>
          </cell>
          <cell r="Q2096" t="str">
            <v>3/8"</v>
          </cell>
          <cell r="R2096">
            <v>32</v>
          </cell>
          <cell r="S2096">
            <v>5.05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1085.9520000000002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</row>
        <row r="2097">
          <cell r="B2097" t="str">
            <v>Acero Superior</v>
          </cell>
          <cell r="C2097">
            <v>12</v>
          </cell>
          <cell r="D2097">
            <v>1</v>
          </cell>
          <cell r="E2097">
            <v>6.35</v>
          </cell>
          <cell r="F2097">
            <v>0.4</v>
          </cell>
          <cell r="G2097">
            <v>4.75</v>
          </cell>
          <cell r="Q2097" t="str">
            <v>3/8"</v>
          </cell>
          <cell r="R2097">
            <v>16</v>
          </cell>
          <cell r="S2097">
            <v>5.05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542.97600000000011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</row>
        <row r="2098">
          <cell r="B2098" t="str">
            <v>Acero Inferior</v>
          </cell>
          <cell r="C2098">
            <v>12</v>
          </cell>
          <cell r="D2098">
            <v>1</v>
          </cell>
          <cell r="E2098">
            <v>1.5</v>
          </cell>
          <cell r="F2098">
            <v>0.2</v>
          </cell>
          <cell r="G2098">
            <v>6.85</v>
          </cell>
          <cell r="Q2098" t="str">
            <v>3/8"</v>
          </cell>
          <cell r="R2098">
            <v>8</v>
          </cell>
          <cell r="S2098">
            <v>7.1499999999999995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384.38400000000001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</row>
        <row r="2099">
          <cell r="B2099" t="str">
            <v>Acero Superior</v>
          </cell>
          <cell r="C2099">
            <v>12</v>
          </cell>
          <cell r="D2099">
            <v>1</v>
          </cell>
          <cell r="E2099">
            <v>1.5</v>
          </cell>
          <cell r="F2099">
            <v>0.4</v>
          </cell>
          <cell r="G2099">
            <v>6.85</v>
          </cell>
          <cell r="Q2099" t="str">
            <v>3/8"</v>
          </cell>
          <cell r="R2099">
            <v>4</v>
          </cell>
          <cell r="S2099">
            <v>7.1499999999999995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192.19200000000001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</row>
        <row r="2100">
          <cell r="B2100" t="str">
            <v>Acero Inferior</v>
          </cell>
          <cell r="C2100">
            <v>12</v>
          </cell>
          <cell r="D2100">
            <v>1</v>
          </cell>
          <cell r="E2100">
            <v>3.15</v>
          </cell>
          <cell r="F2100">
            <v>0.2</v>
          </cell>
          <cell r="G2100">
            <v>3.5</v>
          </cell>
          <cell r="Q2100" t="str">
            <v>3/8"</v>
          </cell>
          <cell r="R2100">
            <v>16</v>
          </cell>
          <cell r="S2100">
            <v>3.8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408.57600000000002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</row>
        <row r="2101">
          <cell r="B2101" t="str">
            <v>Acero Superior</v>
          </cell>
          <cell r="C2101">
            <v>12</v>
          </cell>
          <cell r="D2101">
            <v>1</v>
          </cell>
          <cell r="E2101">
            <v>3.15</v>
          </cell>
          <cell r="F2101">
            <v>0.4</v>
          </cell>
          <cell r="G2101">
            <v>3.5</v>
          </cell>
          <cell r="Q2101" t="str">
            <v>3/8"</v>
          </cell>
          <cell r="R2101">
            <v>8</v>
          </cell>
          <cell r="S2101">
            <v>3.8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204.28800000000001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</row>
        <row r="2102">
          <cell r="B2102" t="str">
            <v>Acero Inferior</v>
          </cell>
          <cell r="C2102">
            <v>12</v>
          </cell>
          <cell r="D2102">
            <v>1</v>
          </cell>
          <cell r="E2102">
            <v>1.55</v>
          </cell>
          <cell r="F2102">
            <v>0.2</v>
          </cell>
          <cell r="G2102">
            <v>8.1</v>
          </cell>
          <cell r="Q2102" t="str">
            <v>3/8"</v>
          </cell>
          <cell r="R2102">
            <v>8</v>
          </cell>
          <cell r="S2102">
            <v>8.4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451.58400000000006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</row>
        <row r="2103">
          <cell r="B2103" t="str">
            <v>Acero Superior</v>
          </cell>
          <cell r="C2103">
            <v>12</v>
          </cell>
          <cell r="D2103">
            <v>1</v>
          </cell>
          <cell r="E2103">
            <v>1.55</v>
          </cell>
          <cell r="F2103">
            <v>0.4</v>
          </cell>
          <cell r="G2103">
            <v>8.1</v>
          </cell>
          <cell r="Q2103" t="str">
            <v>3/8"</v>
          </cell>
          <cell r="R2103">
            <v>4</v>
          </cell>
          <cell r="S2103">
            <v>8.4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225.79200000000003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</row>
        <row r="2104">
          <cell r="B2104" t="str">
            <v>Acero Inferior</v>
          </cell>
          <cell r="C2104">
            <v>12</v>
          </cell>
          <cell r="D2104">
            <v>1</v>
          </cell>
          <cell r="E2104">
            <v>1.5</v>
          </cell>
          <cell r="F2104">
            <v>0.2</v>
          </cell>
          <cell r="G2104">
            <v>5.9</v>
          </cell>
          <cell r="Q2104" t="str">
            <v>3/8"</v>
          </cell>
          <cell r="R2104">
            <v>8</v>
          </cell>
          <cell r="S2104">
            <v>6.2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333.31200000000001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</row>
        <row r="2105">
          <cell r="B2105" t="str">
            <v>Acero Superior</v>
          </cell>
          <cell r="C2105">
            <v>12</v>
          </cell>
          <cell r="D2105">
            <v>1</v>
          </cell>
          <cell r="E2105">
            <v>1.5</v>
          </cell>
          <cell r="F2105">
            <v>0.4</v>
          </cell>
          <cell r="G2105">
            <v>5.9</v>
          </cell>
          <cell r="Q2105" t="str">
            <v>3/8"</v>
          </cell>
          <cell r="R2105">
            <v>4</v>
          </cell>
          <cell r="S2105">
            <v>6.2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166.65600000000001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</row>
        <row r="2106">
          <cell r="B2106" t="str">
            <v>Acero Inferior</v>
          </cell>
          <cell r="C2106">
            <v>12</v>
          </cell>
          <cell r="D2106">
            <v>1</v>
          </cell>
          <cell r="E2106">
            <v>3.1</v>
          </cell>
          <cell r="F2106">
            <v>0.2</v>
          </cell>
          <cell r="G2106">
            <v>4.2</v>
          </cell>
          <cell r="Q2106" t="str">
            <v>3/8"</v>
          </cell>
          <cell r="R2106">
            <v>16</v>
          </cell>
          <cell r="S2106">
            <v>4.5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483.84000000000009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</row>
        <row r="2107">
          <cell r="B2107" t="str">
            <v>Acero Superior</v>
          </cell>
          <cell r="C2107">
            <v>12</v>
          </cell>
          <cell r="D2107">
            <v>1</v>
          </cell>
          <cell r="E2107">
            <v>3.1</v>
          </cell>
          <cell r="F2107">
            <v>0.4</v>
          </cell>
          <cell r="G2107">
            <v>4.2</v>
          </cell>
          <cell r="Q2107" t="str">
            <v>3/8"</v>
          </cell>
          <cell r="R2107">
            <v>8</v>
          </cell>
          <cell r="S2107">
            <v>4.5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241.92000000000004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</row>
        <row r="2108">
          <cell r="B2108" t="str">
            <v>PISO 14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H2108">
            <v>0</v>
          </cell>
        </row>
        <row r="2109"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H2109">
            <v>0</v>
          </cell>
        </row>
        <row r="2110">
          <cell r="C2110">
            <v>1</v>
          </cell>
          <cell r="D2110">
            <v>1</v>
          </cell>
          <cell r="E2110">
            <v>64</v>
          </cell>
          <cell r="F2110">
            <v>1</v>
          </cell>
          <cell r="G2110">
            <v>0.2</v>
          </cell>
          <cell r="L2110">
            <v>12.8</v>
          </cell>
          <cell r="M2110">
            <v>64</v>
          </cell>
          <cell r="N2110">
            <v>1</v>
          </cell>
          <cell r="O2110">
            <v>64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H2110">
            <v>0</v>
          </cell>
        </row>
        <row r="2111">
          <cell r="B2111" t="str">
            <v>Acero Longitudinal</v>
          </cell>
          <cell r="C2111">
            <v>1</v>
          </cell>
          <cell r="D2111">
            <v>1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H2111">
            <v>0</v>
          </cell>
        </row>
        <row r="2112">
          <cell r="B2112" t="str">
            <v>Acero Inferior</v>
          </cell>
          <cell r="C2112">
            <v>1</v>
          </cell>
          <cell r="D2112">
            <v>1</v>
          </cell>
          <cell r="E2112">
            <v>3.35</v>
          </cell>
          <cell r="F2112">
            <v>0.2</v>
          </cell>
          <cell r="G2112">
            <v>1.65</v>
          </cell>
          <cell r="Q2112" t="str">
            <v>3/8"</v>
          </cell>
          <cell r="R2112">
            <v>17</v>
          </cell>
          <cell r="S2112">
            <v>1.95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18.564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</row>
        <row r="2113">
          <cell r="B2113" t="str">
            <v>Acero Superior</v>
          </cell>
          <cell r="C2113">
            <v>1</v>
          </cell>
          <cell r="D2113">
            <v>1</v>
          </cell>
          <cell r="E2113">
            <v>3.35</v>
          </cell>
          <cell r="F2113">
            <v>0.4</v>
          </cell>
          <cell r="G2113">
            <v>1.65</v>
          </cell>
          <cell r="Q2113" t="str">
            <v>3/8"</v>
          </cell>
          <cell r="R2113">
            <v>8</v>
          </cell>
          <cell r="S2113">
            <v>1.95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8.7360000000000007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</row>
        <row r="2114">
          <cell r="B2114" t="str">
            <v>Acero Inferior</v>
          </cell>
          <cell r="C2114">
            <v>1</v>
          </cell>
          <cell r="D2114">
            <v>1</v>
          </cell>
          <cell r="E2114">
            <v>3.35</v>
          </cell>
          <cell r="F2114">
            <v>0.2</v>
          </cell>
          <cell r="G2114">
            <v>1.4</v>
          </cell>
          <cell r="Q2114" t="str">
            <v>3/8"</v>
          </cell>
          <cell r="R2114">
            <v>17</v>
          </cell>
          <cell r="S2114">
            <v>1.7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16.184000000000001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</row>
        <row r="2115">
          <cell r="B2115" t="str">
            <v>Acero Superior</v>
          </cell>
          <cell r="C2115">
            <v>1</v>
          </cell>
          <cell r="D2115">
            <v>1</v>
          </cell>
          <cell r="E2115">
            <v>3.35</v>
          </cell>
          <cell r="F2115">
            <v>0.4</v>
          </cell>
          <cell r="G2115">
            <v>1.4</v>
          </cell>
          <cell r="Q2115" t="str">
            <v>3/8"</v>
          </cell>
          <cell r="R2115">
            <v>8</v>
          </cell>
          <cell r="S2115">
            <v>1.7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7.6160000000000005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</row>
        <row r="2116">
          <cell r="B2116" t="str">
            <v>Acero Inferior</v>
          </cell>
          <cell r="C2116">
            <v>1</v>
          </cell>
          <cell r="D2116">
            <v>1</v>
          </cell>
          <cell r="E2116">
            <v>1.45</v>
          </cell>
          <cell r="F2116">
            <v>0.2</v>
          </cell>
          <cell r="G2116">
            <v>1.45</v>
          </cell>
          <cell r="Q2116" t="str">
            <v>3/8"</v>
          </cell>
          <cell r="R2116">
            <v>7</v>
          </cell>
          <cell r="S2116">
            <v>1.75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6.86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</row>
        <row r="2117">
          <cell r="B2117" t="str">
            <v>Acero Superior</v>
          </cell>
          <cell r="C2117">
            <v>1</v>
          </cell>
          <cell r="D2117">
            <v>1</v>
          </cell>
          <cell r="E2117">
            <v>1.45</v>
          </cell>
          <cell r="F2117">
            <v>0.4</v>
          </cell>
          <cell r="G2117">
            <v>1.45</v>
          </cell>
          <cell r="Q2117" t="str">
            <v>3/8"</v>
          </cell>
          <cell r="R2117">
            <v>4</v>
          </cell>
          <cell r="S2117">
            <v>1.75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3.9200000000000004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</row>
        <row r="2118">
          <cell r="B2118" t="str">
            <v>Acero Inferior</v>
          </cell>
          <cell r="C2118">
            <v>1</v>
          </cell>
          <cell r="D2118">
            <v>1</v>
          </cell>
          <cell r="E2118">
            <v>1</v>
          </cell>
          <cell r="F2118">
            <v>0.2</v>
          </cell>
          <cell r="G2118">
            <v>1.2</v>
          </cell>
          <cell r="Q2118" t="str">
            <v>3/8"</v>
          </cell>
          <cell r="R2118">
            <v>5</v>
          </cell>
          <cell r="S2118">
            <v>1.5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4.2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</row>
        <row r="2119">
          <cell r="B2119" t="str">
            <v>Acero Superior</v>
          </cell>
          <cell r="C2119">
            <v>1</v>
          </cell>
          <cell r="D2119">
            <v>1</v>
          </cell>
          <cell r="E2119">
            <v>1</v>
          </cell>
          <cell r="F2119">
            <v>0.4</v>
          </cell>
          <cell r="G2119">
            <v>1.2</v>
          </cell>
          <cell r="Q2119" t="str">
            <v>3/8"</v>
          </cell>
          <cell r="R2119">
            <v>3</v>
          </cell>
          <cell r="S2119">
            <v>1.5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2.5200000000000005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</row>
        <row r="2120">
          <cell r="B2120" t="str">
            <v>Acero Inferior</v>
          </cell>
          <cell r="C2120">
            <v>1</v>
          </cell>
          <cell r="D2120">
            <v>1</v>
          </cell>
          <cell r="E2120">
            <v>3.9</v>
          </cell>
          <cell r="F2120">
            <v>0.2</v>
          </cell>
          <cell r="G2120">
            <v>1.2</v>
          </cell>
          <cell r="Q2120" t="str">
            <v>3/8"</v>
          </cell>
          <cell r="R2120">
            <v>20</v>
          </cell>
          <cell r="S2120">
            <v>1.5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16.8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</row>
        <row r="2121">
          <cell r="B2121" t="str">
            <v>Acero Superior</v>
          </cell>
          <cell r="C2121">
            <v>1</v>
          </cell>
          <cell r="D2121">
            <v>1</v>
          </cell>
          <cell r="E2121">
            <v>3.9</v>
          </cell>
          <cell r="F2121">
            <v>0.4</v>
          </cell>
          <cell r="G2121">
            <v>1.2</v>
          </cell>
          <cell r="Q2121" t="str">
            <v>3/8"</v>
          </cell>
          <cell r="R2121">
            <v>10</v>
          </cell>
          <cell r="S2121">
            <v>1.5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8.4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</row>
        <row r="2122">
          <cell r="B2122" t="str">
            <v>Acero Inferior</v>
          </cell>
          <cell r="C2122">
            <v>1</v>
          </cell>
          <cell r="D2122">
            <v>1</v>
          </cell>
          <cell r="E2122">
            <v>2.5</v>
          </cell>
          <cell r="F2122">
            <v>0.2</v>
          </cell>
          <cell r="G2122">
            <v>3.3</v>
          </cell>
          <cell r="Q2122" t="str">
            <v>3/8"</v>
          </cell>
          <cell r="R2122">
            <v>13</v>
          </cell>
          <cell r="S2122">
            <v>3.5999999999999996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26.208000000000002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</row>
        <row r="2123">
          <cell r="B2123" t="str">
            <v>Acero Superior</v>
          </cell>
          <cell r="C2123">
            <v>1</v>
          </cell>
          <cell r="D2123">
            <v>1</v>
          </cell>
          <cell r="E2123">
            <v>2.5</v>
          </cell>
          <cell r="F2123">
            <v>0.4</v>
          </cell>
          <cell r="G2123">
            <v>3.3</v>
          </cell>
          <cell r="Q2123" t="str">
            <v>3/8"</v>
          </cell>
          <cell r="R2123">
            <v>6</v>
          </cell>
          <cell r="S2123">
            <v>3.5999999999999996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12.096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</row>
        <row r="2124">
          <cell r="B2124" t="str">
            <v>Acero Inferior</v>
          </cell>
          <cell r="C2124">
            <v>1</v>
          </cell>
          <cell r="D2124">
            <v>1</v>
          </cell>
          <cell r="E2124">
            <v>1.1000000000000001</v>
          </cell>
          <cell r="F2124">
            <v>0.2</v>
          </cell>
          <cell r="G2124">
            <v>8.4499999999999993</v>
          </cell>
          <cell r="Q2124" t="str">
            <v>3/8"</v>
          </cell>
          <cell r="R2124">
            <v>6</v>
          </cell>
          <cell r="S2124">
            <v>8.75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29.400000000000002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</row>
        <row r="2125">
          <cell r="B2125" t="str">
            <v>Acero Superior</v>
          </cell>
          <cell r="C2125">
            <v>1</v>
          </cell>
          <cell r="D2125">
            <v>1</v>
          </cell>
          <cell r="E2125">
            <v>1.1000000000000001</v>
          </cell>
          <cell r="F2125">
            <v>0.4</v>
          </cell>
          <cell r="G2125">
            <v>8.4499999999999993</v>
          </cell>
          <cell r="Q2125" t="str">
            <v>3/8"</v>
          </cell>
          <cell r="R2125">
            <v>3</v>
          </cell>
          <cell r="S2125">
            <v>8.75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14.700000000000001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</row>
        <row r="2126">
          <cell r="B2126" t="str">
            <v>Acero Inferior</v>
          </cell>
          <cell r="C2126">
            <v>1</v>
          </cell>
          <cell r="D2126">
            <v>1</v>
          </cell>
          <cell r="E2126">
            <v>2.75</v>
          </cell>
          <cell r="F2126">
            <v>0.2</v>
          </cell>
          <cell r="G2126">
            <v>3.75</v>
          </cell>
          <cell r="Q2126" t="str">
            <v>3/8"</v>
          </cell>
          <cell r="R2126">
            <v>14</v>
          </cell>
          <cell r="S2126">
            <v>4.05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31.751999999999999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</row>
        <row r="2127">
          <cell r="B2127" t="str">
            <v>Acero Superior</v>
          </cell>
          <cell r="C2127">
            <v>1</v>
          </cell>
          <cell r="D2127">
            <v>1</v>
          </cell>
          <cell r="E2127">
            <v>2.75</v>
          </cell>
          <cell r="F2127">
            <v>0.4</v>
          </cell>
          <cell r="G2127">
            <v>3.75</v>
          </cell>
          <cell r="Q2127" t="str">
            <v>3/8"</v>
          </cell>
          <cell r="R2127">
            <v>7</v>
          </cell>
          <cell r="S2127">
            <v>4.05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15.875999999999999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</row>
        <row r="2128">
          <cell r="B2128" t="str">
            <v>Acero Inferior</v>
          </cell>
          <cell r="C2128">
            <v>1</v>
          </cell>
          <cell r="D2128">
            <v>1</v>
          </cell>
          <cell r="E2128">
            <v>1.7</v>
          </cell>
          <cell r="F2128">
            <v>0.2</v>
          </cell>
          <cell r="G2128">
            <v>3.85</v>
          </cell>
          <cell r="Q2128" t="str">
            <v>3/8"</v>
          </cell>
          <cell r="R2128">
            <v>9</v>
          </cell>
          <cell r="S2128">
            <v>4.1500000000000004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20.916000000000004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</row>
        <row r="2129">
          <cell r="B2129" t="str">
            <v>Acero Superior</v>
          </cell>
          <cell r="C2129">
            <v>1</v>
          </cell>
          <cell r="D2129">
            <v>1</v>
          </cell>
          <cell r="E2129">
            <v>1.7</v>
          </cell>
          <cell r="F2129">
            <v>0.4</v>
          </cell>
          <cell r="G2129">
            <v>3.85</v>
          </cell>
          <cell r="Q2129" t="str">
            <v>3/8"</v>
          </cell>
          <cell r="R2129">
            <v>4</v>
          </cell>
          <cell r="S2129">
            <v>4.1500000000000004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9.2960000000000012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</row>
        <row r="2130">
          <cell r="B2130" t="str">
            <v>Acero Inferior</v>
          </cell>
          <cell r="C2130">
            <v>1</v>
          </cell>
          <cell r="D2130">
            <v>1</v>
          </cell>
          <cell r="E2130">
            <v>1.85</v>
          </cell>
          <cell r="F2130">
            <v>0.2</v>
          </cell>
          <cell r="G2130">
            <v>2.25</v>
          </cell>
          <cell r="Q2130" t="str">
            <v>3/8"</v>
          </cell>
          <cell r="R2130">
            <v>9</v>
          </cell>
          <cell r="S2130">
            <v>2.5499999999999998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12.852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</row>
        <row r="2131">
          <cell r="B2131" t="str">
            <v>Acero Superior</v>
          </cell>
          <cell r="C2131">
            <v>1</v>
          </cell>
          <cell r="D2131">
            <v>1</v>
          </cell>
          <cell r="E2131">
            <v>1.85</v>
          </cell>
          <cell r="F2131">
            <v>0.4</v>
          </cell>
          <cell r="G2131">
            <v>2.25</v>
          </cell>
          <cell r="Q2131" t="str">
            <v>3/8"</v>
          </cell>
          <cell r="R2131">
            <v>5</v>
          </cell>
          <cell r="S2131">
            <v>2.5499999999999998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7.1400000000000006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</row>
        <row r="2132">
          <cell r="B2132" t="str">
            <v>Acero Inferior</v>
          </cell>
          <cell r="C2132">
            <v>1</v>
          </cell>
          <cell r="D2132">
            <v>1</v>
          </cell>
          <cell r="E2132">
            <v>2.8</v>
          </cell>
          <cell r="F2132">
            <v>0.2</v>
          </cell>
          <cell r="G2132">
            <v>1.8</v>
          </cell>
          <cell r="Q2132" t="str">
            <v>3/8"</v>
          </cell>
          <cell r="R2132">
            <v>14</v>
          </cell>
          <cell r="S2132">
            <v>2.1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16.464000000000002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</row>
        <row r="2133">
          <cell r="B2133" t="str">
            <v>Acero Superior</v>
          </cell>
          <cell r="C2133">
            <v>1</v>
          </cell>
          <cell r="D2133">
            <v>1</v>
          </cell>
          <cell r="E2133">
            <v>2.8</v>
          </cell>
          <cell r="F2133">
            <v>0.4</v>
          </cell>
          <cell r="G2133">
            <v>1.8</v>
          </cell>
          <cell r="Q2133" t="str">
            <v>3/8"</v>
          </cell>
          <cell r="R2133">
            <v>7</v>
          </cell>
          <cell r="S2133">
            <v>2.1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8.2320000000000011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</row>
        <row r="2134">
          <cell r="B2134" t="str">
            <v>Acero Inferior</v>
          </cell>
          <cell r="C2134">
            <v>1</v>
          </cell>
          <cell r="D2134">
            <v>1</v>
          </cell>
          <cell r="E2134">
            <v>3.35</v>
          </cell>
          <cell r="F2134">
            <v>0.2</v>
          </cell>
          <cell r="G2134">
            <v>1.8</v>
          </cell>
          <cell r="Q2134" t="str">
            <v>3/8"</v>
          </cell>
          <cell r="R2134">
            <v>17</v>
          </cell>
          <cell r="S2134">
            <v>2.1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19.992000000000004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</row>
        <row r="2135">
          <cell r="B2135" t="str">
            <v>Acero Superior</v>
          </cell>
          <cell r="C2135">
            <v>1</v>
          </cell>
          <cell r="D2135">
            <v>1</v>
          </cell>
          <cell r="E2135">
            <v>3.35</v>
          </cell>
          <cell r="F2135">
            <v>0.4</v>
          </cell>
          <cell r="G2135">
            <v>1.8</v>
          </cell>
          <cell r="Q2135" t="str">
            <v>3/8"</v>
          </cell>
          <cell r="R2135">
            <v>8</v>
          </cell>
          <cell r="S2135">
            <v>2.1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9.4080000000000013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</row>
        <row r="2136">
          <cell r="B2136" t="str">
            <v>Acero Transversal</v>
          </cell>
          <cell r="C2136">
            <v>1</v>
          </cell>
          <cell r="D2136">
            <v>1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</row>
        <row r="2137">
          <cell r="B2137" t="str">
            <v>Acero Inferior</v>
          </cell>
          <cell r="C2137">
            <v>1</v>
          </cell>
          <cell r="D2137">
            <v>1</v>
          </cell>
          <cell r="E2137">
            <v>1.3</v>
          </cell>
          <cell r="F2137">
            <v>0.2</v>
          </cell>
          <cell r="G2137">
            <v>4.3</v>
          </cell>
          <cell r="Q2137" t="str">
            <v>3/8"</v>
          </cell>
          <cell r="R2137">
            <v>7</v>
          </cell>
          <cell r="S2137">
            <v>4.5999999999999996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18.032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</row>
        <row r="2138">
          <cell r="B2138" t="str">
            <v>Acero Superior</v>
          </cell>
          <cell r="C2138">
            <v>1</v>
          </cell>
          <cell r="D2138">
            <v>1</v>
          </cell>
          <cell r="E2138">
            <v>1.3</v>
          </cell>
          <cell r="F2138">
            <v>0.4</v>
          </cell>
          <cell r="G2138">
            <v>4.3</v>
          </cell>
          <cell r="Q2138" t="str">
            <v>3/8"</v>
          </cell>
          <cell r="R2138">
            <v>3</v>
          </cell>
          <cell r="S2138">
            <v>4.5999999999999996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7.7279999999999998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</row>
        <row r="2139">
          <cell r="B2139" t="str">
            <v>Acero Inferior</v>
          </cell>
          <cell r="C2139">
            <v>1</v>
          </cell>
          <cell r="D2139">
            <v>1</v>
          </cell>
          <cell r="E2139">
            <v>1</v>
          </cell>
          <cell r="F2139">
            <v>0.2</v>
          </cell>
          <cell r="G2139">
            <v>4.3</v>
          </cell>
          <cell r="Q2139" t="str">
            <v>3/8"</v>
          </cell>
          <cell r="R2139">
            <v>5</v>
          </cell>
          <cell r="S2139">
            <v>4.5999999999999996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12.88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</row>
        <row r="2140">
          <cell r="B2140" t="str">
            <v>Acero Superior</v>
          </cell>
          <cell r="C2140">
            <v>1</v>
          </cell>
          <cell r="D2140">
            <v>1</v>
          </cell>
          <cell r="E2140">
            <v>1</v>
          </cell>
          <cell r="F2140">
            <v>0.4</v>
          </cell>
          <cell r="G2140">
            <v>4.3</v>
          </cell>
          <cell r="Q2140" t="str">
            <v>3/8"</v>
          </cell>
          <cell r="R2140">
            <v>3</v>
          </cell>
          <cell r="S2140">
            <v>4.5999999999999996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7.7279999999999998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</row>
        <row r="2141">
          <cell r="B2141" t="str">
            <v>Acero Inferior</v>
          </cell>
          <cell r="C2141">
            <v>1</v>
          </cell>
          <cell r="D2141">
            <v>1</v>
          </cell>
          <cell r="E2141">
            <v>1.05</v>
          </cell>
          <cell r="F2141">
            <v>0.2</v>
          </cell>
          <cell r="G2141">
            <v>1.95</v>
          </cell>
          <cell r="Q2141" t="str">
            <v>3/8"</v>
          </cell>
          <cell r="R2141">
            <v>5</v>
          </cell>
          <cell r="S2141">
            <v>2.25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6.3000000000000007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</row>
        <row r="2142">
          <cell r="B2142" t="str">
            <v>Acero Superior</v>
          </cell>
          <cell r="C2142">
            <v>1</v>
          </cell>
          <cell r="D2142">
            <v>1</v>
          </cell>
          <cell r="E2142">
            <v>1.05</v>
          </cell>
          <cell r="F2142">
            <v>0.4</v>
          </cell>
          <cell r="G2142">
            <v>1.95</v>
          </cell>
          <cell r="Q2142" t="str">
            <v>3/8"</v>
          </cell>
          <cell r="R2142">
            <v>3</v>
          </cell>
          <cell r="S2142">
            <v>2.25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3.7800000000000002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</row>
        <row r="2143">
          <cell r="B2143" t="str">
            <v>Acero Inferior</v>
          </cell>
          <cell r="C2143">
            <v>1</v>
          </cell>
          <cell r="D2143">
            <v>1</v>
          </cell>
          <cell r="E2143">
            <v>0.7</v>
          </cell>
          <cell r="F2143">
            <v>0.2</v>
          </cell>
          <cell r="G2143">
            <v>5.8</v>
          </cell>
          <cell r="Q2143" t="str">
            <v>3/8"</v>
          </cell>
          <cell r="R2143">
            <v>4</v>
          </cell>
          <cell r="S2143">
            <v>6.1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13.664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</row>
        <row r="2144">
          <cell r="B2144" t="str">
            <v>Acero Superior</v>
          </cell>
          <cell r="C2144">
            <v>1</v>
          </cell>
          <cell r="D2144">
            <v>1</v>
          </cell>
          <cell r="E2144">
            <v>0.7</v>
          </cell>
          <cell r="F2144">
            <v>0.4</v>
          </cell>
          <cell r="G2144">
            <v>5.8</v>
          </cell>
          <cell r="Q2144" t="str">
            <v>3/8"</v>
          </cell>
          <cell r="R2144">
            <v>2</v>
          </cell>
          <cell r="S2144">
            <v>6.1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6.8319999999999999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</row>
        <row r="2145">
          <cell r="B2145" t="str">
            <v>Acero Inferior</v>
          </cell>
          <cell r="C2145">
            <v>1</v>
          </cell>
          <cell r="D2145">
            <v>1</v>
          </cell>
          <cell r="E2145">
            <v>1.5</v>
          </cell>
          <cell r="F2145">
            <v>0.2</v>
          </cell>
          <cell r="G2145">
            <v>6.85</v>
          </cell>
          <cell r="Q2145" t="str">
            <v>3/8"</v>
          </cell>
          <cell r="R2145">
            <v>8</v>
          </cell>
          <cell r="S2145">
            <v>7.1499999999999995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32.032000000000004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</row>
        <row r="2146">
          <cell r="B2146" t="str">
            <v>Acero Superior</v>
          </cell>
          <cell r="C2146">
            <v>1</v>
          </cell>
          <cell r="D2146">
            <v>1</v>
          </cell>
          <cell r="E2146">
            <v>1.5</v>
          </cell>
          <cell r="F2146">
            <v>0.4</v>
          </cell>
          <cell r="G2146">
            <v>6.85</v>
          </cell>
          <cell r="Q2146" t="str">
            <v>3/8"</v>
          </cell>
          <cell r="R2146">
            <v>4</v>
          </cell>
          <cell r="S2146">
            <v>7.1499999999999995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16.016000000000002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</row>
        <row r="2147">
          <cell r="B2147" t="str">
            <v>Acero Inferior</v>
          </cell>
          <cell r="C2147">
            <v>1</v>
          </cell>
          <cell r="D2147">
            <v>1</v>
          </cell>
          <cell r="E2147">
            <v>3.15</v>
          </cell>
          <cell r="F2147">
            <v>0.2</v>
          </cell>
          <cell r="G2147">
            <v>3.5</v>
          </cell>
          <cell r="Q2147" t="str">
            <v>3/8"</v>
          </cell>
          <cell r="R2147">
            <v>16</v>
          </cell>
          <cell r="S2147">
            <v>3.8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34.048000000000002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</row>
        <row r="2148">
          <cell r="B2148" t="str">
            <v>Acero Superior</v>
          </cell>
          <cell r="C2148">
            <v>1</v>
          </cell>
          <cell r="D2148">
            <v>1</v>
          </cell>
          <cell r="E2148">
            <v>3.15</v>
          </cell>
          <cell r="F2148">
            <v>0.4</v>
          </cell>
          <cell r="G2148">
            <v>3.5</v>
          </cell>
          <cell r="Q2148" t="str">
            <v>3/8"</v>
          </cell>
          <cell r="R2148">
            <v>8</v>
          </cell>
          <cell r="S2148">
            <v>3.8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17.024000000000001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</row>
        <row r="2149">
          <cell r="B2149" t="str">
            <v>Acero Inferior</v>
          </cell>
          <cell r="C2149">
            <v>1</v>
          </cell>
          <cell r="D2149">
            <v>1</v>
          </cell>
          <cell r="E2149">
            <v>1.55</v>
          </cell>
          <cell r="F2149">
            <v>0.2</v>
          </cell>
          <cell r="G2149">
            <v>8.1</v>
          </cell>
          <cell r="Q2149" t="str">
            <v>3/8"</v>
          </cell>
          <cell r="R2149">
            <v>8</v>
          </cell>
          <cell r="S2149">
            <v>8.4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37.632000000000005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</row>
        <row r="2150">
          <cell r="B2150" t="str">
            <v>Acero Superior</v>
          </cell>
          <cell r="C2150">
            <v>1</v>
          </cell>
          <cell r="D2150">
            <v>1</v>
          </cell>
          <cell r="E2150">
            <v>1.55</v>
          </cell>
          <cell r="F2150">
            <v>0.4</v>
          </cell>
          <cell r="G2150">
            <v>8.1</v>
          </cell>
          <cell r="Q2150" t="str">
            <v>3/8"</v>
          </cell>
          <cell r="R2150">
            <v>4</v>
          </cell>
          <cell r="S2150">
            <v>8.4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18.816000000000003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</row>
        <row r="2151">
          <cell r="B2151" t="str">
            <v>Acero Inferior</v>
          </cell>
          <cell r="C2151">
            <v>1</v>
          </cell>
          <cell r="D2151">
            <v>1</v>
          </cell>
          <cell r="E2151">
            <v>1.5</v>
          </cell>
          <cell r="F2151">
            <v>0.2</v>
          </cell>
          <cell r="G2151">
            <v>5.9</v>
          </cell>
          <cell r="Q2151" t="str">
            <v>3/8"</v>
          </cell>
          <cell r="R2151">
            <v>8</v>
          </cell>
          <cell r="S2151">
            <v>6.2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27.776000000000003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</row>
        <row r="2152">
          <cell r="B2152" t="str">
            <v>Acero Superior</v>
          </cell>
          <cell r="C2152">
            <v>1</v>
          </cell>
          <cell r="D2152">
            <v>1</v>
          </cell>
          <cell r="E2152">
            <v>1.5</v>
          </cell>
          <cell r="F2152">
            <v>0.4</v>
          </cell>
          <cell r="G2152">
            <v>5.9</v>
          </cell>
          <cell r="Q2152" t="str">
            <v>3/8"</v>
          </cell>
          <cell r="R2152">
            <v>4</v>
          </cell>
          <cell r="S2152">
            <v>6.2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13.888000000000002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</row>
        <row r="2153">
          <cell r="B2153" t="str">
            <v>Acero Inferior</v>
          </cell>
          <cell r="C2153">
            <v>1</v>
          </cell>
          <cell r="D2153">
            <v>1</v>
          </cell>
          <cell r="E2153">
            <v>3.1</v>
          </cell>
          <cell r="F2153">
            <v>0.2</v>
          </cell>
          <cell r="G2153">
            <v>4.2</v>
          </cell>
          <cell r="Q2153" t="str">
            <v>3/8"</v>
          </cell>
          <cell r="R2153">
            <v>16</v>
          </cell>
          <cell r="S2153">
            <v>4.5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40.320000000000007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</row>
        <row r="2154">
          <cell r="B2154" t="str">
            <v>Acero Superior</v>
          </cell>
          <cell r="C2154">
            <v>1</v>
          </cell>
          <cell r="D2154">
            <v>1</v>
          </cell>
          <cell r="E2154">
            <v>3.1</v>
          </cell>
          <cell r="F2154">
            <v>0.4</v>
          </cell>
          <cell r="G2154">
            <v>4.2</v>
          </cell>
          <cell r="Q2154" t="str">
            <v>3/8"</v>
          </cell>
          <cell r="R2154">
            <v>8</v>
          </cell>
          <cell r="S2154">
            <v>4.5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20.160000000000004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</row>
        <row r="2155">
          <cell r="B2155" t="str">
            <v>Acero Inferior</v>
          </cell>
          <cell r="C2155">
            <v>1</v>
          </cell>
          <cell r="D2155">
            <v>1</v>
          </cell>
          <cell r="E2155">
            <v>3.8</v>
          </cell>
          <cell r="F2155">
            <v>0.2</v>
          </cell>
          <cell r="G2155">
            <v>2.1</v>
          </cell>
          <cell r="Q2155" t="str">
            <v>3/8"</v>
          </cell>
          <cell r="R2155">
            <v>19</v>
          </cell>
          <cell r="S2155">
            <v>2.4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25.536000000000005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</row>
        <row r="2156">
          <cell r="B2156" t="str">
            <v>Acero Superior</v>
          </cell>
          <cell r="C2156">
            <v>1</v>
          </cell>
          <cell r="D2156">
            <v>1</v>
          </cell>
          <cell r="E2156">
            <v>3.8</v>
          </cell>
          <cell r="F2156">
            <v>0.4</v>
          </cell>
          <cell r="G2156">
            <v>2.1</v>
          </cell>
          <cell r="Q2156" t="str">
            <v>3/8"</v>
          </cell>
          <cell r="R2156">
            <v>10</v>
          </cell>
          <cell r="S2156">
            <v>2.4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13.440000000000001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</row>
        <row r="2157">
          <cell r="B2157" t="str">
            <v>PISO 15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H2157">
            <v>0</v>
          </cell>
        </row>
        <row r="2158"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H2158">
            <v>0</v>
          </cell>
        </row>
        <row r="2159">
          <cell r="C2159">
            <v>1</v>
          </cell>
          <cell r="D2159">
            <v>1</v>
          </cell>
          <cell r="E2159">
            <v>62</v>
          </cell>
          <cell r="F2159">
            <v>1</v>
          </cell>
          <cell r="G2159">
            <v>0.2</v>
          </cell>
          <cell r="L2159">
            <v>12.4</v>
          </cell>
          <cell r="M2159">
            <v>62</v>
          </cell>
          <cell r="N2159">
            <v>1</v>
          </cell>
          <cell r="O2159">
            <v>62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H2159">
            <v>0</v>
          </cell>
        </row>
        <row r="2160">
          <cell r="B2160" t="str">
            <v>Acero Longitudinal</v>
          </cell>
          <cell r="C2160">
            <v>1</v>
          </cell>
          <cell r="D2160">
            <v>1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H2160">
            <v>0</v>
          </cell>
        </row>
        <row r="2161">
          <cell r="B2161" t="str">
            <v>Acero Inferior</v>
          </cell>
          <cell r="C2161">
            <v>1</v>
          </cell>
          <cell r="D2161">
            <v>1</v>
          </cell>
          <cell r="E2161">
            <v>3.5</v>
          </cell>
          <cell r="F2161">
            <v>0.2</v>
          </cell>
          <cell r="G2161">
            <v>0.8</v>
          </cell>
          <cell r="Q2161" t="str">
            <v>3/8"</v>
          </cell>
          <cell r="R2161">
            <v>18</v>
          </cell>
          <cell r="S2161">
            <v>1.1000000000000001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11.088000000000001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</row>
        <row r="2162">
          <cell r="B2162" t="str">
            <v>Acero Superior</v>
          </cell>
          <cell r="C2162">
            <v>1</v>
          </cell>
          <cell r="D2162">
            <v>1</v>
          </cell>
          <cell r="E2162">
            <v>3.5</v>
          </cell>
          <cell r="F2162">
            <v>0.4</v>
          </cell>
          <cell r="G2162">
            <v>0.8</v>
          </cell>
          <cell r="Q2162" t="str">
            <v>3/8"</v>
          </cell>
          <cell r="R2162">
            <v>9</v>
          </cell>
          <cell r="S2162">
            <v>1.1000000000000001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5.5440000000000005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</row>
        <row r="2163">
          <cell r="B2163" t="str">
            <v>Acero Inferior</v>
          </cell>
          <cell r="C2163">
            <v>1</v>
          </cell>
          <cell r="D2163">
            <v>1</v>
          </cell>
          <cell r="E2163">
            <v>1.45</v>
          </cell>
          <cell r="F2163">
            <v>0.2</v>
          </cell>
          <cell r="G2163">
            <v>1.45</v>
          </cell>
          <cell r="Q2163" t="str">
            <v>3/8"</v>
          </cell>
          <cell r="R2163">
            <v>7</v>
          </cell>
          <cell r="S2163">
            <v>1.75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6.86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</row>
        <row r="2164">
          <cell r="B2164" t="str">
            <v>Acero Superior</v>
          </cell>
          <cell r="C2164">
            <v>1</v>
          </cell>
          <cell r="D2164">
            <v>1</v>
          </cell>
          <cell r="E2164">
            <v>1.45</v>
          </cell>
          <cell r="F2164">
            <v>0.4</v>
          </cell>
          <cell r="G2164">
            <v>1.45</v>
          </cell>
          <cell r="Q2164" t="str">
            <v>3/8"</v>
          </cell>
          <cell r="R2164">
            <v>4</v>
          </cell>
          <cell r="S2164">
            <v>1.75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3.9200000000000004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</row>
        <row r="2165">
          <cell r="B2165" t="str">
            <v>Acero Inferior</v>
          </cell>
          <cell r="C2165">
            <v>1</v>
          </cell>
          <cell r="D2165">
            <v>1</v>
          </cell>
          <cell r="E2165">
            <v>3.95</v>
          </cell>
          <cell r="F2165">
            <v>0.2</v>
          </cell>
          <cell r="G2165">
            <v>1.3</v>
          </cell>
          <cell r="Q2165" t="str">
            <v>3/8"</v>
          </cell>
          <cell r="R2165">
            <v>20</v>
          </cell>
          <cell r="S2165">
            <v>1.6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17.920000000000002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</row>
        <row r="2166">
          <cell r="B2166" t="str">
            <v>Acero Superior</v>
          </cell>
          <cell r="C2166">
            <v>1</v>
          </cell>
          <cell r="D2166">
            <v>1</v>
          </cell>
          <cell r="E2166">
            <v>3.95</v>
          </cell>
          <cell r="F2166">
            <v>0.4</v>
          </cell>
          <cell r="G2166">
            <v>1.3</v>
          </cell>
          <cell r="Q2166" t="str">
            <v>3/8"</v>
          </cell>
          <cell r="R2166">
            <v>10</v>
          </cell>
          <cell r="S2166">
            <v>1.6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8.9600000000000009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</row>
        <row r="2167">
          <cell r="B2167" t="str">
            <v>Acero Inferior</v>
          </cell>
          <cell r="C2167">
            <v>1</v>
          </cell>
          <cell r="D2167">
            <v>1</v>
          </cell>
          <cell r="E2167">
            <v>6.2</v>
          </cell>
          <cell r="F2167">
            <v>0.2</v>
          </cell>
          <cell r="G2167">
            <v>1.2</v>
          </cell>
          <cell r="Q2167" t="str">
            <v>3/8"</v>
          </cell>
          <cell r="R2167">
            <v>31</v>
          </cell>
          <cell r="S2167">
            <v>1.5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26.040000000000003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</row>
        <row r="2168">
          <cell r="B2168" t="str">
            <v>Acero Superior</v>
          </cell>
          <cell r="C2168">
            <v>1</v>
          </cell>
          <cell r="D2168">
            <v>1</v>
          </cell>
          <cell r="E2168">
            <v>6.2</v>
          </cell>
          <cell r="F2168">
            <v>0.4</v>
          </cell>
          <cell r="G2168">
            <v>1.2</v>
          </cell>
          <cell r="Q2168" t="str">
            <v>3/8"</v>
          </cell>
          <cell r="R2168">
            <v>16</v>
          </cell>
          <cell r="S2168">
            <v>1.5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13.440000000000001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</row>
        <row r="2169">
          <cell r="B2169" t="str">
            <v>Acero Inferior</v>
          </cell>
          <cell r="C2169">
            <v>1</v>
          </cell>
          <cell r="D2169">
            <v>1</v>
          </cell>
          <cell r="E2169">
            <v>3.15</v>
          </cell>
          <cell r="F2169">
            <v>0.2</v>
          </cell>
          <cell r="G2169">
            <v>2.25</v>
          </cell>
          <cell r="Q2169" t="str">
            <v>3/8"</v>
          </cell>
          <cell r="R2169">
            <v>16</v>
          </cell>
          <cell r="S2169">
            <v>2.5499999999999998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22.847999999999999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</row>
        <row r="2170">
          <cell r="B2170" t="str">
            <v>Acero Superior</v>
          </cell>
          <cell r="C2170">
            <v>1</v>
          </cell>
          <cell r="D2170">
            <v>1</v>
          </cell>
          <cell r="E2170">
            <v>3.15</v>
          </cell>
          <cell r="F2170">
            <v>0.4</v>
          </cell>
          <cell r="G2170">
            <v>2.25</v>
          </cell>
          <cell r="Q2170" t="str">
            <v>3/8"</v>
          </cell>
          <cell r="R2170">
            <v>8</v>
          </cell>
          <cell r="S2170">
            <v>2.5499999999999998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11.423999999999999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</row>
        <row r="2171">
          <cell r="B2171" t="str">
            <v>Acero Inferior</v>
          </cell>
          <cell r="C2171">
            <v>1</v>
          </cell>
          <cell r="D2171">
            <v>1</v>
          </cell>
          <cell r="E2171">
            <v>2</v>
          </cell>
          <cell r="F2171">
            <v>0.2</v>
          </cell>
          <cell r="G2171">
            <v>0.8</v>
          </cell>
          <cell r="Q2171" t="str">
            <v>3/8"</v>
          </cell>
          <cell r="R2171">
            <v>10</v>
          </cell>
          <cell r="S2171">
            <v>1.1000000000000001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6.16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</row>
        <row r="2172">
          <cell r="B2172" t="str">
            <v>Acero Superior</v>
          </cell>
          <cell r="C2172">
            <v>1</v>
          </cell>
          <cell r="D2172">
            <v>1</v>
          </cell>
          <cell r="E2172">
            <v>2</v>
          </cell>
          <cell r="F2172">
            <v>0.4</v>
          </cell>
          <cell r="G2172">
            <v>0.8</v>
          </cell>
          <cell r="Q2172" t="str">
            <v>3/8"</v>
          </cell>
          <cell r="R2172">
            <v>5</v>
          </cell>
          <cell r="S2172">
            <v>1.1000000000000001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3.08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</row>
        <row r="2173">
          <cell r="B2173" t="str">
            <v>Acero Inferior</v>
          </cell>
          <cell r="C2173">
            <v>1</v>
          </cell>
          <cell r="D2173">
            <v>1</v>
          </cell>
          <cell r="E2173">
            <v>2</v>
          </cell>
          <cell r="F2173">
            <v>0.2</v>
          </cell>
          <cell r="G2173">
            <v>2</v>
          </cell>
          <cell r="Q2173" t="str">
            <v>3/8"</v>
          </cell>
          <cell r="R2173">
            <v>10</v>
          </cell>
          <cell r="S2173">
            <v>2.2999999999999998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12.88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</row>
        <row r="2174">
          <cell r="B2174" t="str">
            <v>Acero Superior</v>
          </cell>
          <cell r="C2174">
            <v>1</v>
          </cell>
          <cell r="D2174">
            <v>1</v>
          </cell>
          <cell r="E2174">
            <v>2</v>
          </cell>
          <cell r="F2174">
            <v>0.4</v>
          </cell>
          <cell r="G2174">
            <v>2</v>
          </cell>
          <cell r="Q2174" t="str">
            <v>3/8"</v>
          </cell>
          <cell r="R2174">
            <v>5</v>
          </cell>
          <cell r="S2174">
            <v>2.2999999999999998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6.44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</row>
        <row r="2175">
          <cell r="B2175" t="str">
            <v>Acero Inferior</v>
          </cell>
          <cell r="C2175">
            <v>1</v>
          </cell>
          <cell r="D2175">
            <v>1</v>
          </cell>
          <cell r="E2175">
            <v>0.95</v>
          </cell>
          <cell r="F2175">
            <v>0.2</v>
          </cell>
          <cell r="G2175">
            <v>5.9</v>
          </cell>
          <cell r="Q2175" t="str">
            <v>3/8"</v>
          </cell>
          <cell r="R2175">
            <v>5</v>
          </cell>
          <cell r="S2175">
            <v>6.2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17.360000000000003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</row>
        <row r="2176">
          <cell r="B2176" t="str">
            <v>Acero Superior</v>
          </cell>
          <cell r="C2176">
            <v>1</v>
          </cell>
          <cell r="D2176">
            <v>1</v>
          </cell>
          <cell r="E2176">
            <v>0.95</v>
          </cell>
          <cell r="F2176">
            <v>0.4</v>
          </cell>
          <cell r="G2176">
            <v>5.9</v>
          </cell>
          <cell r="Q2176" t="str">
            <v>3/8"</v>
          </cell>
          <cell r="R2176">
            <v>2</v>
          </cell>
          <cell r="S2176">
            <v>6.2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6.9440000000000008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</row>
        <row r="2177">
          <cell r="B2177" t="str">
            <v>Acero Inferior</v>
          </cell>
          <cell r="C2177">
            <v>1</v>
          </cell>
          <cell r="D2177">
            <v>1</v>
          </cell>
          <cell r="E2177">
            <v>2</v>
          </cell>
          <cell r="F2177">
            <v>0.2</v>
          </cell>
          <cell r="G2177">
            <v>3.75</v>
          </cell>
          <cell r="Q2177" t="str">
            <v>3/8"</v>
          </cell>
          <cell r="R2177">
            <v>10</v>
          </cell>
          <cell r="S2177">
            <v>4.05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22.680000000000003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</row>
        <row r="2178">
          <cell r="B2178" t="str">
            <v>Acero Superior</v>
          </cell>
          <cell r="C2178">
            <v>1</v>
          </cell>
          <cell r="D2178">
            <v>1</v>
          </cell>
          <cell r="E2178">
            <v>2</v>
          </cell>
          <cell r="F2178">
            <v>0.4</v>
          </cell>
          <cell r="G2178">
            <v>3.75</v>
          </cell>
          <cell r="Q2178" t="str">
            <v>3/8"</v>
          </cell>
          <cell r="R2178">
            <v>5</v>
          </cell>
          <cell r="S2178">
            <v>4.05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11.340000000000002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</row>
        <row r="2179">
          <cell r="B2179" t="str">
            <v>Acero Inferior</v>
          </cell>
          <cell r="C2179">
            <v>1</v>
          </cell>
          <cell r="D2179">
            <v>1</v>
          </cell>
          <cell r="E2179">
            <v>1.25</v>
          </cell>
          <cell r="F2179">
            <v>0.2</v>
          </cell>
          <cell r="G2179">
            <v>5.9</v>
          </cell>
          <cell r="Q2179" t="str">
            <v>3/8"</v>
          </cell>
          <cell r="R2179">
            <v>6</v>
          </cell>
          <cell r="S2179">
            <v>6.2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20.832000000000004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</row>
        <row r="2180">
          <cell r="B2180" t="str">
            <v>Acero Superior</v>
          </cell>
          <cell r="C2180">
            <v>1</v>
          </cell>
          <cell r="D2180">
            <v>1</v>
          </cell>
          <cell r="E2180">
            <v>1.25</v>
          </cell>
          <cell r="F2180">
            <v>0.4</v>
          </cell>
          <cell r="G2180">
            <v>5.9</v>
          </cell>
          <cell r="Q2180" t="str">
            <v>3/8"</v>
          </cell>
          <cell r="R2180">
            <v>3</v>
          </cell>
          <cell r="S2180">
            <v>6.2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10.416000000000002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</row>
        <row r="2181">
          <cell r="B2181" t="str">
            <v>Acero Inferior</v>
          </cell>
          <cell r="C2181">
            <v>1</v>
          </cell>
          <cell r="D2181">
            <v>1</v>
          </cell>
          <cell r="E2181">
            <v>1.1000000000000001</v>
          </cell>
          <cell r="F2181">
            <v>0.2</v>
          </cell>
          <cell r="G2181">
            <v>10.45</v>
          </cell>
          <cell r="P2181" t="str">
            <v>H</v>
          </cell>
          <cell r="Q2181" t="str">
            <v>3/8"</v>
          </cell>
          <cell r="R2181">
            <v>6</v>
          </cell>
          <cell r="S2181">
            <v>10.75</v>
          </cell>
          <cell r="T2181">
            <v>1</v>
          </cell>
          <cell r="U2181">
            <v>0</v>
          </cell>
          <cell r="V2181">
            <v>0</v>
          </cell>
          <cell r="W2181">
            <v>0</v>
          </cell>
          <cell r="X2181">
            <v>37.464000000000006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</row>
        <row r="2182">
          <cell r="B2182" t="str">
            <v>Acero Superior</v>
          </cell>
          <cell r="C2182">
            <v>1</v>
          </cell>
          <cell r="D2182">
            <v>1</v>
          </cell>
          <cell r="E2182">
            <v>1.1000000000000001</v>
          </cell>
          <cell r="F2182">
            <v>0.4</v>
          </cell>
          <cell r="G2182">
            <v>10.45</v>
          </cell>
          <cell r="P2182" t="str">
            <v>H</v>
          </cell>
          <cell r="Q2182" t="str">
            <v>3/8"</v>
          </cell>
          <cell r="R2182">
            <v>3</v>
          </cell>
          <cell r="S2182">
            <v>10.75</v>
          </cell>
          <cell r="T2182">
            <v>1</v>
          </cell>
          <cell r="U2182">
            <v>0</v>
          </cell>
          <cell r="V2182">
            <v>0</v>
          </cell>
          <cell r="W2182">
            <v>0</v>
          </cell>
          <cell r="X2182">
            <v>18.732000000000003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</row>
        <row r="2183">
          <cell r="B2183" t="str">
            <v>Acero Inferior</v>
          </cell>
          <cell r="C2183">
            <v>1</v>
          </cell>
          <cell r="D2183">
            <v>1</v>
          </cell>
          <cell r="E2183">
            <v>2.5</v>
          </cell>
          <cell r="F2183">
            <v>0.2</v>
          </cell>
          <cell r="G2183">
            <v>6.6</v>
          </cell>
          <cell r="Q2183" t="str">
            <v>3/8"</v>
          </cell>
          <cell r="R2183">
            <v>13</v>
          </cell>
          <cell r="S2183">
            <v>6.8999999999999995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50.231999999999999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</row>
        <row r="2184">
          <cell r="B2184" t="str">
            <v>Acero Superior</v>
          </cell>
          <cell r="C2184">
            <v>1</v>
          </cell>
          <cell r="D2184">
            <v>1</v>
          </cell>
          <cell r="E2184">
            <v>2.5</v>
          </cell>
          <cell r="F2184">
            <v>0.4</v>
          </cell>
          <cell r="G2184">
            <v>6.6</v>
          </cell>
          <cell r="Q2184" t="str">
            <v>3/8"</v>
          </cell>
          <cell r="R2184">
            <v>6</v>
          </cell>
          <cell r="S2184">
            <v>6.8999999999999995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23.184000000000001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</row>
        <row r="2185">
          <cell r="B2185" t="str">
            <v>Acero Inferior</v>
          </cell>
          <cell r="C2185">
            <v>1</v>
          </cell>
          <cell r="D2185">
            <v>1</v>
          </cell>
          <cell r="E2185">
            <v>1.35</v>
          </cell>
          <cell r="F2185">
            <v>0.2</v>
          </cell>
          <cell r="G2185">
            <v>1.05</v>
          </cell>
          <cell r="Q2185" t="str">
            <v>3/8"</v>
          </cell>
          <cell r="R2185">
            <v>7</v>
          </cell>
          <cell r="S2185">
            <v>1.35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5.2920000000000007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</row>
        <row r="2186">
          <cell r="B2186" t="str">
            <v>Acero Superior</v>
          </cell>
          <cell r="C2186">
            <v>1</v>
          </cell>
          <cell r="D2186">
            <v>1</v>
          </cell>
          <cell r="E2186">
            <v>1.35</v>
          </cell>
          <cell r="F2186">
            <v>0.4</v>
          </cell>
          <cell r="G2186">
            <v>1.05</v>
          </cell>
          <cell r="Q2186" t="str">
            <v>3/8"</v>
          </cell>
          <cell r="R2186">
            <v>3</v>
          </cell>
          <cell r="S2186">
            <v>1.35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2.2680000000000007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</row>
        <row r="2187">
          <cell r="B2187" t="str">
            <v>Acero Inferior</v>
          </cell>
          <cell r="C2187">
            <v>1</v>
          </cell>
          <cell r="D2187">
            <v>1</v>
          </cell>
          <cell r="E2187">
            <v>1.4</v>
          </cell>
          <cell r="F2187">
            <v>0.2</v>
          </cell>
          <cell r="G2187">
            <v>2.0499999999999998</v>
          </cell>
          <cell r="Q2187" t="str">
            <v>3/8"</v>
          </cell>
          <cell r="R2187">
            <v>7</v>
          </cell>
          <cell r="S2187">
            <v>2.3499999999999996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9.211999999999998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</row>
        <row r="2188">
          <cell r="B2188" t="str">
            <v>Acero Superior</v>
          </cell>
          <cell r="C2188">
            <v>1</v>
          </cell>
          <cell r="D2188">
            <v>1</v>
          </cell>
          <cell r="E2188">
            <v>1.4</v>
          </cell>
          <cell r="F2188">
            <v>0.4</v>
          </cell>
          <cell r="G2188">
            <v>2.0499999999999998</v>
          </cell>
          <cell r="Q2188" t="str">
            <v>3/8"</v>
          </cell>
          <cell r="R2188">
            <v>4</v>
          </cell>
          <cell r="S2188">
            <v>2.3499999999999996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5.2639999999999993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</row>
        <row r="2189">
          <cell r="B2189" t="str">
            <v>Acero Transversal</v>
          </cell>
          <cell r="C2189">
            <v>1</v>
          </cell>
          <cell r="D2189">
            <v>1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</row>
        <row r="2190">
          <cell r="B2190" t="str">
            <v>Acero Inferior</v>
          </cell>
          <cell r="C2190">
            <v>1</v>
          </cell>
          <cell r="D2190">
            <v>1</v>
          </cell>
          <cell r="E2190">
            <v>0.4</v>
          </cell>
          <cell r="F2190">
            <v>0.2</v>
          </cell>
          <cell r="G2190">
            <v>4.3</v>
          </cell>
          <cell r="Q2190" t="str">
            <v>3/8"</v>
          </cell>
          <cell r="R2190">
            <v>2</v>
          </cell>
          <cell r="S2190">
            <v>4.5999999999999996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5.1520000000000001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</row>
        <row r="2191">
          <cell r="B2191" t="str">
            <v>Acero Superior</v>
          </cell>
          <cell r="C2191">
            <v>1</v>
          </cell>
          <cell r="D2191">
            <v>1</v>
          </cell>
          <cell r="E2191">
            <v>0.4</v>
          </cell>
          <cell r="F2191">
            <v>0.4</v>
          </cell>
          <cell r="G2191">
            <v>4.3</v>
          </cell>
          <cell r="Q2191" t="str">
            <v>3/8"</v>
          </cell>
          <cell r="R2191">
            <v>1</v>
          </cell>
          <cell r="S2191">
            <v>4.5999999999999996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2.5760000000000001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</row>
        <row r="2192">
          <cell r="B2192" t="str">
            <v>Acero Inferior</v>
          </cell>
          <cell r="C2192">
            <v>1</v>
          </cell>
          <cell r="D2192">
            <v>1</v>
          </cell>
          <cell r="E2192">
            <v>1.1499999999999999</v>
          </cell>
          <cell r="F2192">
            <v>0.2</v>
          </cell>
          <cell r="G2192">
            <v>1.95</v>
          </cell>
          <cell r="Q2192" t="str">
            <v>3/8"</v>
          </cell>
          <cell r="R2192">
            <v>6</v>
          </cell>
          <cell r="S2192">
            <v>2.25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7.5600000000000005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</row>
        <row r="2193">
          <cell r="B2193" t="str">
            <v>Acero Superior</v>
          </cell>
          <cell r="C2193">
            <v>1</v>
          </cell>
          <cell r="D2193">
            <v>1</v>
          </cell>
          <cell r="E2193">
            <v>1.1499999999999999</v>
          </cell>
          <cell r="F2193">
            <v>0.4</v>
          </cell>
          <cell r="G2193">
            <v>1.95</v>
          </cell>
          <cell r="Q2193" t="str">
            <v>3/8"</v>
          </cell>
          <cell r="R2193">
            <v>3</v>
          </cell>
          <cell r="S2193">
            <v>2.25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3.7800000000000002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</row>
        <row r="2194">
          <cell r="B2194" t="str">
            <v>Acero Inferior</v>
          </cell>
          <cell r="C2194">
            <v>1</v>
          </cell>
          <cell r="D2194">
            <v>1</v>
          </cell>
          <cell r="E2194">
            <v>0.6</v>
          </cell>
          <cell r="F2194">
            <v>0.2</v>
          </cell>
          <cell r="G2194">
            <v>5.5</v>
          </cell>
          <cell r="Q2194" t="str">
            <v>3/8"</v>
          </cell>
          <cell r="R2194">
            <v>3</v>
          </cell>
          <cell r="S2194">
            <v>5.8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9.7439999999999998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</row>
        <row r="2195">
          <cell r="B2195" t="str">
            <v>Acero Superior</v>
          </cell>
          <cell r="C2195">
            <v>1</v>
          </cell>
          <cell r="D2195">
            <v>1</v>
          </cell>
          <cell r="E2195">
            <v>0.6</v>
          </cell>
          <cell r="F2195">
            <v>0.4</v>
          </cell>
          <cell r="G2195">
            <v>5.5</v>
          </cell>
          <cell r="Q2195" t="str">
            <v>3/8"</v>
          </cell>
          <cell r="R2195">
            <v>2</v>
          </cell>
          <cell r="S2195">
            <v>5.8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6.4960000000000004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</row>
        <row r="2196">
          <cell r="B2196" t="str">
            <v>Acero Inferior</v>
          </cell>
          <cell r="C2196">
            <v>1</v>
          </cell>
          <cell r="D2196">
            <v>1</v>
          </cell>
          <cell r="E2196">
            <v>0.65</v>
          </cell>
          <cell r="F2196">
            <v>0.2</v>
          </cell>
          <cell r="G2196">
            <v>5.95</v>
          </cell>
          <cell r="Q2196" t="str">
            <v>3/8"</v>
          </cell>
          <cell r="R2196">
            <v>3</v>
          </cell>
          <cell r="S2196">
            <v>6.25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10.500000000000002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</row>
        <row r="2197">
          <cell r="B2197" t="str">
            <v>Acero Superior</v>
          </cell>
          <cell r="C2197">
            <v>1</v>
          </cell>
          <cell r="D2197">
            <v>1</v>
          </cell>
          <cell r="E2197">
            <v>0.65</v>
          </cell>
          <cell r="F2197">
            <v>0.4</v>
          </cell>
          <cell r="G2197">
            <v>5.95</v>
          </cell>
          <cell r="Q2197" t="str">
            <v>3/8"</v>
          </cell>
          <cell r="R2197">
            <v>2</v>
          </cell>
          <cell r="S2197">
            <v>6.25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7.0000000000000009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</row>
        <row r="2198">
          <cell r="B2198" t="str">
            <v>Acero Inferior</v>
          </cell>
          <cell r="C2198">
            <v>1</v>
          </cell>
          <cell r="D2198">
            <v>1</v>
          </cell>
          <cell r="E2198">
            <v>0.95</v>
          </cell>
          <cell r="F2198">
            <v>0.2</v>
          </cell>
          <cell r="G2198">
            <v>1.75</v>
          </cell>
          <cell r="Q2198" t="str">
            <v>3/8"</v>
          </cell>
          <cell r="R2198">
            <v>5</v>
          </cell>
          <cell r="S2198">
            <v>2.0499999999999998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5.74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</row>
        <row r="2199">
          <cell r="B2199" t="str">
            <v>Acero Superior</v>
          </cell>
          <cell r="C2199">
            <v>1</v>
          </cell>
          <cell r="D2199">
            <v>1</v>
          </cell>
          <cell r="E2199">
            <v>0.95</v>
          </cell>
          <cell r="F2199">
            <v>0.4</v>
          </cell>
          <cell r="G2199">
            <v>1.75</v>
          </cell>
          <cell r="Q2199" t="str">
            <v>3/8"</v>
          </cell>
          <cell r="R2199">
            <v>2</v>
          </cell>
          <cell r="S2199">
            <v>2.0499999999999998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2.2959999999999998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</row>
        <row r="2200">
          <cell r="B2200" t="str">
            <v>Acero Inferior</v>
          </cell>
          <cell r="C2200">
            <v>1</v>
          </cell>
          <cell r="D2200">
            <v>1</v>
          </cell>
          <cell r="E2200">
            <v>1.25</v>
          </cell>
          <cell r="F2200">
            <v>0.2</v>
          </cell>
          <cell r="G2200">
            <v>2.95</v>
          </cell>
          <cell r="Q2200" t="str">
            <v>3/8"</v>
          </cell>
          <cell r="R2200">
            <v>6</v>
          </cell>
          <cell r="S2200">
            <v>3.25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10.920000000000002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</row>
        <row r="2201">
          <cell r="B2201" t="str">
            <v>Acero Superior</v>
          </cell>
          <cell r="C2201">
            <v>1</v>
          </cell>
          <cell r="D2201">
            <v>1</v>
          </cell>
          <cell r="E2201">
            <v>1.25</v>
          </cell>
          <cell r="F2201">
            <v>0.4</v>
          </cell>
          <cell r="G2201">
            <v>2.95</v>
          </cell>
          <cell r="Q2201" t="str">
            <v>3/8"</v>
          </cell>
          <cell r="R2201">
            <v>3</v>
          </cell>
          <cell r="S2201">
            <v>3.25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5.4600000000000009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</row>
        <row r="2202">
          <cell r="B2202" t="str">
            <v>Acero Inferior</v>
          </cell>
          <cell r="C2202">
            <v>1</v>
          </cell>
          <cell r="D2202">
            <v>1</v>
          </cell>
          <cell r="E2202">
            <v>0.4</v>
          </cell>
          <cell r="F2202">
            <v>0.2</v>
          </cell>
          <cell r="G2202">
            <v>2.95</v>
          </cell>
          <cell r="Q2202" t="str">
            <v>3/8"</v>
          </cell>
          <cell r="R2202">
            <v>2</v>
          </cell>
          <cell r="S2202">
            <v>3.25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3.6400000000000006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</row>
        <row r="2203">
          <cell r="B2203" t="str">
            <v>Acero Superior</v>
          </cell>
          <cell r="C2203">
            <v>1</v>
          </cell>
          <cell r="D2203">
            <v>1</v>
          </cell>
          <cell r="E2203">
            <v>0.4</v>
          </cell>
          <cell r="F2203">
            <v>0.4</v>
          </cell>
          <cell r="G2203">
            <v>2.95</v>
          </cell>
          <cell r="Q2203" t="str">
            <v>3/8"</v>
          </cell>
          <cell r="R2203">
            <v>1</v>
          </cell>
          <cell r="S2203">
            <v>3.25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1.8200000000000003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</row>
        <row r="2204">
          <cell r="B2204" t="str">
            <v>Acero Inferior</v>
          </cell>
          <cell r="C2204">
            <v>1</v>
          </cell>
          <cell r="D2204">
            <v>1</v>
          </cell>
          <cell r="E2204">
            <v>1.55</v>
          </cell>
          <cell r="F2204">
            <v>0.2</v>
          </cell>
          <cell r="G2204">
            <v>1.1000000000000001</v>
          </cell>
          <cell r="Q2204" t="str">
            <v>3/8"</v>
          </cell>
          <cell r="R2204">
            <v>8</v>
          </cell>
          <cell r="S2204">
            <v>1.4000000000000001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6.2720000000000011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</row>
        <row r="2205">
          <cell r="B2205" t="str">
            <v>Acero Superior</v>
          </cell>
          <cell r="C2205">
            <v>1</v>
          </cell>
          <cell r="D2205">
            <v>1</v>
          </cell>
          <cell r="E2205">
            <v>1.55</v>
          </cell>
          <cell r="F2205">
            <v>0.4</v>
          </cell>
          <cell r="G2205">
            <v>1.1000000000000001</v>
          </cell>
          <cell r="Q2205" t="str">
            <v>3/8"</v>
          </cell>
          <cell r="R2205">
            <v>4</v>
          </cell>
          <cell r="S2205">
            <v>1.4000000000000001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3.1360000000000006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</row>
        <row r="2206">
          <cell r="B2206" t="str">
            <v>Acero Inferior</v>
          </cell>
          <cell r="C2206">
            <v>1</v>
          </cell>
          <cell r="D2206">
            <v>1</v>
          </cell>
          <cell r="E2206">
            <v>0.55000000000000004</v>
          </cell>
          <cell r="F2206">
            <v>0.2</v>
          </cell>
          <cell r="G2206">
            <v>6</v>
          </cell>
          <cell r="Q2206" t="str">
            <v>3/8"</v>
          </cell>
          <cell r="R2206">
            <v>3</v>
          </cell>
          <cell r="S2206">
            <v>6.3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10.584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</row>
        <row r="2207">
          <cell r="B2207" t="str">
            <v>Acero Superior</v>
          </cell>
          <cell r="C2207">
            <v>1</v>
          </cell>
          <cell r="D2207">
            <v>1</v>
          </cell>
          <cell r="E2207">
            <v>0.55000000000000004</v>
          </cell>
          <cell r="F2207">
            <v>0.4</v>
          </cell>
          <cell r="G2207">
            <v>6</v>
          </cell>
          <cell r="Q2207" t="str">
            <v>3/8"</v>
          </cell>
          <cell r="R2207">
            <v>1</v>
          </cell>
          <cell r="S2207">
            <v>6.3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3.528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</row>
        <row r="2208">
          <cell r="B2208" t="str">
            <v>Acero Inferior</v>
          </cell>
          <cell r="C2208">
            <v>1</v>
          </cell>
          <cell r="D2208">
            <v>1</v>
          </cell>
          <cell r="E2208">
            <v>1.1000000000000001</v>
          </cell>
          <cell r="F2208">
            <v>0.2</v>
          </cell>
          <cell r="G2208">
            <v>8.1</v>
          </cell>
          <cell r="Q2208" t="str">
            <v>3/8"</v>
          </cell>
          <cell r="R2208">
            <v>6</v>
          </cell>
          <cell r="S2208">
            <v>8.4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28.224000000000007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</row>
        <row r="2209">
          <cell r="B2209" t="str">
            <v>Acero Superior</v>
          </cell>
          <cell r="C2209">
            <v>1</v>
          </cell>
          <cell r="D2209">
            <v>1</v>
          </cell>
          <cell r="E2209">
            <v>1.1000000000000001</v>
          </cell>
          <cell r="F2209">
            <v>0.4</v>
          </cell>
          <cell r="G2209">
            <v>8.1</v>
          </cell>
          <cell r="Q2209" t="str">
            <v>3/8"</v>
          </cell>
          <cell r="R2209">
            <v>3</v>
          </cell>
          <cell r="S2209">
            <v>8.4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14.112000000000004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</row>
        <row r="2210">
          <cell r="B2210" t="str">
            <v>Acero Inferior</v>
          </cell>
          <cell r="C2210">
            <v>1</v>
          </cell>
          <cell r="D2210">
            <v>1</v>
          </cell>
          <cell r="E2210">
            <v>0.6</v>
          </cell>
          <cell r="F2210">
            <v>0.2</v>
          </cell>
          <cell r="G2210">
            <v>5.75</v>
          </cell>
          <cell r="Q2210" t="str">
            <v>3/8"</v>
          </cell>
          <cell r="R2210">
            <v>3</v>
          </cell>
          <cell r="S2210">
            <v>6.05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10.164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</row>
        <row r="2211">
          <cell r="B2211" t="str">
            <v>Acero Superior</v>
          </cell>
          <cell r="C2211">
            <v>1</v>
          </cell>
          <cell r="D2211">
            <v>1</v>
          </cell>
          <cell r="E2211">
            <v>0.6</v>
          </cell>
          <cell r="F2211">
            <v>0.4</v>
          </cell>
          <cell r="G2211">
            <v>5.75</v>
          </cell>
          <cell r="Q2211" t="str">
            <v>3/8"</v>
          </cell>
          <cell r="R2211">
            <v>2</v>
          </cell>
          <cell r="S2211">
            <v>6.05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6.7760000000000007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</row>
        <row r="2212">
          <cell r="B2212" t="str">
            <v>Acero Inferior</v>
          </cell>
          <cell r="C2212">
            <v>1</v>
          </cell>
          <cell r="D2212">
            <v>1</v>
          </cell>
          <cell r="E2212">
            <v>1.5</v>
          </cell>
          <cell r="F2212">
            <v>0.2</v>
          </cell>
          <cell r="G2212">
            <v>4.0999999999999996</v>
          </cell>
          <cell r="Q2212" t="str">
            <v>3/8"</v>
          </cell>
          <cell r="R2212">
            <v>8</v>
          </cell>
          <cell r="S2212">
            <v>4.3999999999999995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19.712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</row>
        <row r="2213">
          <cell r="B2213" t="str">
            <v>Acero Superior</v>
          </cell>
          <cell r="C2213">
            <v>1</v>
          </cell>
          <cell r="D2213">
            <v>1</v>
          </cell>
          <cell r="E2213">
            <v>1.5</v>
          </cell>
          <cell r="F2213">
            <v>0.4</v>
          </cell>
          <cell r="G2213">
            <v>4.0999999999999996</v>
          </cell>
          <cell r="Q2213" t="str">
            <v>3/8"</v>
          </cell>
          <cell r="R2213">
            <v>4</v>
          </cell>
          <cell r="S2213">
            <v>4.3999999999999995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9.8559999999999999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</row>
        <row r="2214">
          <cell r="B2214" t="str">
            <v>Acero Inferior</v>
          </cell>
          <cell r="C2214">
            <v>1</v>
          </cell>
          <cell r="D2214">
            <v>1</v>
          </cell>
          <cell r="E2214">
            <v>6</v>
          </cell>
          <cell r="F2214">
            <v>0.2</v>
          </cell>
          <cell r="G2214">
            <v>4.2</v>
          </cell>
          <cell r="Q2214" t="str">
            <v>3/8"</v>
          </cell>
          <cell r="R2214">
            <v>30</v>
          </cell>
          <cell r="S2214">
            <v>4.5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75.600000000000009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</row>
        <row r="2215">
          <cell r="B2215" t="str">
            <v>Acero Superior</v>
          </cell>
          <cell r="C2215">
            <v>1</v>
          </cell>
          <cell r="D2215">
            <v>1</v>
          </cell>
          <cell r="E2215">
            <v>6</v>
          </cell>
          <cell r="F2215">
            <v>0.4</v>
          </cell>
          <cell r="G2215">
            <v>4.2</v>
          </cell>
          <cell r="Q2215" t="str">
            <v>3/8"</v>
          </cell>
          <cell r="R2215">
            <v>15</v>
          </cell>
          <cell r="S2215">
            <v>4.5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37.800000000000004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</row>
        <row r="2216">
          <cell r="B2216" t="str">
            <v>Acero Inferior</v>
          </cell>
          <cell r="C2216">
            <v>1</v>
          </cell>
          <cell r="D2216">
            <v>1</v>
          </cell>
          <cell r="E2216">
            <v>0.7</v>
          </cell>
          <cell r="F2216">
            <v>0.2</v>
          </cell>
          <cell r="G2216">
            <v>6.45</v>
          </cell>
          <cell r="Q2216" t="str">
            <v>3/8"</v>
          </cell>
          <cell r="R2216">
            <v>4</v>
          </cell>
          <cell r="S2216">
            <v>6.75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15.120000000000001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</row>
        <row r="2217">
          <cell r="B2217" t="str">
            <v>Acero Superior</v>
          </cell>
          <cell r="C2217">
            <v>1</v>
          </cell>
          <cell r="D2217">
            <v>1</v>
          </cell>
          <cell r="E2217">
            <v>0.7</v>
          </cell>
          <cell r="F2217">
            <v>0.4</v>
          </cell>
          <cell r="G2217">
            <v>6.45</v>
          </cell>
          <cell r="Q2217" t="str">
            <v>3/8"</v>
          </cell>
          <cell r="R2217">
            <v>2</v>
          </cell>
          <cell r="S2217">
            <v>6.75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7.5600000000000005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</row>
        <row r="2218">
          <cell r="B2218" t="str">
            <v>PISO 16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H2218">
            <v>0</v>
          </cell>
        </row>
        <row r="2219"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H2219">
            <v>0</v>
          </cell>
        </row>
        <row r="2220">
          <cell r="C2220">
            <v>1</v>
          </cell>
          <cell r="D2220">
            <v>1</v>
          </cell>
          <cell r="E2220">
            <v>14</v>
          </cell>
          <cell r="F2220">
            <v>1</v>
          </cell>
          <cell r="G2220">
            <v>0.2</v>
          </cell>
          <cell r="L2220">
            <v>2.8000000000000003</v>
          </cell>
          <cell r="M2220">
            <v>14</v>
          </cell>
          <cell r="N2220">
            <v>1</v>
          </cell>
          <cell r="O2220">
            <v>14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H2220">
            <v>0</v>
          </cell>
        </row>
        <row r="2221">
          <cell r="B2221" t="str">
            <v>Acero Longitudinal</v>
          </cell>
          <cell r="C2221">
            <v>1</v>
          </cell>
          <cell r="D2221">
            <v>1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H2221">
            <v>0</v>
          </cell>
        </row>
        <row r="2222">
          <cell r="B2222" t="str">
            <v>Acero Inferior</v>
          </cell>
          <cell r="C2222">
            <v>1</v>
          </cell>
          <cell r="D2222">
            <v>1</v>
          </cell>
          <cell r="E2222">
            <v>0.5</v>
          </cell>
          <cell r="F2222">
            <v>0.2</v>
          </cell>
          <cell r="G2222">
            <v>3</v>
          </cell>
          <cell r="Q2222" t="str">
            <v>3/8"</v>
          </cell>
          <cell r="R2222">
            <v>3</v>
          </cell>
          <cell r="S2222">
            <v>3.3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5.5439999999999996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</row>
        <row r="2223">
          <cell r="B2223" t="str">
            <v>Acero Superior</v>
          </cell>
          <cell r="C2223">
            <v>1</v>
          </cell>
          <cell r="D2223">
            <v>1</v>
          </cell>
          <cell r="E2223">
            <v>0.5</v>
          </cell>
          <cell r="F2223">
            <v>0.4</v>
          </cell>
          <cell r="G2223">
            <v>3</v>
          </cell>
          <cell r="Q2223" t="str">
            <v>3/8"</v>
          </cell>
          <cell r="R2223">
            <v>1</v>
          </cell>
          <cell r="S2223">
            <v>3.3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1.8480000000000001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</row>
        <row r="2224">
          <cell r="B2224" t="str">
            <v>Acero Inferior</v>
          </cell>
          <cell r="C2224">
            <v>1</v>
          </cell>
          <cell r="D2224">
            <v>1</v>
          </cell>
          <cell r="E2224">
            <v>1.2</v>
          </cell>
          <cell r="F2224">
            <v>0.2</v>
          </cell>
          <cell r="G2224">
            <v>3.85</v>
          </cell>
          <cell r="Q2224" t="str">
            <v>3/8"</v>
          </cell>
          <cell r="R2224">
            <v>6</v>
          </cell>
          <cell r="S2224">
            <v>4.1500000000000004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13.944000000000003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</row>
        <row r="2225">
          <cell r="B2225" t="str">
            <v>Acero Superior</v>
          </cell>
          <cell r="C2225">
            <v>1</v>
          </cell>
          <cell r="D2225">
            <v>1</v>
          </cell>
          <cell r="E2225">
            <v>1.2</v>
          </cell>
          <cell r="F2225">
            <v>0.4</v>
          </cell>
          <cell r="G2225">
            <v>3.85</v>
          </cell>
          <cell r="Q2225" t="str">
            <v>3/8"</v>
          </cell>
          <cell r="R2225">
            <v>3</v>
          </cell>
          <cell r="S2225">
            <v>4.1500000000000004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6.9720000000000013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</row>
        <row r="2226">
          <cell r="B2226" t="str">
            <v>Acero Inferior</v>
          </cell>
          <cell r="C2226">
            <v>1</v>
          </cell>
          <cell r="D2226">
            <v>1</v>
          </cell>
          <cell r="E2226">
            <v>1.2</v>
          </cell>
          <cell r="F2226">
            <v>0.2</v>
          </cell>
          <cell r="G2226">
            <v>2.6</v>
          </cell>
          <cell r="Q2226" t="str">
            <v>3/8"</v>
          </cell>
          <cell r="R2226">
            <v>6</v>
          </cell>
          <cell r="S2226">
            <v>2.9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9.7439999999999998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</row>
        <row r="2227">
          <cell r="B2227" t="str">
            <v>Acero Superior</v>
          </cell>
          <cell r="C2227">
            <v>1</v>
          </cell>
          <cell r="D2227">
            <v>1</v>
          </cell>
          <cell r="E2227">
            <v>1.2</v>
          </cell>
          <cell r="F2227">
            <v>0.4</v>
          </cell>
          <cell r="G2227">
            <v>2.6</v>
          </cell>
          <cell r="Q2227" t="str">
            <v>3/8"</v>
          </cell>
          <cell r="R2227">
            <v>3</v>
          </cell>
          <cell r="S2227">
            <v>2.9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4.8719999999999999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</row>
        <row r="2228">
          <cell r="B2228" t="str">
            <v>Acero Inferior</v>
          </cell>
          <cell r="C2228">
            <v>1</v>
          </cell>
          <cell r="D2228">
            <v>1</v>
          </cell>
          <cell r="E2228">
            <v>2.95</v>
          </cell>
          <cell r="F2228">
            <v>0.2</v>
          </cell>
          <cell r="G2228">
            <v>0.75</v>
          </cell>
          <cell r="Q2228" t="str">
            <v>3/8"</v>
          </cell>
          <cell r="R2228">
            <v>15</v>
          </cell>
          <cell r="S2228">
            <v>1.05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8.82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</row>
        <row r="2229">
          <cell r="B2229" t="str">
            <v>Acero Superior</v>
          </cell>
          <cell r="C2229">
            <v>1</v>
          </cell>
          <cell r="D2229">
            <v>1</v>
          </cell>
          <cell r="E2229">
            <v>2.95</v>
          </cell>
          <cell r="F2229">
            <v>0.4</v>
          </cell>
          <cell r="G2229">
            <v>0.75</v>
          </cell>
          <cell r="Q2229" t="str">
            <v>3/8"</v>
          </cell>
          <cell r="R2229">
            <v>7</v>
          </cell>
          <cell r="S2229">
            <v>1.05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4.1160000000000005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</row>
        <row r="2230">
          <cell r="B2230" t="str">
            <v>Acero Inferior</v>
          </cell>
          <cell r="C2230">
            <v>1</v>
          </cell>
          <cell r="D2230">
            <v>1</v>
          </cell>
          <cell r="E2230">
            <v>1.9</v>
          </cell>
          <cell r="F2230">
            <v>0.2</v>
          </cell>
          <cell r="G2230">
            <v>1.2</v>
          </cell>
          <cell r="Q2230" t="str">
            <v>3/8"</v>
          </cell>
          <cell r="R2230">
            <v>10</v>
          </cell>
          <cell r="S2230">
            <v>1.5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8.4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</row>
        <row r="2231">
          <cell r="B2231" t="str">
            <v>Acero Superior</v>
          </cell>
          <cell r="C2231">
            <v>1</v>
          </cell>
          <cell r="D2231">
            <v>1</v>
          </cell>
          <cell r="E2231">
            <v>1.9</v>
          </cell>
          <cell r="F2231">
            <v>0.4</v>
          </cell>
          <cell r="G2231">
            <v>1.2</v>
          </cell>
          <cell r="Q2231" t="str">
            <v>3/8"</v>
          </cell>
          <cell r="R2231">
            <v>5</v>
          </cell>
          <cell r="S2231">
            <v>1.5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4.2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</row>
        <row r="2232">
          <cell r="B2232" t="str">
            <v>Acero Inferior</v>
          </cell>
          <cell r="C2232">
            <v>1</v>
          </cell>
          <cell r="D2232">
            <v>1</v>
          </cell>
          <cell r="E2232">
            <v>1.7</v>
          </cell>
          <cell r="F2232">
            <v>0.2</v>
          </cell>
          <cell r="G2232">
            <v>2.2000000000000002</v>
          </cell>
          <cell r="Q2232" t="str">
            <v>3/8"</v>
          </cell>
          <cell r="R2232">
            <v>9</v>
          </cell>
          <cell r="S2232">
            <v>2.5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12.600000000000001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</row>
        <row r="2233">
          <cell r="B2233" t="str">
            <v>Acero Superior</v>
          </cell>
          <cell r="C2233">
            <v>1</v>
          </cell>
          <cell r="D2233">
            <v>1</v>
          </cell>
          <cell r="E2233">
            <v>1.7</v>
          </cell>
          <cell r="F2233">
            <v>0.4</v>
          </cell>
          <cell r="G2233">
            <v>2.2000000000000002</v>
          </cell>
          <cell r="Q2233" t="str">
            <v>3/8"</v>
          </cell>
          <cell r="R2233">
            <v>4</v>
          </cell>
          <cell r="S2233">
            <v>2.5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5.6000000000000005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</row>
        <row r="2234">
          <cell r="B2234" t="str">
            <v>Acero Transversal</v>
          </cell>
          <cell r="C2234">
            <v>1</v>
          </cell>
          <cell r="D2234">
            <v>1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</row>
        <row r="2235">
          <cell r="B2235" t="str">
            <v>Acero Inferior</v>
          </cell>
          <cell r="C2235">
            <v>1</v>
          </cell>
          <cell r="D2235">
            <v>1</v>
          </cell>
          <cell r="E2235">
            <v>2.65</v>
          </cell>
          <cell r="F2235">
            <v>0.2</v>
          </cell>
          <cell r="G2235">
            <v>0.9</v>
          </cell>
          <cell r="Q2235" t="str">
            <v>3/8"</v>
          </cell>
          <cell r="R2235">
            <v>13</v>
          </cell>
          <cell r="S2235">
            <v>1.2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8.7360000000000007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</row>
        <row r="2236">
          <cell r="B2236" t="str">
            <v>Acero Superior</v>
          </cell>
          <cell r="C2236">
            <v>1</v>
          </cell>
          <cell r="D2236">
            <v>1</v>
          </cell>
          <cell r="E2236">
            <v>2.65</v>
          </cell>
          <cell r="F2236">
            <v>0.4</v>
          </cell>
          <cell r="G2236">
            <v>0.9</v>
          </cell>
          <cell r="Q2236" t="str">
            <v>3/8"</v>
          </cell>
          <cell r="R2236">
            <v>7</v>
          </cell>
          <cell r="S2236">
            <v>1.2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4.7040000000000006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</row>
        <row r="2237">
          <cell r="B2237" t="str">
            <v>Acero Inferior</v>
          </cell>
          <cell r="C2237">
            <v>1</v>
          </cell>
          <cell r="D2237">
            <v>1</v>
          </cell>
          <cell r="E2237">
            <v>3.35</v>
          </cell>
          <cell r="F2237">
            <v>0.2</v>
          </cell>
          <cell r="G2237">
            <v>1.6</v>
          </cell>
          <cell r="Q2237" t="str">
            <v>3/8"</v>
          </cell>
          <cell r="R2237">
            <v>17</v>
          </cell>
          <cell r="S2237">
            <v>1.9000000000000001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18.088000000000005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</row>
        <row r="2238">
          <cell r="B2238" t="str">
            <v>Acero Superior</v>
          </cell>
          <cell r="C2238">
            <v>1</v>
          </cell>
          <cell r="D2238">
            <v>1</v>
          </cell>
          <cell r="E2238">
            <v>3.35</v>
          </cell>
          <cell r="F2238">
            <v>0.4</v>
          </cell>
          <cell r="G2238">
            <v>1.6</v>
          </cell>
          <cell r="Q2238" t="str">
            <v>3/8"</v>
          </cell>
          <cell r="R2238">
            <v>8</v>
          </cell>
          <cell r="S2238">
            <v>1.9000000000000001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8.5120000000000022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</row>
        <row r="2239">
          <cell r="B2239" t="str">
            <v>Acero Inferior</v>
          </cell>
          <cell r="C2239">
            <v>1</v>
          </cell>
          <cell r="D2239">
            <v>1</v>
          </cell>
          <cell r="E2239">
            <v>2.4</v>
          </cell>
          <cell r="F2239">
            <v>0.2</v>
          </cell>
          <cell r="G2239">
            <v>1.75</v>
          </cell>
          <cell r="Q2239" t="str">
            <v>3/8"</v>
          </cell>
          <cell r="R2239">
            <v>12</v>
          </cell>
          <cell r="S2239">
            <v>2.0499999999999998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13.776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</row>
        <row r="2240">
          <cell r="B2240" t="str">
            <v>Acero Superior</v>
          </cell>
          <cell r="C2240">
            <v>1</v>
          </cell>
          <cell r="D2240">
            <v>1</v>
          </cell>
          <cell r="E2240">
            <v>2.4</v>
          </cell>
          <cell r="F2240">
            <v>0.4</v>
          </cell>
          <cell r="G2240">
            <v>1.75</v>
          </cell>
          <cell r="Q2240" t="str">
            <v>3/8"</v>
          </cell>
          <cell r="R2240">
            <v>6</v>
          </cell>
          <cell r="S2240">
            <v>2.0499999999999998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6.8879999999999999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</row>
        <row r="2241">
          <cell r="B2241" t="str">
            <v>Acero Inferior</v>
          </cell>
          <cell r="C2241">
            <v>1</v>
          </cell>
          <cell r="D2241">
            <v>1</v>
          </cell>
          <cell r="E2241">
            <v>0.4</v>
          </cell>
          <cell r="F2241">
            <v>0.2</v>
          </cell>
          <cell r="G2241">
            <v>3.3</v>
          </cell>
          <cell r="Q2241" t="str">
            <v>3/8"</v>
          </cell>
          <cell r="R2241">
            <v>2</v>
          </cell>
          <cell r="S2241">
            <v>3.5999999999999996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4.032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</row>
        <row r="2242">
          <cell r="B2242" t="str">
            <v>Acero Superior</v>
          </cell>
          <cell r="C2242">
            <v>1</v>
          </cell>
          <cell r="D2242">
            <v>1</v>
          </cell>
          <cell r="E2242">
            <v>0.4</v>
          </cell>
          <cell r="F2242">
            <v>0.4</v>
          </cell>
          <cell r="G2242">
            <v>3.3</v>
          </cell>
          <cell r="Q2242" t="str">
            <v>3/8"</v>
          </cell>
          <cell r="R2242">
            <v>1</v>
          </cell>
          <cell r="S2242">
            <v>3.5999999999999996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2.016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</row>
        <row r="2243">
          <cell r="B2243" t="str">
            <v>Acero Inferior</v>
          </cell>
          <cell r="C2243">
            <v>1</v>
          </cell>
          <cell r="D2243">
            <v>1</v>
          </cell>
          <cell r="E2243">
            <v>0.85</v>
          </cell>
          <cell r="F2243">
            <v>0.2</v>
          </cell>
          <cell r="G2243">
            <v>2.2000000000000002</v>
          </cell>
          <cell r="Q2243" t="str">
            <v>3/8"</v>
          </cell>
          <cell r="R2243">
            <v>4</v>
          </cell>
          <cell r="S2243">
            <v>2.5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5.6000000000000005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</row>
        <row r="2244">
          <cell r="B2244" t="str">
            <v>Acero Superior</v>
          </cell>
          <cell r="C2244">
            <v>1</v>
          </cell>
          <cell r="D2244">
            <v>1</v>
          </cell>
          <cell r="E2244">
            <v>0.85</v>
          </cell>
          <cell r="F2244">
            <v>0.4</v>
          </cell>
          <cell r="G2244">
            <v>2.2000000000000002</v>
          </cell>
          <cell r="Q2244" t="str">
            <v>3/8"</v>
          </cell>
          <cell r="R2244">
            <v>2</v>
          </cell>
          <cell r="S2244">
            <v>2.5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2.8000000000000003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</row>
        <row r="2245">
          <cell r="B2245" t="str">
            <v>Acero Inferior</v>
          </cell>
          <cell r="C2245">
            <v>1</v>
          </cell>
          <cell r="D2245">
            <v>1</v>
          </cell>
          <cell r="E2245">
            <v>1.85</v>
          </cell>
          <cell r="F2245">
            <v>0.2</v>
          </cell>
          <cell r="G2245">
            <v>2.1</v>
          </cell>
          <cell r="Q2245" t="str">
            <v>3/8"</v>
          </cell>
          <cell r="R2245">
            <v>9</v>
          </cell>
          <cell r="S2245">
            <v>2.4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12.096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</row>
        <row r="2246">
          <cell r="B2246" t="str">
            <v>Acero Superior</v>
          </cell>
          <cell r="C2246">
            <v>1</v>
          </cell>
          <cell r="D2246">
            <v>1</v>
          </cell>
          <cell r="E2246">
            <v>1.85</v>
          </cell>
          <cell r="F2246">
            <v>0.4</v>
          </cell>
          <cell r="G2246">
            <v>2.1</v>
          </cell>
          <cell r="Q2246" t="str">
            <v>3/8"</v>
          </cell>
          <cell r="R2246">
            <v>5</v>
          </cell>
          <cell r="S2246">
            <v>2.4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6.7200000000000006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</row>
        <row r="2247">
          <cell r="AH2247">
            <v>0</v>
          </cell>
        </row>
        <row r="2248">
          <cell r="AH2248">
            <v>0</v>
          </cell>
        </row>
        <row r="2249">
          <cell r="A2249" t="str">
            <v>LOSA MAC20-CON280</v>
          </cell>
          <cell r="B2249" t="str">
            <v>Concreto f'c= 350 kg/cm2</v>
          </cell>
          <cell r="D2249" t="str">
            <v>M3</v>
          </cell>
          <cell r="E2249">
            <v>249.00000000000003</v>
          </cell>
          <cell r="AH2249">
            <v>0</v>
          </cell>
        </row>
        <row r="2250">
          <cell r="A2250" t="str">
            <v>LOSA MAC20-ENC</v>
          </cell>
          <cell r="B2250" t="str">
            <v xml:space="preserve">Encofrado y desencofrado </v>
          </cell>
          <cell r="D2250" t="str">
            <v>M2</v>
          </cell>
          <cell r="E2250">
            <v>1245</v>
          </cell>
          <cell r="AH2250">
            <v>0</v>
          </cell>
        </row>
        <row r="2251">
          <cell r="A2251" t="str">
            <v>LOSA MAC20-ACE</v>
          </cell>
          <cell r="B2251" t="str">
            <v>Acero de refuerzo</v>
          </cell>
          <cell r="D2251" t="str">
            <v>KG</v>
          </cell>
          <cell r="E2251">
            <v>14261.436000000002</v>
          </cell>
          <cell r="AH2251">
            <v>0</v>
          </cell>
        </row>
        <row r="2252">
          <cell r="AH2252">
            <v>0</v>
          </cell>
        </row>
        <row r="2255">
          <cell r="B2255" t="str">
            <v>LOSA ALIGERADA CONVENCIONAL H=20CM</v>
          </cell>
          <cell r="AH2255">
            <v>0</v>
          </cell>
        </row>
        <row r="2256">
          <cell r="AH2256">
            <v>0</v>
          </cell>
        </row>
        <row r="2257">
          <cell r="B2257" t="str">
            <v>PISO 1</v>
          </cell>
          <cell r="AH2257">
            <v>0</v>
          </cell>
        </row>
        <row r="2258">
          <cell r="AH2258">
            <v>0</v>
          </cell>
        </row>
        <row r="2259">
          <cell r="C2259">
            <v>1</v>
          </cell>
          <cell r="D2259">
            <v>1</v>
          </cell>
          <cell r="E2259">
            <v>85</v>
          </cell>
          <cell r="F2259">
            <v>1</v>
          </cell>
          <cell r="G2259">
            <v>0.09</v>
          </cell>
          <cell r="L2259">
            <v>7.6499999999999995</v>
          </cell>
          <cell r="M2259">
            <v>85</v>
          </cell>
          <cell r="N2259">
            <v>1</v>
          </cell>
          <cell r="O2259">
            <v>85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H2259">
            <v>0</v>
          </cell>
        </row>
        <row r="2260">
          <cell r="B2260" t="str">
            <v>Eje D/1</v>
          </cell>
          <cell r="C2260">
            <v>1</v>
          </cell>
          <cell r="D2260">
            <v>1</v>
          </cell>
          <cell r="M2260">
            <v>106</v>
          </cell>
          <cell r="N2260">
            <v>0.2</v>
          </cell>
          <cell r="O2260">
            <v>21.200000000000003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H2260">
            <v>0</v>
          </cell>
        </row>
        <row r="2261">
          <cell r="B2261" t="str">
            <v>Acero Inferior</v>
          </cell>
          <cell r="C2261">
            <v>1</v>
          </cell>
          <cell r="D2261">
            <v>1</v>
          </cell>
          <cell r="E2261">
            <v>1.55</v>
          </cell>
          <cell r="F2261">
            <v>0.4</v>
          </cell>
          <cell r="G2261">
            <v>4.05</v>
          </cell>
          <cell r="Q2261" t="str">
            <v>1/2"</v>
          </cell>
          <cell r="R2261">
            <v>5</v>
          </cell>
          <cell r="S2261">
            <v>4.3499999999999996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21.532499999999999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H2261">
            <v>21.532499999999999</v>
          </cell>
        </row>
        <row r="2262">
          <cell r="B2262" t="str">
            <v>Acero Baston</v>
          </cell>
          <cell r="C2262">
            <v>1</v>
          </cell>
          <cell r="D2262">
            <v>1</v>
          </cell>
          <cell r="E2262">
            <v>1.55</v>
          </cell>
          <cell r="F2262">
            <v>0.4</v>
          </cell>
          <cell r="G2262">
            <v>1</v>
          </cell>
          <cell r="Q2262" t="str">
            <v>3/8"</v>
          </cell>
          <cell r="R2262">
            <v>5</v>
          </cell>
          <cell r="S2262">
            <v>1.1499999999999999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3.22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H2262">
            <v>3.22</v>
          </cell>
        </row>
        <row r="2263">
          <cell r="B2263" t="str">
            <v>Acero Baston</v>
          </cell>
          <cell r="C2263">
            <v>1</v>
          </cell>
          <cell r="D2263">
            <v>1</v>
          </cell>
          <cell r="E2263">
            <v>1.55</v>
          </cell>
          <cell r="F2263">
            <v>0.4</v>
          </cell>
          <cell r="G2263">
            <v>1</v>
          </cell>
          <cell r="Q2263" t="str">
            <v>3/8"</v>
          </cell>
          <cell r="R2263">
            <v>5</v>
          </cell>
          <cell r="S2263">
            <v>1.1499999999999999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3.22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H2263">
            <v>3.22</v>
          </cell>
        </row>
        <row r="2264">
          <cell r="B2264" t="str">
            <v>Eje D/2</v>
          </cell>
          <cell r="C2264">
            <v>1</v>
          </cell>
          <cell r="D2264">
            <v>1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H2264">
            <v>0</v>
          </cell>
        </row>
        <row r="2265">
          <cell r="B2265" t="str">
            <v>Acero Inferior</v>
          </cell>
          <cell r="C2265">
            <v>1</v>
          </cell>
          <cell r="D2265">
            <v>1</v>
          </cell>
          <cell r="E2265">
            <v>2</v>
          </cell>
          <cell r="F2265">
            <v>0.4</v>
          </cell>
          <cell r="G2265">
            <v>4.05</v>
          </cell>
          <cell r="Q2265" t="str">
            <v>1/2"</v>
          </cell>
          <cell r="R2265">
            <v>6</v>
          </cell>
          <cell r="S2265">
            <v>4.3499999999999996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25.838999999999999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H2265">
            <v>25.838999999999999</v>
          </cell>
        </row>
        <row r="2266">
          <cell r="B2266" t="str">
            <v>Acero Baston</v>
          </cell>
          <cell r="C2266">
            <v>1</v>
          </cell>
          <cell r="D2266">
            <v>1</v>
          </cell>
          <cell r="E2266">
            <v>2</v>
          </cell>
          <cell r="F2266">
            <v>0.4</v>
          </cell>
          <cell r="G2266">
            <v>1</v>
          </cell>
          <cell r="Q2266" t="str">
            <v>3/8"</v>
          </cell>
          <cell r="R2266">
            <v>6</v>
          </cell>
          <cell r="S2266">
            <v>1.1499999999999999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3.8639999999999999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H2266">
            <v>3.8639999999999999</v>
          </cell>
        </row>
        <row r="2267">
          <cell r="B2267" t="str">
            <v>Acero Baston</v>
          </cell>
          <cell r="C2267">
            <v>1</v>
          </cell>
          <cell r="D2267">
            <v>1</v>
          </cell>
          <cell r="E2267">
            <v>2</v>
          </cell>
          <cell r="F2267">
            <v>0.4</v>
          </cell>
          <cell r="G2267">
            <v>1</v>
          </cell>
          <cell r="Q2267" t="str">
            <v>3/8"</v>
          </cell>
          <cell r="R2267">
            <v>6</v>
          </cell>
          <cell r="S2267">
            <v>1.1499999999999999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3.8639999999999999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H2267">
            <v>3.8639999999999999</v>
          </cell>
        </row>
        <row r="2268">
          <cell r="B2268" t="str">
            <v>Eje3/C</v>
          </cell>
          <cell r="C2268">
            <v>1</v>
          </cell>
          <cell r="D2268">
            <v>1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H2268">
            <v>0</v>
          </cell>
        </row>
        <row r="2269">
          <cell r="B2269" t="str">
            <v>Acero Inferior</v>
          </cell>
          <cell r="C2269">
            <v>1</v>
          </cell>
          <cell r="D2269">
            <v>1</v>
          </cell>
          <cell r="E2269">
            <v>7.7</v>
          </cell>
          <cell r="F2269">
            <v>0.4</v>
          </cell>
          <cell r="G2269">
            <v>3.45</v>
          </cell>
          <cell r="Q2269" t="str">
            <v>3/8"</v>
          </cell>
          <cell r="R2269">
            <v>20</v>
          </cell>
          <cell r="S2269">
            <v>3.75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42.000000000000007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H2269">
            <v>42.000000000000007</v>
          </cell>
        </row>
        <row r="2270">
          <cell r="B2270" t="str">
            <v>Acero Balancin</v>
          </cell>
          <cell r="C2270">
            <v>1</v>
          </cell>
          <cell r="D2270">
            <v>1</v>
          </cell>
          <cell r="E2270">
            <v>7.7</v>
          </cell>
          <cell r="F2270">
            <v>0.4</v>
          </cell>
          <cell r="G2270">
            <v>3.2</v>
          </cell>
          <cell r="Q2270" t="str">
            <v>1/2"</v>
          </cell>
          <cell r="R2270">
            <v>20</v>
          </cell>
          <cell r="S2270">
            <v>3.2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63.36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H2270">
            <v>63.36</v>
          </cell>
        </row>
        <row r="2271">
          <cell r="B2271" t="str">
            <v>Acero Balancin</v>
          </cell>
          <cell r="C2271">
            <v>1</v>
          </cell>
          <cell r="D2271">
            <v>1</v>
          </cell>
          <cell r="E2271">
            <v>7.7</v>
          </cell>
          <cell r="F2271">
            <v>0.4</v>
          </cell>
          <cell r="G2271">
            <v>6.5</v>
          </cell>
          <cell r="Q2271" t="str">
            <v>1/2"</v>
          </cell>
          <cell r="R2271">
            <v>20</v>
          </cell>
          <cell r="S2271">
            <v>6.5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128.69999999999999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H2271">
            <v>128.69999999999999</v>
          </cell>
        </row>
        <row r="2272">
          <cell r="B2272" t="str">
            <v>Eje D/3</v>
          </cell>
          <cell r="C2272">
            <v>1</v>
          </cell>
          <cell r="D2272">
            <v>1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H2272">
            <v>0</v>
          </cell>
        </row>
        <row r="2273">
          <cell r="B2273" t="str">
            <v>Acero Inferior</v>
          </cell>
          <cell r="C2273">
            <v>1</v>
          </cell>
          <cell r="D2273">
            <v>1</v>
          </cell>
          <cell r="E2273">
            <v>2.9</v>
          </cell>
          <cell r="F2273">
            <v>0.4</v>
          </cell>
          <cell r="G2273">
            <v>6</v>
          </cell>
          <cell r="Q2273" t="str">
            <v>1/2"</v>
          </cell>
          <cell r="R2273">
            <v>8</v>
          </cell>
          <cell r="S2273">
            <v>6.3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49.896000000000001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H2273">
            <v>49.896000000000001</v>
          </cell>
        </row>
        <row r="2274">
          <cell r="B2274" t="str">
            <v>Acero Inferior</v>
          </cell>
          <cell r="C2274">
            <v>1</v>
          </cell>
          <cell r="D2274">
            <v>1</v>
          </cell>
          <cell r="E2274">
            <v>2.9</v>
          </cell>
          <cell r="F2274">
            <v>0.4</v>
          </cell>
          <cell r="G2274">
            <v>3.6</v>
          </cell>
          <cell r="Q2274" t="str">
            <v>1/2"</v>
          </cell>
          <cell r="R2274">
            <v>8</v>
          </cell>
          <cell r="S2274">
            <v>3.6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28.512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H2274">
            <v>28.512</v>
          </cell>
        </row>
        <row r="2275">
          <cell r="B2275" t="str">
            <v>Acero Baston</v>
          </cell>
          <cell r="C2275">
            <v>1</v>
          </cell>
          <cell r="D2275">
            <v>1</v>
          </cell>
          <cell r="E2275">
            <v>2.9</v>
          </cell>
          <cell r="F2275">
            <v>0.4</v>
          </cell>
          <cell r="G2275">
            <v>1.4</v>
          </cell>
          <cell r="Q2275" t="str">
            <v>3/8"</v>
          </cell>
          <cell r="R2275">
            <v>8</v>
          </cell>
          <cell r="S2275">
            <v>1.5499999999999998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6.944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H2275">
            <v>6.944</v>
          </cell>
        </row>
        <row r="2276">
          <cell r="B2276" t="str">
            <v>Eje C/2</v>
          </cell>
          <cell r="C2276">
            <v>1</v>
          </cell>
          <cell r="D2276">
            <v>1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H2276">
            <v>0</v>
          </cell>
        </row>
        <row r="2277">
          <cell r="B2277" t="str">
            <v>Acero Inferior</v>
          </cell>
          <cell r="C2277">
            <v>1</v>
          </cell>
          <cell r="D2277">
            <v>1</v>
          </cell>
          <cell r="E2277">
            <v>1.25</v>
          </cell>
          <cell r="F2277">
            <v>0.4</v>
          </cell>
          <cell r="G2277">
            <v>6</v>
          </cell>
          <cell r="Q2277" t="str">
            <v>1/2"</v>
          </cell>
          <cell r="R2277">
            <v>4</v>
          </cell>
          <cell r="S2277">
            <v>6.3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24.948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H2277">
            <v>24.948</v>
          </cell>
        </row>
        <row r="2278">
          <cell r="B2278" t="str">
            <v>Acero Inferior</v>
          </cell>
          <cell r="C2278">
            <v>1</v>
          </cell>
          <cell r="D2278">
            <v>1</v>
          </cell>
          <cell r="E2278">
            <v>1.25</v>
          </cell>
          <cell r="F2278">
            <v>0.4</v>
          </cell>
          <cell r="G2278">
            <v>3.6</v>
          </cell>
          <cell r="Q2278" t="str">
            <v>3/8"</v>
          </cell>
          <cell r="R2278">
            <v>4</v>
          </cell>
          <cell r="S2278">
            <v>3.6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8.0640000000000018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H2278">
            <v>8.0640000000000018</v>
          </cell>
        </row>
        <row r="2279">
          <cell r="B2279" t="str">
            <v>Acero Baston</v>
          </cell>
          <cell r="C2279">
            <v>1</v>
          </cell>
          <cell r="D2279">
            <v>1</v>
          </cell>
          <cell r="E2279">
            <v>1.25</v>
          </cell>
          <cell r="F2279">
            <v>0.4</v>
          </cell>
          <cell r="G2279">
            <v>1.4</v>
          </cell>
          <cell r="Q2279" t="str">
            <v>3/8"</v>
          </cell>
          <cell r="R2279">
            <v>4</v>
          </cell>
          <cell r="S2279">
            <v>1.5499999999999998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3.472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H2279">
            <v>3.472</v>
          </cell>
        </row>
        <row r="2280">
          <cell r="B2280" t="str">
            <v>Eje B/2</v>
          </cell>
          <cell r="C2280">
            <v>1</v>
          </cell>
          <cell r="D2280">
            <v>1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H2280">
            <v>0</v>
          </cell>
        </row>
        <row r="2281">
          <cell r="B2281" t="str">
            <v>Acero Inferior</v>
          </cell>
          <cell r="C2281">
            <v>1</v>
          </cell>
          <cell r="D2281">
            <v>1</v>
          </cell>
          <cell r="E2281">
            <v>3.15</v>
          </cell>
          <cell r="F2281">
            <v>0.4</v>
          </cell>
          <cell r="G2281">
            <v>3.1</v>
          </cell>
          <cell r="Q2281" t="str">
            <v>3/8"</v>
          </cell>
          <cell r="R2281">
            <v>9</v>
          </cell>
          <cell r="S2281">
            <v>3.4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17.135999999999999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H2281">
            <v>17.135999999999999</v>
          </cell>
        </row>
        <row r="2282">
          <cell r="B2282" t="str">
            <v>Acero Inferior</v>
          </cell>
          <cell r="C2282">
            <v>1</v>
          </cell>
          <cell r="D2282">
            <v>1</v>
          </cell>
          <cell r="E2282">
            <v>3.15</v>
          </cell>
          <cell r="F2282">
            <v>0.4</v>
          </cell>
          <cell r="G2282">
            <v>5.75</v>
          </cell>
          <cell r="Q2282" t="str">
            <v>3/8"</v>
          </cell>
          <cell r="R2282">
            <v>9</v>
          </cell>
          <cell r="S2282">
            <v>5.75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28.980000000000004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H2282">
            <v>28.980000000000004</v>
          </cell>
        </row>
        <row r="2283">
          <cell r="B2283" t="str">
            <v>Eje A/2</v>
          </cell>
          <cell r="C2283">
            <v>1</v>
          </cell>
          <cell r="D2283">
            <v>1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H2283">
            <v>0</v>
          </cell>
        </row>
        <row r="2284">
          <cell r="B2284" t="str">
            <v>Acero Inferior</v>
          </cell>
          <cell r="C2284">
            <v>1</v>
          </cell>
          <cell r="D2284">
            <v>1</v>
          </cell>
          <cell r="E2284">
            <v>2.6</v>
          </cell>
          <cell r="F2284">
            <v>0.4</v>
          </cell>
          <cell r="G2284">
            <v>6.5</v>
          </cell>
          <cell r="Q2284" t="str">
            <v>3/8"</v>
          </cell>
          <cell r="R2284">
            <v>8</v>
          </cell>
          <cell r="S2284">
            <v>6.8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30.464000000000002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H2284">
            <v>30.464000000000002</v>
          </cell>
        </row>
        <row r="2285">
          <cell r="B2285" t="str">
            <v>Acero Inferior</v>
          </cell>
          <cell r="C2285">
            <v>1</v>
          </cell>
          <cell r="D2285">
            <v>1</v>
          </cell>
          <cell r="E2285">
            <v>2.6</v>
          </cell>
          <cell r="F2285">
            <v>0.4</v>
          </cell>
          <cell r="G2285">
            <v>5.75</v>
          </cell>
          <cell r="Q2285" t="str">
            <v>3/8"</v>
          </cell>
          <cell r="R2285">
            <v>8</v>
          </cell>
          <cell r="S2285">
            <v>5.75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25.76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H2285">
            <v>25.76</v>
          </cell>
        </row>
        <row r="2286">
          <cell r="B2286" t="str">
            <v>Acero Baston</v>
          </cell>
          <cell r="C2286">
            <v>1</v>
          </cell>
          <cell r="D2286">
            <v>1</v>
          </cell>
          <cell r="E2286">
            <v>2.6</v>
          </cell>
          <cell r="F2286">
            <v>0.4</v>
          </cell>
          <cell r="G2286">
            <v>1.4</v>
          </cell>
          <cell r="Q2286" t="str">
            <v>3/8"</v>
          </cell>
          <cell r="R2286">
            <v>8</v>
          </cell>
          <cell r="S2286">
            <v>1.5499999999999998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6.944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H2286">
            <v>6.944</v>
          </cell>
        </row>
        <row r="2287">
          <cell r="B2287" t="str">
            <v>Eje 3/A</v>
          </cell>
          <cell r="C2287">
            <v>1</v>
          </cell>
          <cell r="D2287">
            <v>1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H2287">
            <v>0</v>
          </cell>
        </row>
        <row r="2288">
          <cell r="B2288" t="str">
            <v>Acero Inferior</v>
          </cell>
          <cell r="C2288">
            <v>1</v>
          </cell>
          <cell r="D2288">
            <v>1</v>
          </cell>
          <cell r="E2288">
            <v>1.55</v>
          </cell>
          <cell r="F2288">
            <v>0.4</v>
          </cell>
          <cell r="G2288">
            <v>3.5</v>
          </cell>
          <cell r="Q2288" t="str">
            <v>3/8"</v>
          </cell>
          <cell r="R2288">
            <v>5</v>
          </cell>
          <cell r="S2288">
            <v>3.8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10.64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H2288">
            <v>10.64</v>
          </cell>
        </row>
        <row r="2289">
          <cell r="B2289" t="str">
            <v>Acero Inferior</v>
          </cell>
          <cell r="C2289">
            <v>1</v>
          </cell>
          <cell r="D2289">
            <v>1</v>
          </cell>
          <cell r="E2289">
            <v>1.55</v>
          </cell>
          <cell r="F2289">
            <v>0.4</v>
          </cell>
          <cell r="G2289">
            <v>2.0499999999999998</v>
          </cell>
          <cell r="Q2289" t="str">
            <v>3/8"</v>
          </cell>
          <cell r="R2289">
            <v>5</v>
          </cell>
          <cell r="S2289">
            <v>2.0499999999999998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5.74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H2289">
            <v>5.74</v>
          </cell>
        </row>
        <row r="2290">
          <cell r="B2290" t="str">
            <v>Acero Baston</v>
          </cell>
          <cell r="C2290">
            <v>1</v>
          </cell>
          <cell r="D2290">
            <v>1</v>
          </cell>
          <cell r="E2290">
            <v>1.55</v>
          </cell>
          <cell r="F2290">
            <v>0.4</v>
          </cell>
          <cell r="G2290">
            <v>0.9</v>
          </cell>
          <cell r="Q2290" t="str">
            <v>1/2"</v>
          </cell>
          <cell r="R2290">
            <v>5</v>
          </cell>
          <cell r="S2290">
            <v>1.05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5.1974999999999998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H2290">
            <v>5.1974999999999998</v>
          </cell>
        </row>
        <row r="2291">
          <cell r="B2291" t="str">
            <v>Acero Balancin</v>
          </cell>
          <cell r="C2291">
            <v>1</v>
          </cell>
          <cell r="D2291">
            <v>1</v>
          </cell>
          <cell r="E2291">
            <v>1.55</v>
          </cell>
          <cell r="F2291">
            <v>0.4</v>
          </cell>
          <cell r="G2291">
            <v>2.4500000000000002</v>
          </cell>
          <cell r="Q2291" t="str">
            <v>3/8"</v>
          </cell>
          <cell r="R2291">
            <v>5</v>
          </cell>
          <cell r="S2291">
            <v>2.4500000000000002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6.86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H2291">
            <v>6.86</v>
          </cell>
        </row>
        <row r="2292">
          <cell r="B2292" t="str">
            <v>Temperatura</v>
          </cell>
          <cell r="C2292">
            <v>1</v>
          </cell>
          <cell r="D2292">
            <v>85</v>
          </cell>
          <cell r="E2292">
            <v>1</v>
          </cell>
          <cell r="F2292">
            <v>0.25</v>
          </cell>
          <cell r="G2292">
            <v>1</v>
          </cell>
          <cell r="Q2292" t="str">
            <v>1/4"</v>
          </cell>
          <cell r="R2292">
            <v>4</v>
          </cell>
          <cell r="S2292">
            <v>1.05</v>
          </cell>
          <cell r="T2292">
            <v>0</v>
          </cell>
          <cell r="U2292">
            <v>89.25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H2292">
            <v>0</v>
          </cell>
        </row>
        <row r="2293"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</row>
        <row r="2294">
          <cell r="B2294" t="str">
            <v>PISO 2-13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H2294">
            <v>0</v>
          </cell>
        </row>
        <row r="2295"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H2295">
            <v>0</v>
          </cell>
        </row>
        <row r="2296">
          <cell r="C2296">
            <v>12</v>
          </cell>
          <cell r="D2296">
            <v>1</v>
          </cell>
          <cell r="E2296">
            <v>80</v>
          </cell>
          <cell r="F2296">
            <v>1</v>
          </cell>
          <cell r="G2296">
            <v>0.09</v>
          </cell>
          <cell r="L2296">
            <v>86.399999999999991</v>
          </cell>
          <cell r="M2296">
            <v>80</v>
          </cell>
          <cell r="N2296">
            <v>1</v>
          </cell>
          <cell r="O2296">
            <v>960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H2296">
            <v>0</v>
          </cell>
        </row>
        <row r="2297">
          <cell r="B2297" t="str">
            <v>Eje D/1</v>
          </cell>
          <cell r="C2297">
            <v>12</v>
          </cell>
          <cell r="D2297">
            <v>1</v>
          </cell>
          <cell r="M2297">
            <v>106</v>
          </cell>
          <cell r="N2297">
            <v>0.2</v>
          </cell>
          <cell r="O2297">
            <v>254.40000000000003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H2297">
            <v>0</v>
          </cell>
        </row>
        <row r="2298">
          <cell r="B2298" t="str">
            <v>Acero Inferior</v>
          </cell>
          <cell r="C2298">
            <v>12</v>
          </cell>
          <cell r="D2298">
            <v>1</v>
          </cell>
          <cell r="E2298">
            <v>1.55</v>
          </cell>
          <cell r="F2298">
            <v>0.4</v>
          </cell>
          <cell r="G2298">
            <v>4.05</v>
          </cell>
          <cell r="Q2298" t="str">
            <v>1/2"</v>
          </cell>
          <cell r="R2298">
            <v>5</v>
          </cell>
          <cell r="S2298">
            <v>4.3499999999999996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258.39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H2298">
            <v>258.39</v>
          </cell>
        </row>
        <row r="2299">
          <cell r="B2299" t="str">
            <v>Acero Baston</v>
          </cell>
          <cell r="C2299">
            <v>12</v>
          </cell>
          <cell r="D2299">
            <v>1</v>
          </cell>
          <cell r="E2299">
            <v>1.55</v>
          </cell>
          <cell r="F2299">
            <v>0.4</v>
          </cell>
          <cell r="G2299">
            <v>1</v>
          </cell>
          <cell r="Q2299" t="str">
            <v>3/8"</v>
          </cell>
          <cell r="R2299">
            <v>5</v>
          </cell>
          <cell r="S2299">
            <v>1.1499999999999999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38.64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H2299">
            <v>38.64</v>
          </cell>
        </row>
        <row r="2300">
          <cell r="B2300" t="str">
            <v>Acero Baston</v>
          </cell>
          <cell r="C2300">
            <v>12</v>
          </cell>
          <cell r="D2300">
            <v>1</v>
          </cell>
          <cell r="E2300">
            <v>1.55</v>
          </cell>
          <cell r="F2300">
            <v>0.4</v>
          </cell>
          <cell r="G2300">
            <v>1</v>
          </cell>
          <cell r="Q2300" t="str">
            <v>3/8"</v>
          </cell>
          <cell r="R2300">
            <v>5</v>
          </cell>
          <cell r="S2300">
            <v>1.1499999999999999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38.64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H2300">
            <v>38.64</v>
          </cell>
        </row>
        <row r="2301">
          <cell r="B2301" t="str">
            <v>Eje D/2</v>
          </cell>
          <cell r="C2301">
            <v>12</v>
          </cell>
          <cell r="D2301">
            <v>1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H2301">
            <v>0</v>
          </cell>
        </row>
        <row r="2302">
          <cell r="B2302" t="str">
            <v>Acero Inferior</v>
          </cell>
          <cell r="C2302">
            <v>12</v>
          </cell>
          <cell r="D2302">
            <v>1</v>
          </cell>
          <cell r="E2302">
            <v>2</v>
          </cell>
          <cell r="F2302">
            <v>0.4</v>
          </cell>
          <cell r="G2302">
            <v>4.05</v>
          </cell>
          <cell r="Q2302" t="str">
            <v>1/2"</v>
          </cell>
          <cell r="R2302">
            <v>6</v>
          </cell>
          <cell r="S2302">
            <v>4.3499999999999996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310.06799999999998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H2302">
            <v>310.06799999999998</v>
          </cell>
        </row>
        <row r="2303">
          <cell r="B2303" t="str">
            <v>Acero Baston</v>
          </cell>
          <cell r="C2303">
            <v>12</v>
          </cell>
          <cell r="D2303">
            <v>1</v>
          </cell>
          <cell r="E2303">
            <v>2</v>
          </cell>
          <cell r="F2303">
            <v>0.4</v>
          </cell>
          <cell r="G2303">
            <v>1</v>
          </cell>
          <cell r="Q2303" t="str">
            <v>3/8"</v>
          </cell>
          <cell r="R2303">
            <v>6</v>
          </cell>
          <cell r="S2303">
            <v>1.1499999999999999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46.367999999999995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H2303">
            <v>46.367999999999995</v>
          </cell>
        </row>
        <row r="2304">
          <cell r="B2304" t="str">
            <v>Acero Baston</v>
          </cell>
          <cell r="C2304">
            <v>12</v>
          </cell>
          <cell r="D2304">
            <v>1</v>
          </cell>
          <cell r="E2304">
            <v>2</v>
          </cell>
          <cell r="F2304">
            <v>0.4</v>
          </cell>
          <cell r="G2304">
            <v>1</v>
          </cell>
          <cell r="Q2304" t="str">
            <v>3/8"</v>
          </cell>
          <cell r="R2304">
            <v>6</v>
          </cell>
          <cell r="S2304">
            <v>1.1499999999999999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46.367999999999995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H2304">
            <v>46.367999999999995</v>
          </cell>
        </row>
        <row r="2305">
          <cell r="B2305" t="str">
            <v>Eje3/C</v>
          </cell>
          <cell r="C2305">
            <v>12</v>
          </cell>
          <cell r="D2305">
            <v>1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H2305">
            <v>0</v>
          </cell>
        </row>
        <row r="2306">
          <cell r="B2306" t="str">
            <v>Acero Inferior</v>
          </cell>
          <cell r="C2306">
            <v>12</v>
          </cell>
          <cell r="D2306">
            <v>1</v>
          </cell>
          <cell r="E2306">
            <v>7.7</v>
          </cell>
          <cell r="F2306">
            <v>0.4</v>
          </cell>
          <cell r="G2306">
            <v>3.45</v>
          </cell>
          <cell r="Q2306" t="str">
            <v>3/8"</v>
          </cell>
          <cell r="R2306">
            <v>20</v>
          </cell>
          <cell r="S2306">
            <v>3.75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504.00000000000011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H2306">
            <v>504.00000000000011</v>
          </cell>
        </row>
        <row r="2307">
          <cell r="B2307" t="str">
            <v>Acero Balancin</v>
          </cell>
          <cell r="C2307">
            <v>12</v>
          </cell>
          <cell r="D2307">
            <v>1</v>
          </cell>
          <cell r="E2307">
            <v>7.7</v>
          </cell>
          <cell r="F2307">
            <v>0.4</v>
          </cell>
          <cell r="G2307">
            <v>3.2</v>
          </cell>
          <cell r="Q2307" t="str">
            <v>1/2"</v>
          </cell>
          <cell r="R2307">
            <v>20</v>
          </cell>
          <cell r="S2307">
            <v>3.2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760.31999999999994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H2307">
            <v>760.31999999999994</v>
          </cell>
        </row>
        <row r="2308">
          <cell r="B2308" t="str">
            <v>Acero Balancin</v>
          </cell>
          <cell r="C2308">
            <v>12</v>
          </cell>
          <cell r="D2308">
            <v>1</v>
          </cell>
          <cell r="E2308">
            <v>7.7</v>
          </cell>
          <cell r="F2308">
            <v>0.4</v>
          </cell>
          <cell r="G2308">
            <v>6.5</v>
          </cell>
          <cell r="Q2308" t="str">
            <v>1/2"</v>
          </cell>
          <cell r="R2308">
            <v>20</v>
          </cell>
          <cell r="S2308">
            <v>6.5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1544.3999999999999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H2308">
            <v>1544.3999999999999</v>
          </cell>
        </row>
        <row r="2309">
          <cell r="B2309" t="str">
            <v>Eje D/3</v>
          </cell>
          <cell r="C2309">
            <v>12</v>
          </cell>
          <cell r="D2309">
            <v>1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H2309">
            <v>0</v>
          </cell>
        </row>
        <row r="2310">
          <cell r="B2310" t="str">
            <v>Acero Inferior</v>
          </cell>
          <cell r="C2310">
            <v>12</v>
          </cell>
          <cell r="D2310">
            <v>1</v>
          </cell>
          <cell r="E2310">
            <v>2.9</v>
          </cell>
          <cell r="F2310">
            <v>0.4</v>
          </cell>
          <cell r="G2310">
            <v>6</v>
          </cell>
          <cell r="Q2310" t="str">
            <v>1/2"</v>
          </cell>
          <cell r="R2310">
            <v>8</v>
          </cell>
          <cell r="S2310">
            <v>6.3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598.75199999999995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H2310">
            <v>598.75199999999995</v>
          </cell>
        </row>
        <row r="2311">
          <cell r="B2311" t="str">
            <v>Acero Inferior</v>
          </cell>
          <cell r="C2311">
            <v>12</v>
          </cell>
          <cell r="D2311">
            <v>1</v>
          </cell>
          <cell r="E2311">
            <v>2.9</v>
          </cell>
          <cell r="F2311">
            <v>0.4</v>
          </cell>
          <cell r="G2311">
            <v>3.6</v>
          </cell>
          <cell r="Q2311" t="str">
            <v>1/2"</v>
          </cell>
          <cell r="R2311">
            <v>8</v>
          </cell>
          <cell r="S2311">
            <v>3.6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342.14400000000001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H2311">
            <v>342.14400000000001</v>
          </cell>
        </row>
        <row r="2312">
          <cell r="B2312" t="str">
            <v>Acero Baston</v>
          </cell>
          <cell r="C2312">
            <v>12</v>
          </cell>
          <cell r="D2312">
            <v>1</v>
          </cell>
          <cell r="E2312">
            <v>2.9</v>
          </cell>
          <cell r="F2312">
            <v>0.4</v>
          </cell>
          <cell r="G2312">
            <v>1.4</v>
          </cell>
          <cell r="Q2312" t="str">
            <v>3/8"</v>
          </cell>
          <cell r="R2312">
            <v>8</v>
          </cell>
          <cell r="S2312">
            <v>1.5499999999999998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83.328000000000003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H2312">
            <v>83.328000000000003</v>
          </cell>
        </row>
        <row r="2313">
          <cell r="B2313" t="str">
            <v>Eje C/2</v>
          </cell>
          <cell r="C2313">
            <v>12</v>
          </cell>
          <cell r="D2313">
            <v>1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H2313">
            <v>0</v>
          </cell>
        </row>
        <row r="2314">
          <cell r="B2314" t="str">
            <v>Acero Inferior</v>
          </cell>
          <cell r="C2314">
            <v>12</v>
          </cell>
          <cell r="D2314">
            <v>1</v>
          </cell>
          <cell r="E2314">
            <v>1.25</v>
          </cell>
          <cell r="F2314">
            <v>0.4</v>
          </cell>
          <cell r="G2314">
            <v>6</v>
          </cell>
          <cell r="Q2314" t="str">
            <v>1/2"</v>
          </cell>
          <cell r="R2314">
            <v>4</v>
          </cell>
          <cell r="S2314">
            <v>6.3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299.37599999999998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H2314">
            <v>299.37599999999998</v>
          </cell>
        </row>
        <row r="2315">
          <cell r="B2315" t="str">
            <v>Acero Inferior</v>
          </cell>
          <cell r="C2315">
            <v>12</v>
          </cell>
          <cell r="D2315">
            <v>1</v>
          </cell>
          <cell r="E2315">
            <v>1.25</v>
          </cell>
          <cell r="F2315">
            <v>0.4</v>
          </cell>
          <cell r="G2315">
            <v>3.6</v>
          </cell>
          <cell r="Q2315" t="str">
            <v>3/8"</v>
          </cell>
          <cell r="R2315">
            <v>4</v>
          </cell>
          <cell r="S2315">
            <v>3.6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96.768000000000029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H2315">
            <v>96.768000000000029</v>
          </cell>
        </row>
        <row r="2316">
          <cell r="B2316" t="str">
            <v>Acero Baston</v>
          </cell>
          <cell r="C2316">
            <v>12</v>
          </cell>
          <cell r="D2316">
            <v>1</v>
          </cell>
          <cell r="E2316">
            <v>1.25</v>
          </cell>
          <cell r="F2316">
            <v>0.4</v>
          </cell>
          <cell r="G2316">
            <v>1.4</v>
          </cell>
          <cell r="Q2316" t="str">
            <v>3/8"</v>
          </cell>
          <cell r="R2316">
            <v>4</v>
          </cell>
          <cell r="S2316">
            <v>1.5499999999999998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41.664000000000001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H2316">
            <v>41.664000000000001</v>
          </cell>
        </row>
        <row r="2317">
          <cell r="B2317" t="str">
            <v>Eje B/2</v>
          </cell>
          <cell r="C2317">
            <v>12</v>
          </cell>
          <cell r="D2317">
            <v>1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H2317">
            <v>0</v>
          </cell>
        </row>
        <row r="2318">
          <cell r="B2318" t="str">
            <v>Acero Inferior</v>
          </cell>
          <cell r="C2318">
            <v>12</v>
          </cell>
          <cell r="D2318">
            <v>1</v>
          </cell>
          <cell r="E2318">
            <v>3.15</v>
          </cell>
          <cell r="F2318">
            <v>0.4</v>
          </cell>
          <cell r="G2318">
            <v>3.1</v>
          </cell>
          <cell r="Q2318" t="str">
            <v>3/8"</v>
          </cell>
          <cell r="R2318">
            <v>9</v>
          </cell>
          <cell r="S2318">
            <v>3.4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205.63200000000001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H2318">
            <v>205.63200000000001</v>
          </cell>
        </row>
        <row r="2319">
          <cell r="B2319" t="str">
            <v>Acero Inferior</v>
          </cell>
          <cell r="C2319">
            <v>12</v>
          </cell>
          <cell r="D2319">
            <v>1</v>
          </cell>
          <cell r="E2319">
            <v>3.15</v>
          </cell>
          <cell r="F2319">
            <v>0.4</v>
          </cell>
          <cell r="G2319">
            <v>5.75</v>
          </cell>
          <cell r="Q2319" t="str">
            <v>3/8"</v>
          </cell>
          <cell r="R2319">
            <v>9</v>
          </cell>
          <cell r="S2319">
            <v>5.75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347.76000000000005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H2319">
            <v>347.76000000000005</v>
          </cell>
        </row>
        <row r="2320">
          <cell r="B2320" t="str">
            <v>Eje A/2</v>
          </cell>
          <cell r="C2320">
            <v>12</v>
          </cell>
          <cell r="D2320">
            <v>1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H2320">
            <v>0</v>
          </cell>
        </row>
        <row r="2321">
          <cell r="B2321" t="str">
            <v>Acero Inferior</v>
          </cell>
          <cell r="C2321">
            <v>12</v>
          </cell>
          <cell r="D2321">
            <v>1</v>
          </cell>
          <cell r="E2321">
            <v>2.6</v>
          </cell>
          <cell r="F2321">
            <v>0.4</v>
          </cell>
          <cell r="G2321">
            <v>6.5</v>
          </cell>
          <cell r="Q2321" t="str">
            <v>3/8"</v>
          </cell>
          <cell r="R2321">
            <v>8</v>
          </cell>
          <cell r="S2321">
            <v>6.8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365.56800000000004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H2321">
            <v>365.56800000000004</v>
          </cell>
        </row>
        <row r="2322">
          <cell r="B2322" t="str">
            <v>Acero Inferior</v>
          </cell>
          <cell r="C2322">
            <v>12</v>
          </cell>
          <cell r="D2322">
            <v>1</v>
          </cell>
          <cell r="E2322">
            <v>2.6</v>
          </cell>
          <cell r="F2322">
            <v>0.4</v>
          </cell>
          <cell r="G2322">
            <v>5.75</v>
          </cell>
          <cell r="Q2322" t="str">
            <v>3/8"</v>
          </cell>
          <cell r="R2322">
            <v>8</v>
          </cell>
          <cell r="S2322">
            <v>5.75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309.12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H2322">
            <v>309.12</v>
          </cell>
        </row>
        <row r="2323">
          <cell r="B2323" t="str">
            <v>Acero Baston</v>
          </cell>
          <cell r="C2323">
            <v>12</v>
          </cell>
          <cell r="D2323">
            <v>1</v>
          </cell>
          <cell r="E2323">
            <v>2.6</v>
          </cell>
          <cell r="F2323">
            <v>0.4</v>
          </cell>
          <cell r="G2323">
            <v>1.4</v>
          </cell>
          <cell r="Q2323" t="str">
            <v>3/8"</v>
          </cell>
          <cell r="R2323">
            <v>8</v>
          </cell>
          <cell r="S2323">
            <v>1.5499999999999998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83.328000000000003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H2323">
            <v>83.328000000000003</v>
          </cell>
        </row>
        <row r="2324">
          <cell r="B2324" t="str">
            <v>Eje 3/A</v>
          </cell>
          <cell r="C2324">
            <v>12</v>
          </cell>
          <cell r="D2324">
            <v>1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H2324">
            <v>0</v>
          </cell>
        </row>
        <row r="2325">
          <cell r="B2325" t="str">
            <v>Acero Inferior</v>
          </cell>
          <cell r="C2325">
            <v>12</v>
          </cell>
          <cell r="D2325">
            <v>1</v>
          </cell>
          <cell r="E2325">
            <v>1.55</v>
          </cell>
          <cell r="F2325">
            <v>0.4</v>
          </cell>
          <cell r="G2325">
            <v>3.5</v>
          </cell>
          <cell r="Q2325" t="str">
            <v>3/8"</v>
          </cell>
          <cell r="R2325">
            <v>5</v>
          </cell>
          <cell r="S2325">
            <v>3.8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127.68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H2325">
            <v>127.68</v>
          </cell>
        </row>
        <row r="2326">
          <cell r="B2326" t="str">
            <v>Acero Inferior</v>
          </cell>
          <cell r="C2326">
            <v>12</v>
          </cell>
          <cell r="D2326">
            <v>1</v>
          </cell>
          <cell r="E2326">
            <v>1.55</v>
          </cell>
          <cell r="F2326">
            <v>0.4</v>
          </cell>
          <cell r="G2326">
            <v>2.0499999999999998</v>
          </cell>
          <cell r="Q2326" t="str">
            <v>3/8"</v>
          </cell>
          <cell r="R2326">
            <v>5</v>
          </cell>
          <cell r="S2326">
            <v>2.0499999999999998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68.88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H2326">
            <v>68.88</v>
          </cell>
        </row>
        <row r="2327">
          <cell r="B2327" t="str">
            <v>Acero Baston</v>
          </cell>
          <cell r="C2327">
            <v>12</v>
          </cell>
          <cell r="D2327">
            <v>1</v>
          </cell>
          <cell r="E2327">
            <v>1.55</v>
          </cell>
          <cell r="F2327">
            <v>0.4</v>
          </cell>
          <cell r="G2327">
            <v>0.9</v>
          </cell>
          <cell r="Q2327" t="str">
            <v>1/2"</v>
          </cell>
          <cell r="R2327">
            <v>5</v>
          </cell>
          <cell r="S2327">
            <v>1.05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62.37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H2327">
            <v>62.37</v>
          </cell>
        </row>
        <row r="2328">
          <cell r="B2328" t="str">
            <v>Acero Balancin</v>
          </cell>
          <cell r="C2328">
            <v>12</v>
          </cell>
          <cell r="D2328">
            <v>1</v>
          </cell>
          <cell r="E2328">
            <v>1.55</v>
          </cell>
          <cell r="F2328">
            <v>0.4</v>
          </cell>
          <cell r="G2328">
            <v>2.4500000000000002</v>
          </cell>
          <cell r="Q2328" t="str">
            <v>3/8"</v>
          </cell>
          <cell r="R2328">
            <v>5</v>
          </cell>
          <cell r="S2328">
            <v>2.4500000000000002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82.320000000000007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H2328">
            <v>82.320000000000007</v>
          </cell>
        </row>
        <row r="2329">
          <cell r="B2329" t="str">
            <v>Temperatura</v>
          </cell>
          <cell r="C2329">
            <v>12</v>
          </cell>
          <cell r="D2329">
            <v>80</v>
          </cell>
          <cell r="E2329">
            <v>1</v>
          </cell>
          <cell r="F2329">
            <v>0.25</v>
          </cell>
          <cell r="G2329">
            <v>1</v>
          </cell>
          <cell r="Q2329" t="str">
            <v>1/4"</v>
          </cell>
          <cell r="R2329">
            <v>4</v>
          </cell>
          <cell r="S2329">
            <v>1.05</v>
          </cell>
          <cell r="T2329">
            <v>0</v>
          </cell>
          <cell r="U2329">
            <v>1008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H2329">
            <v>0</v>
          </cell>
        </row>
        <row r="2330">
          <cell r="B2330" t="str">
            <v>PISO 14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H2330">
            <v>0</v>
          </cell>
        </row>
        <row r="2331"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H2331">
            <v>0</v>
          </cell>
        </row>
        <row r="2332">
          <cell r="C2332">
            <v>1</v>
          </cell>
          <cell r="D2332">
            <v>1</v>
          </cell>
          <cell r="E2332">
            <v>100</v>
          </cell>
          <cell r="F2332">
            <v>1</v>
          </cell>
          <cell r="G2332">
            <v>0.09</v>
          </cell>
          <cell r="L2332">
            <v>9</v>
          </cell>
          <cell r="M2332">
            <v>100</v>
          </cell>
          <cell r="N2332">
            <v>1</v>
          </cell>
          <cell r="O2332">
            <v>100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H2332">
            <v>0</v>
          </cell>
        </row>
        <row r="2333">
          <cell r="B2333" t="str">
            <v>Eje D/1</v>
          </cell>
          <cell r="C2333">
            <v>1</v>
          </cell>
          <cell r="D2333">
            <v>1</v>
          </cell>
          <cell r="M2333">
            <v>106</v>
          </cell>
          <cell r="N2333">
            <v>0.2</v>
          </cell>
          <cell r="O2333">
            <v>21.200000000000003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H2333">
            <v>0</v>
          </cell>
        </row>
        <row r="2334">
          <cell r="B2334" t="str">
            <v>Acero Inferior</v>
          </cell>
          <cell r="C2334">
            <v>1</v>
          </cell>
          <cell r="D2334">
            <v>1</v>
          </cell>
          <cell r="E2334">
            <v>1.55</v>
          </cell>
          <cell r="F2334">
            <v>0.4</v>
          </cell>
          <cell r="G2334">
            <v>4.05</v>
          </cell>
          <cell r="Q2334" t="str">
            <v>1/2"</v>
          </cell>
          <cell r="R2334">
            <v>5</v>
          </cell>
          <cell r="S2334">
            <v>4.3499999999999996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21.532499999999999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H2334">
            <v>21.532499999999999</v>
          </cell>
        </row>
        <row r="2335">
          <cell r="B2335" t="str">
            <v>Acero Baston</v>
          </cell>
          <cell r="C2335">
            <v>1</v>
          </cell>
          <cell r="D2335">
            <v>1</v>
          </cell>
          <cell r="E2335">
            <v>1.55</v>
          </cell>
          <cell r="F2335">
            <v>0.4</v>
          </cell>
          <cell r="G2335">
            <v>1</v>
          </cell>
          <cell r="Q2335" t="str">
            <v>3/8"</v>
          </cell>
          <cell r="R2335">
            <v>5</v>
          </cell>
          <cell r="S2335">
            <v>1.1499999999999999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3.22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H2335">
            <v>3.22</v>
          </cell>
        </row>
        <row r="2336">
          <cell r="B2336" t="str">
            <v>Acero Baston</v>
          </cell>
          <cell r="C2336">
            <v>1</v>
          </cell>
          <cell r="D2336">
            <v>1</v>
          </cell>
          <cell r="E2336">
            <v>1.55</v>
          </cell>
          <cell r="F2336">
            <v>0.4</v>
          </cell>
          <cell r="G2336">
            <v>1</v>
          </cell>
          <cell r="Q2336" t="str">
            <v>3/8"</v>
          </cell>
          <cell r="R2336">
            <v>5</v>
          </cell>
          <cell r="S2336">
            <v>1.1499999999999999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3.22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H2336">
            <v>3.22</v>
          </cell>
        </row>
        <row r="2337">
          <cell r="B2337" t="str">
            <v>Eje D/2</v>
          </cell>
          <cell r="C2337">
            <v>1</v>
          </cell>
          <cell r="D2337">
            <v>1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H2337">
            <v>0</v>
          </cell>
        </row>
        <row r="2338">
          <cell r="B2338" t="str">
            <v>Acero Inferior</v>
          </cell>
          <cell r="C2338">
            <v>1</v>
          </cell>
          <cell r="D2338">
            <v>1</v>
          </cell>
          <cell r="E2338">
            <v>2</v>
          </cell>
          <cell r="F2338">
            <v>0.4</v>
          </cell>
          <cell r="G2338">
            <v>4.05</v>
          </cell>
          <cell r="Q2338" t="str">
            <v>1/2"</v>
          </cell>
          <cell r="R2338">
            <v>6</v>
          </cell>
          <cell r="S2338">
            <v>4.3499999999999996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25.838999999999999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H2338">
            <v>25.838999999999999</v>
          </cell>
        </row>
        <row r="2339">
          <cell r="B2339" t="str">
            <v>Acero Baston</v>
          </cell>
          <cell r="C2339">
            <v>1</v>
          </cell>
          <cell r="D2339">
            <v>1</v>
          </cell>
          <cell r="E2339">
            <v>2</v>
          </cell>
          <cell r="F2339">
            <v>0.4</v>
          </cell>
          <cell r="G2339">
            <v>1</v>
          </cell>
          <cell r="Q2339" t="str">
            <v>3/8"</v>
          </cell>
          <cell r="R2339">
            <v>6</v>
          </cell>
          <cell r="S2339">
            <v>1.1499999999999999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3.8639999999999999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H2339">
            <v>3.8639999999999999</v>
          </cell>
        </row>
        <row r="2340">
          <cell r="B2340" t="str">
            <v>Acero Baston</v>
          </cell>
          <cell r="C2340">
            <v>1</v>
          </cell>
          <cell r="D2340">
            <v>1</v>
          </cell>
          <cell r="E2340">
            <v>2</v>
          </cell>
          <cell r="F2340">
            <v>0.4</v>
          </cell>
          <cell r="G2340">
            <v>1</v>
          </cell>
          <cell r="Q2340" t="str">
            <v>3/8"</v>
          </cell>
          <cell r="R2340">
            <v>6</v>
          </cell>
          <cell r="S2340">
            <v>1.1499999999999999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3.8639999999999999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H2340">
            <v>3.8639999999999999</v>
          </cell>
        </row>
        <row r="2341">
          <cell r="B2341" t="str">
            <v>Eje3/C</v>
          </cell>
          <cell r="C2341">
            <v>1</v>
          </cell>
          <cell r="D2341">
            <v>1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H2341">
            <v>0</v>
          </cell>
        </row>
        <row r="2342">
          <cell r="B2342" t="str">
            <v>Acero Inferior</v>
          </cell>
          <cell r="C2342">
            <v>1</v>
          </cell>
          <cell r="D2342">
            <v>1</v>
          </cell>
          <cell r="E2342">
            <v>7.7</v>
          </cell>
          <cell r="F2342">
            <v>0.4</v>
          </cell>
          <cell r="G2342">
            <v>3.45</v>
          </cell>
          <cell r="Q2342" t="str">
            <v>3/8"</v>
          </cell>
          <cell r="R2342">
            <v>20</v>
          </cell>
          <cell r="S2342">
            <v>3.75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42.000000000000007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H2342">
            <v>42.000000000000007</v>
          </cell>
        </row>
        <row r="2343">
          <cell r="B2343" t="str">
            <v>Acero Balancin</v>
          </cell>
          <cell r="C2343">
            <v>1</v>
          </cell>
          <cell r="D2343">
            <v>1</v>
          </cell>
          <cell r="E2343">
            <v>7.7</v>
          </cell>
          <cell r="F2343">
            <v>0.4</v>
          </cell>
          <cell r="G2343">
            <v>3.2</v>
          </cell>
          <cell r="Q2343" t="str">
            <v>1/2"</v>
          </cell>
          <cell r="R2343">
            <v>20</v>
          </cell>
          <cell r="S2343">
            <v>3.2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63.36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H2343">
            <v>63.36</v>
          </cell>
        </row>
        <row r="2344">
          <cell r="B2344" t="str">
            <v>Acero Balancin</v>
          </cell>
          <cell r="C2344">
            <v>1</v>
          </cell>
          <cell r="D2344">
            <v>1</v>
          </cell>
          <cell r="E2344">
            <v>7.7</v>
          </cell>
          <cell r="F2344">
            <v>0.4</v>
          </cell>
          <cell r="G2344">
            <v>6.5</v>
          </cell>
          <cell r="Q2344" t="str">
            <v>1/2"</v>
          </cell>
          <cell r="R2344">
            <v>20</v>
          </cell>
          <cell r="S2344">
            <v>6.5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128.69999999999999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H2344">
            <v>128.69999999999999</v>
          </cell>
        </row>
        <row r="2345">
          <cell r="B2345" t="str">
            <v>Eje D/3</v>
          </cell>
          <cell r="C2345">
            <v>1</v>
          </cell>
          <cell r="D2345">
            <v>1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H2345">
            <v>0</v>
          </cell>
        </row>
        <row r="2346">
          <cell r="B2346" t="str">
            <v>Acero Inferior</v>
          </cell>
          <cell r="C2346">
            <v>1</v>
          </cell>
          <cell r="D2346">
            <v>1</v>
          </cell>
          <cell r="E2346">
            <v>2.9</v>
          </cell>
          <cell r="F2346">
            <v>0.4</v>
          </cell>
          <cell r="G2346">
            <v>6</v>
          </cell>
          <cell r="Q2346" t="str">
            <v>1/2"</v>
          </cell>
          <cell r="R2346">
            <v>8</v>
          </cell>
          <cell r="S2346">
            <v>6.3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49.896000000000001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H2346">
            <v>49.896000000000001</v>
          </cell>
        </row>
        <row r="2347">
          <cell r="B2347" t="str">
            <v>Acero Inferior</v>
          </cell>
          <cell r="C2347">
            <v>1</v>
          </cell>
          <cell r="D2347">
            <v>1</v>
          </cell>
          <cell r="E2347">
            <v>2.9</v>
          </cell>
          <cell r="F2347">
            <v>0.4</v>
          </cell>
          <cell r="G2347">
            <v>3.6</v>
          </cell>
          <cell r="Q2347" t="str">
            <v>1/2"</v>
          </cell>
          <cell r="R2347">
            <v>8</v>
          </cell>
          <cell r="S2347">
            <v>3.6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28.512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H2347">
            <v>28.512</v>
          </cell>
        </row>
        <row r="2348">
          <cell r="B2348" t="str">
            <v>Acero Baston</v>
          </cell>
          <cell r="C2348">
            <v>1</v>
          </cell>
          <cell r="D2348">
            <v>1</v>
          </cell>
          <cell r="E2348">
            <v>2.9</v>
          </cell>
          <cell r="F2348">
            <v>0.4</v>
          </cell>
          <cell r="G2348">
            <v>1.4</v>
          </cell>
          <cell r="Q2348" t="str">
            <v>3/8"</v>
          </cell>
          <cell r="R2348">
            <v>8</v>
          </cell>
          <cell r="S2348">
            <v>1.5499999999999998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6.944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H2348">
            <v>6.944</v>
          </cell>
        </row>
        <row r="2349">
          <cell r="B2349" t="str">
            <v>Eje C/2</v>
          </cell>
          <cell r="C2349">
            <v>1</v>
          </cell>
          <cell r="D2349">
            <v>1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H2349">
            <v>0</v>
          </cell>
        </row>
        <row r="2350">
          <cell r="B2350" t="str">
            <v>Acero Inferior</v>
          </cell>
          <cell r="C2350">
            <v>1</v>
          </cell>
          <cell r="D2350">
            <v>1</v>
          </cell>
          <cell r="E2350">
            <v>1.25</v>
          </cell>
          <cell r="F2350">
            <v>0.4</v>
          </cell>
          <cell r="G2350">
            <v>6</v>
          </cell>
          <cell r="Q2350" t="str">
            <v>1/2"</v>
          </cell>
          <cell r="R2350">
            <v>4</v>
          </cell>
          <cell r="S2350">
            <v>6.3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24.948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H2350">
            <v>24.948</v>
          </cell>
        </row>
        <row r="2351">
          <cell r="B2351" t="str">
            <v>Acero Inferior</v>
          </cell>
          <cell r="C2351">
            <v>1</v>
          </cell>
          <cell r="D2351">
            <v>1</v>
          </cell>
          <cell r="E2351">
            <v>1.25</v>
          </cell>
          <cell r="F2351">
            <v>0.4</v>
          </cell>
          <cell r="G2351">
            <v>3.6</v>
          </cell>
          <cell r="Q2351" t="str">
            <v>3/8"</v>
          </cell>
          <cell r="R2351">
            <v>4</v>
          </cell>
          <cell r="S2351">
            <v>3.6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8.0640000000000018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H2351">
            <v>8.0640000000000018</v>
          </cell>
        </row>
        <row r="2352">
          <cell r="B2352" t="str">
            <v>Acero Baston</v>
          </cell>
          <cell r="C2352">
            <v>1</v>
          </cell>
          <cell r="D2352">
            <v>1</v>
          </cell>
          <cell r="E2352">
            <v>1.25</v>
          </cell>
          <cell r="F2352">
            <v>0.4</v>
          </cell>
          <cell r="G2352">
            <v>1.4</v>
          </cell>
          <cell r="Q2352" t="str">
            <v>3/8"</v>
          </cell>
          <cell r="R2352">
            <v>4</v>
          </cell>
          <cell r="S2352">
            <v>1.5499999999999998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3.472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H2352">
            <v>3.472</v>
          </cell>
        </row>
        <row r="2353">
          <cell r="B2353" t="str">
            <v>Eje B/2</v>
          </cell>
          <cell r="C2353">
            <v>1</v>
          </cell>
          <cell r="D2353">
            <v>1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H2353">
            <v>0</v>
          </cell>
        </row>
        <row r="2354">
          <cell r="B2354" t="str">
            <v>Acero Inferior</v>
          </cell>
          <cell r="C2354">
            <v>1</v>
          </cell>
          <cell r="D2354">
            <v>1</v>
          </cell>
          <cell r="E2354">
            <v>3.15</v>
          </cell>
          <cell r="F2354">
            <v>0.4</v>
          </cell>
          <cell r="G2354">
            <v>3.1</v>
          </cell>
          <cell r="Q2354" t="str">
            <v>3/8"</v>
          </cell>
          <cell r="R2354">
            <v>9</v>
          </cell>
          <cell r="S2354">
            <v>3.4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17.135999999999999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H2354">
            <v>17.135999999999999</v>
          </cell>
        </row>
        <row r="2355">
          <cell r="B2355" t="str">
            <v>Acero Inferior</v>
          </cell>
          <cell r="C2355">
            <v>1</v>
          </cell>
          <cell r="D2355">
            <v>1</v>
          </cell>
          <cell r="E2355">
            <v>3.15</v>
          </cell>
          <cell r="F2355">
            <v>0.4</v>
          </cell>
          <cell r="G2355">
            <v>5.75</v>
          </cell>
          <cell r="Q2355" t="str">
            <v>3/8"</v>
          </cell>
          <cell r="R2355">
            <v>9</v>
          </cell>
          <cell r="S2355">
            <v>5.75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28.980000000000004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H2355">
            <v>28.980000000000004</v>
          </cell>
        </row>
        <row r="2356">
          <cell r="B2356" t="str">
            <v>Eje A/2</v>
          </cell>
          <cell r="C2356">
            <v>1</v>
          </cell>
          <cell r="D2356">
            <v>1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H2356">
            <v>0</v>
          </cell>
        </row>
        <row r="2357">
          <cell r="B2357" t="str">
            <v>Acero Inferior</v>
          </cell>
          <cell r="C2357">
            <v>1</v>
          </cell>
          <cell r="D2357">
            <v>1</v>
          </cell>
          <cell r="E2357">
            <v>2.6</v>
          </cell>
          <cell r="F2357">
            <v>0.4</v>
          </cell>
          <cell r="G2357">
            <v>6.5</v>
          </cell>
          <cell r="Q2357" t="str">
            <v>3/8"</v>
          </cell>
          <cell r="R2357">
            <v>8</v>
          </cell>
          <cell r="S2357">
            <v>6.8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30.464000000000002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H2357">
            <v>30.464000000000002</v>
          </cell>
        </row>
        <row r="2358">
          <cell r="B2358" t="str">
            <v>Acero Inferior</v>
          </cell>
          <cell r="C2358">
            <v>1</v>
          </cell>
          <cell r="D2358">
            <v>1</v>
          </cell>
          <cell r="E2358">
            <v>2.6</v>
          </cell>
          <cell r="F2358">
            <v>0.4</v>
          </cell>
          <cell r="G2358">
            <v>5.75</v>
          </cell>
          <cell r="Q2358" t="str">
            <v>3/8"</v>
          </cell>
          <cell r="R2358">
            <v>8</v>
          </cell>
          <cell r="S2358">
            <v>5.75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25.76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H2358">
            <v>25.76</v>
          </cell>
        </row>
        <row r="2359">
          <cell r="B2359" t="str">
            <v>Acero Baston</v>
          </cell>
          <cell r="C2359">
            <v>1</v>
          </cell>
          <cell r="D2359">
            <v>1</v>
          </cell>
          <cell r="E2359">
            <v>2.6</v>
          </cell>
          <cell r="F2359">
            <v>0.4</v>
          </cell>
          <cell r="G2359">
            <v>1.4</v>
          </cell>
          <cell r="Q2359" t="str">
            <v>3/8"</v>
          </cell>
          <cell r="R2359">
            <v>8</v>
          </cell>
          <cell r="S2359">
            <v>1.5499999999999998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6.944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H2359">
            <v>6.944</v>
          </cell>
        </row>
        <row r="2360">
          <cell r="B2360" t="str">
            <v>Eje 3/A</v>
          </cell>
          <cell r="C2360">
            <v>1</v>
          </cell>
          <cell r="D2360">
            <v>1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H2360">
            <v>0</v>
          </cell>
        </row>
        <row r="2361">
          <cell r="B2361" t="str">
            <v>Acero Inferior</v>
          </cell>
          <cell r="C2361">
            <v>1</v>
          </cell>
          <cell r="D2361">
            <v>1</v>
          </cell>
          <cell r="E2361">
            <v>1.55</v>
          </cell>
          <cell r="F2361">
            <v>0.4</v>
          </cell>
          <cell r="G2361">
            <v>3.5</v>
          </cell>
          <cell r="Q2361" t="str">
            <v>3/8"</v>
          </cell>
          <cell r="R2361">
            <v>5</v>
          </cell>
          <cell r="S2361">
            <v>3.8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10.64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H2361">
            <v>10.64</v>
          </cell>
        </row>
        <row r="2362">
          <cell r="B2362" t="str">
            <v>Acero Inferior</v>
          </cell>
          <cell r="C2362">
            <v>1</v>
          </cell>
          <cell r="D2362">
            <v>1</v>
          </cell>
          <cell r="E2362">
            <v>1.55</v>
          </cell>
          <cell r="F2362">
            <v>0.4</v>
          </cell>
          <cell r="G2362">
            <v>2.0499999999999998</v>
          </cell>
          <cell r="Q2362" t="str">
            <v>3/8"</v>
          </cell>
          <cell r="R2362">
            <v>5</v>
          </cell>
          <cell r="S2362">
            <v>2.0499999999999998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5.74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H2362">
            <v>5.74</v>
          </cell>
        </row>
        <row r="2363">
          <cell r="B2363" t="str">
            <v>Acero Baston</v>
          </cell>
          <cell r="C2363">
            <v>1</v>
          </cell>
          <cell r="D2363">
            <v>1</v>
          </cell>
          <cell r="E2363">
            <v>1.55</v>
          </cell>
          <cell r="F2363">
            <v>0.4</v>
          </cell>
          <cell r="G2363">
            <v>0.9</v>
          </cell>
          <cell r="Q2363" t="str">
            <v>1/2"</v>
          </cell>
          <cell r="R2363">
            <v>5</v>
          </cell>
          <cell r="S2363">
            <v>1.05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5.1974999999999998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H2363">
            <v>5.1974999999999998</v>
          </cell>
        </row>
        <row r="2364">
          <cell r="B2364" t="str">
            <v>Acero Balancin</v>
          </cell>
          <cell r="C2364">
            <v>1</v>
          </cell>
          <cell r="D2364">
            <v>1</v>
          </cell>
          <cell r="E2364">
            <v>1.55</v>
          </cell>
          <cell r="F2364">
            <v>0.4</v>
          </cell>
          <cell r="G2364">
            <v>2.4500000000000002</v>
          </cell>
          <cell r="Q2364" t="str">
            <v>3/8"</v>
          </cell>
          <cell r="R2364">
            <v>5</v>
          </cell>
          <cell r="S2364">
            <v>2.4500000000000002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6.86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H2364">
            <v>6.86</v>
          </cell>
        </row>
        <row r="2365">
          <cell r="B2365" t="str">
            <v>Temperatura</v>
          </cell>
          <cell r="C2365">
            <v>1</v>
          </cell>
          <cell r="D2365">
            <v>100</v>
          </cell>
          <cell r="E2365">
            <v>1</v>
          </cell>
          <cell r="F2365">
            <v>0.25</v>
          </cell>
          <cell r="G2365">
            <v>1</v>
          </cell>
          <cell r="Q2365" t="str">
            <v>1/4"</v>
          </cell>
          <cell r="R2365">
            <v>4</v>
          </cell>
          <cell r="S2365">
            <v>1.05</v>
          </cell>
          <cell r="T2365">
            <v>0</v>
          </cell>
          <cell r="U2365">
            <v>105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H2365">
            <v>0</v>
          </cell>
        </row>
        <row r="2366">
          <cell r="B2366" t="str">
            <v>PISO 15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H2366">
            <v>0</v>
          </cell>
        </row>
        <row r="2367"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H2367">
            <v>0</v>
          </cell>
        </row>
        <row r="2368">
          <cell r="C2368">
            <v>1</v>
          </cell>
          <cell r="D2368">
            <v>1</v>
          </cell>
          <cell r="E2368">
            <v>107</v>
          </cell>
          <cell r="F2368">
            <v>1</v>
          </cell>
          <cell r="G2368">
            <v>0.09</v>
          </cell>
          <cell r="L2368">
            <v>9.629999999999999</v>
          </cell>
          <cell r="M2368">
            <v>107</v>
          </cell>
          <cell r="N2368">
            <v>1</v>
          </cell>
          <cell r="O2368">
            <v>107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H2368">
            <v>0</v>
          </cell>
        </row>
        <row r="2369">
          <cell r="B2369" t="str">
            <v>Eje D/1</v>
          </cell>
          <cell r="C2369">
            <v>1</v>
          </cell>
          <cell r="D2369">
            <v>1</v>
          </cell>
          <cell r="M2369">
            <v>106</v>
          </cell>
          <cell r="N2369">
            <v>0.2</v>
          </cell>
          <cell r="O2369">
            <v>21.200000000000003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H2369">
            <v>0</v>
          </cell>
        </row>
        <row r="2370">
          <cell r="B2370" t="str">
            <v>Acero Inferior</v>
          </cell>
          <cell r="C2370">
            <v>1</v>
          </cell>
          <cell r="D2370">
            <v>1</v>
          </cell>
          <cell r="E2370">
            <v>5.75</v>
          </cell>
          <cell r="F2370">
            <v>0.4</v>
          </cell>
          <cell r="G2370">
            <v>4.05</v>
          </cell>
          <cell r="Q2370" t="str">
            <v>1/2"</v>
          </cell>
          <cell r="R2370">
            <v>15</v>
          </cell>
          <cell r="S2370">
            <v>4.3499999999999996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64.597499999999997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H2370">
            <v>64.597499999999997</v>
          </cell>
        </row>
        <row r="2371">
          <cell r="B2371" t="str">
            <v>Acero Baston</v>
          </cell>
          <cell r="C2371">
            <v>1</v>
          </cell>
          <cell r="D2371">
            <v>1</v>
          </cell>
          <cell r="E2371">
            <v>5.75</v>
          </cell>
          <cell r="F2371">
            <v>0.4</v>
          </cell>
          <cell r="G2371">
            <v>1.05</v>
          </cell>
          <cell r="Q2371" t="str">
            <v>3/8"</v>
          </cell>
          <cell r="R2371">
            <v>15</v>
          </cell>
          <cell r="S2371">
            <v>1.2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10.080000000000002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H2371">
            <v>10.080000000000002</v>
          </cell>
        </row>
        <row r="2372">
          <cell r="B2372" t="str">
            <v>Acero Baston</v>
          </cell>
          <cell r="C2372">
            <v>1</v>
          </cell>
          <cell r="D2372">
            <v>1</v>
          </cell>
          <cell r="E2372">
            <v>5.75</v>
          </cell>
          <cell r="F2372">
            <v>0.4</v>
          </cell>
          <cell r="G2372">
            <v>1.05</v>
          </cell>
          <cell r="Q2372" t="str">
            <v>3/8"</v>
          </cell>
          <cell r="R2372">
            <v>15</v>
          </cell>
          <cell r="S2372">
            <v>1.2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10.080000000000002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H2372">
            <v>10.080000000000002</v>
          </cell>
        </row>
        <row r="2373">
          <cell r="B2373" t="str">
            <v>Eje D/2</v>
          </cell>
          <cell r="C2373">
            <v>1</v>
          </cell>
          <cell r="D2373">
            <v>1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H2373">
            <v>0</v>
          </cell>
        </row>
        <row r="2374">
          <cell r="B2374" t="str">
            <v>Acero Inferior</v>
          </cell>
          <cell r="C2374">
            <v>1</v>
          </cell>
          <cell r="D2374">
            <v>1</v>
          </cell>
          <cell r="E2374">
            <v>1.5</v>
          </cell>
          <cell r="F2374">
            <v>0.4</v>
          </cell>
          <cell r="G2374">
            <v>5.75</v>
          </cell>
          <cell r="Q2374" t="str">
            <v>1/2"</v>
          </cell>
          <cell r="R2374">
            <v>5</v>
          </cell>
          <cell r="S2374">
            <v>6.05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29.947499999999998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H2374">
            <v>29.947499999999998</v>
          </cell>
        </row>
        <row r="2375">
          <cell r="B2375" t="str">
            <v>Acero Inferior</v>
          </cell>
          <cell r="C2375">
            <v>1</v>
          </cell>
          <cell r="D2375">
            <v>1</v>
          </cell>
          <cell r="E2375">
            <v>1.5</v>
          </cell>
          <cell r="F2375">
            <v>0.4</v>
          </cell>
          <cell r="G2375">
            <v>3.9</v>
          </cell>
          <cell r="Q2375" t="str">
            <v>1/2"</v>
          </cell>
          <cell r="R2375">
            <v>5</v>
          </cell>
          <cell r="S2375">
            <v>3.9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19.305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H2375">
            <v>19.305</v>
          </cell>
        </row>
        <row r="2376">
          <cell r="B2376" t="str">
            <v>Acero Baston</v>
          </cell>
          <cell r="C2376">
            <v>1</v>
          </cell>
          <cell r="D2376">
            <v>1</v>
          </cell>
          <cell r="E2376">
            <v>1.5</v>
          </cell>
          <cell r="F2376">
            <v>0.4</v>
          </cell>
          <cell r="G2376">
            <v>1.4</v>
          </cell>
          <cell r="Q2376" t="str">
            <v>3/8"</v>
          </cell>
          <cell r="R2376">
            <v>5</v>
          </cell>
          <cell r="S2376">
            <v>1.5499999999999998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4.34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H2376">
            <v>4.34</v>
          </cell>
        </row>
        <row r="2377">
          <cell r="B2377" t="str">
            <v>Acero Balancin</v>
          </cell>
          <cell r="C2377">
            <v>1</v>
          </cell>
          <cell r="D2377">
            <v>1</v>
          </cell>
          <cell r="E2377">
            <v>1.5</v>
          </cell>
          <cell r="F2377">
            <v>0.4</v>
          </cell>
          <cell r="G2377">
            <v>1.9</v>
          </cell>
          <cell r="Q2377" t="str">
            <v>3/8"</v>
          </cell>
          <cell r="R2377">
            <v>5</v>
          </cell>
          <cell r="S2377">
            <v>1.9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5.32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H2377">
            <v>5.32</v>
          </cell>
        </row>
        <row r="2378">
          <cell r="B2378" t="str">
            <v>Eje3/C</v>
          </cell>
          <cell r="C2378">
            <v>1</v>
          </cell>
          <cell r="D2378">
            <v>1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H2378">
            <v>0</v>
          </cell>
        </row>
        <row r="2379">
          <cell r="B2379" t="str">
            <v>Acero Inferior</v>
          </cell>
          <cell r="C2379">
            <v>1</v>
          </cell>
          <cell r="D2379">
            <v>1</v>
          </cell>
          <cell r="E2379">
            <v>2.6</v>
          </cell>
          <cell r="F2379">
            <v>0.4</v>
          </cell>
          <cell r="G2379">
            <v>5.75</v>
          </cell>
          <cell r="Q2379" t="str">
            <v>5/8"</v>
          </cell>
          <cell r="R2379">
            <v>8</v>
          </cell>
          <cell r="S2379">
            <v>6.05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75.02</v>
          </cell>
          <cell r="AB2379">
            <v>0</v>
          </cell>
          <cell r="AC2379">
            <v>0</v>
          </cell>
          <cell r="AD2379">
            <v>0</v>
          </cell>
          <cell r="AH2379">
            <v>75.02</v>
          </cell>
        </row>
        <row r="2380">
          <cell r="B2380" t="str">
            <v>Acero Balancin</v>
          </cell>
          <cell r="C2380">
            <v>1</v>
          </cell>
          <cell r="D2380">
            <v>1</v>
          </cell>
          <cell r="E2380">
            <v>2.6</v>
          </cell>
          <cell r="F2380">
            <v>0.4</v>
          </cell>
          <cell r="G2380">
            <v>3.9</v>
          </cell>
          <cell r="Q2380" t="str">
            <v>1/2"</v>
          </cell>
          <cell r="R2380">
            <v>8</v>
          </cell>
          <cell r="S2380">
            <v>3.9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30.887999999999998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H2380">
            <v>30.887999999999998</v>
          </cell>
        </row>
        <row r="2381">
          <cell r="B2381" t="str">
            <v>Acero Balancin</v>
          </cell>
          <cell r="C2381">
            <v>1</v>
          </cell>
          <cell r="D2381">
            <v>1</v>
          </cell>
          <cell r="E2381">
            <v>2.6</v>
          </cell>
          <cell r="F2381">
            <v>0.4</v>
          </cell>
          <cell r="G2381">
            <v>3.46</v>
          </cell>
          <cell r="Q2381" t="str">
            <v>3/8"</v>
          </cell>
          <cell r="R2381">
            <v>8</v>
          </cell>
          <cell r="S2381">
            <v>3.46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15.500800000000002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H2381">
            <v>15.500800000000002</v>
          </cell>
        </row>
        <row r="2382">
          <cell r="B2382" t="str">
            <v>Acero Baston</v>
          </cell>
          <cell r="C2382">
            <v>1</v>
          </cell>
          <cell r="D2382">
            <v>1</v>
          </cell>
          <cell r="E2382">
            <v>2.6</v>
          </cell>
          <cell r="F2382">
            <v>0.4</v>
          </cell>
          <cell r="G2382">
            <v>1.4</v>
          </cell>
          <cell r="Q2382" t="str">
            <v>3/8"</v>
          </cell>
          <cell r="R2382">
            <v>8</v>
          </cell>
          <cell r="S2382">
            <v>1.5499999999999998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6.944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H2382">
            <v>6.944</v>
          </cell>
        </row>
        <row r="2383">
          <cell r="B2383" t="str">
            <v>Eje D/3</v>
          </cell>
          <cell r="C2383">
            <v>1</v>
          </cell>
          <cell r="D2383">
            <v>1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H2383">
            <v>0</v>
          </cell>
        </row>
        <row r="2384">
          <cell r="B2384" t="str">
            <v>Acero Inferior</v>
          </cell>
          <cell r="C2384">
            <v>1</v>
          </cell>
          <cell r="D2384">
            <v>1</v>
          </cell>
          <cell r="E2384">
            <v>1.55</v>
          </cell>
          <cell r="F2384">
            <v>0.4</v>
          </cell>
          <cell r="G2384">
            <v>5.75</v>
          </cell>
          <cell r="Q2384" t="str">
            <v>1/2"</v>
          </cell>
          <cell r="R2384">
            <v>5</v>
          </cell>
          <cell r="S2384">
            <v>6.05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29.947499999999998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H2384">
            <v>29.947499999999998</v>
          </cell>
        </row>
        <row r="2385">
          <cell r="B2385" t="str">
            <v>Acero Inferior</v>
          </cell>
          <cell r="C2385">
            <v>1</v>
          </cell>
          <cell r="D2385">
            <v>1</v>
          </cell>
          <cell r="E2385">
            <v>1.55</v>
          </cell>
          <cell r="F2385">
            <v>0.4</v>
          </cell>
          <cell r="G2385">
            <v>3.9</v>
          </cell>
          <cell r="Q2385" t="str">
            <v>1/2"</v>
          </cell>
          <cell r="R2385">
            <v>5</v>
          </cell>
          <cell r="S2385">
            <v>3.9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19.305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H2385">
            <v>19.305</v>
          </cell>
        </row>
        <row r="2386">
          <cell r="B2386" t="str">
            <v>Acero Baston</v>
          </cell>
          <cell r="C2386">
            <v>1</v>
          </cell>
          <cell r="D2386">
            <v>1</v>
          </cell>
          <cell r="E2386">
            <v>1.55</v>
          </cell>
          <cell r="F2386">
            <v>0.4</v>
          </cell>
          <cell r="G2386">
            <v>1.4</v>
          </cell>
          <cell r="Q2386" t="str">
            <v>3/8"</v>
          </cell>
          <cell r="R2386">
            <v>5</v>
          </cell>
          <cell r="S2386">
            <v>1.5499999999999998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4.34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H2386">
            <v>4.34</v>
          </cell>
        </row>
        <row r="2387">
          <cell r="B2387" t="str">
            <v>Acero Baston</v>
          </cell>
          <cell r="C2387">
            <v>1</v>
          </cell>
          <cell r="D2387">
            <v>1</v>
          </cell>
          <cell r="E2387">
            <v>1.55</v>
          </cell>
          <cell r="F2387">
            <v>0.4</v>
          </cell>
          <cell r="G2387">
            <v>1.45</v>
          </cell>
          <cell r="Q2387" t="str">
            <v>3/8"</v>
          </cell>
          <cell r="R2387">
            <v>5</v>
          </cell>
          <cell r="S2387">
            <v>1.5999999999999999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4.4799999999999995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H2387">
            <v>4.4799999999999995</v>
          </cell>
        </row>
        <row r="2388">
          <cell r="B2388" t="str">
            <v>Eje 2/C</v>
          </cell>
          <cell r="C2388">
            <v>1</v>
          </cell>
          <cell r="D2388">
            <v>1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H2388">
            <v>0</v>
          </cell>
        </row>
        <row r="2389">
          <cell r="B2389" t="str">
            <v>Acero Inferior</v>
          </cell>
          <cell r="C2389">
            <v>1</v>
          </cell>
          <cell r="D2389">
            <v>1</v>
          </cell>
          <cell r="E2389">
            <v>1.3</v>
          </cell>
          <cell r="F2389">
            <v>0.4</v>
          </cell>
          <cell r="G2389">
            <v>4.7</v>
          </cell>
          <cell r="Q2389" t="str">
            <v>1/2"</v>
          </cell>
          <cell r="R2389">
            <v>4</v>
          </cell>
          <cell r="S2389">
            <v>5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19.8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H2389">
            <v>19.8</v>
          </cell>
        </row>
        <row r="2390">
          <cell r="B2390" t="str">
            <v>Acero Inferior</v>
          </cell>
          <cell r="C2390">
            <v>1</v>
          </cell>
          <cell r="D2390">
            <v>1</v>
          </cell>
          <cell r="E2390">
            <v>1.3</v>
          </cell>
          <cell r="F2390">
            <v>0.4</v>
          </cell>
          <cell r="G2390">
            <v>2.9</v>
          </cell>
          <cell r="Q2390" t="str">
            <v>3/8"</v>
          </cell>
          <cell r="R2390">
            <v>4</v>
          </cell>
          <cell r="S2390">
            <v>2.9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6.4960000000000004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H2390">
            <v>6.4960000000000004</v>
          </cell>
        </row>
        <row r="2391">
          <cell r="B2391" t="str">
            <v>Acero Baston</v>
          </cell>
          <cell r="C2391">
            <v>1</v>
          </cell>
          <cell r="D2391">
            <v>1</v>
          </cell>
          <cell r="E2391">
            <v>1.3</v>
          </cell>
          <cell r="F2391">
            <v>0.4</v>
          </cell>
          <cell r="G2391">
            <v>1.3</v>
          </cell>
          <cell r="Q2391" t="str">
            <v>3/8"</v>
          </cell>
          <cell r="R2391">
            <v>4</v>
          </cell>
          <cell r="S2391">
            <v>1.45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3.2480000000000002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H2391">
            <v>3.2480000000000002</v>
          </cell>
        </row>
        <row r="2392">
          <cell r="B2392" t="str">
            <v>Acero Baston</v>
          </cell>
          <cell r="C2392">
            <v>1</v>
          </cell>
          <cell r="D2392">
            <v>1</v>
          </cell>
          <cell r="E2392">
            <v>1.3</v>
          </cell>
          <cell r="F2392">
            <v>0.4</v>
          </cell>
          <cell r="G2392">
            <v>3.35</v>
          </cell>
          <cell r="Q2392" t="str">
            <v>3/8"</v>
          </cell>
          <cell r="R2392">
            <v>4</v>
          </cell>
          <cell r="S2392">
            <v>3.5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7.8400000000000007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H2392">
            <v>7.8400000000000007</v>
          </cell>
        </row>
        <row r="2393">
          <cell r="B2393" t="str">
            <v>Eje 2/C</v>
          </cell>
          <cell r="C2393">
            <v>1</v>
          </cell>
          <cell r="D2393">
            <v>1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H2393">
            <v>0</v>
          </cell>
        </row>
        <row r="2394">
          <cell r="B2394" t="str">
            <v>Acero Inferior</v>
          </cell>
          <cell r="C2394">
            <v>1</v>
          </cell>
          <cell r="D2394">
            <v>1</v>
          </cell>
          <cell r="E2394">
            <v>1.2</v>
          </cell>
          <cell r="F2394">
            <v>0.4</v>
          </cell>
          <cell r="G2394">
            <v>4.7</v>
          </cell>
          <cell r="Q2394" t="str">
            <v>1/2"</v>
          </cell>
          <cell r="R2394">
            <v>4</v>
          </cell>
          <cell r="S2394">
            <v>5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19.8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H2394">
            <v>19.8</v>
          </cell>
        </row>
        <row r="2395">
          <cell r="B2395" t="str">
            <v>Acero Inferior</v>
          </cell>
          <cell r="C2395">
            <v>1</v>
          </cell>
          <cell r="D2395">
            <v>1</v>
          </cell>
          <cell r="E2395">
            <v>1.2</v>
          </cell>
          <cell r="F2395">
            <v>0.4</v>
          </cell>
          <cell r="G2395">
            <v>2.9</v>
          </cell>
          <cell r="Q2395" t="str">
            <v>3/8"</v>
          </cell>
          <cell r="R2395">
            <v>4</v>
          </cell>
          <cell r="S2395">
            <v>2.9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6.4960000000000004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H2395">
            <v>6.4960000000000004</v>
          </cell>
        </row>
        <row r="2396">
          <cell r="B2396" t="str">
            <v>Acero Baston</v>
          </cell>
          <cell r="C2396">
            <v>1</v>
          </cell>
          <cell r="D2396">
            <v>1</v>
          </cell>
          <cell r="E2396">
            <v>1.2</v>
          </cell>
          <cell r="F2396">
            <v>0.4</v>
          </cell>
          <cell r="G2396">
            <v>1.3</v>
          </cell>
          <cell r="Q2396" t="str">
            <v>3/8"</v>
          </cell>
          <cell r="R2396">
            <v>4</v>
          </cell>
          <cell r="S2396">
            <v>1.45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3.2480000000000002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H2396">
            <v>3.2480000000000002</v>
          </cell>
        </row>
        <row r="2397">
          <cell r="B2397" t="str">
            <v>Acero Baston</v>
          </cell>
          <cell r="C2397">
            <v>1</v>
          </cell>
          <cell r="D2397">
            <v>1</v>
          </cell>
          <cell r="E2397">
            <v>1.2</v>
          </cell>
          <cell r="F2397">
            <v>0.4</v>
          </cell>
          <cell r="G2397">
            <v>2.4</v>
          </cell>
          <cell r="Q2397" t="str">
            <v>3/8"</v>
          </cell>
          <cell r="R2397">
            <v>4</v>
          </cell>
          <cell r="S2397">
            <v>2.5499999999999998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5.7119999999999997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H2397">
            <v>5.7119999999999997</v>
          </cell>
        </row>
        <row r="2398">
          <cell r="B2398" t="str">
            <v>Eje 2/C</v>
          </cell>
          <cell r="C2398">
            <v>1</v>
          </cell>
          <cell r="D2398">
            <v>1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H2398">
            <v>0</v>
          </cell>
        </row>
        <row r="2399">
          <cell r="B2399" t="str">
            <v>Acero Inferior</v>
          </cell>
          <cell r="C2399">
            <v>1</v>
          </cell>
          <cell r="D2399">
            <v>1</v>
          </cell>
          <cell r="E2399">
            <v>1.2</v>
          </cell>
          <cell r="F2399">
            <v>0.4</v>
          </cell>
          <cell r="G2399">
            <v>4.7</v>
          </cell>
          <cell r="Q2399" t="str">
            <v>1/2"</v>
          </cell>
          <cell r="R2399">
            <v>4</v>
          </cell>
          <cell r="S2399">
            <v>5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19.8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H2399">
            <v>19.8</v>
          </cell>
        </row>
        <row r="2400">
          <cell r="B2400" t="str">
            <v>Acero Inferior</v>
          </cell>
          <cell r="C2400">
            <v>1</v>
          </cell>
          <cell r="D2400">
            <v>1</v>
          </cell>
          <cell r="E2400">
            <v>1.2</v>
          </cell>
          <cell r="F2400">
            <v>0.4</v>
          </cell>
          <cell r="G2400">
            <v>2.9</v>
          </cell>
          <cell r="Q2400" t="str">
            <v>3/8"</v>
          </cell>
          <cell r="R2400">
            <v>4</v>
          </cell>
          <cell r="S2400">
            <v>2.9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6.4960000000000004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H2400">
            <v>6.4960000000000004</v>
          </cell>
        </row>
        <row r="2401">
          <cell r="B2401" t="str">
            <v>Acero Baston</v>
          </cell>
          <cell r="C2401">
            <v>1</v>
          </cell>
          <cell r="D2401">
            <v>1</v>
          </cell>
          <cell r="E2401">
            <v>1.2</v>
          </cell>
          <cell r="F2401">
            <v>0.4</v>
          </cell>
          <cell r="G2401">
            <v>1.3</v>
          </cell>
          <cell r="Q2401" t="str">
            <v>3/8"</v>
          </cell>
          <cell r="R2401">
            <v>4</v>
          </cell>
          <cell r="S2401">
            <v>1.45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3.2480000000000002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H2401">
            <v>3.2480000000000002</v>
          </cell>
        </row>
        <row r="2402">
          <cell r="B2402" t="str">
            <v>Acero Baston</v>
          </cell>
          <cell r="C2402">
            <v>1</v>
          </cell>
          <cell r="D2402">
            <v>1</v>
          </cell>
          <cell r="E2402">
            <v>1.2</v>
          </cell>
          <cell r="F2402">
            <v>0.4</v>
          </cell>
          <cell r="G2402">
            <v>2.25</v>
          </cell>
          <cell r="Q2402" t="str">
            <v>3/8"</v>
          </cell>
          <cell r="R2402">
            <v>4</v>
          </cell>
          <cell r="S2402">
            <v>2.4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5.3760000000000003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H2402">
            <v>5.3760000000000003</v>
          </cell>
        </row>
        <row r="2403">
          <cell r="B2403" t="str">
            <v>Eje 2/B</v>
          </cell>
          <cell r="C2403">
            <v>1</v>
          </cell>
          <cell r="D2403">
            <v>1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H2403">
            <v>0</v>
          </cell>
        </row>
        <row r="2404">
          <cell r="B2404" t="str">
            <v>Acero Inferior</v>
          </cell>
          <cell r="C2404">
            <v>1</v>
          </cell>
          <cell r="D2404">
            <v>1</v>
          </cell>
          <cell r="E2404">
            <v>2.8</v>
          </cell>
          <cell r="F2404">
            <v>0.4</v>
          </cell>
          <cell r="G2404">
            <v>4.7</v>
          </cell>
          <cell r="Q2404" t="str">
            <v>1/2"</v>
          </cell>
          <cell r="R2404">
            <v>8</v>
          </cell>
          <cell r="S2404">
            <v>5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39.6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H2404">
            <v>39.6</v>
          </cell>
        </row>
        <row r="2405">
          <cell r="B2405" t="str">
            <v>Acero Inferior</v>
          </cell>
          <cell r="C2405">
            <v>1</v>
          </cell>
          <cell r="D2405">
            <v>1</v>
          </cell>
          <cell r="E2405">
            <v>2.8</v>
          </cell>
          <cell r="F2405">
            <v>0.4</v>
          </cell>
          <cell r="G2405">
            <v>2.9</v>
          </cell>
          <cell r="Q2405" t="str">
            <v>3/8"</v>
          </cell>
          <cell r="R2405">
            <v>8</v>
          </cell>
          <cell r="S2405">
            <v>2.9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12.992000000000001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H2405">
            <v>12.992000000000001</v>
          </cell>
        </row>
        <row r="2406">
          <cell r="B2406" t="str">
            <v>Acero Baston</v>
          </cell>
          <cell r="C2406">
            <v>1</v>
          </cell>
          <cell r="D2406">
            <v>1</v>
          </cell>
          <cell r="E2406">
            <v>2.8</v>
          </cell>
          <cell r="F2406">
            <v>0.4</v>
          </cell>
          <cell r="G2406">
            <v>1.3</v>
          </cell>
          <cell r="Q2406" t="str">
            <v>3/8"</v>
          </cell>
          <cell r="R2406">
            <v>8</v>
          </cell>
          <cell r="S2406">
            <v>1.45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6.4960000000000004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H2406">
            <v>6.4960000000000004</v>
          </cell>
        </row>
        <row r="2407">
          <cell r="B2407" t="str">
            <v>Acero Baston</v>
          </cell>
          <cell r="C2407">
            <v>1</v>
          </cell>
          <cell r="D2407">
            <v>1</v>
          </cell>
          <cell r="E2407">
            <v>2.8</v>
          </cell>
          <cell r="F2407">
            <v>0.4</v>
          </cell>
          <cell r="G2407">
            <v>1.1000000000000001</v>
          </cell>
          <cell r="Q2407" t="str">
            <v>3/8"</v>
          </cell>
          <cell r="R2407">
            <v>8</v>
          </cell>
          <cell r="S2407">
            <v>1.25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5.6000000000000005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H2407">
            <v>5.6000000000000005</v>
          </cell>
        </row>
        <row r="2408">
          <cell r="B2408" t="str">
            <v>Eje 2/B</v>
          </cell>
          <cell r="C2408">
            <v>1</v>
          </cell>
          <cell r="D2408">
            <v>1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H2408">
            <v>0</v>
          </cell>
        </row>
        <row r="2409">
          <cell r="B2409" t="str">
            <v>Acero Inferior</v>
          </cell>
          <cell r="C2409">
            <v>1</v>
          </cell>
          <cell r="D2409">
            <v>1</v>
          </cell>
          <cell r="E2409">
            <v>2.8</v>
          </cell>
          <cell r="F2409">
            <v>0.4</v>
          </cell>
          <cell r="G2409">
            <v>4.7</v>
          </cell>
          <cell r="Q2409" t="str">
            <v>1/2"</v>
          </cell>
          <cell r="R2409">
            <v>8</v>
          </cell>
          <cell r="S2409">
            <v>5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39.6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H2409">
            <v>39.6</v>
          </cell>
        </row>
        <row r="2410">
          <cell r="B2410" t="str">
            <v>Acero Inferior</v>
          </cell>
          <cell r="C2410">
            <v>1</v>
          </cell>
          <cell r="D2410">
            <v>1</v>
          </cell>
          <cell r="E2410">
            <v>2.8</v>
          </cell>
          <cell r="F2410">
            <v>0.4</v>
          </cell>
          <cell r="G2410">
            <v>2.9</v>
          </cell>
          <cell r="Q2410" t="str">
            <v>3/8"</v>
          </cell>
          <cell r="R2410">
            <v>8</v>
          </cell>
          <cell r="S2410">
            <v>2.9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12.992000000000001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H2410">
            <v>12.992000000000001</v>
          </cell>
        </row>
        <row r="2411">
          <cell r="B2411" t="str">
            <v>Acero Baston</v>
          </cell>
          <cell r="C2411">
            <v>1</v>
          </cell>
          <cell r="D2411">
            <v>1</v>
          </cell>
          <cell r="E2411">
            <v>2.8</v>
          </cell>
          <cell r="F2411">
            <v>0.4</v>
          </cell>
          <cell r="G2411">
            <v>2.5499999999999998</v>
          </cell>
          <cell r="Q2411" t="str">
            <v>3/8"</v>
          </cell>
          <cell r="R2411">
            <v>8</v>
          </cell>
          <cell r="S2411">
            <v>2.6999999999999997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12.096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H2411">
            <v>12.096</v>
          </cell>
        </row>
        <row r="2412">
          <cell r="B2412" t="str">
            <v>Acero Baston</v>
          </cell>
          <cell r="C2412">
            <v>1</v>
          </cell>
          <cell r="D2412">
            <v>1</v>
          </cell>
          <cell r="E2412">
            <v>2.8</v>
          </cell>
          <cell r="F2412">
            <v>0.4</v>
          </cell>
          <cell r="G2412">
            <v>2</v>
          </cell>
          <cell r="Q2412" t="str">
            <v>3/8"</v>
          </cell>
          <cell r="R2412">
            <v>8</v>
          </cell>
          <cell r="S2412">
            <v>2.15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9.6319999999999997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H2412">
            <v>9.6319999999999997</v>
          </cell>
        </row>
        <row r="2413">
          <cell r="B2413" t="str">
            <v>Eje 2/A</v>
          </cell>
          <cell r="C2413">
            <v>1</v>
          </cell>
          <cell r="D2413">
            <v>1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H2413">
            <v>0</v>
          </cell>
        </row>
        <row r="2414">
          <cell r="B2414" t="str">
            <v>Acero Inferior</v>
          </cell>
          <cell r="C2414">
            <v>1</v>
          </cell>
          <cell r="D2414">
            <v>1</v>
          </cell>
          <cell r="E2414">
            <v>3.8</v>
          </cell>
          <cell r="F2414">
            <v>0.4</v>
          </cell>
          <cell r="G2414">
            <v>3.35</v>
          </cell>
          <cell r="Q2414" t="str">
            <v>1/2"</v>
          </cell>
          <cell r="R2414">
            <v>11</v>
          </cell>
          <cell r="S2414">
            <v>3.65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39.7485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H2414">
            <v>39.7485</v>
          </cell>
        </row>
        <row r="2415">
          <cell r="B2415" t="str">
            <v>Acero Baston</v>
          </cell>
          <cell r="C2415">
            <v>1</v>
          </cell>
          <cell r="D2415">
            <v>1</v>
          </cell>
          <cell r="E2415">
            <v>3.8</v>
          </cell>
          <cell r="F2415">
            <v>0.4</v>
          </cell>
          <cell r="G2415">
            <v>0.9</v>
          </cell>
          <cell r="Q2415" t="str">
            <v>3/8"</v>
          </cell>
          <cell r="R2415">
            <v>11</v>
          </cell>
          <cell r="S2415">
            <v>1.05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6.4680000000000009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H2415">
            <v>6.4680000000000009</v>
          </cell>
        </row>
        <row r="2416">
          <cell r="B2416" t="str">
            <v>Acero Balancin</v>
          </cell>
          <cell r="C2416">
            <v>1</v>
          </cell>
          <cell r="D2416">
            <v>1</v>
          </cell>
          <cell r="E2416">
            <v>3.8</v>
          </cell>
          <cell r="F2416">
            <v>0.4</v>
          </cell>
          <cell r="G2416">
            <v>1.35</v>
          </cell>
          <cell r="Q2416" t="str">
            <v>3/8"</v>
          </cell>
          <cell r="R2416">
            <v>11</v>
          </cell>
          <cell r="S2416">
            <v>1.35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8.3160000000000007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H2416">
            <v>8.3160000000000007</v>
          </cell>
        </row>
        <row r="2417">
          <cell r="B2417" t="str">
            <v>Eje 3/A</v>
          </cell>
          <cell r="C2417">
            <v>1</v>
          </cell>
          <cell r="D2417">
            <v>1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H2417">
            <v>0</v>
          </cell>
        </row>
        <row r="2418">
          <cell r="B2418" t="str">
            <v>Acero Inferior</v>
          </cell>
          <cell r="C2418">
            <v>1</v>
          </cell>
          <cell r="D2418">
            <v>1</v>
          </cell>
          <cell r="E2418">
            <v>2.1</v>
          </cell>
          <cell r="F2418">
            <v>0.4</v>
          </cell>
          <cell r="G2418">
            <v>3.4</v>
          </cell>
          <cell r="Q2418" t="str">
            <v>3/8"</v>
          </cell>
          <cell r="R2418">
            <v>6</v>
          </cell>
          <cell r="S2418">
            <v>3.6999999999999997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12.432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H2418">
            <v>12.432</v>
          </cell>
        </row>
        <row r="2419">
          <cell r="B2419" t="str">
            <v>Acero Inferior</v>
          </cell>
          <cell r="C2419">
            <v>1</v>
          </cell>
          <cell r="D2419">
            <v>1</v>
          </cell>
          <cell r="E2419">
            <v>2.1</v>
          </cell>
          <cell r="F2419">
            <v>0.4</v>
          </cell>
          <cell r="G2419">
            <v>2.0499999999999998</v>
          </cell>
          <cell r="Q2419" t="str">
            <v>3/8"</v>
          </cell>
          <cell r="R2419">
            <v>6</v>
          </cell>
          <cell r="S2419">
            <v>2.0499999999999998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6.8879999999999999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H2419">
            <v>6.8879999999999999</v>
          </cell>
        </row>
        <row r="2420">
          <cell r="B2420" t="str">
            <v>Acero Baston</v>
          </cell>
          <cell r="C2420">
            <v>1</v>
          </cell>
          <cell r="D2420">
            <v>1</v>
          </cell>
          <cell r="E2420">
            <v>2.1</v>
          </cell>
          <cell r="F2420">
            <v>0.4</v>
          </cell>
          <cell r="G2420">
            <v>0.9</v>
          </cell>
          <cell r="Q2420" t="str">
            <v>1/2"</v>
          </cell>
          <cell r="R2420">
            <v>6</v>
          </cell>
          <cell r="S2420">
            <v>1.05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6.237000000000001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H2420">
            <v>6.237000000000001</v>
          </cell>
        </row>
        <row r="2421">
          <cell r="B2421" t="str">
            <v>Acero Balancin</v>
          </cell>
          <cell r="C2421">
            <v>1</v>
          </cell>
          <cell r="D2421">
            <v>1</v>
          </cell>
          <cell r="E2421">
            <v>2.1</v>
          </cell>
          <cell r="F2421">
            <v>0.4</v>
          </cell>
          <cell r="G2421">
            <v>2.4500000000000002</v>
          </cell>
          <cell r="Q2421" t="str">
            <v>3/8"</v>
          </cell>
          <cell r="R2421">
            <v>6</v>
          </cell>
          <cell r="S2421">
            <v>2.4500000000000002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8.2320000000000011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H2421">
            <v>8.2320000000000011</v>
          </cell>
        </row>
        <row r="2422">
          <cell r="B2422" t="str">
            <v>Temperatura</v>
          </cell>
          <cell r="C2422">
            <v>1</v>
          </cell>
          <cell r="D2422">
            <v>107</v>
          </cell>
          <cell r="E2422">
            <v>1</v>
          </cell>
          <cell r="F2422">
            <v>0.25</v>
          </cell>
          <cell r="G2422">
            <v>1</v>
          </cell>
          <cell r="Q2422" t="str">
            <v>1/4"</v>
          </cell>
          <cell r="R2422">
            <v>4</v>
          </cell>
          <cell r="S2422">
            <v>1.05</v>
          </cell>
          <cell r="T2422">
            <v>0</v>
          </cell>
          <cell r="U2422">
            <v>112.35000000000001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H2422">
            <v>0</v>
          </cell>
        </row>
        <row r="2423">
          <cell r="B2423" t="str">
            <v>AZOTEA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H2423">
            <v>0</v>
          </cell>
        </row>
        <row r="2424"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H2424">
            <v>0</v>
          </cell>
        </row>
        <row r="2425">
          <cell r="C2425">
            <v>1</v>
          </cell>
          <cell r="D2425">
            <v>1</v>
          </cell>
          <cell r="E2425">
            <v>53</v>
          </cell>
          <cell r="F2425">
            <v>1</v>
          </cell>
          <cell r="G2425">
            <v>0.09</v>
          </cell>
          <cell r="L2425">
            <v>4.7699999999999996</v>
          </cell>
          <cell r="M2425">
            <v>53</v>
          </cell>
          <cell r="N2425">
            <v>1</v>
          </cell>
          <cell r="O2425">
            <v>53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H2425">
            <v>0</v>
          </cell>
        </row>
        <row r="2426">
          <cell r="B2426" t="str">
            <v>Eje D/3</v>
          </cell>
          <cell r="C2426">
            <v>1</v>
          </cell>
          <cell r="D2426">
            <v>1</v>
          </cell>
          <cell r="M2426">
            <v>75</v>
          </cell>
          <cell r="N2426">
            <v>0.2</v>
          </cell>
          <cell r="O2426">
            <v>15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H2426">
            <v>0</v>
          </cell>
        </row>
        <row r="2427">
          <cell r="B2427" t="str">
            <v>Acero Inferior</v>
          </cell>
          <cell r="C2427">
            <v>1</v>
          </cell>
          <cell r="D2427">
            <v>1</v>
          </cell>
          <cell r="E2427">
            <v>0.9</v>
          </cell>
          <cell r="F2427">
            <v>0.4</v>
          </cell>
          <cell r="G2427">
            <v>3.65</v>
          </cell>
          <cell r="Q2427" t="str">
            <v>1/2"</v>
          </cell>
          <cell r="R2427">
            <v>3</v>
          </cell>
          <cell r="S2427">
            <v>3.9499999999999997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11.731499999999999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H2427">
            <v>11.731499999999999</v>
          </cell>
        </row>
        <row r="2428">
          <cell r="B2428" t="str">
            <v>Acero Baston</v>
          </cell>
          <cell r="C2428">
            <v>1</v>
          </cell>
          <cell r="D2428">
            <v>1</v>
          </cell>
          <cell r="E2428">
            <v>0.9</v>
          </cell>
          <cell r="F2428">
            <v>0.4</v>
          </cell>
          <cell r="G2428">
            <v>0.95</v>
          </cell>
          <cell r="Q2428" t="str">
            <v>3/8"</v>
          </cell>
          <cell r="R2428">
            <v>3</v>
          </cell>
          <cell r="S2428">
            <v>1.0999999999999999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1.8480000000000001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H2428">
            <v>1.8480000000000001</v>
          </cell>
        </row>
        <row r="2429">
          <cell r="B2429" t="str">
            <v>Acero Baston</v>
          </cell>
          <cell r="C2429">
            <v>1</v>
          </cell>
          <cell r="D2429">
            <v>1</v>
          </cell>
          <cell r="E2429">
            <v>0.9</v>
          </cell>
          <cell r="F2429">
            <v>0.4</v>
          </cell>
          <cell r="G2429">
            <v>0.95</v>
          </cell>
          <cell r="Q2429" t="str">
            <v>3/8"</v>
          </cell>
          <cell r="R2429">
            <v>3</v>
          </cell>
          <cell r="S2429">
            <v>1.0999999999999999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1.8480000000000001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H2429">
            <v>1.8480000000000001</v>
          </cell>
        </row>
        <row r="2430">
          <cell r="B2430" t="str">
            <v>Eje D/3</v>
          </cell>
          <cell r="C2430">
            <v>1</v>
          </cell>
          <cell r="D2430">
            <v>1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H2430">
            <v>0</v>
          </cell>
        </row>
        <row r="2431">
          <cell r="B2431" t="str">
            <v>Acero Inferior</v>
          </cell>
          <cell r="C2431">
            <v>1</v>
          </cell>
          <cell r="D2431">
            <v>1</v>
          </cell>
          <cell r="E2431">
            <v>3.9</v>
          </cell>
          <cell r="F2431">
            <v>0.4</v>
          </cell>
          <cell r="G2431">
            <v>3.65</v>
          </cell>
          <cell r="Q2431" t="str">
            <v>1/2"</v>
          </cell>
          <cell r="R2431">
            <v>11</v>
          </cell>
          <cell r="S2431">
            <v>3.9499999999999997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43.015499999999996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H2431">
            <v>43.015499999999996</v>
          </cell>
        </row>
        <row r="2432">
          <cell r="B2432" t="str">
            <v>Acero Baston</v>
          </cell>
          <cell r="C2432">
            <v>1</v>
          </cell>
          <cell r="D2432">
            <v>1</v>
          </cell>
          <cell r="E2432">
            <v>3.9</v>
          </cell>
          <cell r="F2432">
            <v>0.4</v>
          </cell>
          <cell r="G2432">
            <v>0.95</v>
          </cell>
          <cell r="Q2432" t="str">
            <v>3/8"</v>
          </cell>
          <cell r="R2432">
            <v>11</v>
          </cell>
          <cell r="S2432">
            <v>1.0999999999999999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6.7759999999999998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H2432">
            <v>6.7759999999999998</v>
          </cell>
        </row>
        <row r="2433">
          <cell r="B2433" t="str">
            <v>Acero Baston</v>
          </cell>
          <cell r="C2433">
            <v>1</v>
          </cell>
          <cell r="D2433">
            <v>1</v>
          </cell>
          <cell r="E2433">
            <v>3.9</v>
          </cell>
          <cell r="F2433">
            <v>0.4</v>
          </cell>
          <cell r="G2433">
            <v>0.95</v>
          </cell>
          <cell r="Q2433" t="str">
            <v>3/8"</v>
          </cell>
          <cell r="R2433">
            <v>11</v>
          </cell>
          <cell r="S2433">
            <v>1.0999999999999999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6.7759999999999998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H2433">
            <v>6.7759999999999998</v>
          </cell>
        </row>
        <row r="2434">
          <cell r="B2434" t="str">
            <v>Eje C/3</v>
          </cell>
          <cell r="C2434">
            <v>1</v>
          </cell>
          <cell r="D2434">
            <v>1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H2434">
            <v>0</v>
          </cell>
        </row>
        <row r="2435">
          <cell r="B2435" t="str">
            <v>Acero Inferior</v>
          </cell>
          <cell r="C2435">
            <v>1</v>
          </cell>
          <cell r="D2435">
            <v>1</v>
          </cell>
          <cell r="E2435">
            <v>1.7</v>
          </cell>
          <cell r="F2435">
            <v>0.4</v>
          </cell>
          <cell r="G2435">
            <v>3.05</v>
          </cell>
          <cell r="Q2435" t="str">
            <v>1/2"</v>
          </cell>
          <cell r="R2435">
            <v>5</v>
          </cell>
          <cell r="S2435">
            <v>3.3499999999999996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16.5825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H2435">
            <v>16.5825</v>
          </cell>
        </row>
        <row r="2436">
          <cell r="B2436" t="str">
            <v>Acero Baston</v>
          </cell>
          <cell r="C2436">
            <v>1</v>
          </cell>
          <cell r="D2436">
            <v>1</v>
          </cell>
          <cell r="E2436">
            <v>1.7</v>
          </cell>
          <cell r="F2436">
            <v>0.4</v>
          </cell>
          <cell r="G2436">
            <v>0.8</v>
          </cell>
          <cell r="Q2436" t="str">
            <v>3/8"</v>
          </cell>
          <cell r="R2436">
            <v>5</v>
          </cell>
          <cell r="S2436">
            <v>0.95000000000000007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2.66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H2436">
            <v>2.66</v>
          </cell>
        </row>
        <row r="2437">
          <cell r="B2437" t="str">
            <v>Acero Baston</v>
          </cell>
          <cell r="C2437">
            <v>1</v>
          </cell>
          <cell r="D2437">
            <v>1</v>
          </cell>
          <cell r="E2437">
            <v>1.7</v>
          </cell>
          <cell r="F2437">
            <v>0.4</v>
          </cell>
          <cell r="G2437">
            <v>0.8</v>
          </cell>
          <cell r="Q2437" t="str">
            <v>3/8"</v>
          </cell>
          <cell r="R2437">
            <v>5</v>
          </cell>
          <cell r="S2437">
            <v>0.95000000000000007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2.66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H2437">
            <v>2.66</v>
          </cell>
        </row>
        <row r="2438">
          <cell r="B2438" t="str">
            <v>Eje C/3</v>
          </cell>
          <cell r="C2438">
            <v>1</v>
          </cell>
          <cell r="D2438">
            <v>1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H2438">
            <v>0</v>
          </cell>
        </row>
        <row r="2439">
          <cell r="B2439" t="str">
            <v>Acero Inferior</v>
          </cell>
          <cell r="C2439">
            <v>1</v>
          </cell>
          <cell r="D2439">
            <v>1</v>
          </cell>
          <cell r="E2439">
            <v>5.9</v>
          </cell>
          <cell r="F2439">
            <v>0.4</v>
          </cell>
          <cell r="G2439">
            <v>4.4000000000000004</v>
          </cell>
          <cell r="Q2439" t="str">
            <v>1/2"</v>
          </cell>
          <cell r="R2439">
            <v>16</v>
          </cell>
          <cell r="S2439">
            <v>4.7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74.448000000000008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H2439">
            <v>74.448000000000008</v>
          </cell>
        </row>
        <row r="2440">
          <cell r="B2440" t="str">
            <v>Acero Baston</v>
          </cell>
          <cell r="C2440">
            <v>1</v>
          </cell>
          <cell r="D2440">
            <v>1</v>
          </cell>
          <cell r="E2440">
            <v>5.9</v>
          </cell>
          <cell r="F2440">
            <v>0.4</v>
          </cell>
          <cell r="G2440">
            <v>1.05</v>
          </cell>
          <cell r="Q2440" t="str">
            <v>3/8"</v>
          </cell>
          <cell r="R2440">
            <v>16</v>
          </cell>
          <cell r="S2440">
            <v>1.2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10.752000000000001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H2440">
            <v>10.752000000000001</v>
          </cell>
        </row>
        <row r="2441">
          <cell r="B2441" t="str">
            <v>Acero Baston</v>
          </cell>
          <cell r="C2441">
            <v>1</v>
          </cell>
          <cell r="D2441">
            <v>1</v>
          </cell>
          <cell r="E2441">
            <v>5.9</v>
          </cell>
          <cell r="F2441">
            <v>0.4</v>
          </cell>
          <cell r="G2441">
            <v>2.1</v>
          </cell>
          <cell r="Q2441" t="str">
            <v>3/8"</v>
          </cell>
          <cell r="R2441">
            <v>16</v>
          </cell>
          <cell r="S2441">
            <v>2.25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20.160000000000004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H2441">
            <v>20.160000000000004</v>
          </cell>
        </row>
        <row r="2442">
          <cell r="B2442" t="str">
            <v>Eje C/3</v>
          </cell>
          <cell r="C2442">
            <v>1</v>
          </cell>
          <cell r="D2442">
            <v>1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H2442">
            <v>0</v>
          </cell>
        </row>
        <row r="2443">
          <cell r="B2443" t="str">
            <v>Acero Inferior</v>
          </cell>
          <cell r="C2443">
            <v>1</v>
          </cell>
          <cell r="D2443">
            <v>1</v>
          </cell>
          <cell r="E2443">
            <v>3.15</v>
          </cell>
          <cell r="F2443">
            <v>0.4</v>
          </cell>
          <cell r="G2443">
            <v>2.5</v>
          </cell>
          <cell r="Q2443" t="str">
            <v>1/2"</v>
          </cell>
          <cell r="R2443">
            <v>9</v>
          </cell>
          <cell r="S2443">
            <v>2.8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24.948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H2443">
            <v>24.948</v>
          </cell>
        </row>
        <row r="2444">
          <cell r="B2444" t="str">
            <v>Acero Baston</v>
          </cell>
          <cell r="C2444">
            <v>1</v>
          </cell>
          <cell r="D2444">
            <v>1</v>
          </cell>
          <cell r="E2444">
            <v>3.15</v>
          </cell>
          <cell r="F2444">
            <v>0.4</v>
          </cell>
          <cell r="G2444">
            <v>0.75</v>
          </cell>
          <cell r="Q2444" t="str">
            <v>3/8"</v>
          </cell>
          <cell r="R2444">
            <v>9</v>
          </cell>
          <cell r="S2444">
            <v>0.9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4.5360000000000005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H2444">
            <v>4.5360000000000005</v>
          </cell>
        </row>
        <row r="2445">
          <cell r="B2445" t="str">
            <v>Acero Baston</v>
          </cell>
          <cell r="C2445">
            <v>1</v>
          </cell>
          <cell r="D2445">
            <v>1</v>
          </cell>
          <cell r="E2445">
            <v>3.15</v>
          </cell>
          <cell r="F2445">
            <v>0.4</v>
          </cell>
          <cell r="G2445">
            <v>0.8</v>
          </cell>
          <cell r="Q2445" t="str">
            <v>3/8"</v>
          </cell>
          <cell r="R2445">
            <v>9</v>
          </cell>
          <cell r="S2445">
            <v>0.95000000000000007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4.7880000000000011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H2445">
            <v>4.7880000000000011</v>
          </cell>
        </row>
        <row r="2446">
          <cell r="B2446" t="str">
            <v>Temperatura</v>
          </cell>
          <cell r="C2446">
            <v>1</v>
          </cell>
          <cell r="D2446">
            <v>53</v>
          </cell>
          <cell r="E2446">
            <v>1</v>
          </cell>
          <cell r="F2446">
            <v>0.25</v>
          </cell>
          <cell r="G2446">
            <v>1</v>
          </cell>
          <cell r="Q2446" t="str">
            <v>1/4"</v>
          </cell>
          <cell r="R2446">
            <v>4</v>
          </cell>
          <cell r="S2446">
            <v>1.05</v>
          </cell>
          <cell r="T2446">
            <v>0</v>
          </cell>
          <cell r="U2446">
            <v>55.650000000000006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H2446">
            <v>0</v>
          </cell>
        </row>
        <row r="2447">
          <cell r="AH2447">
            <v>0</v>
          </cell>
        </row>
        <row r="2448">
          <cell r="AH2448">
            <v>0</v>
          </cell>
        </row>
        <row r="2449">
          <cell r="A2449" t="str">
            <v>LOSA ALIG-CON210</v>
          </cell>
          <cell r="B2449" t="str">
            <v>Concreto f'c= 210 kg/cm2</v>
          </cell>
          <cell r="D2449" t="str">
            <v>M3</v>
          </cell>
          <cell r="E2449">
            <v>117.44999999999999</v>
          </cell>
          <cell r="AH2449">
            <v>0</v>
          </cell>
        </row>
        <row r="2450">
          <cell r="A2450" t="str">
            <v>LOSA ALIG-ENC</v>
          </cell>
          <cell r="B2450" t="str">
            <v xml:space="preserve">Encofrado y desencofrado </v>
          </cell>
          <cell r="D2450" t="str">
            <v>M2</v>
          </cell>
          <cell r="E2450">
            <v>1638.0000000000002</v>
          </cell>
          <cell r="AH2450">
            <v>0</v>
          </cell>
        </row>
        <row r="2451">
          <cell r="A2451" t="str">
            <v>LOSA ALIG-ACE</v>
          </cell>
          <cell r="B2451" t="str">
            <v>Acero de refuerzo</v>
          </cell>
          <cell r="D2451" t="str">
            <v>KG</v>
          </cell>
          <cell r="E2451">
            <v>10040.962299999997</v>
          </cell>
          <cell r="AH2451">
            <v>0</v>
          </cell>
        </row>
        <row r="2452">
          <cell r="A2452" t="str">
            <v>LOSA ALIG-LAD</v>
          </cell>
          <cell r="B2452" t="str">
            <v>Unidad es de ladrillo</v>
          </cell>
          <cell r="D2452" t="str">
            <v>UND</v>
          </cell>
          <cell r="E2452">
            <v>13923.000000000002</v>
          </cell>
          <cell r="AH2452">
            <v>0</v>
          </cell>
        </row>
        <row r="2453">
          <cell r="AH2453">
            <v>0</v>
          </cell>
        </row>
        <row r="2454">
          <cell r="AH2454">
            <v>0</v>
          </cell>
        </row>
        <row r="2455">
          <cell r="B2455" t="str">
            <v>LOSA MACISA H=15CM</v>
          </cell>
          <cell r="AH2455">
            <v>0</v>
          </cell>
        </row>
        <row r="2456">
          <cell r="AH2456">
            <v>0</v>
          </cell>
        </row>
        <row r="2457">
          <cell r="B2457" t="str">
            <v>PISO 1</v>
          </cell>
          <cell r="AH2457">
            <v>0</v>
          </cell>
        </row>
        <row r="2458">
          <cell r="AH2458">
            <v>0</v>
          </cell>
        </row>
        <row r="2459">
          <cell r="C2459">
            <v>1</v>
          </cell>
          <cell r="D2459">
            <v>1</v>
          </cell>
          <cell r="E2459">
            <v>4.55</v>
          </cell>
          <cell r="F2459">
            <v>1</v>
          </cell>
          <cell r="G2459">
            <v>0.15</v>
          </cell>
          <cell r="L2459">
            <v>0.6825</v>
          </cell>
          <cell r="M2459">
            <v>4.55</v>
          </cell>
          <cell r="N2459">
            <v>1</v>
          </cell>
          <cell r="O2459">
            <v>4.55</v>
          </cell>
          <cell r="AH2459">
            <v>0</v>
          </cell>
        </row>
        <row r="2460">
          <cell r="B2460" t="str">
            <v>Acero Longitudinal</v>
          </cell>
          <cell r="C2460">
            <v>1</v>
          </cell>
          <cell r="D2460">
            <v>1</v>
          </cell>
          <cell r="AH2460">
            <v>0</v>
          </cell>
        </row>
        <row r="2461">
          <cell r="B2461" t="str">
            <v>Acero Inferior</v>
          </cell>
          <cell r="C2461">
            <v>1</v>
          </cell>
          <cell r="D2461">
            <v>1</v>
          </cell>
          <cell r="E2461">
            <v>2.85</v>
          </cell>
          <cell r="F2461">
            <v>0.25</v>
          </cell>
          <cell r="G2461">
            <v>2.15</v>
          </cell>
          <cell r="Q2461" t="str">
            <v>3/8"</v>
          </cell>
          <cell r="R2461">
            <v>11</v>
          </cell>
          <cell r="S2461">
            <v>2.4499999999999997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15.091999999999999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H2461">
            <v>15.091999999999999</v>
          </cell>
        </row>
        <row r="2462">
          <cell r="B2462" t="str">
            <v>Acero Transversal</v>
          </cell>
          <cell r="C2462">
            <v>1</v>
          </cell>
          <cell r="D2462">
            <v>1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H2462">
            <v>0</v>
          </cell>
        </row>
        <row r="2463">
          <cell r="B2463" t="str">
            <v>Acero Inferior</v>
          </cell>
          <cell r="C2463">
            <v>1</v>
          </cell>
          <cell r="D2463">
            <v>1</v>
          </cell>
          <cell r="E2463">
            <v>2</v>
          </cell>
          <cell r="F2463">
            <v>0.25</v>
          </cell>
          <cell r="G2463">
            <v>3.5</v>
          </cell>
          <cell r="Q2463" t="str">
            <v>3/8"</v>
          </cell>
          <cell r="R2463">
            <v>8</v>
          </cell>
          <cell r="S2463">
            <v>3.8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17.024000000000001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H2463">
            <v>17.024000000000001</v>
          </cell>
        </row>
        <row r="2464">
          <cell r="B2464" t="str">
            <v>Refuerzo Longitudinal</v>
          </cell>
          <cell r="C2464">
            <v>1</v>
          </cell>
          <cell r="D2464">
            <v>1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H2464">
            <v>0</v>
          </cell>
        </row>
        <row r="2465">
          <cell r="B2465" t="str">
            <v>Acero Inferior</v>
          </cell>
          <cell r="C2465">
            <v>1</v>
          </cell>
          <cell r="D2465">
            <v>1</v>
          </cell>
          <cell r="E2465">
            <v>2.85</v>
          </cell>
          <cell r="F2465">
            <v>0.2</v>
          </cell>
          <cell r="G2465">
            <v>2.15</v>
          </cell>
          <cell r="Q2465" t="str">
            <v>3/8"</v>
          </cell>
          <cell r="R2465">
            <v>14</v>
          </cell>
          <cell r="S2465">
            <v>2.4499999999999997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19.208000000000002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H2465">
            <v>19.208000000000002</v>
          </cell>
        </row>
        <row r="2466">
          <cell r="B2466" t="str">
            <v>Acero Superior</v>
          </cell>
          <cell r="C2466">
            <v>1</v>
          </cell>
          <cell r="D2466">
            <v>1</v>
          </cell>
          <cell r="E2466">
            <v>2.85</v>
          </cell>
          <cell r="F2466">
            <v>0.4</v>
          </cell>
          <cell r="G2466">
            <v>2.15</v>
          </cell>
          <cell r="Q2466" t="str">
            <v>3/8"</v>
          </cell>
          <cell r="R2466">
            <v>7</v>
          </cell>
          <cell r="S2466">
            <v>2.4499999999999997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9.604000000000001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H2466">
            <v>9.604000000000001</v>
          </cell>
        </row>
        <row r="2467">
          <cell r="B2467" t="str">
            <v>Refuerzo Transversal</v>
          </cell>
          <cell r="C2467">
            <v>1</v>
          </cell>
          <cell r="D2467">
            <v>1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H2467">
            <v>0</v>
          </cell>
        </row>
        <row r="2468">
          <cell r="B2468" t="str">
            <v>Acero Inferior</v>
          </cell>
          <cell r="C2468">
            <v>1</v>
          </cell>
          <cell r="D2468">
            <v>1</v>
          </cell>
          <cell r="E2468">
            <v>2</v>
          </cell>
          <cell r="F2468">
            <v>0.2</v>
          </cell>
          <cell r="G2468">
            <v>3.5</v>
          </cell>
          <cell r="Q2468" t="str">
            <v>3/8"</v>
          </cell>
          <cell r="R2468">
            <v>10</v>
          </cell>
          <cell r="S2468">
            <v>3.8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21.28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H2468">
            <v>21.28</v>
          </cell>
        </row>
        <row r="2469">
          <cell r="B2469" t="str">
            <v>Acero Superior</v>
          </cell>
          <cell r="C2469">
            <v>1</v>
          </cell>
          <cell r="D2469">
            <v>1</v>
          </cell>
          <cell r="E2469">
            <v>2.85</v>
          </cell>
          <cell r="F2469">
            <v>0.4</v>
          </cell>
          <cell r="G2469">
            <v>3.5</v>
          </cell>
          <cell r="Q2469" t="str">
            <v>3/8"</v>
          </cell>
          <cell r="R2469">
            <v>7</v>
          </cell>
          <cell r="S2469">
            <v>3.8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14.896000000000001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H2469">
            <v>14.896000000000001</v>
          </cell>
        </row>
        <row r="2470">
          <cell r="B2470" t="str">
            <v>PISO 2-15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H2470">
            <v>0</v>
          </cell>
        </row>
        <row r="2471"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H2471">
            <v>0</v>
          </cell>
        </row>
        <row r="2472">
          <cell r="C2472">
            <v>14</v>
          </cell>
          <cell r="D2472">
            <v>1</v>
          </cell>
          <cell r="E2472">
            <v>4.55</v>
          </cell>
          <cell r="F2472">
            <v>1</v>
          </cell>
          <cell r="G2472">
            <v>0.15</v>
          </cell>
          <cell r="L2472">
            <v>9.5549999999999997</v>
          </cell>
          <cell r="M2472">
            <v>4.55</v>
          </cell>
          <cell r="N2472">
            <v>1</v>
          </cell>
          <cell r="O2472">
            <v>63.699999999999996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H2472">
            <v>0</v>
          </cell>
        </row>
        <row r="2473">
          <cell r="B2473" t="str">
            <v>Acero Longitudinal</v>
          </cell>
          <cell r="C2473">
            <v>14</v>
          </cell>
          <cell r="D2473">
            <v>1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H2473">
            <v>0</v>
          </cell>
        </row>
        <row r="2474">
          <cell r="B2474" t="str">
            <v>Acero Inferior</v>
          </cell>
          <cell r="C2474">
            <v>14</v>
          </cell>
          <cell r="D2474">
            <v>1</v>
          </cell>
          <cell r="E2474">
            <v>2.85</v>
          </cell>
          <cell r="F2474">
            <v>0.25</v>
          </cell>
          <cell r="G2474">
            <v>2.15</v>
          </cell>
          <cell r="Q2474" t="str">
            <v>3/8"</v>
          </cell>
          <cell r="R2474">
            <v>11</v>
          </cell>
          <cell r="S2474">
            <v>2.4499999999999997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211.28799999999998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H2474">
            <v>211.28799999999998</v>
          </cell>
        </row>
        <row r="2475">
          <cell r="B2475" t="str">
            <v>Acero Transversal</v>
          </cell>
          <cell r="C2475">
            <v>14</v>
          </cell>
          <cell r="D2475">
            <v>1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H2475">
            <v>0</v>
          </cell>
        </row>
        <row r="2476">
          <cell r="B2476" t="str">
            <v>Acero Inferior</v>
          </cell>
          <cell r="C2476">
            <v>14</v>
          </cell>
          <cell r="D2476">
            <v>1</v>
          </cell>
          <cell r="E2476">
            <v>2</v>
          </cell>
          <cell r="F2476">
            <v>0.25</v>
          </cell>
          <cell r="G2476">
            <v>3.5</v>
          </cell>
          <cell r="Q2476" t="str">
            <v>3/8"</v>
          </cell>
          <cell r="R2476">
            <v>8</v>
          </cell>
          <cell r="S2476">
            <v>3.8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238.33600000000001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H2476">
            <v>238.33600000000001</v>
          </cell>
        </row>
        <row r="2477">
          <cell r="B2477" t="str">
            <v>Refuerzo Longitudinal</v>
          </cell>
          <cell r="C2477">
            <v>14</v>
          </cell>
          <cell r="D2477">
            <v>1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</row>
        <row r="2478">
          <cell r="B2478" t="str">
            <v>Acero Inferior</v>
          </cell>
          <cell r="C2478">
            <v>14</v>
          </cell>
          <cell r="D2478">
            <v>1</v>
          </cell>
          <cell r="E2478">
            <v>2.85</v>
          </cell>
          <cell r="F2478">
            <v>0.2</v>
          </cell>
          <cell r="G2478">
            <v>2.15</v>
          </cell>
          <cell r="Q2478" t="str">
            <v>3/8"</v>
          </cell>
          <cell r="R2478">
            <v>14</v>
          </cell>
          <cell r="S2478">
            <v>2.4499999999999997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268.91200000000003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H2478">
            <v>268.91200000000003</v>
          </cell>
        </row>
        <row r="2479">
          <cell r="B2479" t="str">
            <v>Acero Superior</v>
          </cell>
          <cell r="C2479">
            <v>14</v>
          </cell>
          <cell r="D2479">
            <v>1</v>
          </cell>
          <cell r="E2479">
            <v>2.85</v>
          </cell>
          <cell r="F2479">
            <v>0.4</v>
          </cell>
          <cell r="G2479">
            <v>2.15</v>
          </cell>
          <cell r="Q2479" t="str">
            <v>3/8"</v>
          </cell>
          <cell r="R2479">
            <v>7</v>
          </cell>
          <cell r="S2479">
            <v>2.4499999999999997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134.45600000000002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H2479">
            <v>134.45600000000002</v>
          </cell>
        </row>
        <row r="2480">
          <cell r="B2480" t="str">
            <v>Refuerzo Transversal</v>
          </cell>
          <cell r="C2480">
            <v>14</v>
          </cell>
          <cell r="D2480">
            <v>1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H2480">
            <v>0</v>
          </cell>
        </row>
        <row r="2481">
          <cell r="B2481" t="str">
            <v>Acero Inferior</v>
          </cell>
          <cell r="C2481">
            <v>14</v>
          </cell>
          <cell r="D2481">
            <v>1</v>
          </cell>
          <cell r="E2481">
            <v>2</v>
          </cell>
          <cell r="F2481">
            <v>0.2</v>
          </cell>
          <cell r="G2481">
            <v>3.5</v>
          </cell>
          <cell r="Q2481" t="str">
            <v>3/8"</v>
          </cell>
          <cell r="R2481">
            <v>10</v>
          </cell>
          <cell r="S2481">
            <v>3.8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297.92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H2481">
            <v>297.92</v>
          </cell>
        </row>
        <row r="2482">
          <cell r="B2482" t="str">
            <v>Acero Superior</v>
          </cell>
          <cell r="C2482">
            <v>14</v>
          </cell>
          <cell r="D2482">
            <v>1</v>
          </cell>
          <cell r="E2482">
            <v>2.85</v>
          </cell>
          <cell r="F2482">
            <v>0.4</v>
          </cell>
          <cell r="G2482">
            <v>3.5</v>
          </cell>
          <cell r="Q2482" t="str">
            <v>3/8"</v>
          </cell>
          <cell r="R2482">
            <v>7</v>
          </cell>
          <cell r="S2482">
            <v>3.8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208.54400000000001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H2482">
            <v>208.54400000000001</v>
          </cell>
        </row>
        <row r="2483">
          <cell r="AH2483">
            <v>0</v>
          </cell>
        </row>
        <row r="2485">
          <cell r="A2485" t="str">
            <v>LOSA MAC15-CON</v>
          </cell>
          <cell r="B2485" t="str">
            <v>CONCRETO</v>
          </cell>
          <cell r="E2485">
            <v>10.237499999999999</v>
          </cell>
          <cell r="AH2485">
            <v>0</v>
          </cell>
        </row>
        <row r="2486">
          <cell r="A2486" t="str">
            <v>LOSA MAC15-ENC</v>
          </cell>
          <cell r="B2486" t="str">
            <v xml:space="preserve">Encofrado y desencofrado </v>
          </cell>
          <cell r="D2486" t="str">
            <v>M2</v>
          </cell>
          <cell r="E2486">
            <v>68.25</v>
          </cell>
          <cell r="AH2486">
            <v>0</v>
          </cell>
        </row>
        <row r="2487">
          <cell r="A2487" t="str">
            <v>LOSA MAC15-ACE</v>
          </cell>
          <cell r="B2487" t="str">
            <v>Acero de refuerzo</v>
          </cell>
          <cell r="D2487" t="str">
            <v>KG</v>
          </cell>
          <cell r="E2487">
            <v>1456.5600000000002</v>
          </cell>
          <cell r="AH2487">
            <v>0</v>
          </cell>
        </row>
        <row r="2488">
          <cell r="AH2488">
            <v>0</v>
          </cell>
        </row>
        <row r="2489">
          <cell r="AH2489">
            <v>0</v>
          </cell>
        </row>
        <row r="2490">
          <cell r="B2490" t="str">
            <v>PARAPETOS/JARDINERAS</v>
          </cell>
        </row>
        <row r="2492">
          <cell r="B2492" t="str">
            <v>PISO 15</v>
          </cell>
        </row>
        <row r="2493"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</row>
        <row r="2494">
          <cell r="B2494" t="str">
            <v>CORTE 6</v>
          </cell>
          <cell r="C2494">
            <v>1</v>
          </cell>
          <cell r="D2494">
            <v>1</v>
          </cell>
          <cell r="E2494">
            <v>6.7</v>
          </cell>
          <cell r="F2494">
            <v>0.1</v>
          </cell>
          <cell r="G2494">
            <v>1.2</v>
          </cell>
          <cell r="L2494">
            <v>0.80400000000000005</v>
          </cell>
          <cell r="M2494">
            <v>6.7</v>
          </cell>
          <cell r="N2494">
            <v>2.1</v>
          </cell>
          <cell r="O2494">
            <v>14.07</v>
          </cell>
          <cell r="Q2494" t="str">
            <v>3/8"</v>
          </cell>
          <cell r="R2494">
            <v>23</v>
          </cell>
          <cell r="S2494">
            <v>1.8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23.184000000000001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</row>
        <row r="2495">
          <cell r="C2495">
            <v>1</v>
          </cell>
          <cell r="D2495">
            <v>1</v>
          </cell>
          <cell r="Q2495" t="str">
            <v>3/8"</v>
          </cell>
          <cell r="R2495">
            <v>5</v>
          </cell>
          <cell r="S2495">
            <v>7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19.600000000000001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</row>
        <row r="2496">
          <cell r="C2496">
            <v>1</v>
          </cell>
          <cell r="D2496">
            <v>1</v>
          </cell>
          <cell r="E2496">
            <v>6.7</v>
          </cell>
          <cell r="F2496">
            <v>0.1</v>
          </cell>
          <cell r="G2496">
            <v>0.4</v>
          </cell>
          <cell r="L2496">
            <v>0.26800000000000002</v>
          </cell>
          <cell r="M2496">
            <v>6.7</v>
          </cell>
          <cell r="N2496">
            <v>0.5</v>
          </cell>
          <cell r="O2496">
            <v>3.35</v>
          </cell>
          <cell r="Q2496" t="str">
            <v>3/8"</v>
          </cell>
          <cell r="R2496">
            <v>23</v>
          </cell>
          <cell r="S2496">
            <v>1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12.88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</row>
        <row r="2497">
          <cell r="C2497">
            <v>1</v>
          </cell>
          <cell r="D2497">
            <v>1</v>
          </cell>
          <cell r="Q2497" t="str">
            <v>3/8"</v>
          </cell>
          <cell r="R2497">
            <v>2</v>
          </cell>
          <cell r="S2497">
            <v>7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7.8400000000000007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</row>
        <row r="2498">
          <cell r="B2498" t="str">
            <v>CORTE 7</v>
          </cell>
          <cell r="C2498">
            <v>1</v>
          </cell>
          <cell r="D2498">
            <v>1</v>
          </cell>
          <cell r="E2498">
            <v>9.8000000000000007</v>
          </cell>
          <cell r="F2498">
            <v>0.1</v>
          </cell>
          <cell r="G2498">
            <v>1.2</v>
          </cell>
          <cell r="L2498">
            <v>1.1760000000000002</v>
          </cell>
          <cell r="M2498">
            <v>9.8000000000000007</v>
          </cell>
          <cell r="N2498">
            <v>2.1</v>
          </cell>
          <cell r="O2498">
            <v>20.580000000000002</v>
          </cell>
          <cell r="Q2498" t="str">
            <v>3/8"</v>
          </cell>
          <cell r="R2498">
            <v>34</v>
          </cell>
          <cell r="S2498">
            <v>1.8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34.272000000000006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</row>
        <row r="2499">
          <cell r="C2499">
            <v>1</v>
          </cell>
          <cell r="D2499">
            <v>1</v>
          </cell>
          <cell r="P2499" t="str">
            <v>H</v>
          </cell>
          <cell r="Q2499" t="str">
            <v>3/8"</v>
          </cell>
          <cell r="R2499">
            <v>5</v>
          </cell>
          <cell r="S2499">
            <v>10.100000000000001</v>
          </cell>
          <cell r="T2499">
            <v>1</v>
          </cell>
          <cell r="U2499">
            <v>0</v>
          </cell>
          <cell r="V2499">
            <v>0</v>
          </cell>
          <cell r="W2499">
            <v>0</v>
          </cell>
          <cell r="X2499">
            <v>29.400000000000006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</row>
        <row r="2500">
          <cell r="C2500">
            <v>1</v>
          </cell>
          <cell r="D2500">
            <v>1</v>
          </cell>
          <cell r="E2500">
            <v>9.8000000000000007</v>
          </cell>
          <cell r="F2500">
            <v>0.25</v>
          </cell>
          <cell r="G2500">
            <v>0.4</v>
          </cell>
          <cell r="L2500">
            <v>0.98000000000000009</v>
          </cell>
          <cell r="M2500">
            <v>9.8000000000000007</v>
          </cell>
          <cell r="N2500">
            <v>0.65</v>
          </cell>
          <cell r="O2500">
            <v>6.370000000000001</v>
          </cell>
          <cell r="Q2500" t="str">
            <v>3/8"</v>
          </cell>
          <cell r="R2500">
            <v>68</v>
          </cell>
          <cell r="S2500">
            <v>1.1499999999999999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43.791999999999994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</row>
        <row r="2501">
          <cell r="C2501">
            <v>1</v>
          </cell>
          <cell r="D2501">
            <v>1</v>
          </cell>
          <cell r="P2501" t="str">
            <v>H</v>
          </cell>
          <cell r="Q2501" t="str">
            <v>3/8"</v>
          </cell>
          <cell r="R2501">
            <v>4</v>
          </cell>
          <cell r="S2501">
            <v>10.100000000000001</v>
          </cell>
          <cell r="T2501">
            <v>1</v>
          </cell>
          <cell r="U2501">
            <v>0</v>
          </cell>
          <cell r="V2501">
            <v>0</v>
          </cell>
          <cell r="W2501">
            <v>0</v>
          </cell>
          <cell r="X2501">
            <v>23.520000000000007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</row>
        <row r="2502">
          <cell r="B2502" t="str">
            <v>CORTE 8</v>
          </cell>
          <cell r="C2502">
            <v>1</v>
          </cell>
          <cell r="D2502">
            <v>1</v>
          </cell>
          <cell r="E2502">
            <v>6.15</v>
          </cell>
          <cell r="F2502">
            <v>0.1</v>
          </cell>
          <cell r="G2502">
            <v>1.2</v>
          </cell>
          <cell r="L2502">
            <v>0.7380000000000001</v>
          </cell>
          <cell r="M2502">
            <v>6.15</v>
          </cell>
          <cell r="N2502">
            <v>2.1</v>
          </cell>
          <cell r="O2502">
            <v>12.915000000000001</v>
          </cell>
          <cell r="Q2502" t="str">
            <v>3/8"</v>
          </cell>
          <cell r="R2502">
            <v>22</v>
          </cell>
          <cell r="S2502">
            <v>1.8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22.176000000000002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</row>
        <row r="2503">
          <cell r="C2503">
            <v>1</v>
          </cell>
          <cell r="D2503">
            <v>1</v>
          </cell>
          <cell r="Q2503" t="str">
            <v>3/8"</v>
          </cell>
          <cell r="R2503">
            <v>5</v>
          </cell>
          <cell r="S2503">
            <v>6.45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18.060000000000002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</row>
        <row r="2504">
          <cell r="C2504">
            <v>1</v>
          </cell>
          <cell r="D2504">
            <v>1</v>
          </cell>
          <cell r="E2504">
            <v>6.15</v>
          </cell>
          <cell r="F2504">
            <v>0.25</v>
          </cell>
          <cell r="G2504">
            <v>0.4</v>
          </cell>
          <cell r="L2504">
            <v>0.6150000000000001</v>
          </cell>
          <cell r="M2504">
            <v>6.15</v>
          </cell>
          <cell r="N2504">
            <v>0.65</v>
          </cell>
          <cell r="O2504">
            <v>3.9975000000000005</v>
          </cell>
          <cell r="Q2504" t="str">
            <v>3/8"</v>
          </cell>
          <cell r="R2504">
            <v>44</v>
          </cell>
          <cell r="S2504">
            <v>1.1499999999999999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28.335999999999999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</row>
        <row r="2505">
          <cell r="C2505">
            <v>1</v>
          </cell>
          <cell r="D2505">
            <v>1</v>
          </cell>
          <cell r="Q2505" t="str">
            <v>3/8"</v>
          </cell>
          <cell r="R2505">
            <v>4</v>
          </cell>
          <cell r="S2505">
            <v>6.45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14.448000000000002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</row>
        <row r="2506">
          <cell r="B2506" t="str">
            <v>AZOTEA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</row>
        <row r="2507"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</row>
        <row r="2508">
          <cell r="B2508" t="str">
            <v>CORTE 2</v>
          </cell>
          <cell r="C2508">
            <v>1</v>
          </cell>
          <cell r="D2508">
            <v>1</v>
          </cell>
          <cell r="E2508">
            <v>105</v>
          </cell>
          <cell r="F2508">
            <v>0.15</v>
          </cell>
          <cell r="G2508">
            <v>0.3</v>
          </cell>
          <cell r="L2508">
            <v>4.7249999999999996</v>
          </cell>
          <cell r="M2508">
            <v>105</v>
          </cell>
          <cell r="N2508">
            <v>0.35</v>
          </cell>
          <cell r="O2508">
            <v>36.75</v>
          </cell>
          <cell r="Q2508" t="str">
            <v>3/8"</v>
          </cell>
          <cell r="R2508">
            <v>1052</v>
          </cell>
          <cell r="S2508">
            <v>0.85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500.75200000000001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</row>
        <row r="2509">
          <cell r="C2509">
            <v>1</v>
          </cell>
          <cell r="D2509">
            <v>1</v>
          </cell>
          <cell r="P2509" t="str">
            <v>H</v>
          </cell>
          <cell r="Q2509" t="str">
            <v>3/8"</v>
          </cell>
          <cell r="R2509">
            <v>4</v>
          </cell>
          <cell r="S2509">
            <v>105.3</v>
          </cell>
          <cell r="T2509">
            <v>11</v>
          </cell>
          <cell r="U2509">
            <v>0</v>
          </cell>
          <cell r="V2509">
            <v>0</v>
          </cell>
          <cell r="W2509">
            <v>0</v>
          </cell>
          <cell r="X2509">
            <v>245.72800000000004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</row>
        <row r="2512">
          <cell r="A2512" t="str">
            <v>PARA-CON</v>
          </cell>
          <cell r="B2512" t="str">
            <v>Concreto f'c= 210 kg/cm2</v>
          </cell>
          <cell r="D2512" t="str">
            <v>M3</v>
          </cell>
          <cell r="E2512">
            <v>9.3060000000000009</v>
          </cell>
        </row>
        <row r="2513">
          <cell r="A2513" t="str">
            <v>PARA-ENCH3</v>
          </cell>
          <cell r="B2513" t="str">
            <v xml:space="preserve">Encofrado y desencofrado </v>
          </cell>
          <cell r="D2513" t="str">
            <v>M2</v>
          </cell>
          <cell r="E2513">
            <v>98.032499999999999</v>
          </cell>
        </row>
        <row r="2514">
          <cell r="A2514" t="str">
            <v>PARA-ACE</v>
          </cell>
          <cell r="B2514" t="str">
            <v>Acero de refuerzo</v>
          </cell>
          <cell r="D2514" t="str">
            <v>KG</v>
          </cell>
          <cell r="E2514">
            <v>1023.9880000000001</v>
          </cell>
        </row>
        <row r="2518">
          <cell r="B2518" t="str">
            <v>ESCALERA</v>
          </cell>
        </row>
        <row r="2521">
          <cell r="B2521" t="str">
            <v>ESCALERA  02</v>
          </cell>
        </row>
        <row r="2523">
          <cell r="A2523" t="str">
            <v>NIVEL</v>
          </cell>
          <cell r="B2523" t="str">
            <v>Piso 01</v>
          </cell>
          <cell r="C2523">
            <v>1</v>
          </cell>
        </row>
        <row r="2524">
          <cell r="B2524" t="str">
            <v>Tramo 3</v>
          </cell>
          <cell r="C2524">
            <v>1</v>
          </cell>
          <cell r="D2524">
            <v>1</v>
          </cell>
          <cell r="E2524">
            <v>0.48</v>
          </cell>
          <cell r="G2524">
            <v>1.2</v>
          </cell>
          <cell r="L2524">
            <v>0.57599999999999996</v>
          </cell>
          <cell r="M2524">
            <v>2.15</v>
          </cell>
          <cell r="N2524">
            <v>1.2</v>
          </cell>
          <cell r="O2524">
            <v>2.5799999999999996</v>
          </cell>
          <cell r="Q2524" t="str">
            <v>3/8"</v>
          </cell>
          <cell r="R2524">
            <v>6</v>
          </cell>
          <cell r="S2524">
            <v>4.3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14.448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</row>
        <row r="2525">
          <cell r="C2525">
            <v>1</v>
          </cell>
          <cell r="D2525">
            <v>1</v>
          </cell>
          <cell r="M2525">
            <v>1.44</v>
          </cell>
          <cell r="N2525">
            <v>1.2</v>
          </cell>
          <cell r="O2525">
            <v>1.728</v>
          </cell>
          <cell r="Q2525" t="str">
            <v>3/8"</v>
          </cell>
          <cell r="R2525">
            <v>6</v>
          </cell>
          <cell r="S2525">
            <v>2.1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7.0560000000000018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</row>
        <row r="2526">
          <cell r="C2526">
            <v>1</v>
          </cell>
          <cell r="D2526">
            <v>1</v>
          </cell>
          <cell r="M2526">
            <v>2.15</v>
          </cell>
          <cell r="N2526">
            <v>0.3</v>
          </cell>
          <cell r="O2526">
            <v>0.64499999999999991</v>
          </cell>
          <cell r="Q2526" t="str">
            <v>3/8"</v>
          </cell>
          <cell r="R2526">
            <v>6</v>
          </cell>
          <cell r="S2526">
            <v>3.95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13.272000000000002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</row>
        <row r="2527">
          <cell r="C2527">
            <v>1</v>
          </cell>
          <cell r="D2527">
            <v>1</v>
          </cell>
          <cell r="Q2527" t="str">
            <v>3/8"</v>
          </cell>
          <cell r="R2527">
            <v>6</v>
          </cell>
          <cell r="S2527">
            <v>1.75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5.8800000000000008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</row>
        <row r="2528">
          <cell r="C2528">
            <v>1</v>
          </cell>
          <cell r="D2528">
            <v>1</v>
          </cell>
          <cell r="Q2528" t="str">
            <v>3/8"</v>
          </cell>
          <cell r="R2528">
            <v>18</v>
          </cell>
          <cell r="S2528">
            <v>1.5999999999999999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16.128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</row>
        <row r="2529">
          <cell r="B2529" t="str">
            <v>Tramo 2</v>
          </cell>
          <cell r="C2529">
            <v>1</v>
          </cell>
          <cell r="D2529">
            <v>1</v>
          </cell>
          <cell r="E2529">
            <v>0.41</v>
          </cell>
          <cell r="G2529">
            <v>1.2</v>
          </cell>
          <cell r="L2529">
            <v>0.49199999999999994</v>
          </cell>
          <cell r="M2529">
            <v>2.5</v>
          </cell>
          <cell r="N2529">
            <v>1.2</v>
          </cell>
          <cell r="O2529">
            <v>3</v>
          </cell>
          <cell r="Q2529" t="str">
            <v>3/8"</v>
          </cell>
          <cell r="R2529">
            <v>12</v>
          </cell>
          <cell r="S2529">
            <v>3.2549999999999999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21.873600000000003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</row>
        <row r="2530">
          <cell r="C2530">
            <v>1</v>
          </cell>
          <cell r="D2530">
            <v>1</v>
          </cell>
          <cell r="M2530">
            <v>0.18</v>
          </cell>
          <cell r="N2530">
            <v>1.2</v>
          </cell>
          <cell r="O2530">
            <v>0.216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</row>
        <row r="2531">
          <cell r="B2531" t="str">
            <v>Tramo 3</v>
          </cell>
          <cell r="C2531">
            <v>1</v>
          </cell>
          <cell r="D2531">
            <v>1</v>
          </cell>
          <cell r="E2531">
            <v>0.48</v>
          </cell>
          <cell r="G2531">
            <v>1.2</v>
          </cell>
          <cell r="L2531">
            <v>0.57599999999999996</v>
          </cell>
          <cell r="M2531">
            <v>2.15</v>
          </cell>
          <cell r="N2531">
            <v>1.2</v>
          </cell>
          <cell r="O2531">
            <v>2.5799999999999996</v>
          </cell>
          <cell r="Q2531" t="str">
            <v>3/8"</v>
          </cell>
          <cell r="R2531">
            <v>6</v>
          </cell>
          <cell r="S2531">
            <v>4.5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15.120000000000001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</row>
        <row r="2532">
          <cell r="C2532">
            <v>1</v>
          </cell>
          <cell r="D2532">
            <v>1</v>
          </cell>
          <cell r="M2532">
            <v>1.44</v>
          </cell>
          <cell r="N2532">
            <v>1.2</v>
          </cell>
          <cell r="O2532">
            <v>1.728</v>
          </cell>
          <cell r="Q2532" t="str">
            <v>3/8"</v>
          </cell>
          <cell r="R2532">
            <v>6</v>
          </cell>
          <cell r="S2532">
            <v>1.7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5.7119999999999997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</row>
        <row r="2533">
          <cell r="C2533">
            <v>1</v>
          </cell>
          <cell r="D2533">
            <v>1</v>
          </cell>
          <cell r="M2533">
            <v>2.15</v>
          </cell>
          <cell r="N2533">
            <v>0.3</v>
          </cell>
          <cell r="O2533">
            <v>0.64499999999999991</v>
          </cell>
          <cell r="Q2533" t="str">
            <v>3/8"</v>
          </cell>
          <cell r="R2533">
            <v>6</v>
          </cell>
          <cell r="S2533">
            <v>3.75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12.600000000000001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</row>
        <row r="2534">
          <cell r="C2534">
            <v>1</v>
          </cell>
          <cell r="D2534">
            <v>1</v>
          </cell>
          <cell r="Q2534" t="str">
            <v>3/8"</v>
          </cell>
          <cell r="R2534">
            <v>6</v>
          </cell>
          <cell r="S2534">
            <v>2.2999999999999998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7.7279999999999998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</row>
        <row r="2535">
          <cell r="C2535">
            <v>1</v>
          </cell>
          <cell r="D2535">
            <v>1</v>
          </cell>
          <cell r="Q2535" t="str">
            <v>3/8"</v>
          </cell>
          <cell r="R2535">
            <v>18</v>
          </cell>
          <cell r="S2535">
            <v>1.5999999999999999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16.128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</row>
        <row r="2536">
          <cell r="A2536" t="str">
            <v>NIVEL</v>
          </cell>
          <cell r="B2536" t="str">
            <v>Piso 02-15</v>
          </cell>
          <cell r="C2536">
            <v>14</v>
          </cell>
        </row>
        <row r="2537">
          <cell r="B2537" t="str">
            <v>Tramo 3</v>
          </cell>
          <cell r="C2537">
            <v>14</v>
          </cell>
          <cell r="D2537">
            <v>1</v>
          </cell>
          <cell r="E2537">
            <v>0.48</v>
          </cell>
          <cell r="G2537">
            <v>1.2</v>
          </cell>
          <cell r="L2537">
            <v>8.0640000000000001</v>
          </cell>
          <cell r="M2537">
            <v>2.15</v>
          </cell>
          <cell r="N2537">
            <v>1.2</v>
          </cell>
          <cell r="O2537">
            <v>36.119999999999997</v>
          </cell>
          <cell r="Q2537" t="str">
            <v>3/8"</v>
          </cell>
          <cell r="R2537">
            <v>6</v>
          </cell>
          <cell r="S2537">
            <v>4.3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202.27199999999999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</row>
        <row r="2538">
          <cell r="C2538">
            <v>14</v>
          </cell>
          <cell r="D2538">
            <v>1</v>
          </cell>
          <cell r="M2538">
            <v>1.44</v>
          </cell>
          <cell r="N2538">
            <v>1.2</v>
          </cell>
          <cell r="O2538">
            <v>24.192</v>
          </cell>
          <cell r="Q2538" t="str">
            <v>3/8"</v>
          </cell>
          <cell r="R2538">
            <v>6</v>
          </cell>
          <cell r="S2538">
            <v>2.1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98.78400000000002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</row>
        <row r="2539">
          <cell r="C2539">
            <v>14</v>
          </cell>
          <cell r="D2539">
            <v>1</v>
          </cell>
          <cell r="M2539">
            <v>2.15</v>
          </cell>
          <cell r="N2539">
            <v>0.3</v>
          </cell>
          <cell r="O2539">
            <v>9.0299999999999994</v>
          </cell>
          <cell r="Q2539" t="str">
            <v>3/8"</v>
          </cell>
          <cell r="R2539">
            <v>6</v>
          </cell>
          <cell r="S2539">
            <v>3.95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185.80800000000002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</row>
        <row r="2540">
          <cell r="C2540">
            <v>14</v>
          </cell>
          <cell r="D2540">
            <v>1</v>
          </cell>
          <cell r="Q2540" t="str">
            <v>3/8"</v>
          </cell>
          <cell r="R2540">
            <v>6</v>
          </cell>
          <cell r="S2540">
            <v>1.75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82.320000000000007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</row>
        <row r="2541">
          <cell r="C2541">
            <v>14</v>
          </cell>
          <cell r="D2541">
            <v>1</v>
          </cell>
          <cell r="Q2541" t="str">
            <v>3/8"</v>
          </cell>
          <cell r="R2541">
            <v>18</v>
          </cell>
          <cell r="S2541">
            <v>1.5999999999999999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225.792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</row>
        <row r="2542">
          <cell r="B2542" t="str">
            <v>Tramo 2</v>
          </cell>
          <cell r="C2542">
            <v>14</v>
          </cell>
          <cell r="D2542">
            <v>1</v>
          </cell>
          <cell r="E2542">
            <v>0.41</v>
          </cell>
          <cell r="G2542">
            <v>1.2</v>
          </cell>
          <cell r="L2542">
            <v>6.887999999999999</v>
          </cell>
          <cell r="M2542">
            <v>2.5</v>
          </cell>
          <cell r="N2542">
            <v>1.2</v>
          </cell>
          <cell r="O2542">
            <v>42</v>
          </cell>
          <cell r="Q2542" t="str">
            <v>3/8"</v>
          </cell>
          <cell r="R2542">
            <v>12</v>
          </cell>
          <cell r="S2542">
            <v>3.2549999999999999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306.23040000000003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</row>
        <row r="2543">
          <cell r="C2543">
            <v>14</v>
          </cell>
          <cell r="D2543">
            <v>1</v>
          </cell>
          <cell r="M2543">
            <v>0.18</v>
          </cell>
          <cell r="N2543">
            <v>1.2</v>
          </cell>
          <cell r="O2543">
            <v>3.024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</row>
        <row r="2544">
          <cell r="B2544" t="str">
            <v>Tramo 3</v>
          </cell>
          <cell r="C2544">
            <v>14</v>
          </cell>
          <cell r="D2544">
            <v>1</v>
          </cell>
          <cell r="E2544">
            <v>0.48</v>
          </cell>
          <cell r="G2544">
            <v>1.2</v>
          </cell>
          <cell r="L2544">
            <v>8.0640000000000001</v>
          </cell>
          <cell r="M2544">
            <v>2.15</v>
          </cell>
          <cell r="N2544">
            <v>1.2</v>
          </cell>
          <cell r="O2544">
            <v>36.119999999999997</v>
          </cell>
          <cell r="Q2544" t="str">
            <v>3/8"</v>
          </cell>
          <cell r="R2544">
            <v>6</v>
          </cell>
          <cell r="S2544">
            <v>4.5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211.68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</row>
        <row r="2545">
          <cell r="C2545">
            <v>14</v>
          </cell>
          <cell r="D2545">
            <v>1</v>
          </cell>
          <cell r="M2545">
            <v>1.44</v>
          </cell>
          <cell r="N2545">
            <v>1.2</v>
          </cell>
          <cell r="O2545">
            <v>24.192</v>
          </cell>
          <cell r="Q2545" t="str">
            <v>3/8"</v>
          </cell>
          <cell r="R2545">
            <v>6</v>
          </cell>
          <cell r="S2545">
            <v>1.7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79.967999999999989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</row>
        <row r="2546">
          <cell r="C2546">
            <v>14</v>
          </cell>
          <cell r="D2546">
            <v>1</v>
          </cell>
          <cell r="M2546">
            <v>2.15</v>
          </cell>
          <cell r="N2546">
            <v>0.3</v>
          </cell>
          <cell r="O2546">
            <v>9.0299999999999994</v>
          </cell>
          <cell r="Q2546" t="str">
            <v>3/8"</v>
          </cell>
          <cell r="R2546">
            <v>6</v>
          </cell>
          <cell r="S2546">
            <v>3.75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176.40000000000003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</row>
        <row r="2547">
          <cell r="C2547">
            <v>14</v>
          </cell>
          <cell r="D2547">
            <v>1</v>
          </cell>
          <cell r="Q2547" t="str">
            <v>3/8"</v>
          </cell>
          <cell r="R2547">
            <v>6</v>
          </cell>
          <cell r="S2547">
            <v>2.2999999999999998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108.19199999999999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</row>
        <row r="2548">
          <cell r="C2548">
            <v>14</v>
          </cell>
          <cell r="D2548">
            <v>1</v>
          </cell>
          <cell r="Q2548" t="str">
            <v>3/8"</v>
          </cell>
          <cell r="R2548">
            <v>18</v>
          </cell>
          <cell r="S2548">
            <v>1.5999999999999999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225.792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</row>
        <row r="2549">
          <cell r="A2549" t="str">
            <v>NIVEL</v>
          </cell>
          <cell r="B2549" t="str">
            <v>Azotea</v>
          </cell>
          <cell r="C2549">
            <v>1</v>
          </cell>
        </row>
        <row r="2550">
          <cell r="B2550" t="str">
            <v>Tramo 3</v>
          </cell>
          <cell r="C2550">
            <v>1</v>
          </cell>
          <cell r="D2550">
            <v>1</v>
          </cell>
          <cell r="E2550">
            <v>0.48</v>
          </cell>
          <cell r="G2550">
            <v>1.2</v>
          </cell>
          <cell r="L2550">
            <v>0.57599999999999996</v>
          </cell>
          <cell r="M2550">
            <v>2.15</v>
          </cell>
          <cell r="N2550">
            <v>1.2</v>
          </cell>
          <cell r="O2550">
            <v>2.5799999999999996</v>
          </cell>
          <cell r="Q2550" t="str">
            <v>3/8"</v>
          </cell>
          <cell r="R2550">
            <v>6</v>
          </cell>
          <cell r="S2550">
            <v>4.3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14.448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</row>
        <row r="2551">
          <cell r="C2551">
            <v>1</v>
          </cell>
          <cell r="D2551">
            <v>1</v>
          </cell>
          <cell r="M2551">
            <v>1.44</v>
          </cell>
          <cell r="N2551">
            <v>1.2</v>
          </cell>
          <cell r="O2551">
            <v>1.728</v>
          </cell>
          <cell r="Q2551" t="str">
            <v>3/8"</v>
          </cell>
          <cell r="R2551">
            <v>6</v>
          </cell>
          <cell r="S2551">
            <v>2.1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7.0560000000000018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</row>
        <row r="2552">
          <cell r="C2552">
            <v>1</v>
          </cell>
          <cell r="D2552">
            <v>1</v>
          </cell>
          <cell r="M2552">
            <v>2.15</v>
          </cell>
          <cell r="N2552">
            <v>0.3</v>
          </cell>
          <cell r="O2552">
            <v>0.64499999999999991</v>
          </cell>
          <cell r="Q2552" t="str">
            <v>3/8"</v>
          </cell>
          <cell r="R2552">
            <v>6</v>
          </cell>
          <cell r="S2552">
            <v>3.95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13.272000000000002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</row>
        <row r="2553">
          <cell r="C2553">
            <v>1</v>
          </cell>
          <cell r="D2553">
            <v>1</v>
          </cell>
          <cell r="Q2553" t="str">
            <v>3/8"</v>
          </cell>
          <cell r="R2553">
            <v>6</v>
          </cell>
          <cell r="S2553">
            <v>1.75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5.8800000000000008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</row>
        <row r="2554">
          <cell r="C2554">
            <v>1</v>
          </cell>
          <cell r="D2554">
            <v>1</v>
          </cell>
          <cell r="Q2554" t="str">
            <v>3/8"</v>
          </cell>
          <cell r="R2554">
            <v>18</v>
          </cell>
          <cell r="S2554">
            <v>1.5999999999999999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16.128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</row>
        <row r="2559">
          <cell r="A2559" t="str">
            <v>ESC-CON</v>
          </cell>
          <cell r="B2559" t="str">
            <v>Concreto f'c= 210 kg/cm2</v>
          </cell>
          <cell r="D2559" t="str">
            <v>M3</v>
          </cell>
          <cell r="E2559">
            <v>25.236000000000001</v>
          </cell>
        </row>
        <row r="2560">
          <cell r="A2560" t="str">
            <v>ESC-ENC</v>
          </cell>
          <cell r="B2560" t="str">
            <v xml:space="preserve">Encofrado y desencofrado </v>
          </cell>
          <cell r="D2560" t="str">
            <v>M2</v>
          </cell>
          <cell r="E2560">
            <v>201.78300000000004</v>
          </cell>
        </row>
        <row r="2561">
          <cell r="A2561" t="str">
            <v>ESC-ACE</v>
          </cell>
          <cell r="B2561" t="str">
            <v>Acero de refuerzo</v>
          </cell>
          <cell r="D2561" t="str">
            <v>KG</v>
          </cell>
          <cell r="E2561">
            <v>2095.9680000000003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COTIZACION"/>
      <sheetName val="INFRAESTRUCTURA"/>
      <sheetName val="ESTACION. DESCUBIERTO"/>
      <sheetName val="EXTERIORES"/>
      <sheetName val="ESTRUCTURA DE HORMIGON"/>
      <sheetName val="ESTRUCTURA METALICA"/>
      <sheetName val="OBRA CIVIL"/>
      <sheetName val="INSTALACION ELECTRICA"/>
      <sheetName val="INSTALACION AIRE ACONDICIONADO"/>
      <sheetName val="INSTALACION CONTRA INCENDIO"/>
      <sheetName val="INSTALACIONES VARIAS"/>
      <sheetName val="Hoja1"/>
      <sheetName val="Hoja2"/>
      <sheetName val="Hoja3"/>
      <sheetName val="Casa B estuco"/>
      <sheetName val="Casa  B estuco siding"/>
      <sheetName val="Casa  B enchape ladrillo"/>
      <sheetName val="Alcant."/>
      <sheetName val="Agua Pot."/>
      <sheetName val="Inst. Gas"/>
      <sheetName val="Eléctrico"/>
      <sheetName val="Clima"/>
      <sheetName val="$ prom."/>
      <sheetName val="El飴rico"/>
      <sheetName val=""/>
      <sheetName val="Sheet1"/>
      <sheetName val="puni"/>
      <sheetName val="RESUMEN_DE_COTIZACION"/>
      <sheetName val="ESTACION__DESCUBIERTO"/>
      <sheetName val="ESTRUCTURA_DE_HORMIGON"/>
      <sheetName val="ESTRUCTURA_METALICA"/>
      <sheetName val="OBRA_CIVIL"/>
      <sheetName val="INSTALACION_ELECTRICA"/>
      <sheetName val="INSTALACION_AIRE_ACONDICIONADO"/>
      <sheetName val="INSTALACION_CONTRA_INCENDIO"/>
      <sheetName val="INSTALACIONES_VARIAS"/>
      <sheetName val="Casa_B_estuco"/>
      <sheetName val="Casa__B_estuco_siding"/>
      <sheetName val="Casa__B_enchape_ladrillo"/>
      <sheetName val="Alcant_"/>
      <sheetName val="Agua_Pot_"/>
      <sheetName val="Inst__Gas"/>
      <sheetName val="$_prom_"/>
      <sheetName val="Operadores"/>
      <sheetName val="Auxiliares"/>
      <sheetName val="Base"/>
      <sheetName val="BASES"/>
      <sheetName val="14x7"/>
      <sheetName val="10x4"/>
      <sheetName val="EQUIPOS"/>
      <sheetName val="ADQ_-CONS-MONT_"/>
      <sheetName val="14x7_"/>
      <sheetName val="NominaAduccion"/>
      <sheetName val="ListadoEquipos"/>
      <sheetName val="Resumen"/>
      <sheetName val="ListaPersonal"/>
      <sheetName val="Trabajos"/>
      <sheetName val="PETROLEO_SAN_PEDRO"/>
      <sheetName val="Planilla_General_"/>
      <sheetName val="Cost_Variance_calculations"/>
      <sheetName val="G__Grales_"/>
      <sheetName val="MUS$ MES"/>
      <sheetName val="x area late"/>
      <sheetName val="RESUMENDECOTIZACION"/>
      <sheetName val="ESTRUCTURADEHORMIGON"/>
      <sheetName val="OBRACIVIL"/>
      <sheetName val="INSTALACIONELECTRICA"/>
      <sheetName val="RESUMEN_DE_COTIZACION2"/>
      <sheetName val="ESTACION__DESCUBIERTO2"/>
      <sheetName val="ESTRUCTURA_DE_HORMIGON2"/>
      <sheetName val="ESTRUCTURA_METALICA2"/>
      <sheetName val="OBRA_CIVIL2"/>
      <sheetName val="INSTALACION_ELECTRICA2"/>
      <sheetName val="INSTALACION_AIRE_ACONDICIONADO2"/>
      <sheetName val="INSTALACION_CONTRA_INCENDIO2"/>
      <sheetName val="INSTALACIONES_VARIAS2"/>
      <sheetName val="Casa_B_estuco2"/>
      <sheetName val="Casa__B_estuco_siding2"/>
      <sheetName val="Casa__B_enchape_ladrillo2"/>
      <sheetName val="Alcant_2"/>
      <sheetName val="Agua_Pot_2"/>
      <sheetName val="Inst__Gas2"/>
      <sheetName val="$_prom_2"/>
      <sheetName val="RESUMEN_DE_COTIZACION1"/>
      <sheetName val="ESTACION__DESCUBIERTO1"/>
      <sheetName val="ESTRUCTURA_DE_HORMIGON1"/>
      <sheetName val="ESTRUCTURA_METALICA1"/>
      <sheetName val="OBRA_CIVIL1"/>
      <sheetName val="INSTALACION_ELECTRICA1"/>
      <sheetName val="INSTALACION_AIRE_ACONDICIONADO1"/>
      <sheetName val="INSTALACION_CONTRA_INCENDIO1"/>
      <sheetName val="INSTALACIONES_VARIAS1"/>
      <sheetName val="Casa_B_estuco1"/>
      <sheetName val="Casa__B_estuco_siding1"/>
      <sheetName val="Casa__B_enchape_ladrillo1"/>
      <sheetName val="Alcant_1"/>
      <sheetName val="Agua_Pot_1"/>
      <sheetName val="Inst__Gas1"/>
      <sheetName val="$_prom_1"/>
      <sheetName val="Encofrado BVR Unispan"/>
      <sheetName val="RESUMEN_DE_COTIZACION3"/>
      <sheetName val="ESTACION__DESCUBIERTO3"/>
      <sheetName val="ESTRUCTURA_DE_HORMIGON3"/>
      <sheetName val="ESTRUCTURA_METALICA3"/>
      <sheetName val="OBRA_CIVIL3"/>
      <sheetName val="INSTALACION_ELECTRICA3"/>
      <sheetName val="INSTALACION_AIRE_ACONDICIONADO3"/>
      <sheetName val="INSTALACION_CONTRA_INCENDIO3"/>
      <sheetName val="INSTALACIONES_VARIAS3"/>
      <sheetName val="Casa_B_estuco3"/>
      <sheetName val="Casa__B_estuco_siding3"/>
      <sheetName val="Casa__B_enchape_ladrillo3"/>
      <sheetName val="Alcant_3"/>
      <sheetName val="Agua_Pot_3"/>
      <sheetName val="Inst__Gas3"/>
      <sheetName val="$_prom_3"/>
      <sheetName val="MUS$_MES"/>
      <sheetName val="x_area_late"/>
      <sheetName val="Planill1"/>
      <sheetName val="Listado de Maestros"/>
      <sheetName val="Rep.Mat"/>
      <sheetName val="superficies"/>
      <sheetName val="Ev. Económica"/>
      <sheetName val="Flujos NEW"/>
      <sheetName val="RESUMEN_DE_COTIZACION4"/>
      <sheetName val="ESTACION__DESCUBIERTO4"/>
      <sheetName val="ESTRUCTURA_METALICA4"/>
      <sheetName val="OBRA_CIVIL4"/>
      <sheetName val="INSTALACION_ELECTRICA4"/>
      <sheetName val="INSTALACION_AIRE_ACONDICIONADO4"/>
      <sheetName val="INSTALACION_CONTRA_INCENDIO4"/>
      <sheetName val="INSTALACIONES_VARIAS4"/>
      <sheetName val="Casa_B_estuco4"/>
      <sheetName val="Casa__B_estuco_siding4"/>
      <sheetName val="Casa__B_enchape_ladrillo4"/>
      <sheetName val="Alcant_4"/>
      <sheetName val="Agua_Pot_4"/>
      <sheetName val="Inst__Gas4"/>
      <sheetName val="$_prom_4"/>
      <sheetName val="ESTRUCTURA_DE_HORMIGON4"/>
      <sheetName val="MUS$_MES1"/>
      <sheetName val="x_area_late1"/>
      <sheetName val="Encofrado_BVR_Unispan"/>
      <sheetName val="INSTALACION_ELECTRICA5"/>
      <sheetName val="ESTRUCTURA_DE_HORMIGON5"/>
      <sheetName val="OBRA_CIVIL5"/>
      <sheetName val="RESUMEN_DE_COTIZACION5"/>
      <sheetName val="ACU"/>
      <sheetName val="INSTALACION_ELECTRICA6"/>
      <sheetName val="ESTRUCTURA_DE_HORMIGON6"/>
      <sheetName val="OBRA_CIVIL6"/>
      <sheetName val="ANALISIS"/>
      <sheetName val="tiraje mix"/>
      <sheetName val="Construcción"/>
      <sheetName val="RESUMEN_DE_COTIZACION7"/>
      <sheetName val="ESTACION__DESCUBIERTO7"/>
      <sheetName val="ESTRUCTURA_DE_HORMIGON7"/>
      <sheetName val="ESTRUCTURA_METALICA7"/>
      <sheetName val="OBRA_CIVIL7"/>
      <sheetName val="INSTALACION_ELECTRICA7"/>
      <sheetName val="INSTALACION_AIRE_ACONDICIONADO7"/>
      <sheetName val="INSTALACION_CONTRA_INCENDIO7"/>
      <sheetName val="INSTALACIONES_VARIAS7"/>
      <sheetName val="Casa_B_estuco7"/>
      <sheetName val="Casa__B_estuco_siding7"/>
      <sheetName val="Casa__B_enchape_ladrillo7"/>
      <sheetName val="Alcant_7"/>
      <sheetName val="Agua_Pot_7"/>
      <sheetName val="Inst__Gas7"/>
      <sheetName val="$_prom_7"/>
      <sheetName val="MUS$_MES4"/>
      <sheetName val="x_area_late4"/>
      <sheetName val="Encofrado_BVR_Unispan3"/>
      <sheetName val="ESTACION__DESCUBIERTO5"/>
      <sheetName val="ESTRUCTURA_METALICA5"/>
      <sheetName val="INSTALACION_AIRE_ACONDICIONADO5"/>
      <sheetName val="INSTALACION_CONTRA_INCENDIO5"/>
      <sheetName val="INSTALACIONES_VARIAS5"/>
      <sheetName val="Casa_B_estuco5"/>
      <sheetName val="Casa__B_estuco_siding5"/>
      <sheetName val="Casa__B_enchape_ladrillo5"/>
      <sheetName val="Alcant_5"/>
      <sheetName val="Agua_Pot_5"/>
      <sheetName val="Inst__Gas5"/>
      <sheetName val="$_prom_5"/>
      <sheetName val="MUS$_MES2"/>
      <sheetName val="x_area_late2"/>
      <sheetName val="Encofrado_BVR_Unispan1"/>
      <sheetName val="RESUMEN_DE_COTIZACION6"/>
      <sheetName val="ESTACION__DESCUBIERTO6"/>
      <sheetName val="ESTRUCTURA_METALICA6"/>
      <sheetName val="INSTALACION_AIRE_ACONDICIONADO6"/>
      <sheetName val="INSTALACION_CONTRA_INCENDIO6"/>
      <sheetName val="INSTALACIONES_VARIAS6"/>
      <sheetName val="Casa_B_estuco6"/>
      <sheetName val="Casa__B_estuco_siding6"/>
      <sheetName val="Casa__B_enchape_ladrillo6"/>
      <sheetName val="Alcant_6"/>
      <sheetName val="Agua_Pot_6"/>
      <sheetName val="Inst__Gas6"/>
      <sheetName val="$_prom_6"/>
      <sheetName val="MUS$_MES3"/>
      <sheetName val="x_area_late3"/>
      <sheetName val="Encofrado_BVR_Unispan2"/>
      <sheetName val="RESUMEN_DE_COTIZACION8"/>
      <sheetName val="ESTACION__DESCUBIERTO8"/>
      <sheetName val="ESTRUCTURA_DE_HORMIGON8"/>
      <sheetName val="ESTRUCTURA_METALICA8"/>
      <sheetName val="OBRA_CIVIL8"/>
      <sheetName val="INSTALACION_ELECTRICA8"/>
      <sheetName val="INSTALACION_AIRE_ACONDICIONADO8"/>
      <sheetName val="INSTALACION_CONTRA_INCENDIO8"/>
      <sheetName val="INSTALACIONES_VARIAS8"/>
      <sheetName val="Casa_B_estuco8"/>
      <sheetName val="Casa__B_estuco_siding8"/>
      <sheetName val="Casa__B_enchape_ladrillo8"/>
      <sheetName val="Alcant_8"/>
      <sheetName val="Agua_Pot_8"/>
      <sheetName val="Inst__Gas8"/>
      <sheetName val="$_prom_8"/>
      <sheetName val="MUS$_MES5"/>
      <sheetName val="x_area_late5"/>
      <sheetName val="Encofrado_BVR_Unispan4"/>
      <sheetName val="RESUMEN_DE_COTIZACION9"/>
      <sheetName val="ESTACION__DESCUBIERTO9"/>
      <sheetName val="ESTRUCTURA_DE_HORMIGON9"/>
      <sheetName val="ESTRUCTURA_METALICA9"/>
      <sheetName val="OBRA_CIVIL9"/>
      <sheetName val="INSTALACION_ELECTRICA9"/>
      <sheetName val="INSTALACION_AIRE_ACONDICIONADO9"/>
      <sheetName val="INSTALACION_CONTRA_INCENDIO9"/>
      <sheetName val="INSTALACIONES_VARIAS9"/>
      <sheetName val="Casa_B_estuco9"/>
      <sheetName val="Casa__B_estuco_siding9"/>
      <sheetName val="Casa__B_enchape_ladrillo9"/>
      <sheetName val="Alcant_9"/>
      <sheetName val="Agua_Pot_9"/>
      <sheetName val="Inst__Gas9"/>
      <sheetName val="$_prom_9"/>
      <sheetName val="MUS$_MES6"/>
      <sheetName val="x_area_late6"/>
      <sheetName val="RESUMEN_DE_COTIZACION12"/>
      <sheetName val="ESTACION__DESCUBIERTO12"/>
      <sheetName val="ESTRUCTURA_DE_HORMIGON12"/>
      <sheetName val="ESTRUCTURA_METALICA12"/>
      <sheetName val="OBRA_CIVIL12"/>
      <sheetName val="INSTALACION_ELECTRICA12"/>
      <sheetName val="INSTALACION_AIRE_ACONDICIONAD12"/>
      <sheetName val="INSTALACION_CONTRA_INCENDIO12"/>
      <sheetName val="INSTALACIONES_VARIAS12"/>
      <sheetName val="Casa_B_estuco12"/>
      <sheetName val="Casa__B_estuco_siding12"/>
      <sheetName val="Casa__B_enchape_ladrillo12"/>
      <sheetName val="Alcant_12"/>
      <sheetName val="Agua_Pot_12"/>
      <sheetName val="Inst__Gas12"/>
      <sheetName val="$_prom_12"/>
      <sheetName val="MUS$_MES9"/>
      <sheetName val="x_area_late9"/>
      <sheetName val="Encofrado_BVR_Unispan7"/>
      <sheetName val="RESUMEN_DE_COTIZACION10"/>
      <sheetName val="ESTACION__DESCUBIERTO10"/>
      <sheetName val="ESTRUCTURA_DE_HORMIGON10"/>
      <sheetName val="ESTRUCTURA_METALICA10"/>
      <sheetName val="OBRA_CIVIL10"/>
      <sheetName val="INSTALACION_ELECTRICA10"/>
      <sheetName val="INSTALACION_AIRE_ACONDICIONAD10"/>
      <sheetName val="INSTALACION_CONTRA_INCENDIO10"/>
      <sheetName val="INSTALACIONES_VARIAS10"/>
      <sheetName val="Casa_B_estuco10"/>
      <sheetName val="Casa__B_estuco_siding10"/>
      <sheetName val="Casa__B_enchape_ladrillo10"/>
      <sheetName val="Alcant_10"/>
      <sheetName val="Agua_Pot_10"/>
      <sheetName val="Inst__Gas10"/>
      <sheetName val="$_prom_10"/>
      <sheetName val="MUS$_MES7"/>
      <sheetName val="x_area_late7"/>
      <sheetName val="Encofrado_BVR_Unispan5"/>
      <sheetName val="RESUMEN_DE_COTIZACION11"/>
      <sheetName val="ESTACION__DESCUBIERTO11"/>
      <sheetName val="ESTRUCTURA_DE_HORMIGON11"/>
      <sheetName val="ESTRUCTURA_METALICA11"/>
      <sheetName val="OBRA_CIVIL11"/>
      <sheetName val="INSTALACION_ELECTRICA11"/>
      <sheetName val="INSTALACION_AIRE_ACONDICIONAD11"/>
      <sheetName val="INSTALACION_CONTRA_INCENDIO11"/>
      <sheetName val="INSTALACIONES_VARIAS11"/>
      <sheetName val="Casa_B_estuco11"/>
      <sheetName val="Casa__B_estuco_siding11"/>
      <sheetName val="Casa__B_enchape_ladrillo11"/>
      <sheetName val="Alcant_11"/>
      <sheetName val="Agua_Pot_11"/>
      <sheetName val="Inst__Gas11"/>
      <sheetName val="$_prom_11"/>
      <sheetName val="MUS$_MES8"/>
      <sheetName val="x_area_late8"/>
      <sheetName val="Encofrado_BVR_Unispan6"/>
      <sheetName val="RESUMEN_DE_COTIZACION13"/>
      <sheetName val="ESTACION__DESCUBIERTO13"/>
      <sheetName val="ESTRUCTURA_DE_HORMIGON13"/>
      <sheetName val="ESTRUCTURA_METALICA13"/>
      <sheetName val="OBRA_CIVIL13"/>
      <sheetName val="INSTALACION_ELECTRICA13"/>
      <sheetName val="INSTALACION_AIRE_ACONDICIONAD13"/>
      <sheetName val="INSTALACION_CONTRA_INCENDIO13"/>
      <sheetName val="INSTALACIONES_VARIAS13"/>
      <sheetName val="Casa_B_estuco13"/>
      <sheetName val="Casa__B_estuco_siding13"/>
      <sheetName val="Casa__B_enchape_ladrillo13"/>
      <sheetName val="Alcant_13"/>
      <sheetName val="Agua_Pot_13"/>
      <sheetName val="Inst__Gas13"/>
      <sheetName val="$_prom_13"/>
      <sheetName val="MUS$_MES10"/>
      <sheetName val="x_area_late10"/>
      <sheetName val="Encofrado_BVR_Unispan8"/>
      <sheetName val="Factores"/>
      <sheetName val="PARAMETROS"/>
      <sheetName val="A_50"/>
      <sheetName val="Listado_de_Maestros"/>
      <sheetName val="Rep_Mat"/>
      <sheetName val="Ev__Económica"/>
      <sheetName val="Flujos_NEW"/>
      <sheetName val="ANALISIS ALQUILER FERREYROS"/>
      <sheetName val="tiraje_mix"/>
      <sheetName val="HH x Sistema"/>
      <sheetName val="#¡REF"/>
      <sheetName val="PIP"/>
      <sheetName val="ado ati demussy ldh"/>
      <sheetName val="100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itemizado"/>
      <sheetName val="AREAS - Chile"/>
      <sheetName val="INDIRECTOS"/>
      <sheetName val="Avance_financiero"/>
      <sheetName val="PRECIOS_MATERIALES"/>
      <sheetName val="Joe_Materiales"/>
      <sheetName val="Tiraje_Mix1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VENTA"/>
      <sheetName val="Áreas"/>
      <sheetName val="Partidas"/>
      <sheetName val="Lista Desplegable"/>
      <sheetName val="Terminaciones"/>
      <sheetName val="DATA"/>
      <sheetName val="Datos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DISGREGADO_OBRA"/>
      <sheetName val="DISG__Presup__Meta"/>
      <sheetName val="Alerton"/>
      <sheetName val="LISTA DE CAUSAS"/>
      <sheetName val="Des"/>
      <sheetName val="FLUJO DE PROVISIONES PEN"/>
      <sheetName val="Familias"/>
      <sheetName val="PAVIMENTOS"/>
      <sheetName val="ADDxFam"/>
      <sheetName val="Claves"/>
      <sheetName val="CI"/>
      <sheetName val="Materiales"/>
      <sheetName val="A"/>
      <sheetName val="Tiraje_Mix12"/>
      <sheetName val="AREAS_-_Chile10"/>
      <sheetName val="DISGREGADO_OBRA1"/>
      <sheetName val="DISG__Presup__Meta1"/>
      <sheetName val="Lista_Desplegable"/>
      <sheetName val="LISTA_DE_CAUSAS"/>
      <sheetName val="FLUJO_DE_PROVISIONES_PEN"/>
      <sheetName val="Precio de Venta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LOSA ALIGERADA FIRTH+10.5"/>
      <sheetName val="SC"/>
      <sheetName val="EQ"/>
      <sheetName val="MAT"/>
      <sheetName val="MO"/>
      <sheetName val="BD"/>
      <sheetName val="Informacion"/>
      <sheetName val="BD Prov"/>
      <sheetName val="DAT3125 - 1"/>
      <sheetName val="DATA2"/>
      <sheetName val="DAT3635 - 1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Limit_ACC_A"/>
      <sheetName val="Info Ayuda"/>
      <sheetName val="METRADOS ESTRUCTURAS B-1"/>
      <sheetName val="G"/>
      <sheetName val="ANÁLISIS GG"/>
      <sheetName val="Damper"/>
      <sheetName val="Tuberi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4. FC"/>
      <sheetName val="MAT - CI"/>
      <sheetName val="Sol.Val"/>
      <sheetName val="Res.Val"/>
      <sheetName val="OBRAS PROV. Y PRELIM."/>
      <sheetName val="EST ESCALERAS"/>
      <sheetName val="PC-19053 RP PURUCHUCO"/>
      <sheetName val="X. Auxiliar"/>
      <sheetName val="DAT3125_-_1"/>
      <sheetName val="DAT3635_-_1"/>
      <sheetName val="DAT3125_-_11"/>
      <sheetName val="DAT3635_-_11"/>
      <sheetName val="BASE DE DATOS"/>
      <sheetName val="CRON"/>
      <sheetName val="SPI"/>
      <sheetName val="CPI"/>
      <sheetName val="ISP"/>
      <sheetName val="GRAF.VG"/>
      <sheetName val="Summary"/>
      <sheetName val="Fechas"/>
      <sheetName val="Hoja de Recursos"/>
      <sheetName val="Provisionales "/>
      <sheetName val="Estructuras"/>
      <sheetName val="Arquitectura"/>
      <sheetName val="Pisos "/>
      <sheetName val="Zocalos y C_zoc."/>
      <sheetName val="Vidrios y crist."/>
      <sheetName val="Aparatos sanit.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17 Valorización"/>
      <sheetName val="2.1.2"/>
      <sheetName val="5.- Partidas ( 2 de 2 )"/>
      <sheetName val="Básicos-mod"/>
      <sheetName val="___Enrique_compartidos_Window_2"/>
      <sheetName val="___Enrique_compartidos_Window_3"/>
      <sheetName val="___Enrique_compartidos_Window_4"/>
      <sheetName val="___Enrique_compartidos_Window_5"/>
      <sheetName val="___Enrique_compartidos_Window_6"/>
      <sheetName val="Bodegas"/>
      <sheetName val="01. Plan Maestro T1"/>
      <sheetName val="Cubiertas"/>
      <sheetName val="SPALATO"/>
      <sheetName val="Parámetros Evaluación"/>
      <sheetName val="Listado_de_Maestros1"/>
      <sheetName val="Rep_Mat1"/>
      <sheetName val="Ev__Económica1"/>
      <sheetName val="Flujos_NEW1"/>
      <sheetName val="HH_x_Sistema"/>
      <sheetName val="ado_ati_demussy_ldh"/>
      <sheetName val="MO Obras"/>
      <sheetName val="PPTO MO"/>
      <sheetName val="AUX"/>
      <sheetName val="GG El Tranque (3)"/>
      <sheetName val="GG El Tranque (2)"/>
      <sheetName val="GG El Tranque"/>
      <sheetName val="RESUMEN ET1"/>
      <sheetName val="GG ET1"/>
      <sheetName val="Exc.Masiva ET1"/>
      <sheetName val="Mo Pilas ET1"/>
      <sheetName val="Hormigón ET1"/>
      <sheetName val="AUX PRESTO COSTO ET1"/>
      <sheetName val="AUX PRESTO INM ET1"/>
      <sheetName val="Fierro"/>
      <sheetName val="Grúas"/>
      <sheetName val="Moldajes"/>
      <sheetName val="Pinturas"/>
      <sheetName val="RESUMEN ET2"/>
      <sheetName val="AUX PRESTO"/>
      <sheetName val="GG ET2"/>
      <sheetName val="Sanitario"/>
      <sheetName val="Hormigón ET2"/>
      <sheetName val="VTNAS-PV"/>
      <sheetName val="Puertas"/>
      <sheetName val="Muebles Cocina"/>
      <sheetName val="Impermeabilizacion"/>
      <sheetName val="Ascensores"/>
      <sheetName val="Paisajismo"/>
      <sheetName val="Muebles CL"/>
      <sheetName val="Hojalateria"/>
      <sheetName val="montacarga"/>
      <sheetName val="Andamio Colgante"/>
      <sheetName val="Kit cocina"/>
      <sheetName val="Artefactos sanitarios"/>
      <sheetName val="Grifería"/>
      <sheetName val="Accesorios de baño"/>
      <sheetName val="Pavim-Revest"/>
      <sheetName val="Quincallería"/>
      <sheetName val="Papel mural"/>
      <sheetName val="Carpinteria metalica"/>
      <sheetName val="Dren"/>
      <sheetName val="Señaletica"/>
      <sheetName val="Deptos."/>
      <sheetName val="CCDD"/>
      <sheetName val="Barandas"/>
      <sheetName val="Espejos"/>
      <sheetName val="Shower"/>
      <sheetName val="Luminaria"/>
      <sheetName val="Piscina"/>
      <sheetName val="Serviu"/>
      <sheetName val="Grupo Electrogeno"/>
      <sheetName val="Muebles Recep"/>
      <sheetName val="Basuras"/>
      <sheetName val="Granitos"/>
      <sheetName val="Rev. cocina"/>
      <sheetName val="SUELDOS ENE2018"/>
      <sheetName val="INSTALACION_ELECTRICA14"/>
      <sheetName val="ESTRUCTURA_DE_HORMIGON14"/>
      <sheetName val="OBRA_CIVIL14"/>
      <sheetName val="RESUMEN_DE_COTIZACION14"/>
      <sheetName val="ESTACION__DESCUBIERTO14"/>
      <sheetName val="ESTRUCTURA_METALICA14"/>
      <sheetName val="INSTALACION_AIRE_ACONDICIONAD14"/>
      <sheetName val="INSTALACION_CONTRA_INCENDIO14"/>
      <sheetName val="INSTALACIONES_VARIAS14"/>
      <sheetName val="Casa_B_estuco14"/>
      <sheetName val="Casa__B_estuco_siding14"/>
      <sheetName val="Casa__B_enchape_ladrillo14"/>
      <sheetName val="Alcant_14"/>
      <sheetName val="Agua_Pot_14"/>
      <sheetName val="Inst__Gas14"/>
      <sheetName val="$_prom_14"/>
      <sheetName val="MUS$_MES11"/>
      <sheetName val="x_area_late11"/>
      <sheetName val="Encofrado_BVR_Unispan9"/>
      <sheetName val="RESUMEN_DE_COTIZACION15"/>
      <sheetName val="ESTACION__DESCUBIERTO15"/>
      <sheetName val="ESTRUCTURA_METALICA15"/>
      <sheetName val="OBRA_CIVIL15"/>
      <sheetName val="INSTALACION_ELECTRICA15"/>
      <sheetName val="INSTALACION_AIRE_ACONDICIONAD15"/>
      <sheetName val="INSTALACION_CONTRA_INCENDIO15"/>
      <sheetName val="INSTALACIONES_VARIAS15"/>
      <sheetName val="Casa_B_estuco15"/>
      <sheetName val="Casa__B_estuco_siding15"/>
      <sheetName val="Casa__B_enchape_ladrillo15"/>
      <sheetName val="Alcant_15"/>
      <sheetName val="Agua_Pot_15"/>
      <sheetName val="Inst__Gas15"/>
      <sheetName val="$_prom_15"/>
      <sheetName val="ESTRUCTURA_DE_HORMIGON15"/>
      <sheetName val="MUS$_MES12"/>
      <sheetName val="x_area_late12"/>
      <sheetName val="Encofrado_BVR_Unispan10"/>
      <sheetName val="RESUMEN_DE_COTIZACION18"/>
      <sheetName val="ESTACION__DESCUBIERTO16"/>
      <sheetName val="ESTRUCTURA_DE_HORMIGON18"/>
      <sheetName val="ESTRUCTURA_METALICA16"/>
      <sheetName val="OBRA_CIVIL18"/>
      <sheetName val="INSTALACION_ELECTRICA18"/>
      <sheetName val="INSTALACION_AIRE_ACONDICIONAD16"/>
      <sheetName val="INSTALACION_CONTRA_INCENDIO16"/>
      <sheetName val="INSTALACIONES_VARIAS16"/>
      <sheetName val="Casa_B_estuco16"/>
      <sheetName val="Casa__B_estuco_siding16"/>
      <sheetName val="Casa__B_enchape_ladrillo16"/>
      <sheetName val="Alcant_16"/>
      <sheetName val="Agua_Pot_16"/>
      <sheetName val="Inst__Gas16"/>
      <sheetName val="$_prom_16"/>
      <sheetName val="MUS$_MES13"/>
      <sheetName val="x_area_late13"/>
      <sheetName val="Encofrado_BVR_Unispan11"/>
      <sheetName val="Listado_de_Maestros2"/>
      <sheetName val="Rep_Mat2"/>
      <sheetName val="Ev__Económica2"/>
      <sheetName val="Flujos_NEW2"/>
      <sheetName val="HH_x_Sistema1"/>
      <sheetName val="ado_ati_demussy_ldh1"/>
      <sheetName val="Avance_financiero2"/>
      <sheetName val="AREAS_-_Chile16"/>
      <sheetName val="DISGREGADO_OBRA7"/>
      <sheetName val="DISG__Presup__Meta7"/>
      <sheetName val="Lista_Desplegable6"/>
      <sheetName val="LISTA_DE_CAUSAS6"/>
      <sheetName val="FLUJO_DE_PROVISIONES_PEN6"/>
      <sheetName val="Precio_de_Venta4"/>
      <sheetName val="LOSA_ALIGERADA_FIRTH+10_54"/>
      <sheetName val="BD_Prov3"/>
      <sheetName val="DAT3125_-_15"/>
      <sheetName val="DAT3635_-_15"/>
      <sheetName val="Info_Ayuda3"/>
      <sheetName val="METRADOS_ESTRUCTURAS_B-13"/>
      <sheetName val="ANÁLISIS_GG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4__FC3"/>
      <sheetName val="MAT_-_CI3"/>
      <sheetName val="Sol_Val3"/>
      <sheetName val="Res_Val3"/>
      <sheetName val="OBRAS_PROV__Y_PRELIM_3"/>
      <sheetName val="EST_ESCALERAS3"/>
      <sheetName val="PC-19053_RP_PURUCHUCO3"/>
      <sheetName val="X__Auxiliar3"/>
      <sheetName val="BASE_DE_DATOS3"/>
      <sheetName val="GRAF_VG3"/>
      <sheetName val="Hoja_de_Recursos1"/>
      <sheetName val="Provisionales_1"/>
      <sheetName val="Pisos_1"/>
      <sheetName val="Zocalos_y_C_zoc_1"/>
      <sheetName val="Vidrios_y_crist_1"/>
      <sheetName val="Aparatos_sanit_1"/>
      <sheetName val="17_Valorización1"/>
      <sheetName val="INSTALACION_ELECTRICA16"/>
      <sheetName val="ESTRUCTURA_DE_HORMIGON16"/>
      <sheetName val="OBRA_CIVIL16"/>
      <sheetName val="RESUMEN_DE_COTIZACION16"/>
      <sheetName val="RESUMEN_DE_COTIZACION17"/>
      <sheetName val="ESTRUCTURA_DE_HORMIGON17"/>
      <sheetName val="OBRA_CIVIL17"/>
      <sheetName val="INSTALACION_ELECTRICA17"/>
      <sheetName val="Avance_financiero1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BD_Prov2"/>
      <sheetName val="DAT3125_-_14"/>
      <sheetName val="DAT3635_-_14"/>
      <sheetName val="Info_Ayuda2"/>
      <sheetName val="METRADOS_ESTRUCTURAS_B-1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4__FC2"/>
      <sheetName val="MAT_-_CI2"/>
      <sheetName val="Sol_Val2"/>
      <sheetName val="Res_Val2"/>
      <sheetName val="OBRAS_PROV__Y_PRELIM_2"/>
      <sheetName val="EST_ESCALERAS2"/>
      <sheetName val="PC-19053_RP_PURUCHUCO2"/>
      <sheetName val="X__Auxiliar2"/>
      <sheetName val="BASE_DE_DATOS2"/>
      <sheetName val="GRAF_VG2"/>
      <sheetName val="Hoja_de_Recursos"/>
      <sheetName val="Provisionales_"/>
      <sheetName val="Pisos_"/>
      <sheetName val="Zocalos_y_C_zoc_"/>
      <sheetName val="Vidrios_y_crist_"/>
      <sheetName val="Aparatos_sanit_"/>
      <sheetName val="17_Valorización"/>
      <sheetName val="RESUMEN_DE_COTIZACION19"/>
      <sheetName val="ESTACION__DESCUBIERTO17"/>
      <sheetName val="ESTRUCTURA_DE_HORMIGON19"/>
      <sheetName val="ESTRUCTURA_METALICA17"/>
      <sheetName val="OBRA_CIVIL19"/>
      <sheetName val="INSTALACION_ELECTRICA19"/>
      <sheetName val="INSTALACION_AIRE_ACONDICIONAD17"/>
      <sheetName val="INSTALACION_CONTRA_INCENDIO17"/>
      <sheetName val="INSTALACIONES_VARIAS17"/>
      <sheetName val="Casa_B_estuco17"/>
      <sheetName val="Casa__B_estuco_siding17"/>
      <sheetName val="Casa__B_enchape_ladrillo17"/>
      <sheetName val="Alcant_17"/>
      <sheetName val="Agua_Pot_17"/>
      <sheetName val="Inst__Gas17"/>
      <sheetName val="$_prom_17"/>
      <sheetName val="MUS$_MES14"/>
      <sheetName val="x_area_late14"/>
      <sheetName val="Encofrado_BVR_Unispan12"/>
      <sheetName val="Listado_de_Maestros3"/>
      <sheetName val="Rep_Mat3"/>
      <sheetName val="Ev__Económica3"/>
      <sheetName val="Flujos_NEW3"/>
      <sheetName val="HH_x_Sistema2"/>
      <sheetName val="ado_ati_demussy_ldh2"/>
      <sheetName val="Avance_financiero3"/>
      <sheetName val="AREAS_-_Chile17"/>
      <sheetName val="DISGREGADO_OBRA8"/>
      <sheetName val="DISG__Presup__Meta8"/>
      <sheetName val="Lista_Desplegable7"/>
      <sheetName val="LISTA_DE_CAUSAS7"/>
      <sheetName val="FLUJO_DE_PROVISIONES_PEN7"/>
      <sheetName val="Precio_de_Venta5"/>
      <sheetName val="LOSA_ALIGERADA_FIRTH+10_55"/>
      <sheetName val="BD_Prov4"/>
      <sheetName val="DAT3125_-_16"/>
      <sheetName val="DAT3635_-_16"/>
      <sheetName val="Info_Ayuda4"/>
      <sheetName val="METRADOS_ESTRUCTURAS_B-14"/>
      <sheetName val="ANÁLISIS_GG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4__FC4"/>
      <sheetName val="MAT_-_CI4"/>
      <sheetName val="Sol_Val4"/>
      <sheetName val="Res_Val4"/>
      <sheetName val="OBRAS_PROV__Y_PRELIM_4"/>
      <sheetName val="EST_ESCALERAS4"/>
      <sheetName val="PC-19053_RP_PURUCHUCO4"/>
      <sheetName val="X__Auxiliar4"/>
      <sheetName val="BASE_DE_DATOS4"/>
      <sheetName val="GRAF_VG4"/>
      <sheetName val="Hoja_de_Recursos2"/>
      <sheetName val="Provisionales_2"/>
      <sheetName val="Pisos_2"/>
      <sheetName val="Zocalos_y_C_zoc_2"/>
      <sheetName val="Vidrios_y_crist_2"/>
      <sheetName val="Aparatos_sanit_2"/>
      <sheetName val="17_Valorización2"/>
      <sheetName val="RESUMEN_DE_COTIZACION21"/>
      <sheetName val="ESTACION__DESCUBIERTO19"/>
      <sheetName val="ESTRUCTURA_DE_HORMIGON21"/>
      <sheetName val="ESTRUCTURA_METALICA19"/>
      <sheetName val="OBRA_CIVIL21"/>
      <sheetName val="INSTALACION_ELECTRICA21"/>
      <sheetName val="INSTALACION_AIRE_ACONDICIONAD19"/>
      <sheetName val="INSTALACION_CONTRA_INCENDIO19"/>
      <sheetName val="INSTALACIONES_VARIAS19"/>
      <sheetName val="Casa_B_estuco19"/>
      <sheetName val="Casa__B_estuco_siding19"/>
      <sheetName val="Casa__B_enchape_ladrillo19"/>
      <sheetName val="Alcant_19"/>
      <sheetName val="Agua_Pot_19"/>
      <sheetName val="Inst__Gas19"/>
      <sheetName val="$_prom_19"/>
      <sheetName val="MUS$_MES16"/>
      <sheetName val="x_area_late16"/>
      <sheetName val="Encofrado_BVR_Unispan14"/>
      <sheetName val="Listado_de_Maestros5"/>
      <sheetName val="Rep_Mat5"/>
      <sheetName val="Ev__Económica5"/>
      <sheetName val="Flujos_NEW5"/>
      <sheetName val="HH_x_Sistema4"/>
      <sheetName val="ado_ati_demussy_ldh4"/>
      <sheetName val="Avance_financiero5"/>
      <sheetName val="AREAS_-_Chile19"/>
      <sheetName val="DISGREGADO_OBRA10"/>
      <sheetName val="DISG__Presup__Meta10"/>
      <sheetName val="Lista_Desplegable9"/>
      <sheetName val="LISTA_DE_CAUSAS9"/>
      <sheetName val="FLUJO_DE_PROVISIONES_PEN9"/>
      <sheetName val="Precio_de_Venta7"/>
      <sheetName val="LOSA_ALIGERADA_FIRTH+10_57"/>
      <sheetName val="BD_Prov6"/>
      <sheetName val="DAT3125_-_18"/>
      <sheetName val="DAT3635_-_18"/>
      <sheetName val="Info_Ayuda6"/>
      <sheetName val="METRADOS_ESTRUCTURAS_B-16"/>
      <sheetName val="ANÁLISIS_GG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4__FC6"/>
      <sheetName val="MAT_-_CI6"/>
      <sheetName val="Sol_Val6"/>
      <sheetName val="Res_Val6"/>
      <sheetName val="OBRAS_PROV__Y_PRELIM_6"/>
      <sheetName val="EST_ESCALERAS6"/>
      <sheetName val="PC-19053_RP_PURUCHUCO6"/>
      <sheetName val="X__Auxiliar6"/>
      <sheetName val="BASE_DE_DATOS6"/>
      <sheetName val="GRAF_VG6"/>
      <sheetName val="Hoja_de_Recursos4"/>
      <sheetName val="Provisionales_4"/>
      <sheetName val="Pisos_4"/>
      <sheetName val="Zocalos_y_C_zoc_4"/>
      <sheetName val="Vidrios_y_crist_4"/>
      <sheetName val="Aparatos_sanit_4"/>
      <sheetName val="17_Valorización4"/>
      <sheetName val="2_1_2"/>
      <sheetName val="5_-_Partidas_(_2_de_2_)"/>
      <sheetName val="01__Plan_Maestro_T1"/>
      <sheetName val="Parámetros_Evaluación"/>
      <sheetName val="MO_Obras"/>
      <sheetName val="PPTO_MO"/>
      <sheetName val="GG_El_Tranque_(3)"/>
      <sheetName val="GG_El_Tranque_(2)"/>
      <sheetName val="GG_El_Tranque"/>
      <sheetName val="RESUMEN_ET1"/>
      <sheetName val="GG_ET1"/>
      <sheetName val="Exc_Masiva_ET1"/>
      <sheetName val="Mo_Pilas_ET1"/>
      <sheetName val="Hormigón_ET1"/>
      <sheetName val="AUX_PRESTO_COSTO_ET1"/>
      <sheetName val="AUX_PRESTO_INM_ET1"/>
      <sheetName val="RESUMEN_ET2"/>
      <sheetName val="AUX_PRESTO"/>
      <sheetName val="GG_ET2"/>
      <sheetName val="Hormigón_ET2"/>
      <sheetName val="Muebles_Cocina"/>
      <sheetName val="Muebles_CL"/>
      <sheetName val="Andamio_Colgante"/>
      <sheetName val="Kit_cocina"/>
      <sheetName val="Artefactos_sanitarios"/>
      <sheetName val="Accesorios_de_baño"/>
      <sheetName val="Papel_mural"/>
      <sheetName val="Carpinteria_metalica"/>
      <sheetName val="Deptos_"/>
      <sheetName val="Grupo_Electrogeno"/>
      <sheetName val="Muebles_Recep"/>
      <sheetName val="Rev__cocina"/>
      <sheetName val="SUELDOS_ENE2018"/>
      <sheetName val="RESUMEN_DE_COTIZACION20"/>
      <sheetName val="ESTACION__DESCUBIERTO18"/>
      <sheetName val="ESTRUCTURA_DE_HORMIGON20"/>
      <sheetName val="ESTRUCTURA_METALICA18"/>
      <sheetName val="OBRA_CIVIL20"/>
      <sheetName val="INSTALACION_ELECTRICA20"/>
      <sheetName val="INSTALACION_AIRE_ACONDICIONAD18"/>
      <sheetName val="INSTALACION_CONTRA_INCENDIO18"/>
      <sheetName val="INSTALACIONES_VARIAS18"/>
      <sheetName val="Casa_B_estuco18"/>
      <sheetName val="Casa__B_estuco_siding18"/>
      <sheetName val="Casa__B_enchape_ladrillo18"/>
      <sheetName val="Alcant_18"/>
      <sheetName val="Agua_Pot_18"/>
      <sheetName val="Inst__Gas18"/>
      <sheetName val="$_prom_18"/>
      <sheetName val="MUS$_MES15"/>
      <sheetName val="x_area_late15"/>
      <sheetName val="Encofrado_BVR_Unispan13"/>
      <sheetName val="Listado_de_Maestros4"/>
      <sheetName val="Rep_Mat4"/>
      <sheetName val="Ev__Económica4"/>
      <sheetName val="Flujos_NEW4"/>
      <sheetName val="HH_x_Sistema3"/>
      <sheetName val="ado_ati_demussy_ldh3"/>
      <sheetName val="Avance_financiero4"/>
      <sheetName val="AREAS_-_Chile18"/>
      <sheetName val="DISGREGADO_OBRA9"/>
      <sheetName val="DISG__Presup__Meta9"/>
      <sheetName val="Lista_Desplegable8"/>
      <sheetName val="LISTA_DE_CAUSAS8"/>
      <sheetName val="FLUJO_DE_PROVISIONES_PEN8"/>
      <sheetName val="Precio_de_Venta6"/>
      <sheetName val="LOSA_ALIGERADA_FIRTH+10_56"/>
      <sheetName val="BD_Prov5"/>
      <sheetName val="DAT3125_-_17"/>
      <sheetName val="DAT3635_-_17"/>
      <sheetName val="Info_Ayuda5"/>
      <sheetName val="METRADOS_ESTRUCTURAS_B-15"/>
      <sheetName val="ANÁLISIS_GG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4__FC5"/>
      <sheetName val="MAT_-_CI5"/>
      <sheetName val="Sol_Val5"/>
      <sheetName val="Res_Val5"/>
      <sheetName val="OBRAS_PROV__Y_PRELIM_5"/>
      <sheetName val="EST_ESCALERAS5"/>
      <sheetName val="PC-19053_RP_PURUCHUCO5"/>
      <sheetName val="X__Auxiliar5"/>
      <sheetName val="BASE_DE_DATOS5"/>
      <sheetName val="GRAF_VG5"/>
      <sheetName val="Hoja_de_Recursos3"/>
      <sheetName val="Provisionales_3"/>
      <sheetName val="Pisos_3"/>
      <sheetName val="Zocalos_y_C_zoc_3"/>
      <sheetName val="Vidrios_y_crist_3"/>
      <sheetName val="Aparatos_sanit_3"/>
      <sheetName val="17_Valorización3"/>
      <sheetName val="RESUMEN_DE_COTIZACION22"/>
      <sheetName val="ESTACION__DESCUBIERTO20"/>
      <sheetName val="ESTRUCTURA_DE_HORMIGON22"/>
      <sheetName val="ESTRUCTURA_METALICA20"/>
      <sheetName val="OBRA_CIVIL22"/>
      <sheetName val="INSTALACION_ELECTRICA22"/>
      <sheetName val="INSTALACION_AIRE_ACONDICIONAD20"/>
      <sheetName val="INSTALACION_CONTRA_INCENDIO20"/>
      <sheetName val="INSTALACIONES_VARIAS20"/>
      <sheetName val="Casa_B_estuco20"/>
      <sheetName val="Casa__B_estuco_siding20"/>
      <sheetName val="Casa__B_enchape_ladrillo20"/>
      <sheetName val="Alcant_20"/>
      <sheetName val="Agua_Pot_20"/>
      <sheetName val="Inst__Gas20"/>
      <sheetName val="$_prom_20"/>
      <sheetName val="MUS$_MES17"/>
      <sheetName val="x_area_late17"/>
      <sheetName val="Encofrado_BVR_Unispan15"/>
      <sheetName val="Listado_de_Maestros6"/>
      <sheetName val="Rep_Mat6"/>
      <sheetName val="Ev__Económica6"/>
      <sheetName val="Flujos_NEW6"/>
      <sheetName val="RESUMEN_DE_COTIZACION23"/>
      <sheetName val="ESTACION__DESCUBIERTO21"/>
      <sheetName val="ESTRUCTURA_DE_HORMIGON23"/>
      <sheetName val="ESTRUCTURA_METALICA21"/>
      <sheetName val="OBRA_CIVIL23"/>
      <sheetName val="INSTALACION_ELECTRICA23"/>
      <sheetName val="INSTALACION_AIRE_ACONDICIONAD21"/>
      <sheetName val="INSTALACION_CONTRA_INCENDIO21"/>
      <sheetName val="INSTALACIONES_VARIAS21"/>
      <sheetName val="Casa_B_estuco21"/>
      <sheetName val="Casa__B_estuco_siding21"/>
      <sheetName val="Casa__B_enchape_ladrillo21"/>
      <sheetName val="Alcant_21"/>
      <sheetName val="Agua_Pot_21"/>
      <sheetName val="Inst__Gas21"/>
      <sheetName val="$_prom_21"/>
      <sheetName val="MUS$_MES18"/>
      <sheetName val="x_area_late18"/>
      <sheetName val="Encofrado_BVR_Unispan16"/>
      <sheetName val="Listado_de_Maestros7"/>
      <sheetName val="Rep_Mat7"/>
      <sheetName val="Ev__Económica7"/>
      <sheetName val="Flujos_NEW7"/>
      <sheetName val="RESUMEN_DE_COTIZACION24"/>
      <sheetName val="ESTACION__DESCUBIERTO22"/>
      <sheetName val="ESTRUCTURA_DE_HORMIGON24"/>
      <sheetName val="ESTRUCTURA_METALICA22"/>
      <sheetName val="OBRA_CIVIL24"/>
      <sheetName val="INSTALACION_ELECTRICA24"/>
      <sheetName val="INSTALACION_AIRE_ACONDICIONAD22"/>
      <sheetName val="INSTALACION_CONTRA_INCENDIO22"/>
      <sheetName val="INSTALACIONES_VARIAS22"/>
      <sheetName val="Casa_B_estuco22"/>
      <sheetName val="Casa__B_estuco_siding22"/>
      <sheetName val="Casa__B_enchape_ladrillo22"/>
      <sheetName val="Alcant_22"/>
      <sheetName val="Agua_Pot_22"/>
      <sheetName val="Inst__Gas22"/>
      <sheetName val="$_prom_22"/>
      <sheetName val="MUS$_MES19"/>
      <sheetName val="x_area_late19"/>
      <sheetName val="Encofrado_BVR_Unispan17"/>
      <sheetName val="Listado_de_Maestros8"/>
      <sheetName val="Rep_Mat8"/>
      <sheetName val="Ev__Económica8"/>
      <sheetName val="Flujos_NEW8"/>
      <sheetName val="HH_x_Sistema5"/>
      <sheetName val="ado_ati_demussy_ldh5"/>
      <sheetName val="Avance_financiero6"/>
      <sheetName val="AREAS_-_Chile20"/>
      <sheetName val="DISGREGADO_OBRA11"/>
      <sheetName val="DISG__Presup__Meta11"/>
      <sheetName val="Lista_Desplegable10"/>
      <sheetName val="LISTA_DE_CAUSAS10"/>
      <sheetName val="FLUJO_DE_PROVISIONES_PEN10"/>
      <sheetName val="Precio_de_Venta8"/>
      <sheetName val="LOSA_ALIGERADA_FIRTH+10_58"/>
      <sheetName val="BD_Prov7"/>
      <sheetName val="DAT3125_-_19"/>
      <sheetName val="DAT3635_-_19"/>
      <sheetName val="Info_Ayuda7"/>
      <sheetName val="METRADOS_ESTRUCTURAS_B-17"/>
      <sheetName val="ANÁLISIS_GG7"/>
      <sheetName val="CUADRO_RESUMEN7"/>
      <sheetName val="OBRA_GRUESA7"/>
      <sheetName val="3__ITEM_IISS7"/>
      <sheetName val="4__ITEM_IIEE7"/>
      <sheetName val="5_ITEM_INST_MECAN7"/>
      <sheetName val="VG_7"/>
      <sheetName val="ESC_17"/>
      <sheetName val="4__FC7"/>
      <sheetName val="MAT_-_CI7"/>
      <sheetName val="Sol_Val7"/>
      <sheetName val="Res_Val7"/>
      <sheetName val="OBRAS_PROV__Y_PRELIM_7"/>
      <sheetName val="EST_ESCALERAS7"/>
      <sheetName val="PC-19053_RP_PURUCHUCO7"/>
      <sheetName val="X__Auxiliar7"/>
      <sheetName val="BASE_DE_DATOS7"/>
      <sheetName val="GRAF_VG7"/>
      <sheetName val="Hoja_de_Recursos5"/>
      <sheetName val="Provisionales_5"/>
      <sheetName val="Pisos_5"/>
      <sheetName val="Zocalos_y_C_zoc_5"/>
      <sheetName val="Vidrios_y_crist_5"/>
      <sheetName val="Aparatos_sanit_5"/>
      <sheetName val="17_Valorización5"/>
      <sheetName val="2_1_21"/>
      <sheetName val="5_-_Partidas_(_2_de_2_)1"/>
      <sheetName val="01__Plan_Maestro_T11"/>
      <sheetName val="Parámetros_Evaluación1"/>
      <sheetName val="MO_Obras1"/>
      <sheetName val="PPTO_MO1"/>
      <sheetName val="GG_El_Tranque_(3)1"/>
      <sheetName val="GG_El_Tranque_(2)1"/>
      <sheetName val="GG_El_Tranque1"/>
      <sheetName val="RESUMEN_ET11"/>
      <sheetName val="GG_ET11"/>
      <sheetName val="Exc_Masiva_ET11"/>
      <sheetName val="Mo_Pilas_ET11"/>
      <sheetName val="Hormigón_ET11"/>
      <sheetName val="AUX_PRESTO_COSTO_ET11"/>
      <sheetName val="AUX_PRESTO_INM_ET11"/>
      <sheetName val="RESUMEN_ET21"/>
      <sheetName val="AUX_PRESTO1"/>
      <sheetName val="GG_ET21"/>
      <sheetName val="Hormigón_ET21"/>
      <sheetName val="Muebles_Cocina1"/>
      <sheetName val="Muebles_CL1"/>
      <sheetName val="Andamio_Colgante1"/>
      <sheetName val="Kit_cocina1"/>
      <sheetName val="Artefactos_sanitarios1"/>
      <sheetName val="Accesorios_de_baño1"/>
      <sheetName val="Papel_mural1"/>
      <sheetName val="Carpinteria_metalica1"/>
      <sheetName val="Deptos_1"/>
      <sheetName val="Grupo_Electrogeno1"/>
      <sheetName val="Muebles_Recep1"/>
      <sheetName val="Rev__cocina1"/>
      <sheetName val="SUELDOS_ENE20181"/>
      <sheetName val="RESUMEN_DE_COTIZACION25"/>
      <sheetName val="ESTACION__DESCUBIERTO23"/>
      <sheetName val="ESTRUCTURA_DE_HORMIGON25"/>
      <sheetName val="ESTRUCTURA_METALICA23"/>
      <sheetName val="OBRA_CIVIL25"/>
      <sheetName val="INSTALACION_ELECTRICA25"/>
      <sheetName val="INSTALACION_AIRE_ACONDICIONAD23"/>
      <sheetName val="INSTALACION_CONTRA_INCENDIO23"/>
      <sheetName val="INSTALACIONES_VARIAS23"/>
      <sheetName val="Casa_B_estuco23"/>
      <sheetName val="Casa__B_estuco_siding23"/>
      <sheetName val="Casa__B_enchape_ladrillo23"/>
      <sheetName val="Alcant_23"/>
      <sheetName val="Agua_Pot_23"/>
      <sheetName val="Inst__Gas23"/>
      <sheetName val="$_prom_23"/>
      <sheetName val="MUS$_MES20"/>
      <sheetName val="x_area_late20"/>
      <sheetName val="Encofrado_BVR_Unispan18"/>
      <sheetName val="Listado_de_Maestros9"/>
      <sheetName val="Rep_Mat9"/>
      <sheetName val="Ev__Económica9"/>
      <sheetName val="Flujos_NEW9"/>
      <sheetName val="RESUMEN_DE_COTIZACION26"/>
      <sheetName val="ESTACION__DESCUBIERTO24"/>
      <sheetName val="ESTRUCTURA_DE_HORMIGON26"/>
      <sheetName val="ESTRUCTURA_METALICA24"/>
      <sheetName val="OBRA_CIVIL26"/>
      <sheetName val="INSTALACION_ELECTRICA26"/>
      <sheetName val="INSTALACION_AIRE_ACONDICIONAD24"/>
      <sheetName val="INSTALACION_CONTRA_INCENDIO24"/>
      <sheetName val="INSTALACIONES_VARIAS24"/>
      <sheetName val="Casa_B_estuco24"/>
      <sheetName val="Casa__B_estuco_siding24"/>
      <sheetName val="Casa__B_enchape_ladrillo24"/>
      <sheetName val="Alcant_24"/>
      <sheetName val="Agua_Pot_24"/>
      <sheetName val="Inst__Gas24"/>
      <sheetName val="$_prom_24"/>
      <sheetName val="MUS$_MES21"/>
      <sheetName val="x_area_late21"/>
      <sheetName val="Encofrado_BVR_Unispan19"/>
      <sheetName val="Listado_de_Maestros10"/>
      <sheetName val="Rep_Mat10"/>
      <sheetName val="Ev__Económica10"/>
      <sheetName val="Flujos_NEW10"/>
      <sheetName val="HH_x_Sistema6"/>
      <sheetName val="ado_ati_demussy_ldh6"/>
      <sheetName val="10241pip1on-site"/>
      <sheetName val="10241eqlist"/>
      <sheetName val="2_1_23"/>
      <sheetName val="5_-_Partidas_(_2_de_2_)3"/>
      <sheetName val="01__Plan_Maestro_T13"/>
      <sheetName val="Parámetros_Evaluación3"/>
      <sheetName val="MO_Obras3"/>
      <sheetName val="PPTO_MO3"/>
      <sheetName val="GG_El_Tranque_(3)3"/>
      <sheetName val="GG_El_Tranque_(2)3"/>
      <sheetName val="GG_El_Tranque3"/>
      <sheetName val="RESUMEN_ET13"/>
      <sheetName val="GG_ET13"/>
      <sheetName val="Exc_Masiva_ET13"/>
      <sheetName val="Mo_Pilas_ET13"/>
      <sheetName val="Hormigón_ET13"/>
      <sheetName val="AUX_PRESTO_COSTO_ET13"/>
      <sheetName val="AUX_PRESTO_INM_ET13"/>
      <sheetName val="RESUMEN_ET23"/>
      <sheetName val="AUX_PRESTO3"/>
      <sheetName val="GG_ET23"/>
      <sheetName val="Hormigón_ET23"/>
      <sheetName val="Muebles_Cocina3"/>
      <sheetName val="Muebles_CL3"/>
      <sheetName val="Andamio_Colgante3"/>
      <sheetName val="Kit_cocina3"/>
      <sheetName val="Artefactos_sanitarios3"/>
      <sheetName val="Accesorios_de_baño3"/>
      <sheetName val="Papel_mural3"/>
      <sheetName val="Carpinteria_metalica3"/>
      <sheetName val="Deptos_3"/>
      <sheetName val="Grupo_Electrogeno3"/>
      <sheetName val="Muebles_Recep3"/>
      <sheetName val="Rev__cocina3"/>
      <sheetName val="SUELDOS_ENE20183"/>
      <sheetName val="ANALISIS_ALQUILER_FERREYROS3"/>
      <sheetName val="2_1_22"/>
      <sheetName val="5_-_Partidas_(_2_de_2_)2"/>
      <sheetName val="01__Plan_Maestro_T12"/>
      <sheetName val="Parámetros_Evaluación2"/>
      <sheetName val="MO_Obras2"/>
      <sheetName val="PPTO_MO2"/>
      <sheetName val="GG_El_Tranque_(3)2"/>
      <sheetName val="GG_El_Tranque_(2)2"/>
      <sheetName val="GG_El_Tranque2"/>
      <sheetName val="RESUMEN_ET12"/>
      <sheetName val="GG_ET12"/>
      <sheetName val="Exc_Masiva_ET12"/>
      <sheetName val="Mo_Pilas_ET12"/>
      <sheetName val="Hormigón_ET12"/>
      <sheetName val="AUX_PRESTO_COSTO_ET12"/>
      <sheetName val="AUX_PRESTO_INM_ET12"/>
      <sheetName val="RESUMEN_ET22"/>
      <sheetName val="AUX_PRESTO2"/>
      <sheetName val="GG_ET22"/>
      <sheetName val="Hormigón_ET22"/>
      <sheetName val="Muebles_Cocina2"/>
      <sheetName val="Muebles_CL2"/>
      <sheetName val="Andamio_Colgante2"/>
      <sheetName val="Kit_cocina2"/>
      <sheetName val="Artefactos_sanitarios2"/>
      <sheetName val="Accesorios_de_baño2"/>
      <sheetName val="Papel_mural2"/>
      <sheetName val="Carpinteria_metalica2"/>
      <sheetName val="Deptos_2"/>
      <sheetName val="Grupo_Electrogeno2"/>
      <sheetName val="Muebles_Recep2"/>
      <sheetName val="Rev__cocina2"/>
      <sheetName val="SUELDOS_ENE20182"/>
      <sheetName val="ANALISIS_ALQUILER_FERREYROS2"/>
      <sheetName val="ANALISIS_ALQUILER_FERREYROS"/>
      <sheetName val="ANALISIS_ALQUILER_FERREYROS1"/>
      <sheetName val="2_1_24"/>
      <sheetName val="5_-_Partidas_(_2_de_2_)4"/>
      <sheetName val="01__Plan_Maestro_T14"/>
      <sheetName val="Parámetros_Evaluación4"/>
      <sheetName val="MO_Obras4"/>
      <sheetName val="PPTO_MO4"/>
      <sheetName val="GG_El_Tranque_(3)4"/>
      <sheetName val="GG_El_Tranque_(2)4"/>
      <sheetName val="GG_El_Tranque4"/>
      <sheetName val="RESUMEN_ET14"/>
      <sheetName val="GG_ET14"/>
      <sheetName val="Exc_Masiva_ET14"/>
      <sheetName val="Mo_Pilas_ET14"/>
      <sheetName val="Hormigón_ET14"/>
      <sheetName val="AUX_PRESTO_COSTO_ET14"/>
      <sheetName val="AUX_PRESTO_INM_ET14"/>
      <sheetName val="RESUMEN_ET24"/>
      <sheetName val="AUX_PRESTO4"/>
      <sheetName val="GG_ET24"/>
      <sheetName val="Hormigón_ET24"/>
      <sheetName val="Muebles_Cocina4"/>
      <sheetName val="Muebles_CL4"/>
      <sheetName val="Andamio_Colgante4"/>
      <sheetName val="Kit_cocina4"/>
      <sheetName val="Artefactos_sanitarios4"/>
      <sheetName val="Accesorios_de_baño4"/>
      <sheetName val="Papel_mural4"/>
      <sheetName val="Carpinteria_metalica4"/>
      <sheetName val="Deptos_4"/>
      <sheetName val="Grupo_Electrogeno4"/>
      <sheetName val="Muebles_Recep4"/>
      <sheetName val="Rev__cocina4"/>
      <sheetName val="SUELDOS_ENE20184"/>
      <sheetName val="ANALISIS_ALQUILER_FERREYROS4"/>
      <sheetName val="RESUMEN_DE_COTIZACION27"/>
      <sheetName val="ESTACION__DESCUBIERTO25"/>
      <sheetName val="ESTRUCTURA_DE_HORMIGON27"/>
      <sheetName val="ESTRUCTURA_METALICA25"/>
      <sheetName val="OBRA_CIVIL27"/>
      <sheetName val="INSTALACION_ELECTRICA27"/>
      <sheetName val="INSTALACION_AIRE_ACONDICIONAD25"/>
      <sheetName val="INSTALACION_CONTRA_INCENDIO25"/>
      <sheetName val="INSTALACIONES_VARIAS25"/>
      <sheetName val="Casa_B_estuco25"/>
      <sheetName val="Casa__B_estuco_siding25"/>
      <sheetName val="Casa__B_enchape_ladrillo25"/>
      <sheetName val="Alcant_25"/>
      <sheetName val="Agua_Pot_25"/>
      <sheetName val="Inst__Gas25"/>
      <sheetName val="$_prom_25"/>
      <sheetName val="MUS$_MES22"/>
      <sheetName val="x_area_late22"/>
      <sheetName val="Encofrado_BVR_Unispan20"/>
      <sheetName val="Listado_de_Maestros11"/>
      <sheetName val="Rep_Mat11"/>
      <sheetName val="Ev__Económica11"/>
      <sheetName val="Flujos_NEW11"/>
      <sheetName val="HH_x_Sistema7"/>
      <sheetName val="ado_ati_demussy_ldh7"/>
      <sheetName val="Avance_financiero7"/>
      <sheetName val="AREAS_-_Chile21"/>
      <sheetName val="DISGREGADO_OBRA12"/>
      <sheetName val="DISG__Presup__Meta12"/>
      <sheetName val="Lista_Desplegable11"/>
      <sheetName val="LISTA_DE_CAUSAS11"/>
      <sheetName val="FLUJO_DE_PROVISIONES_PEN11"/>
      <sheetName val="Precio_de_Venta9"/>
      <sheetName val="LOSA_ALIGERADA_FIRTH+10_59"/>
      <sheetName val="BD_Prov8"/>
      <sheetName val="DAT3125_-_110"/>
      <sheetName val="DAT3635_-_110"/>
      <sheetName val="Info_Ayuda8"/>
      <sheetName val="METRADOS_ESTRUCTURAS_B-18"/>
      <sheetName val="ANÁLISIS_GG8"/>
      <sheetName val="CUADRO_RESUMEN8"/>
      <sheetName val="OBRA_GRUESA8"/>
      <sheetName val="3__ITEM_IISS8"/>
      <sheetName val="4__ITEM_IIEE8"/>
      <sheetName val="5_ITEM_INST_MECAN8"/>
      <sheetName val="VG_8"/>
      <sheetName val="ESC_18"/>
      <sheetName val="4__FC8"/>
      <sheetName val="MAT_-_CI8"/>
      <sheetName val="Sol_Val8"/>
      <sheetName val="Res_Val8"/>
      <sheetName val="OBRAS_PROV__Y_PRELIM_8"/>
      <sheetName val="EST_ESCALERAS8"/>
      <sheetName val="PC-19053_RP_PURUCHUCO8"/>
      <sheetName val="X__Auxiliar8"/>
      <sheetName val="BASE_DE_DATOS8"/>
      <sheetName val="GRAF_VG8"/>
      <sheetName val="Hoja_de_Recursos6"/>
      <sheetName val="Provisionales_6"/>
      <sheetName val="Pisos_6"/>
      <sheetName val="Zocalos_y_C_zoc_6"/>
      <sheetName val="Vidrios_y_crist_6"/>
      <sheetName val="Aparatos_sanit_6"/>
      <sheetName val="17_Valorización6"/>
      <sheetName val="ELECTRICO"/>
      <sheetName val="APU"/>
      <sheetName val="Tablas"/>
      <sheetName val="2-Cash Flow"/>
      <sheetName val="2_1_25"/>
      <sheetName val="5_-_Partidas_(_2_de_2_)5"/>
      <sheetName val="01__Plan_Maestro_T15"/>
      <sheetName val="Parámetros_Evaluación5"/>
      <sheetName val="MO_Obras5"/>
      <sheetName val="PPTO_MO5"/>
      <sheetName val="GG_El_Tranque_(3)5"/>
      <sheetName val="GG_El_Tranque_(2)5"/>
      <sheetName val="GG_El_Tranque5"/>
      <sheetName val="RESUMEN_ET15"/>
      <sheetName val="GG_ET15"/>
      <sheetName val="Exc_Masiva_ET15"/>
      <sheetName val="Mo_Pilas_ET15"/>
      <sheetName val="Hormigón_ET15"/>
      <sheetName val="AUX_PRESTO_COSTO_ET15"/>
      <sheetName val="AUX_PRESTO_INM_ET15"/>
      <sheetName val="RESUMEN_ET25"/>
      <sheetName val="AUX_PRESTO5"/>
      <sheetName val="GG_ET25"/>
      <sheetName val="Hormigón_ET25"/>
      <sheetName val="Muebles_Cocina5"/>
      <sheetName val="Muebles_CL5"/>
      <sheetName val="Andamio_Colgante5"/>
      <sheetName val="Kit_cocina5"/>
      <sheetName val="Artefactos_sanitarios5"/>
      <sheetName val="Accesorios_de_baño5"/>
      <sheetName val="Papel_mural5"/>
      <sheetName val="Carpinteria_metalica5"/>
      <sheetName val="Deptos_5"/>
      <sheetName val="Grupo_Electrogeno5"/>
      <sheetName val="Muebles_Recep5"/>
      <sheetName val="Rev__cocina5"/>
      <sheetName val="SUELDOS_ENE20185"/>
      <sheetName val="ANALISIS_ALQUILER_FERREYROS5"/>
      <sheetName val="HH_x_Sistema8"/>
      <sheetName val="ado_ati_demussy_ldh8"/>
      <sheetName val="HH_x_Sistema9"/>
      <sheetName val="ado_ati_demussy_ldh9"/>
      <sheetName val="HH_x_Sistema10"/>
      <sheetName val="ado_ati_demussy_ldh10"/>
      <sheetName val="INFORME-2"/>
      <sheetName val="IMAGE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PLANILLA DE COTIZACIÓN de ESTRUCTURAS DE HORMIGÓN</v>
          </cell>
          <cell r="B1" t="str">
            <v>PLANILLA DE COTIZACIÓN</v>
          </cell>
        </row>
        <row r="2">
          <cell r="A2" t="str">
            <v>LICITACION QLN Nº 01 - 01</v>
          </cell>
          <cell r="B2" t="str">
            <v>LICITACION QLN Nº 01 - 01</v>
          </cell>
          <cell r="C2">
            <v>36951</v>
          </cell>
          <cell r="D2">
            <v>36951</v>
          </cell>
          <cell r="E2" t="str">
            <v>FECHA</v>
          </cell>
          <cell r="F2">
            <v>36951</v>
          </cell>
          <cell r="G2" t="str">
            <v>FEB. 2001</v>
          </cell>
        </row>
        <row r="3">
          <cell r="E3" t="str">
            <v>REVISION</v>
          </cell>
          <cell r="F3" t="str">
            <v>B</v>
          </cell>
        </row>
        <row r="4">
          <cell r="A4" t="str">
            <v>OBRA:</v>
          </cell>
          <cell r="B4" t="str">
            <v>EASY QUILIN</v>
          </cell>
          <cell r="C4">
            <v>36951</v>
          </cell>
          <cell r="D4">
            <v>36951</v>
          </cell>
          <cell r="E4" t="str">
            <v>SECTOR</v>
          </cell>
          <cell r="F4" t="str">
            <v>EASY</v>
          </cell>
          <cell r="G4" t="str">
            <v>A</v>
          </cell>
        </row>
        <row r="5">
          <cell r="A5" t="str">
            <v>OBRA:</v>
          </cell>
          <cell r="B5" t="str">
            <v>EASY QUILIN</v>
          </cell>
          <cell r="C5">
            <v>36951</v>
          </cell>
          <cell r="D5">
            <v>36951</v>
          </cell>
          <cell r="E5" t="str">
            <v>RUBRO</v>
          </cell>
          <cell r="F5" t="str">
            <v>HORMIGON</v>
          </cell>
          <cell r="G5" t="str">
            <v>EASY</v>
          </cell>
        </row>
        <row r="6">
          <cell r="D6" t="str">
            <v>EASY</v>
          </cell>
          <cell r="E6" t="str">
            <v>RUBRO</v>
          </cell>
          <cell r="F6">
            <v>36951</v>
          </cell>
          <cell r="G6" t="str">
            <v>INSTALACION ELECTRICA</v>
          </cell>
        </row>
        <row r="7">
          <cell r="A7" t="str">
            <v>Cód</v>
          </cell>
          <cell r="B7" t="str">
            <v>Descripción</v>
          </cell>
          <cell r="C7" t="str">
            <v>Unid.</v>
          </cell>
          <cell r="D7" t="str">
            <v>Cant.</v>
          </cell>
          <cell r="E7" t="str">
            <v>P. Unit</v>
          </cell>
          <cell r="F7" t="str">
            <v>Subtotal</v>
          </cell>
        </row>
      </sheetData>
      <sheetData sheetId="5" refreshError="1"/>
      <sheetData sheetId="6" refreshError="1">
        <row r="1">
          <cell r="A1" t="str">
            <v>PLANILLA DE COTIZACIÓN de ESTRUCTURAS DE HORMIGÓN</v>
          </cell>
        </row>
        <row r="8">
          <cell r="D8" t="str">
            <v>RESUMEN DE  COTIZACION</v>
          </cell>
          <cell r="E8" t="str">
            <v xml:space="preserve">Precio unitario de </v>
          </cell>
        </row>
      </sheetData>
      <sheetData sheetId="7" refreshError="1">
        <row r="1">
          <cell r="A1" t="str">
            <v>PLANILLA DE COTIZACIÓN de ESTRUCTURAS DE HORMIGÓN</v>
          </cell>
          <cell r="B1" t="str">
            <v>PLANILLA DE COTIZACIÓN</v>
          </cell>
        </row>
        <row r="2">
          <cell r="A2" t="str">
            <v>LICITACION QLN Nº 01 - 01</v>
          </cell>
          <cell r="B2" t="str">
            <v>LICITACION QLN Nº 01 - 01</v>
          </cell>
          <cell r="C2">
            <v>36951</v>
          </cell>
          <cell r="D2">
            <v>36951</v>
          </cell>
          <cell r="E2" t="str">
            <v>FECHA</v>
          </cell>
          <cell r="F2">
            <v>36951</v>
          </cell>
          <cell r="G2" t="str">
            <v>FEB. 2001</v>
          </cell>
        </row>
        <row r="3">
          <cell r="E3" t="str">
            <v xml:space="preserve">FECHA: </v>
          </cell>
          <cell r="F3" t="str">
            <v>B</v>
          </cell>
        </row>
        <row r="4">
          <cell r="A4" t="str">
            <v>OBRA:</v>
          </cell>
          <cell r="B4" t="str">
            <v>EASY QUILIN</v>
          </cell>
          <cell r="C4">
            <v>36951</v>
          </cell>
          <cell r="D4">
            <v>36951</v>
          </cell>
          <cell r="E4" t="str">
            <v>REVISION</v>
          </cell>
          <cell r="F4" t="str">
            <v>EASY</v>
          </cell>
          <cell r="G4" t="str">
            <v>A</v>
          </cell>
        </row>
        <row r="5">
          <cell r="A5" t="str">
            <v>OBRA:</v>
          </cell>
          <cell r="B5" t="str">
            <v>EASY QUILIN</v>
          </cell>
          <cell r="C5">
            <v>36951</v>
          </cell>
          <cell r="D5">
            <v>36951</v>
          </cell>
          <cell r="E5" t="str">
            <v>SECTOR</v>
          </cell>
          <cell r="F5" t="str">
            <v>HORMIGON</v>
          </cell>
          <cell r="G5" t="str">
            <v>EASY</v>
          </cell>
        </row>
        <row r="6">
          <cell r="D6" t="str">
            <v>EASY</v>
          </cell>
          <cell r="E6" t="str">
            <v>RUBRO</v>
          </cell>
          <cell r="F6">
            <v>36951</v>
          </cell>
          <cell r="G6" t="str">
            <v>INSTALACION ELECTRICA</v>
          </cell>
        </row>
        <row r="7">
          <cell r="A7" t="str">
            <v>Cód</v>
          </cell>
          <cell r="B7" t="str">
            <v>Descripción</v>
          </cell>
          <cell r="C7" t="str">
            <v>Unid.</v>
          </cell>
          <cell r="D7" t="str">
            <v>Cant.</v>
          </cell>
          <cell r="E7" t="str">
            <v>P. Unit</v>
          </cell>
          <cell r="F7" t="str">
            <v>Subtotal</v>
          </cell>
        </row>
        <row r="8">
          <cell r="D8" t="str">
            <v>RESUMEN DE  COTIZACION</v>
          </cell>
          <cell r="E8" t="str">
            <v xml:space="preserve">Precio unitario de </v>
          </cell>
        </row>
        <row r="9">
          <cell r="A9" t="str">
            <v>Código</v>
          </cell>
          <cell r="B9" t="str">
            <v>Descripción</v>
          </cell>
          <cell r="C9" t="str">
            <v>Unid.</v>
          </cell>
          <cell r="D9" t="str">
            <v>Cant.</v>
          </cell>
          <cell r="E9" t="str">
            <v>Mat.</v>
          </cell>
          <cell r="F9" t="str">
            <v>M. de O.</v>
          </cell>
          <cell r="G9" t="str">
            <v xml:space="preserve">Total </v>
          </cell>
          <cell r="H9" t="str">
            <v>Subtotal</v>
          </cell>
          <cell r="I9" t="str">
            <v>Total  Item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A1" t="str">
            <v>PLANILLA DE COTIZACIÓN de ESTRUCTURAS DE HORMIGÓN</v>
          </cell>
        </row>
      </sheetData>
      <sheetData sheetId="125">
        <row r="1">
          <cell r="A1" t="str">
            <v>PLANILLA DE COTIZACIÓN de ESTRUCTURAS DE HORMIGÓN</v>
          </cell>
        </row>
      </sheetData>
      <sheetData sheetId="126">
        <row r="1">
          <cell r="A1" t="str">
            <v>PLANILLA DE COTIZACIÓN de ESTRUCTURAS DE HORMIGÓN</v>
          </cell>
        </row>
      </sheetData>
      <sheetData sheetId="127">
        <row r="1">
          <cell r="A1" t="str">
            <v>PLANILLA DE COTIZACIÓN de ESTRUCTURAS DE HORMIGÓN</v>
          </cell>
        </row>
      </sheetData>
      <sheetData sheetId="128">
        <row r="1">
          <cell r="A1" t="str">
            <v>PLANILLA DE COTIZACIÓN de ESTRUCTURAS DE HORMIGÓN</v>
          </cell>
        </row>
      </sheetData>
      <sheetData sheetId="129">
        <row r="1">
          <cell r="A1" t="str">
            <v>PLANILLA DE COTIZACIÓN de ESTRUCTURAS DE HORMIGÓN</v>
          </cell>
        </row>
      </sheetData>
      <sheetData sheetId="130">
        <row r="1">
          <cell r="A1" t="str">
            <v>PLANILLA DE COTIZACIÓN de ESTRUCTURAS DE HORMIGÓN</v>
          </cell>
        </row>
      </sheetData>
      <sheetData sheetId="131">
        <row r="1">
          <cell r="A1" t="str">
            <v>PLANILLA DE COTIZACIÓN de ESTRUCTURAS DE HORMIGÓN</v>
          </cell>
        </row>
      </sheetData>
      <sheetData sheetId="132">
        <row r="1">
          <cell r="A1" t="str">
            <v>PLANILLA DE COTIZACIÓN de ESTRUCTURAS DE HORMIGÓN</v>
          </cell>
        </row>
      </sheetData>
      <sheetData sheetId="133">
        <row r="1">
          <cell r="A1" t="str">
            <v>PLANILLA DE COTIZACIÓN de ESTRUCTURAS DE HORMIGÓN</v>
          </cell>
        </row>
      </sheetData>
      <sheetData sheetId="134">
        <row r="1">
          <cell r="A1" t="str">
            <v>PLANILLA DE COTIZACIÓN de ESTRUCTURAS DE HORMIGÓN</v>
          </cell>
        </row>
      </sheetData>
      <sheetData sheetId="135">
        <row r="1">
          <cell r="A1" t="str">
            <v>PLANILLA DE COTIZACIÓN de ESTRUCTURAS DE HORMIGÓN</v>
          </cell>
        </row>
      </sheetData>
      <sheetData sheetId="136">
        <row r="1">
          <cell r="A1" t="str">
            <v>PLANILLA DE COTIZACIÓN de ESTRUCTURAS DE HORMIGÓN</v>
          </cell>
        </row>
      </sheetData>
      <sheetData sheetId="137">
        <row r="1">
          <cell r="A1" t="str">
            <v>PLANILLA DE COTIZACIÓN de ESTRUCTURAS DE HORMIGÓN</v>
          </cell>
        </row>
      </sheetData>
      <sheetData sheetId="138">
        <row r="1">
          <cell r="A1" t="str">
            <v>PLANILLA DE COTIZACIÓN de ESTRUCTURAS DE HORMIGÓN</v>
          </cell>
        </row>
      </sheetData>
      <sheetData sheetId="139">
        <row r="1">
          <cell r="A1" t="str">
            <v>PLANILLA DE COTIZACIÓN de ESTRUCTURAS DE HORMIGÓN</v>
          </cell>
        </row>
      </sheetData>
      <sheetData sheetId="140">
        <row r="1">
          <cell r="A1" t="str">
            <v>PLANILLA DE COTIZACIÓN de ESTRUCTURAS DE HORMIGÓN</v>
          </cell>
        </row>
      </sheetData>
      <sheetData sheetId="141">
        <row r="1">
          <cell r="A1" t="str">
            <v>PLANILLA DE COTIZACIÓN de ESTRUCTURAS DE HORMIGÓN</v>
          </cell>
        </row>
      </sheetData>
      <sheetData sheetId="142">
        <row r="1">
          <cell r="A1" t="str">
            <v>PLANILLA DE COTIZACIÓN de ESTRUCTURAS DE HORMIGÓN</v>
          </cell>
        </row>
      </sheetData>
      <sheetData sheetId="143">
        <row r="1">
          <cell r="A1" t="str">
            <v>PLANILLA DE COTIZACIÓN de ESTRUCTURAS DE HORMIGÓN</v>
          </cell>
        </row>
      </sheetData>
      <sheetData sheetId="144">
        <row r="1">
          <cell r="A1" t="str">
            <v>PLANILLA DE COTIZACIÓN de ESTRUCTURAS DE HORMIGÓN</v>
          </cell>
        </row>
      </sheetData>
      <sheetData sheetId="145">
        <row r="1">
          <cell r="A1" t="str">
            <v>PLANILLA DE COTIZACIÓN de ESTRUCTURAS DE HORMIGÓN</v>
          </cell>
        </row>
      </sheetData>
      <sheetData sheetId="146">
        <row r="6">
          <cell r="D6" t="str">
            <v>EASY</v>
          </cell>
        </row>
      </sheetData>
      <sheetData sheetId="147" refreshError="1"/>
      <sheetData sheetId="148">
        <row r="1">
          <cell r="A1" t="str">
            <v>PLANILLA DE COTIZACIÓN de ESTRUCTURAS DE HORMIGÓN</v>
          </cell>
        </row>
      </sheetData>
      <sheetData sheetId="149">
        <row r="1">
          <cell r="A1" t="str">
            <v>PLANILLA DE COTIZACIÓN de ESTRUCTURAS DE HORMIGÓN</v>
          </cell>
        </row>
      </sheetData>
      <sheetData sheetId="150">
        <row r="1">
          <cell r="A1" t="str">
            <v>PLANILLA DE COTIZACIÓN de INFRAESTRUCTURA</v>
          </cell>
        </row>
      </sheetData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PLANILLA DE COTIZACIÓN de ESTRUCTURAS DE HORMIGÓN</v>
          </cell>
        </row>
      </sheetData>
      <sheetData sheetId="174">
        <row r="1">
          <cell r="A1" t="str">
            <v>PLANILLA DE COTIZACIÓN de ESTRUCTURAS DE HORMIGÓN</v>
          </cell>
        </row>
      </sheetData>
      <sheetData sheetId="175"/>
      <sheetData sheetId="176"/>
      <sheetData sheetId="177"/>
      <sheetData sheetId="178">
        <row r="6">
          <cell r="D6" t="str">
            <v>EASY</v>
          </cell>
        </row>
      </sheetData>
      <sheetData sheetId="179"/>
      <sheetData sheetId="180">
        <row r="6">
          <cell r="D6" t="str">
            <v>EASY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6">
          <cell r="D6" t="str">
            <v>EASY</v>
          </cell>
        </row>
      </sheetData>
      <sheetData sheetId="189">
        <row r="1">
          <cell r="A1" t="str">
            <v>PLANILLA DE COTIZACIÓN de INFRAESTRUCTURA</v>
          </cell>
        </row>
      </sheetData>
      <sheetData sheetId="190">
        <row r="1">
          <cell r="A1" t="str">
            <v>PLANILLA DE COTIZACIÓN de ESTRUCTURAS DE HORMIGÓN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6">
          <cell r="D6" t="str">
            <v>EASY</v>
          </cell>
        </row>
      </sheetData>
      <sheetData sheetId="205"/>
      <sheetData sheetId="206">
        <row r="1">
          <cell r="A1" t="str">
            <v>PLANILLA DE COTIZACIÓN de ESTRUCTURAS DE HORMIGÓN</v>
          </cell>
        </row>
      </sheetData>
      <sheetData sheetId="207"/>
      <sheetData sheetId="208">
        <row r="1">
          <cell r="A1" t="str">
            <v>PLANILLA DE COTIZACIÓN de INFRAESTRUCTURA</v>
          </cell>
        </row>
      </sheetData>
      <sheetData sheetId="209">
        <row r="1">
          <cell r="A1" t="str">
            <v>PLANILLA DE COTIZACIÓN de ESTRUCTURAS DE HORMIGÓN</v>
          </cell>
        </row>
      </sheetData>
      <sheetData sheetId="210"/>
      <sheetData sheetId="211"/>
      <sheetData sheetId="212">
        <row r="1">
          <cell r="A1" t="str">
            <v>PLANILLA DE COTIZACIÓN de ESTRUCTURAS DE HORMIGÓN</v>
          </cell>
        </row>
      </sheetData>
      <sheetData sheetId="213"/>
      <sheetData sheetId="214">
        <row r="1">
          <cell r="A1" t="str">
            <v>PLANILLA DE COTIZACIÓN de ESTRUCTURAS DE HORMIGÓN</v>
          </cell>
        </row>
      </sheetData>
      <sheetData sheetId="215"/>
      <sheetData sheetId="216"/>
      <sheetData sheetId="217">
        <row r="6">
          <cell r="D6" t="str">
            <v>EASY</v>
          </cell>
        </row>
      </sheetData>
      <sheetData sheetId="218">
        <row r="6">
          <cell r="D6" t="str">
            <v>EASY</v>
          </cell>
        </row>
      </sheetData>
      <sheetData sheetId="219">
        <row r="1">
          <cell r="A1" t="str">
            <v>PLANILLA DE COTIZACIÓN de ESTRUCTURAS DE HORMIGÓN</v>
          </cell>
        </row>
      </sheetData>
      <sheetData sheetId="220">
        <row r="1">
          <cell r="A1" t="str">
            <v>PLANILLA DE COTIZACIÓN de ESTRUCTURAS DE HORMIGÓN</v>
          </cell>
        </row>
      </sheetData>
      <sheetData sheetId="221">
        <row r="1">
          <cell r="A1" t="str">
            <v>PLANILLA DE COTIZACIÓN de ESTRUCTURAS DE HORMIGÓN</v>
          </cell>
        </row>
      </sheetData>
      <sheetData sheetId="222">
        <row r="1">
          <cell r="A1" t="str">
            <v>PLANILLA DE COTIZACIÓN de ESTRUCTURAS DE HORMIGÓN</v>
          </cell>
        </row>
      </sheetData>
      <sheetData sheetId="223">
        <row r="1">
          <cell r="A1" t="str">
            <v>PLANILLA DE COTIZACIÓN de ESTRUCTURAS DE HORMIGÓN</v>
          </cell>
        </row>
      </sheetData>
      <sheetData sheetId="224">
        <row r="1">
          <cell r="A1" t="str">
            <v>PLANILLA DE COTIZACIÓN de ESTRUCTURAS DE HORMIGÓN</v>
          </cell>
        </row>
      </sheetData>
      <sheetData sheetId="225">
        <row r="1">
          <cell r="A1" t="str">
            <v>PLANILLA DE COTIZACIÓN de ESTRUCTURAS DE HORMIGÓN</v>
          </cell>
        </row>
      </sheetData>
      <sheetData sheetId="226">
        <row r="1">
          <cell r="A1" t="str">
            <v>PLANILLA DE COTIZACIÓN de ESTRUCTURAS DE HORMIGÓN</v>
          </cell>
        </row>
      </sheetData>
      <sheetData sheetId="227">
        <row r="1">
          <cell r="A1" t="str">
            <v>PLANILLA DE COTIZACIÓN de INFRAESTRUCTURA</v>
          </cell>
        </row>
      </sheetData>
      <sheetData sheetId="228">
        <row r="1">
          <cell r="A1" t="str">
            <v>PLANILLA DE COTIZACIÓN de ESTRUCTURAS DE HORMIGÓN</v>
          </cell>
        </row>
      </sheetData>
      <sheetData sheetId="229">
        <row r="1">
          <cell r="A1" t="str">
            <v>PLANILLA DE COTIZACIÓN de ESTRUCTURAS DE HORMIGÓN</v>
          </cell>
        </row>
      </sheetData>
      <sheetData sheetId="230">
        <row r="1">
          <cell r="A1" t="str">
            <v>PLANILLA DE COTIZACIÓN de ESTRUCTURAS DE HORMIGÓN</v>
          </cell>
        </row>
      </sheetData>
      <sheetData sheetId="231">
        <row r="1">
          <cell r="A1" t="str">
            <v>PLANILLA DE COTIZACIÓN de ESTRUCTURAS DE HORMIGÓN</v>
          </cell>
        </row>
      </sheetData>
      <sheetData sheetId="232">
        <row r="1">
          <cell r="A1" t="str">
            <v>PLANILLA DE COTIZACIÓN de ESTRUCTURAS DE HORMIGÓN</v>
          </cell>
        </row>
      </sheetData>
      <sheetData sheetId="233">
        <row r="1">
          <cell r="A1" t="str">
            <v>PLANILLA DE COTIZACIÓN de ESTRUCTURAS DE HORMIGÓN</v>
          </cell>
        </row>
      </sheetData>
      <sheetData sheetId="234">
        <row r="1">
          <cell r="A1" t="str">
            <v>PLANILLA DE COTIZACIÓN de ESTRUCTURAS DE HORMIGÓN</v>
          </cell>
        </row>
      </sheetData>
      <sheetData sheetId="235">
        <row r="1">
          <cell r="A1" t="str">
            <v>PLANILLA DE COTIZACIÓN de ESTRUCTURAS DE HORMIGÓN</v>
          </cell>
        </row>
      </sheetData>
      <sheetData sheetId="236">
        <row r="6">
          <cell r="D6" t="str">
            <v>EASY</v>
          </cell>
        </row>
      </sheetData>
      <sheetData sheetId="237">
        <row r="6">
          <cell r="D6" t="str">
            <v>EASY</v>
          </cell>
        </row>
      </sheetData>
      <sheetData sheetId="238">
        <row r="1">
          <cell r="A1" t="str">
            <v>PLANILLA DE COTIZACIÓN de ESTRUCTURAS DE HORMIGÓN</v>
          </cell>
        </row>
      </sheetData>
      <sheetData sheetId="239">
        <row r="1">
          <cell r="A1" t="str">
            <v>PLANILLA DE COTIZACIÓN de ESTRUCTURAS DE HORMIGÓN</v>
          </cell>
        </row>
      </sheetData>
      <sheetData sheetId="240"/>
      <sheetData sheetId="241">
        <row r="1">
          <cell r="A1" t="str">
            <v>PLANILLA DE COTIZACIÓN de ESTRUCTURAS DE HORMIGÓN</v>
          </cell>
        </row>
      </sheetData>
      <sheetData sheetId="242">
        <row r="1">
          <cell r="A1" t="str">
            <v>PLANILLA DE COTIZACIÓN de ESTRUCTURAS DE HORMIGÓN</v>
          </cell>
        </row>
      </sheetData>
      <sheetData sheetId="243">
        <row r="1">
          <cell r="A1" t="str">
            <v>PLANILLA DE COTIZACIÓN de ESTRUCTURAS DE HORMIGÓN</v>
          </cell>
        </row>
      </sheetData>
      <sheetData sheetId="244">
        <row r="1">
          <cell r="A1" t="str">
            <v>PLANILLA DE COTIZACIÓN de ESTRUCTURAS DE HORMIGÓN</v>
          </cell>
        </row>
      </sheetData>
      <sheetData sheetId="245">
        <row r="1">
          <cell r="A1" t="str">
            <v>PLANILLA DE COTIZACIÓN de INFRAESTRUCTURA</v>
          </cell>
        </row>
      </sheetData>
      <sheetData sheetId="246">
        <row r="1">
          <cell r="A1" t="str">
            <v>PLANILLA DE COTIZACIÓN de ESTRUCTURAS DE HORMIGÓN</v>
          </cell>
        </row>
      </sheetData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>
        <row r="6">
          <cell r="D6" t="str">
            <v>EASY</v>
          </cell>
        </row>
      </sheetData>
      <sheetData sheetId="280"/>
      <sheetData sheetId="281">
        <row r="1">
          <cell r="A1" t="str">
            <v>PLANILLA DE COTIZACIÓN de ESTRUCTURAS DE HORMIGÓN</v>
          </cell>
        </row>
      </sheetData>
      <sheetData sheetId="282"/>
      <sheetData sheetId="283">
        <row r="1">
          <cell r="A1" t="str">
            <v>PLANILLA DE COTIZACIÓN de INFRAESTRUCTURA</v>
          </cell>
        </row>
      </sheetData>
      <sheetData sheetId="284">
        <row r="1">
          <cell r="A1" t="str">
            <v>PLANILLA DE COTIZACIÓN de ESTRUCTURAS DE HORMIGÓN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>
        <row r="1">
          <cell r="A1" t="str">
            <v>PLANILLA DE COTIZACIÓN de ESTRUCTURAS DE HORMIGÓN</v>
          </cell>
        </row>
      </sheetData>
      <sheetData sheetId="299"/>
      <sheetData sheetId="300">
        <row r="1">
          <cell r="A1" t="str">
            <v>PLANILLA DE COTIZACIÓN de ESTRUCTURAS DE HORMIGÓN</v>
          </cell>
        </row>
      </sheetData>
      <sheetData sheetId="301"/>
      <sheetData sheetId="302">
        <row r="1">
          <cell r="A1" t="str">
            <v>PLANILLA DE COTIZACIÓN de INFRAESTRUCTURA</v>
          </cell>
        </row>
      </sheetData>
      <sheetData sheetId="303">
        <row r="1">
          <cell r="A1" t="str">
            <v>PLANILLA DE COTIZACIÓN de ESTRUCTURAS DE HORMIGÓN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>
        <row r="1">
          <cell r="A1" t="str">
            <v>PLANILLA DE COTIZACIÓN de ESTRUCTURAS DE HORMIGÓN</v>
          </cell>
        </row>
      </sheetData>
      <sheetData sheetId="321">
        <row r="1">
          <cell r="A1" t="str">
            <v>PLANILLA DE COTIZACIÓN de ESTRUCTURAS DE HORMIGÓN</v>
          </cell>
        </row>
      </sheetData>
      <sheetData sheetId="322">
        <row r="1">
          <cell r="A1" t="str">
            <v>PLANILLA DE COTIZACIÓN de ESTRUCTURAS DE HORMIGÓN</v>
          </cell>
        </row>
      </sheetData>
      <sheetData sheetId="323">
        <row r="1">
          <cell r="A1" t="str">
            <v>PLANILLA DE COTIZACIÓN de ESTRUCTURAS DE HORMIGÓN</v>
          </cell>
        </row>
      </sheetData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>
        <row r="1">
          <cell r="A1" t="str">
            <v>PLANILLA DE COTIZACIÓN de ESTRUCTURAS DE HORMIGÓN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>
        <row r="1">
          <cell r="A1" t="str">
            <v>PLANILLA DE COTIZACIÓN de ESTRUCTURAS DE HORMIGÓN</v>
          </cell>
        </row>
      </sheetData>
      <sheetData sheetId="643"/>
      <sheetData sheetId="644"/>
      <sheetData sheetId="645">
        <row r="1">
          <cell r="A1" t="str">
            <v>PLANILLA DE COTIZACIÓN de ESTRUCTURAS DE HORMIGÓN</v>
          </cell>
        </row>
      </sheetData>
      <sheetData sheetId="646">
        <row r="1">
          <cell r="A1" t="str">
            <v>PLANILLA DE COTIZACIÓN de ESTRUCTURAS DE HORMIGÓN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>
        <row r="1">
          <cell r="A1" t="str">
            <v>PLANILLA DE COTIZACIÓN de ESTRUCTURAS DE HORMIGÓN</v>
          </cell>
        </row>
      </sheetData>
      <sheetData sheetId="658"/>
      <sheetData sheetId="659"/>
      <sheetData sheetId="660"/>
      <sheetData sheetId="661">
        <row r="6">
          <cell r="D6" t="str">
            <v>EASY</v>
          </cell>
        </row>
      </sheetData>
      <sheetData sheetId="662"/>
      <sheetData sheetId="663">
        <row r="1">
          <cell r="A1" t="str">
            <v>PLANILLA DE COTIZACIÓN de ESTRUCTURAS DE HORMIGÓN</v>
          </cell>
        </row>
      </sheetData>
      <sheetData sheetId="664"/>
      <sheetData sheetId="665">
        <row r="1">
          <cell r="A1" t="str">
            <v>PLANILLA DE COTIZACIÓN de ESTRUCTURAS DE HORMIGÓN</v>
          </cell>
        </row>
      </sheetData>
      <sheetData sheetId="666">
        <row r="1">
          <cell r="A1" t="str">
            <v>PLANILLA DE COTIZACIÓN de ESTRUCTURAS DE HORMIGÓN</v>
          </cell>
        </row>
      </sheetData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>
        <row r="1">
          <cell r="A1" t="str">
            <v>PLANILLA DE COTIZACIÓN de ESTRUCTURAS DE HORMIGÓN</v>
          </cell>
        </row>
      </sheetData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1">
          <cell r="A1" t="str">
            <v>PLANILLA DE COTIZACIÓN de ESTRUCTURAS DE HORMIGÓN</v>
          </cell>
        </row>
      </sheetData>
      <sheetData sheetId="726">
        <row r="1">
          <cell r="A1" t="str">
            <v>PLANILLA DE COTIZACIÓN de ESTRUCTURAS DE HORMIGÓN</v>
          </cell>
        </row>
      </sheetData>
      <sheetData sheetId="727">
        <row r="1">
          <cell r="A1" t="str">
            <v>PLANILLA DE COTIZACIÓN de ESTRUCTURAS DE HORMIGÓN</v>
          </cell>
        </row>
      </sheetData>
      <sheetData sheetId="728">
        <row r="6">
          <cell r="D6" t="str">
            <v>EASY</v>
          </cell>
        </row>
      </sheetData>
      <sheetData sheetId="729">
        <row r="6">
          <cell r="D6" t="str">
            <v>EASY</v>
          </cell>
        </row>
      </sheetData>
      <sheetData sheetId="730">
        <row r="1">
          <cell r="A1" t="str">
            <v>PLANILLA DE COTIZACIÓN de ESTRUCTURAS DE HORMIGÓN</v>
          </cell>
        </row>
      </sheetData>
      <sheetData sheetId="731">
        <row r="1">
          <cell r="A1" t="str">
            <v>PLANILLA DE COTIZACIÓN de ESTRUCTURAS DE HORMIGÓN</v>
          </cell>
        </row>
      </sheetData>
      <sheetData sheetId="732">
        <row r="1">
          <cell r="A1" t="str">
            <v>PLANILLA DE COTIZACIÓN de ESTRUCTURAS DE HORMIGÓN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>
        <row r="6">
          <cell r="D6" t="str">
            <v>EASY</v>
          </cell>
        </row>
      </sheetData>
      <sheetData sheetId="773"/>
      <sheetData sheetId="774">
        <row r="1">
          <cell r="A1" t="str">
            <v>PLANILLA DE COTIZACIÓN de ESTRUCTURAS DE HORMIGÓN</v>
          </cell>
        </row>
      </sheetData>
      <sheetData sheetId="775"/>
      <sheetData sheetId="776">
        <row r="1">
          <cell r="A1" t="str">
            <v>PLANILLA DE COTIZACIÓN de ESTRUCTURAS DE HORMIGÓN</v>
          </cell>
        </row>
      </sheetData>
      <sheetData sheetId="777">
        <row r="1">
          <cell r="A1" t="str">
            <v>PLANILLA DE COTIZACIÓN de ESTRUCTURAS DE HORMIGÓN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>
        <row r="1">
          <cell r="A1" t="str">
            <v>PLANILLA DE COTIZACIÓN de ESTRUCTURAS DE HORMIGÓN</v>
          </cell>
        </row>
      </sheetData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>
        <row r="6">
          <cell r="D6" t="str">
            <v>EASY</v>
          </cell>
        </row>
      </sheetData>
      <sheetData sheetId="837"/>
      <sheetData sheetId="838">
        <row r="1">
          <cell r="A1" t="str">
            <v>PLANILLA DE COTIZACIÓN de ESTRUCTURAS DE HORMIGÓN</v>
          </cell>
        </row>
      </sheetData>
      <sheetData sheetId="839"/>
      <sheetData sheetId="840">
        <row r="1">
          <cell r="A1" t="str">
            <v>PLANILLA DE COTIZACIÓN de ESTRUCTURAS DE HORMIGÓN</v>
          </cell>
        </row>
      </sheetData>
      <sheetData sheetId="841">
        <row r="1">
          <cell r="A1" t="str">
            <v>PLANILLA DE COTIZACIÓN de ESTRUCTURAS DE HORMIGÓN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>
        <row r="1">
          <cell r="A1" t="str">
            <v>PLANILLA DE COTIZACIÓN de ESTRUCTURAS DE HORMIGÓN</v>
          </cell>
        </row>
      </sheetData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>
        <row r="6">
          <cell r="D6" t="str">
            <v>EASY</v>
          </cell>
        </row>
      </sheetData>
      <sheetData sheetId="934"/>
      <sheetData sheetId="935">
        <row r="1">
          <cell r="A1" t="str">
            <v>PLANILLA DE COTIZACIÓN de ESTRUCTURAS DE HORMIGÓN</v>
          </cell>
        </row>
      </sheetData>
      <sheetData sheetId="936"/>
      <sheetData sheetId="937">
        <row r="1">
          <cell r="A1" t="str">
            <v>PLANILLA DE COTIZACIÓN de ESTRUCTURAS DE HORMIGÓN</v>
          </cell>
        </row>
      </sheetData>
      <sheetData sheetId="938">
        <row r="1">
          <cell r="A1" t="str">
            <v>PLANILLA DE COTIZACIÓN de ESTRUCTURAS DE HORMIGÓN</v>
          </cell>
        </row>
      </sheetData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>
        <row r="1">
          <cell r="A1" t="str">
            <v>PLANILLA DE COTIZACIÓN de ESTRUCTURAS DE HORMIGÓN</v>
          </cell>
        </row>
      </sheetData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>
        <row r="6">
          <cell r="D6" t="str">
            <v>EASY</v>
          </cell>
        </row>
      </sheetData>
      <sheetData sheetId="998"/>
      <sheetData sheetId="999">
        <row r="1">
          <cell r="A1" t="str">
            <v>PLANILLA DE COTIZACIÓN de ESTRUCTURAS DE HORMIGÓN</v>
          </cell>
        </row>
      </sheetData>
      <sheetData sheetId="1000"/>
      <sheetData sheetId="1001">
        <row r="1">
          <cell r="A1" t="str">
            <v>PLANILLA DE COTIZACIÓN de ESTRUCTURAS DE HORMIGÓN</v>
          </cell>
        </row>
      </sheetData>
      <sheetData sheetId="1002">
        <row r="1">
          <cell r="A1" t="str">
            <v>PLANILLA DE COTIZACIÓN de ESTRUCTURAS DE HORMIGÓN</v>
          </cell>
        </row>
      </sheetData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>
        <row r="1">
          <cell r="A1" t="str">
            <v>PLANILLA DE COTIZACIÓN de ESTRUCTURAS DE HORMIGÓN</v>
          </cell>
        </row>
      </sheetData>
      <sheetData sheetId="1020">
        <row r="6">
          <cell r="D6" t="str">
            <v>EASY</v>
          </cell>
        </row>
      </sheetData>
      <sheetData sheetId="1021"/>
      <sheetData sheetId="1022">
        <row r="1">
          <cell r="A1" t="str">
            <v>PLANILLA DE COTIZACIÓN de ESTRUCTURAS DE HORMIGÓN</v>
          </cell>
        </row>
      </sheetData>
      <sheetData sheetId="1023"/>
      <sheetData sheetId="1024">
        <row r="1">
          <cell r="A1" t="str">
            <v>PLANILLA DE COTIZACIÓN de ESTRUCTURAS DE HORMIGÓN</v>
          </cell>
        </row>
      </sheetData>
      <sheetData sheetId="1025">
        <row r="1">
          <cell r="A1" t="str">
            <v>PLANILLA DE COTIZACIÓN de ESTRUCTURAS DE HORMIGÓN</v>
          </cell>
        </row>
      </sheetData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>
        <row r="1">
          <cell r="A1" t="str">
            <v>PLANILLA DE COTIZACIÓN de ESTRUCTURAS DE HORMIGÓN</v>
          </cell>
        </row>
      </sheetData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>
        <row r="1">
          <cell r="A1" t="str">
            <v>PLANILLA DE COTIZACIÓN de ESTRUCTURAS DE HORMIGÓN</v>
          </cell>
        </row>
      </sheetData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>
        <row r="6">
          <cell r="D6" t="str">
            <v>EASY</v>
          </cell>
        </row>
      </sheetData>
      <sheetData sheetId="1141"/>
      <sheetData sheetId="1142">
        <row r="1">
          <cell r="A1" t="str">
            <v>PLANILLA DE COTIZACIÓN de ESTRUCTURAS DE HORMIGÓN</v>
          </cell>
        </row>
      </sheetData>
      <sheetData sheetId="1143"/>
      <sheetData sheetId="1144">
        <row r="1">
          <cell r="A1" t="str">
            <v>PLANILLA DE COTIZACIÓN de ESTRUCTURAS DE HORMIGÓN</v>
          </cell>
        </row>
      </sheetData>
      <sheetData sheetId="1145">
        <row r="1">
          <cell r="A1" t="str">
            <v>PLANILLA DE COTIZACIÓN de ESTRUCTURAS DE HORMIGÓN</v>
          </cell>
        </row>
      </sheetData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>
        <row r="1">
          <cell r="A1" t="str">
            <v>PLANILLA DE COTIZACIÓN de ESTRUCTURAS DE HORMIGÓN</v>
          </cell>
        </row>
      </sheetData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>
        <row r="1">
          <cell r="A1" t="str">
            <v>PLANILLA DE COTIZACIÓN de ESTRUCTURAS DE HORMIGÓN</v>
          </cell>
        </row>
      </sheetData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>
        <row r="1">
          <cell r="A1" t="str">
            <v>PLANILLA DE COTIZACIÓN de ESTRUCTURAS DE HORMIGÓN</v>
          </cell>
        </row>
      </sheetData>
      <sheetData sheetId="1297"/>
      <sheetData sheetId="1298">
        <row r="1">
          <cell r="A1" t="str">
            <v>PLANILLA DE COTIZACIÓN de ESTRUCTURAS DE HORMIGÓN</v>
          </cell>
        </row>
      </sheetData>
      <sheetData sheetId="1299">
        <row r="1">
          <cell r="A1" t="str">
            <v>PLANILLA DE COTIZACIÓN de ESTRUCTURAS DE HORMIGÓN</v>
          </cell>
        </row>
      </sheetData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>
        <row r="1">
          <cell r="A1" t="str">
            <v>PLANILLA DE COTIZACIÓN de ESTRUCTURAS DE HORMIGÓN</v>
          </cell>
        </row>
      </sheetData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1">
          <cell r="A1">
            <v>0</v>
          </cell>
        </row>
      </sheetData>
      <sheetData sheetId="1359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 refreshError="1"/>
      <sheetData sheetId="14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Matriz"/>
      <sheetName val="Búsqueda"/>
      <sheetName val="Filtro"/>
      <sheetName val="Resumen"/>
    </sheetNames>
    <sheetDataSet>
      <sheetData sheetId="0" refreshError="1"/>
      <sheetData sheetId="1">
        <row r="4">
          <cell r="N4" t="str">
            <v>Válvula</v>
          </cell>
          <cell r="O4" t="str">
            <v>Tubería</v>
          </cell>
          <cell r="P4" t="str">
            <v>Rociador</v>
          </cell>
          <cell r="Q4" t="str">
            <v>Codo</v>
          </cell>
          <cell r="R4" t="str">
            <v>Tee</v>
          </cell>
          <cell r="S4" t="str">
            <v>Brida</v>
          </cell>
          <cell r="T4" t="str">
            <v>Acople</v>
          </cell>
          <cell r="U4" t="str">
            <v>Reducción</v>
          </cell>
          <cell r="V4" t="str">
            <v>Gabinete</v>
          </cell>
          <cell r="W4" t="str">
            <v>Manguera</v>
          </cell>
          <cell r="X4" t="str">
            <v>Pitón</v>
          </cell>
          <cell r="Y4" t="str">
            <v>Caseta</v>
          </cell>
          <cell r="Z4" t="str">
            <v>Bifurco</v>
          </cell>
          <cell r="AA4" t="str">
            <v>Extintor</v>
          </cell>
          <cell r="AB4" t="str">
            <v>Otros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uros anclados"/>
      <sheetName val="muro armado2"/>
      <sheetName val="Cimientos reforzados"/>
      <sheetName val="formula "/>
      <sheetName val="MUROS ANCLADOS-corregido 4-10-1"/>
      <sheetName val="MUROS%20ANCLADOS-corregido%204-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Escaleras"/>
      <sheetName val="Losa Maciza 15"/>
      <sheetName val="Losa Maciza 17"/>
      <sheetName val="Losa Aligerada 25"/>
      <sheetName val="Losa Maciza 20"/>
      <sheetName val="Losa Aligerada 20"/>
      <sheetName val="Vigas"/>
      <sheetName val="Muros de contención"/>
      <sheetName val="Columnas"/>
      <sheetName val="Placas"/>
      <sheetName val="Cisterna"/>
      <sheetName val="Cimiento"/>
      <sheetName val="Zapatas"/>
      <sheetName val="Resumen sotano"/>
      <sheetName val="Pavimento"/>
      <sheetName val="Búsqueda"/>
      <sheetName val="formula "/>
      <sheetName val="Avance Detallado (ok)"/>
      <sheetName val="Avance Resumen (ok)"/>
      <sheetName val="RCHH (ok) "/>
      <sheetName val="AYUDA PROGRAMACION"/>
      <sheetName val="INFO LOSAS"/>
      <sheetName val="SOT EST"/>
      <sheetName val="TORRE EST "/>
      <sheetName val="RESUMEN"/>
      <sheetName val="METRADO ESTRUCTURAS"/>
      <sheetName val="EEMM"/>
      <sheetName val="COLUMNAS Y DETALLES MUROS"/>
      <sheetName val="LOSA MACIZA"/>
      <sheetName val="VIGAS-CORTES"/>
      <sheetName val="INFO CORTES DE TECHO"/>
      <sheetName val="INFO CIMIENTOS"/>
      <sheetName val="INFO ZAPATAS"/>
      <sheetName val="INFO MURO CONTENCION"/>
      <sheetName val="RESUMEN POR TIPO"/>
      <sheetName val="CIMENTACIONES"/>
      <sheetName val="MUROS DE CONTENCION"/>
      <sheetName val="INFO MUROS"/>
      <sheetName val="INFO VERTICALES"/>
      <sheetName val="LOSA ALIGERADA"/>
      <sheetName val="INFORMACION AYUDA"/>
      <sheetName val="DB"/>
      <sheetName val="DB.COL"/>
      <sheetName val="METRADO ESCTRUCTURAS SOTANO PAR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7422cw00"/>
      <sheetName val="Losa_Maciza_15"/>
      <sheetName val="Losa_Maciza_17"/>
      <sheetName val="Losa_Aligerada_25"/>
      <sheetName val="Losa_Maciza_20"/>
      <sheetName val="Losa_Aligerada_20"/>
      <sheetName val="Muros_de_contención"/>
      <sheetName val="Resumen_sotano"/>
      <sheetName val="formula_"/>
      <sheetName val="Avance_Detallado_(ok)"/>
      <sheetName val="Avance_Resumen_(ok)"/>
      <sheetName val="RCHH_(ok)_"/>
      <sheetName val="AYUDA_PROGRAMACION"/>
      <sheetName val="INFO_LOSAS"/>
      <sheetName val="SOT_EST"/>
      <sheetName val="TORRE_EST_"/>
      <sheetName val="METRADO_ESTRUCTURAS"/>
      <sheetName val="COLUMNAS_Y_DETALLES_MUROS"/>
      <sheetName val="LOSA_MACIZA"/>
      <sheetName val="INFO_CORTES_DE_TECHO"/>
      <sheetName val="INFO_CIMIENTOS"/>
      <sheetName val="INFO_ZAPATAS"/>
      <sheetName val="INFO_MURO_CONTENCION"/>
      <sheetName val="RESUMEN_POR_TIPO"/>
      <sheetName val="MUROS_DE_CONTENCION"/>
      <sheetName val="INFO_MUROS"/>
      <sheetName val="INFO_VERTICALES"/>
      <sheetName val="LOSA_ALIGERADA"/>
      <sheetName val="INFORMACION_AYUDA"/>
      <sheetName val="DB_COL"/>
      <sheetName val="METRADO_ESCTRUCTURAS_SOTANO_PAR"/>
      <sheetName val="Encofrado BVR Unispan"/>
    </sheetNames>
    <sheetDataSet>
      <sheetData sheetId="0" refreshError="1">
        <row r="6">
          <cell r="F6">
            <v>0</v>
          </cell>
          <cell r="G6">
            <v>0</v>
          </cell>
        </row>
        <row r="7">
          <cell r="F7">
            <v>0</v>
          </cell>
          <cell r="G7">
            <v>0</v>
          </cell>
        </row>
        <row r="8">
          <cell r="F8">
            <v>1</v>
          </cell>
          <cell r="G8">
            <v>0</v>
          </cell>
        </row>
        <row r="9">
          <cell r="F9">
            <v>3</v>
          </cell>
          <cell r="G9">
            <v>0.4</v>
          </cell>
        </row>
        <row r="10">
          <cell r="F10">
            <v>4</v>
          </cell>
          <cell r="G10">
            <v>0.5</v>
          </cell>
        </row>
        <row r="11">
          <cell r="F11">
            <v>5</v>
          </cell>
          <cell r="G11">
            <v>0.6</v>
          </cell>
        </row>
        <row r="12">
          <cell r="F12">
            <v>6</v>
          </cell>
          <cell r="G12">
            <v>0.8</v>
          </cell>
        </row>
        <row r="13">
          <cell r="F13">
            <v>8</v>
          </cell>
          <cell r="G13">
            <v>1</v>
          </cell>
        </row>
        <row r="14">
          <cell r="F14">
            <v>0</v>
          </cell>
          <cell r="G1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S ESTRUCTURAS B-1"/>
      <sheetName val="RESUMEN DE METRADO"/>
      <sheetName val="ACERO ESCALERAS "/>
      <sheetName val="METRADOS BRIS"/>
      <sheetName val="ACERO ZAPATAS"/>
      <sheetName val="ACERO COLUMNAS Y PLACAS"/>
      <sheetName val="ACERO VC)"/>
      <sheetName val="ACERO SOBRECIMIENTO"/>
      <sheetName val="ACERO VIGAS "/>
      <sheetName val="GRADERIA PORTICOS "/>
      <sheetName val="GRADERIA TERRENO"/>
      <sheetName val="ACEROS  - LOSAS"/>
    </sheetNames>
    <sheetDataSet>
      <sheetData sheetId="0" refreshError="1"/>
      <sheetData sheetId="1" refreshError="1">
        <row r="1">
          <cell r="A1" t="str">
            <v>RESUMEN DE SUSTENTO DE METRADOS</v>
          </cell>
        </row>
        <row r="3">
          <cell r="A3" t="str">
            <v>PROYECTO:</v>
          </cell>
          <cell r="B3" t="str">
            <v>MEJORAMIENTO DEL SERVICIO DEPORTIVO EN EL COMPLEJO CHICAGO DEL BARRIO CHICAGO, DISTRITO DE TRUJILLO, PROVINCIA DE TRUJILLO - LA LIBERTAD</v>
          </cell>
        </row>
        <row r="5">
          <cell r="B5" t="str">
            <v>ESTADIO DE ATLETISMO</v>
          </cell>
        </row>
        <row r="6">
          <cell r="A6" t="str">
            <v xml:space="preserve">RESUMEN DE SUBPRESUPUESTOS: ESTRUCTURAS  </v>
          </cell>
        </row>
        <row r="8">
          <cell r="A8" t="str">
            <v>Cliente :</v>
          </cell>
          <cell r="B8" t="str">
            <v>MUNICIPALIDAD PROVINCIAL DE TRUJILLO</v>
          </cell>
          <cell r="C8" t="str">
            <v>FECHA:</v>
          </cell>
          <cell r="D8">
            <v>40940</v>
          </cell>
        </row>
        <row r="10">
          <cell r="A10" t="str">
            <v>ITEM</v>
          </cell>
          <cell r="B10" t="str">
            <v>DESCRIPCION</v>
          </cell>
          <cell r="C10" t="str">
            <v>UND</v>
          </cell>
          <cell r="D10" t="str">
            <v>METRADO TOTAL</v>
          </cell>
        </row>
        <row r="12">
          <cell r="A12" t="str">
            <v xml:space="preserve">RESUMEN DE METRADO DE ESTRUCTURAS DE ESTADIO DE ATLETISMO </v>
          </cell>
        </row>
        <row r="13">
          <cell r="A13" t="str">
            <v xml:space="preserve">01.00.00 </v>
          </cell>
          <cell r="B13" t="str">
            <v>OBRAS PROVISIONALES</v>
          </cell>
        </row>
        <row r="14">
          <cell r="A14" t="str">
            <v>01.01.00</v>
          </cell>
          <cell r="B14" t="str">
            <v>CARTEL DE OBRA DE 6.00x3.60 m.</v>
          </cell>
          <cell r="C14" t="str">
            <v>und</v>
          </cell>
          <cell r="D14">
            <v>8.5</v>
          </cell>
        </row>
        <row r="15">
          <cell r="A15" t="str">
            <v>01.02.00</v>
          </cell>
          <cell r="B15" t="str">
            <v>TRANSPORTE DE EQUIPO, HERRAMIENTAS</v>
          </cell>
          <cell r="C15" t="str">
            <v>Dia</v>
          </cell>
          <cell r="D15">
            <v>1</v>
          </cell>
        </row>
        <row r="16">
          <cell r="A16" t="str">
            <v>01.03.01</v>
          </cell>
          <cell r="B16" t="str">
            <v>DESVIO Y MANTENIMIENTO DE TRAFICO</v>
          </cell>
          <cell r="C16" t="str">
            <v>Dia</v>
          </cell>
          <cell r="D16">
            <v>1</v>
          </cell>
        </row>
        <row r="18">
          <cell r="A18" t="str">
            <v>02.03.00</v>
          </cell>
          <cell r="B18" t="str">
            <v>TRAZO Y REPLANTEO PRELIMINAR</v>
          </cell>
        </row>
        <row r="19">
          <cell r="A19" t="str">
            <v>02.02.01</v>
          </cell>
          <cell r="B19" t="str">
            <v xml:space="preserve">TRAZO Y REPLANTEO </v>
          </cell>
          <cell r="C19" t="str">
            <v>M2</v>
          </cell>
          <cell r="D19">
            <v>22591.25</v>
          </cell>
        </row>
        <row r="21">
          <cell r="A21" t="str">
            <v>03.00.00</v>
          </cell>
          <cell r="B21" t="str">
            <v>MOVIMIENTO DE TIERRAS</v>
          </cell>
        </row>
        <row r="22">
          <cell r="A22" t="str">
            <v>03.01.00</v>
          </cell>
          <cell r="B22" t="str">
            <v>EXCAVACIONES</v>
          </cell>
        </row>
        <row r="23">
          <cell r="A23" t="str">
            <v>03.01.04</v>
          </cell>
          <cell r="B23" t="str">
            <v xml:space="preserve">EXCAVACION MASIVA EN TERRENO NORMAL PARA ZAPATAS Y VIGAS DE CIMENTACION </v>
          </cell>
          <cell r="C23" t="str">
            <v>M3</v>
          </cell>
          <cell r="D23">
            <v>6826.2954000000009</v>
          </cell>
        </row>
        <row r="24">
          <cell r="A24" t="str">
            <v>03.01.05</v>
          </cell>
          <cell r="B24" t="str">
            <v xml:space="preserve">EXCAVACION MANUAL PARA CIMIENTOS </v>
          </cell>
          <cell r="C24" t="str">
            <v>M3</v>
          </cell>
          <cell r="D24">
            <v>777.99040000000002</v>
          </cell>
        </row>
        <row r="25">
          <cell r="A25" t="str">
            <v>03.01.06</v>
          </cell>
          <cell r="B25" t="str">
            <v xml:space="preserve">EXCAVACION MANUAL DE ZANJAS PARA SARDINELES SUMERGIDOS </v>
          </cell>
          <cell r="C25" t="str">
            <v>M3</v>
          </cell>
          <cell r="D25">
            <v>100.75406000000001</v>
          </cell>
        </row>
        <row r="26">
          <cell r="A26" t="str">
            <v>03.01.07</v>
          </cell>
          <cell r="B26" t="str">
            <v>EXCAVACION DE ZANJAS PARA DUCTOS DE DRENAJES DE PISTA ATLETICA</v>
          </cell>
          <cell r="C26" t="str">
            <v>M3</v>
          </cell>
          <cell r="D26">
            <v>130.03910000000002</v>
          </cell>
        </row>
        <row r="27">
          <cell r="A27" t="str">
            <v>03.01.08</v>
          </cell>
          <cell r="B27" t="str">
            <v>EXCAVACION MANUAL DE ZANJAS PARA RIA Y FOSA DE SALTOS</v>
          </cell>
          <cell r="C27" t="str">
            <v>M3</v>
          </cell>
          <cell r="D27">
            <v>35.049495</v>
          </cell>
        </row>
        <row r="28">
          <cell r="A28" t="str">
            <v>03.01.09</v>
          </cell>
          <cell r="B28" t="str">
            <v xml:space="preserve">EXCAVACION DE AREA DEPORTIVA </v>
          </cell>
          <cell r="C28" t="str">
            <v>M3</v>
          </cell>
          <cell r="D28">
            <v>7087.9279999999999</v>
          </cell>
        </row>
        <row r="29">
          <cell r="A29" t="str">
            <v>03.02.00</v>
          </cell>
          <cell r="B29" t="str">
            <v>RELLENOS</v>
          </cell>
        </row>
        <row r="30">
          <cell r="A30" t="str">
            <v>03.02.01</v>
          </cell>
          <cell r="B30" t="str">
            <v>RELLENO COMPACTADO EN ZANJAS C/EQUIPO MAT/PROPIO</v>
          </cell>
          <cell r="C30" t="str">
            <v>M3</v>
          </cell>
          <cell r="D30">
            <v>1308.2372000000005</v>
          </cell>
        </row>
        <row r="31">
          <cell r="A31" t="str">
            <v>03.03.00</v>
          </cell>
          <cell r="B31" t="str">
            <v>NIVELACION Y COMPACTACIÓN</v>
          </cell>
        </row>
        <row r="32">
          <cell r="A32" t="str">
            <v>03.03.01</v>
          </cell>
          <cell r="B32" t="str">
            <v>COMPACTADO DE TERRENO PARA SOLADO (EN SARDINEL DE PISTA ATLETICA)</v>
          </cell>
          <cell r="C32" t="str">
            <v>M2</v>
          </cell>
          <cell r="D32">
            <v>454.66310000000004</v>
          </cell>
        </row>
        <row r="33">
          <cell r="A33" t="str">
            <v>03.03.02</v>
          </cell>
          <cell r="B33" t="str">
            <v xml:space="preserve">CONFORMACION Y COMPACTACION DE SUBRASANTE PARA AREA DEPORTIVA </v>
          </cell>
          <cell r="C33" t="str">
            <v>M2</v>
          </cell>
          <cell r="D33">
            <v>17719.82</v>
          </cell>
        </row>
        <row r="34">
          <cell r="A34" t="str">
            <v>03.03.03</v>
          </cell>
          <cell r="B34" t="str">
            <v xml:space="preserve">NIVELACION INTERIOR Y APISONADO PARA FALSO PISO </v>
          </cell>
          <cell r="C34" t="str">
            <v>M2</v>
          </cell>
          <cell r="D34">
            <v>3635.3070000000025</v>
          </cell>
        </row>
        <row r="35">
          <cell r="A35" t="str">
            <v>03.04.00</v>
          </cell>
          <cell r="B35" t="str">
            <v>ELIMINACION DE MATERIAL EXCEDENTE</v>
          </cell>
        </row>
        <row r="36">
          <cell r="A36" t="str">
            <v>03.04.01</v>
          </cell>
          <cell r="B36" t="str">
            <v>ACARREO DE MATERIAL EXCEDENTE HASTA 50M</v>
          </cell>
          <cell r="C36" t="str">
            <v>M3</v>
          </cell>
          <cell r="D36">
            <v>17414.014618750003</v>
          </cell>
        </row>
        <row r="37">
          <cell r="A37" t="str">
            <v>03.04.02</v>
          </cell>
          <cell r="B37" t="str">
            <v>ELIMINACION MATERIAL EXCEDENTE C/MAQUINARIA</v>
          </cell>
          <cell r="C37" t="str">
            <v>M3</v>
          </cell>
          <cell r="D37">
            <v>17414.014618750003</v>
          </cell>
        </row>
        <row r="38">
          <cell r="A38" t="str">
            <v>03.05.00</v>
          </cell>
          <cell r="B38" t="str">
            <v>MATERIAL DE BASE Y SUB BASE</v>
          </cell>
        </row>
        <row r="39">
          <cell r="A39" t="str">
            <v>03.05.01</v>
          </cell>
          <cell r="B39" t="str">
            <v>BASE DE AFIRMADO DE 4" PARA PISOS INTERIORES Y EXTERIORES</v>
          </cell>
          <cell r="C39" t="str">
            <v>M2</v>
          </cell>
          <cell r="D39">
            <v>3635.3070000000025</v>
          </cell>
        </row>
        <row r="40">
          <cell r="A40" t="str">
            <v>03.05.02</v>
          </cell>
          <cell r="B40" t="str">
            <v>BASE DE HORMIGON DE 4" PARA GRADERIA SOBRE TERRENO</v>
          </cell>
          <cell r="C40" t="str">
            <v>M2</v>
          </cell>
          <cell r="D40">
            <v>452.07749999999999</v>
          </cell>
        </row>
        <row r="41">
          <cell r="A41" t="str">
            <v>03.05.03</v>
          </cell>
          <cell r="B41" t="str">
            <v>SUMINISTRO Y COMPACTACION DE BASE GRANULAR E=0.20m (PISTA ATLETICA)</v>
          </cell>
          <cell r="C41" t="str">
            <v>M2</v>
          </cell>
          <cell r="D41">
            <v>7379.28</v>
          </cell>
        </row>
        <row r="42">
          <cell r="A42" t="str">
            <v>03.05.04</v>
          </cell>
          <cell r="B42" t="str">
            <v>SUMINISTRO Y COMPACTACION DE SUB -BASE GRANULAR E=0.20m (PISTA ATLETICA)</v>
          </cell>
          <cell r="C42" t="str">
            <v>M2</v>
          </cell>
          <cell r="D42">
            <v>7379.28</v>
          </cell>
        </row>
        <row r="43">
          <cell r="A43" t="str">
            <v>03.06.00</v>
          </cell>
          <cell r="B43" t="str">
            <v>PAVIMENTO DE PISTA ATLETICA</v>
          </cell>
        </row>
        <row r="44">
          <cell r="A44" t="str">
            <v>03.06.01</v>
          </cell>
          <cell r="B44" t="str">
            <v>RIEGO DE IMPRIMACION ASFALTICA</v>
          </cell>
          <cell r="C44" t="str">
            <v>M2</v>
          </cell>
          <cell r="D44">
            <v>7379.28</v>
          </cell>
        </row>
        <row r="45">
          <cell r="A45" t="str">
            <v>03.06.02</v>
          </cell>
          <cell r="B45" t="str">
            <v>CONCRETO ASFALTICO EN CALIENTE E=3cm</v>
          </cell>
          <cell r="C45" t="str">
            <v>M3</v>
          </cell>
          <cell r="D45">
            <v>221.37839999999997</v>
          </cell>
        </row>
        <row r="46">
          <cell r="A46" t="str">
            <v>03.06.03</v>
          </cell>
          <cell r="B46" t="str">
            <v>CONCRETO ASFALTICO EN CALIENTE E=5cm</v>
          </cell>
          <cell r="C46" t="str">
            <v>M3</v>
          </cell>
          <cell r="D46">
            <v>368.964</v>
          </cell>
        </row>
        <row r="47">
          <cell r="A47" t="str">
            <v>04.00.00</v>
          </cell>
          <cell r="B47" t="str">
            <v>CONCRETO SIMPLE</v>
          </cell>
        </row>
        <row r="48">
          <cell r="A48" t="str">
            <v>04.02.00</v>
          </cell>
          <cell r="B48" t="str">
            <v>SUB CIMIENTOS</v>
          </cell>
        </row>
        <row r="49">
          <cell r="A49" t="str">
            <v>04.02.01</v>
          </cell>
          <cell r="B49" t="str">
            <v>SUBCIMIENTO, SUBZAPATA MEZCLA 1:12 + 30%P.G.</v>
          </cell>
          <cell r="C49" t="str">
            <v>M3</v>
          </cell>
          <cell r="D49">
            <v>2604.8201999999997</v>
          </cell>
        </row>
        <row r="50">
          <cell r="A50" t="str">
            <v>04.03.00</v>
          </cell>
          <cell r="B50" t="str">
            <v>CIMIENTOS</v>
          </cell>
        </row>
        <row r="51">
          <cell r="A51" t="str">
            <v>04.03.01</v>
          </cell>
          <cell r="B51" t="str">
            <v>CIMIENTOS CORRIDOS F'C=100Kg/cm2 + 30%P.G.</v>
          </cell>
          <cell r="C51" t="str">
            <v>M3</v>
          </cell>
          <cell r="D51">
            <v>485.53999999999979</v>
          </cell>
        </row>
        <row r="52">
          <cell r="A52" t="str">
            <v>04.04.00</v>
          </cell>
          <cell r="B52" t="str">
            <v>SOBRECIMIENTO</v>
          </cell>
        </row>
        <row r="53">
          <cell r="A53" t="str">
            <v>04.04.01</v>
          </cell>
          <cell r="B53" t="str">
            <v>CONCRETO F'C=175 KG/CM2 PARA SOBRECIMIENTOS</v>
          </cell>
          <cell r="C53" t="str">
            <v>M3</v>
          </cell>
          <cell r="D53">
            <v>110.65350000000002</v>
          </cell>
        </row>
        <row r="54">
          <cell r="A54" t="str">
            <v>04.04.02</v>
          </cell>
          <cell r="B54" t="str">
            <v>ENCOFRADO Y DESENCOFRADO NORMAL PARA SOBRECIMIENTO</v>
          </cell>
          <cell r="C54" t="str">
            <v>M2</v>
          </cell>
          <cell r="D54">
            <v>1600.28</v>
          </cell>
        </row>
        <row r="55">
          <cell r="A55" t="str">
            <v>04.04.03</v>
          </cell>
          <cell r="B55" t="str">
            <v>ACERO fy=4200 kg/cm2 GRADO 60</v>
          </cell>
          <cell r="C55" t="str">
            <v>Kg</v>
          </cell>
          <cell r="D55">
            <v>4872.8525999999993</v>
          </cell>
        </row>
        <row r="56">
          <cell r="A56" t="str">
            <v>04.05.00</v>
          </cell>
          <cell r="B56" t="str">
            <v>FALSOS PISOS Y ENSANCHES</v>
          </cell>
        </row>
        <row r="57">
          <cell r="A57" t="str">
            <v>04.05.01</v>
          </cell>
          <cell r="B57" t="str">
            <v>FALSO PISO MEZCLA 1:8 CEMENTO - HORMIGON E=4"</v>
          </cell>
          <cell r="C57" t="str">
            <v>M2</v>
          </cell>
          <cell r="D57">
            <v>3635.3070000000025</v>
          </cell>
        </row>
        <row r="58">
          <cell r="A58" t="str">
            <v>04.05.02</v>
          </cell>
          <cell r="B58" t="str">
            <v>CONCRETO 1:8+ 25% PM PARA ENSANCHES  B=0.60m</v>
          </cell>
          <cell r="C58" t="str">
            <v>M3</v>
          </cell>
          <cell r="D58">
            <v>19.745000000000005</v>
          </cell>
        </row>
        <row r="59">
          <cell r="A59" t="str">
            <v>05.00.00</v>
          </cell>
          <cell r="B59" t="str">
            <v>CONCRETO ARMADO</v>
          </cell>
        </row>
        <row r="60">
          <cell r="A60" t="str">
            <v>05.01.00</v>
          </cell>
          <cell r="B60" t="str">
            <v>ZAPATAS</v>
          </cell>
        </row>
        <row r="61">
          <cell r="A61" t="str">
            <v>05.01.01</v>
          </cell>
          <cell r="B61" t="str">
            <v>CONCRETO PREMEZCLADO F'C=210 KG/CM2  ZAPATAS</v>
          </cell>
          <cell r="C61" t="str">
            <v>M3</v>
          </cell>
          <cell r="D61">
            <v>1897.9661400000005</v>
          </cell>
        </row>
        <row r="62">
          <cell r="A62" t="str">
            <v>05.01.02</v>
          </cell>
          <cell r="B62" t="str">
            <v>ACERO fy=4200 kg/cm2 GRADO 60 en ZAPATAS</v>
          </cell>
          <cell r="C62" t="str">
            <v>kg</v>
          </cell>
          <cell r="D62">
            <v>72230.399999999994</v>
          </cell>
        </row>
        <row r="63">
          <cell r="A63" t="str">
            <v>05.02.00</v>
          </cell>
          <cell r="B63" t="str">
            <v>VIGAS DE CIMENTACIÓN</v>
          </cell>
        </row>
        <row r="64">
          <cell r="A64" t="str">
            <v>05.02.01</v>
          </cell>
          <cell r="B64" t="str">
            <v>CONCRETO EN VIGAS DE CIMENTACIÓN f'c=210 kg/cm2</v>
          </cell>
          <cell r="C64" t="str">
            <v>M3</v>
          </cell>
          <cell r="D64">
            <v>82.897499999999994</v>
          </cell>
        </row>
        <row r="65">
          <cell r="A65" t="str">
            <v>05.02.02</v>
          </cell>
          <cell r="B65" t="str">
            <v>ENCOFRADO Y DESENCOFRADO NORMAL EN VIGAS DE CIMENTACIÓN</v>
          </cell>
          <cell r="C65" t="str">
            <v>M2</v>
          </cell>
          <cell r="D65">
            <v>443.90000000000003</v>
          </cell>
        </row>
        <row r="66">
          <cell r="A66" t="str">
            <v>05.02.03</v>
          </cell>
          <cell r="B66" t="str">
            <v>ACERO fy=4200 kg/cm2 GRADO 60 en VIGAS DE CIMENTACIÓN</v>
          </cell>
          <cell r="C66" t="str">
            <v>kg</v>
          </cell>
          <cell r="D66">
            <v>8590.6680000000015</v>
          </cell>
        </row>
        <row r="67">
          <cell r="A67" t="str">
            <v>05.03.00</v>
          </cell>
          <cell r="B67" t="str">
            <v>COLUMNAS Y PLACAS</v>
          </cell>
        </row>
        <row r="68">
          <cell r="A68" t="str">
            <v>05.03.01</v>
          </cell>
          <cell r="B68" t="str">
            <v>CONCRETO PREMEZCLADO F'C=280 KG/CM2 EN COLUMNAS Y PLACAS</v>
          </cell>
          <cell r="C68" t="str">
            <v>M3</v>
          </cell>
          <cell r="D68">
            <v>1142.1400000000001</v>
          </cell>
        </row>
        <row r="69">
          <cell r="A69" t="str">
            <v>05.03.02</v>
          </cell>
          <cell r="B69" t="str">
            <v>ENCOFRADO Y DESENCOFRADO CARAVISTA EN COLUMNAS Y PLACAS</v>
          </cell>
          <cell r="C69" t="str">
            <v>M2</v>
          </cell>
          <cell r="D69">
            <v>5998.6100000000006</v>
          </cell>
        </row>
        <row r="70">
          <cell r="A70" t="str">
            <v>05.03.03</v>
          </cell>
          <cell r="B70" t="str">
            <v>ACERO fy=4200 kg/cm2 GRADO 60 EN COLUMNAS Y PLACAS</v>
          </cell>
          <cell r="C70" t="str">
            <v>kg</v>
          </cell>
          <cell r="D70">
            <v>93976</v>
          </cell>
        </row>
        <row r="71">
          <cell r="A71" t="str">
            <v>05.04.00</v>
          </cell>
          <cell r="B71" t="str">
            <v>VIGAS</v>
          </cell>
        </row>
        <row r="72">
          <cell r="A72" t="str">
            <v>05.04.01</v>
          </cell>
          <cell r="B72" t="str">
            <v>CONCRETO PREMEZCLADO F'C=280 KG/CM2 EN VIGAS</v>
          </cell>
          <cell r="C72" t="str">
            <v>M3</v>
          </cell>
          <cell r="D72">
            <v>654.33520000000021</v>
          </cell>
        </row>
        <row r="73">
          <cell r="A73" t="str">
            <v>05.04.02</v>
          </cell>
          <cell r="B73" t="str">
            <v>ENCOFRADO Y DESENCOFRADO CARAVISTA EN VIGAS</v>
          </cell>
          <cell r="C73" t="str">
            <v>M2</v>
          </cell>
          <cell r="D73">
            <v>5016.9309999999978</v>
          </cell>
        </row>
        <row r="74">
          <cell r="A74" t="str">
            <v>05.04.03</v>
          </cell>
          <cell r="B74" t="str">
            <v>ACERO fy=4200 kg/cm2 GRADO 60 en VIGAS</v>
          </cell>
          <cell r="C74" t="str">
            <v>kg</v>
          </cell>
          <cell r="D74">
            <v>86554.634299999962</v>
          </cell>
        </row>
        <row r="75">
          <cell r="A75" t="str">
            <v>05.05.00</v>
          </cell>
          <cell r="B75" t="str">
            <v>GRADERIAS ENTRE PORTICOS</v>
          </cell>
        </row>
        <row r="76">
          <cell r="A76" t="str">
            <v>05.05.01</v>
          </cell>
          <cell r="B76" t="str">
            <v>CONCRETO PREMEZCLADO F'C=280 KG/CM2 EN GRADERIAS ENTRE PORTICOS</v>
          </cell>
          <cell r="C76" t="str">
            <v>M3</v>
          </cell>
          <cell r="D76">
            <v>808.31360000000029</v>
          </cell>
        </row>
        <row r="77">
          <cell r="A77" t="str">
            <v>05.05.02</v>
          </cell>
          <cell r="B77" t="str">
            <v>ENCOFRADO Y DESENCOFRADO CARAVISTA EN GRADERIAS /PORTICOS</v>
          </cell>
          <cell r="C77" t="str">
            <v>M2</v>
          </cell>
          <cell r="D77">
            <v>2457.6599999999994</v>
          </cell>
        </row>
        <row r="78">
          <cell r="A78" t="str">
            <v>05.05.03</v>
          </cell>
          <cell r="B78" t="str">
            <v>ACERO fy=4200 kg/cm2 GRADO 60 EN GRADERIAS ENTRE PORTICOS</v>
          </cell>
          <cell r="C78" t="str">
            <v>kg</v>
          </cell>
          <cell r="D78">
            <v>19398.319199999998</v>
          </cell>
        </row>
        <row r="79">
          <cell r="A79" t="str">
            <v>05.06.00</v>
          </cell>
          <cell r="B79" t="str">
            <v>GRADERIAS SOBRE TERRENO</v>
          </cell>
        </row>
        <row r="80">
          <cell r="A80" t="str">
            <v>05.06.01</v>
          </cell>
          <cell r="B80" t="str">
            <v>CONCRETO PREMEZCLADO F'C=280 KG/CM2 EN GRADERIAS S/TERRENO</v>
          </cell>
          <cell r="C80" t="str">
            <v>M3</v>
          </cell>
          <cell r="D80">
            <v>108.88560000000003</v>
          </cell>
        </row>
        <row r="81">
          <cell r="A81" t="str">
            <v>05.06.02</v>
          </cell>
          <cell r="B81" t="str">
            <v>ENCOFRADO Y DESENCOFRADO CARAVISTA EN GRADERIAS S/TERRENO</v>
          </cell>
          <cell r="C81" t="str">
            <v>M2</v>
          </cell>
          <cell r="D81">
            <v>400.47999999999996</v>
          </cell>
        </row>
        <row r="82">
          <cell r="A82" t="str">
            <v>05.06.03</v>
          </cell>
          <cell r="B82" t="str">
            <v>ACERO fy=4200 kg/cm2 GRADO 60 EN GRADERIAS S/TERRENO</v>
          </cell>
          <cell r="C82" t="str">
            <v>kg</v>
          </cell>
          <cell r="D82">
            <v>1940.2871999999998</v>
          </cell>
        </row>
        <row r="83">
          <cell r="A83" t="str">
            <v>05.07.00</v>
          </cell>
          <cell r="B83" t="str">
            <v>COLUMNETAS</v>
          </cell>
        </row>
        <row r="84">
          <cell r="A84" t="str">
            <v>05.07.01</v>
          </cell>
          <cell r="B84" t="str">
            <v>CONCRETO EN COLUMNETAS f'c=210 kg/cm2</v>
          </cell>
          <cell r="C84" t="str">
            <v>M3</v>
          </cell>
          <cell r="D84">
            <v>109.60494999999995</v>
          </cell>
        </row>
        <row r="85">
          <cell r="A85" t="str">
            <v>05.07.02</v>
          </cell>
          <cell r="B85" t="str">
            <v>ENCOFRADO Y DESENCOFRADO NORMAL EN COLUMNETAS</v>
          </cell>
          <cell r="C85" t="str">
            <v>M2</v>
          </cell>
          <cell r="D85">
            <v>1559.9795000000004</v>
          </cell>
        </row>
        <row r="86">
          <cell r="A86" t="str">
            <v>05.07.03</v>
          </cell>
          <cell r="B86" t="str">
            <v>ACERO fy=4200 kg/cm2 GRADO 60 en COLUMNETAS</v>
          </cell>
          <cell r="C86" t="str">
            <v>kg</v>
          </cell>
          <cell r="D86">
            <v>18231</v>
          </cell>
        </row>
        <row r="87">
          <cell r="A87" t="str">
            <v>05.08.00</v>
          </cell>
          <cell r="B87" t="str">
            <v>VIGA SOLERA TABIQUE</v>
          </cell>
        </row>
        <row r="88">
          <cell r="A88" t="str">
            <v>05.08.01</v>
          </cell>
          <cell r="B88" t="str">
            <v>CONCRETO EN VIGA SOLERA TABIQUE f'c=210 kg/cm2</v>
          </cell>
          <cell r="C88" t="str">
            <v>M3</v>
          </cell>
          <cell r="D88">
            <v>44.749965000000017</v>
          </cell>
        </row>
        <row r="89">
          <cell r="A89" t="str">
            <v>05.08.02</v>
          </cell>
          <cell r="B89" t="str">
            <v>ENCOFRADO Y DESENCOFRADO NORMAL EN VIGA SOLERA TABIQUE</v>
          </cell>
          <cell r="C89" t="str">
            <v>M2</v>
          </cell>
          <cell r="D89">
            <v>688.46099999999967</v>
          </cell>
        </row>
        <row r="90">
          <cell r="A90" t="str">
            <v>05.08.03</v>
          </cell>
          <cell r="B90" t="str">
            <v>ACERO fy=4200 kg/cm2 GRADO 60 EN VIGA SOLERA TABIQUE</v>
          </cell>
          <cell r="C90" t="str">
            <v>kg</v>
          </cell>
          <cell r="D90">
            <v>7053</v>
          </cell>
        </row>
        <row r="91">
          <cell r="A91" t="str">
            <v>05.09.00</v>
          </cell>
          <cell r="B91" t="str">
            <v>ESCALERA</v>
          </cell>
        </row>
        <row r="92">
          <cell r="A92" t="str">
            <v>05.09.01</v>
          </cell>
          <cell r="B92" t="str">
            <v>CONCRETO PREMEZCLADO F'C=280 KG/CM2 EN ESCALERAS</v>
          </cell>
          <cell r="C92" t="str">
            <v>M3</v>
          </cell>
          <cell r="D92">
            <v>154.398</v>
          </cell>
        </row>
        <row r="93">
          <cell r="A93" t="str">
            <v>05.09.02</v>
          </cell>
          <cell r="B93" t="str">
            <v>ENCOFRADO Y DESENCOFRADO NORMAL EN ESCALERA</v>
          </cell>
          <cell r="C93" t="str">
            <v>M2</v>
          </cell>
          <cell r="D93">
            <v>174.14999999999998</v>
          </cell>
        </row>
        <row r="94">
          <cell r="A94" t="str">
            <v>05.09.03</v>
          </cell>
          <cell r="B94" t="str">
            <v>ACERO fy=4200 kg/cm2 GRADO 60 en ESCALERA</v>
          </cell>
          <cell r="C94" t="str">
            <v>kg</v>
          </cell>
          <cell r="D94">
            <v>14513.412</v>
          </cell>
        </row>
        <row r="95">
          <cell r="A95" t="str">
            <v>05.11.00</v>
          </cell>
          <cell r="B95" t="str">
            <v xml:space="preserve">MUROS DE SOSTENIMIENTO DEBAJO DE GRADERIAS </v>
          </cell>
        </row>
        <row r="96">
          <cell r="A96" t="str">
            <v>05.11.01</v>
          </cell>
          <cell r="B96" t="str">
            <v>CONCRETO F'C=210 KG/CM2 EN MURO DE SOSTENIMIENTO E=0,15 M</v>
          </cell>
          <cell r="C96" t="str">
            <v>M3</v>
          </cell>
          <cell r="D96">
            <v>86.320499999999996</v>
          </cell>
        </row>
        <row r="97">
          <cell r="A97" t="str">
            <v>05.11.02</v>
          </cell>
          <cell r="B97" t="str">
            <v>ENCOFRADO Y DESENCOFRADO CARAVISTA EN MUROS DE SOSTENIMIENTO (A / LADOS)</v>
          </cell>
          <cell r="C97" t="str">
            <v>M2</v>
          </cell>
          <cell r="D97">
            <v>787.2600000000001</v>
          </cell>
        </row>
        <row r="98">
          <cell r="A98" t="str">
            <v>05.11.03</v>
          </cell>
          <cell r="B98" t="str">
            <v xml:space="preserve">ACERO  FY=4200 KG/CM2 MUROS DE SOSTENIMIENTO </v>
          </cell>
          <cell r="C98" t="str">
            <v>UND</v>
          </cell>
          <cell r="D98">
            <v>5265.5504999999994</v>
          </cell>
        </row>
        <row r="99">
          <cell r="A99" t="str">
            <v>05.12.00</v>
          </cell>
          <cell r="B99" t="str">
            <v>LOSA ALIGERADA UNIDIRECCIONAL</v>
          </cell>
        </row>
        <row r="100">
          <cell r="A100" t="str">
            <v>05.12.01</v>
          </cell>
          <cell r="B100" t="str">
            <v>CONCRETO PREMEZCLADO EN LOSA ALIGERADA  UNIDIRECCIONAL f'c=210 kg/cm2</v>
          </cell>
          <cell r="C100" t="str">
            <v>M3</v>
          </cell>
          <cell r="D100">
            <v>159.30494999999996</v>
          </cell>
        </row>
        <row r="101">
          <cell r="A101" t="str">
            <v>05.12.02</v>
          </cell>
          <cell r="B101" t="str">
            <v>ENCOFRADO Y DESENCOFRADO EN LOSAS ALIGERADAS UNIDIRECCIONAL</v>
          </cell>
          <cell r="C101" t="str">
            <v>M2</v>
          </cell>
          <cell r="D101">
            <v>2324.7499999999991</v>
          </cell>
        </row>
        <row r="102">
          <cell r="A102" t="str">
            <v>05.12.03</v>
          </cell>
          <cell r="B102" t="str">
            <v>LADRILLO HUECO DE ARCILLA 20X30X30 cm PARA TECHO ALIGERADO</v>
          </cell>
          <cell r="C102" t="str">
            <v>UND</v>
          </cell>
          <cell r="D102">
            <v>19365</v>
          </cell>
        </row>
        <row r="103">
          <cell r="A103" t="str">
            <v>05.12.04</v>
          </cell>
          <cell r="B103" t="str">
            <v>ACERO fy=4200 kg/cm2 GRADO 60 EN LOSA ALIGERADA UNIDIRECCIONAL</v>
          </cell>
          <cell r="C103" t="str">
            <v>UND</v>
          </cell>
          <cell r="D103">
            <v>7867</v>
          </cell>
        </row>
        <row r="104">
          <cell r="A104" t="str">
            <v>05.13.00</v>
          </cell>
          <cell r="B104" t="str">
            <v>LOSAS ALIGERADAS BIDIRECCIONAL</v>
          </cell>
        </row>
        <row r="105">
          <cell r="A105" t="str">
            <v>05.13.01</v>
          </cell>
          <cell r="B105" t="str">
            <v>CONCRETO PREMEZCLADO F'C=280 KG/CM2 EN LOSAS ALIGERADAS BIDIRECCIONAL</v>
          </cell>
          <cell r="C105" t="str">
            <v>M3</v>
          </cell>
          <cell r="D105">
            <v>255.1292</v>
          </cell>
        </row>
        <row r="106">
          <cell r="A106" t="str">
            <v>05.13.02</v>
          </cell>
          <cell r="B106" t="str">
            <v>ENCOFRADO Y DESENCOFRADO EN LOSAS ALIGERADAS BIDIRECCIONAL</v>
          </cell>
          <cell r="C106" t="str">
            <v>M2</v>
          </cell>
          <cell r="D106">
            <v>1875.9499999999998</v>
          </cell>
        </row>
        <row r="107">
          <cell r="A107" t="str">
            <v>05.13.03</v>
          </cell>
          <cell r="B107" t="str">
            <v>LADRILLO HUECO DE ARCILLA 20X30X30 cm PARA TECHO ALIGERADO</v>
          </cell>
          <cell r="C107" t="str">
            <v>UND</v>
          </cell>
          <cell r="D107">
            <v>14632</v>
          </cell>
        </row>
        <row r="108">
          <cell r="A108" t="str">
            <v>05.13.04</v>
          </cell>
          <cell r="B108" t="str">
            <v>ACERO fy=4200 kg/cm2 GRADO 60 en LOSAS ALIGERADAS BIDIRECCIONAL</v>
          </cell>
          <cell r="C108" t="str">
            <v>kg</v>
          </cell>
          <cell r="D108">
            <v>15330.68</v>
          </cell>
        </row>
        <row r="109">
          <cell r="A109" t="str">
            <v>05.14.00</v>
          </cell>
          <cell r="B109" t="str">
            <v>SARDINELES SUMERGIDOS</v>
          </cell>
        </row>
        <row r="110">
          <cell r="A110" t="str">
            <v>05.14.01</v>
          </cell>
          <cell r="B110" t="str">
            <v>CONCRETO F'C=210 KG/CM2 PREMEZCLADO</v>
          </cell>
          <cell r="C110" t="str">
            <v>M3</v>
          </cell>
          <cell r="D110">
            <v>32</v>
          </cell>
        </row>
        <row r="111">
          <cell r="A111" t="str">
            <v>05.14.02</v>
          </cell>
          <cell r="B111" t="str">
            <v>ENCOFRADO Y DESENCOFRADO NORMAL DE SARDINELES</v>
          </cell>
          <cell r="C111" t="str">
            <v>M2</v>
          </cell>
          <cell r="D111">
            <v>240</v>
          </cell>
        </row>
        <row r="112">
          <cell r="A112" t="str">
            <v>05.14.03</v>
          </cell>
          <cell r="B112" t="str">
            <v>ACERO DE REFUERZO FY=4200 KG/CM2</v>
          </cell>
          <cell r="C112" t="str">
            <v>KG</v>
          </cell>
          <cell r="D112">
            <v>896.00000000000023</v>
          </cell>
        </row>
        <row r="113">
          <cell r="A113" t="str">
            <v>05.15.00</v>
          </cell>
          <cell r="B113" t="str">
            <v xml:space="preserve">CANAL DE DRENAJE-TIPO I </v>
          </cell>
        </row>
        <row r="114">
          <cell r="A114" t="str">
            <v>05.15.01</v>
          </cell>
          <cell r="B114" t="str">
            <v>SOLADO, e=2" MEZCLA 1:12 C:H</v>
          </cell>
          <cell r="C114" t="str">
            <v>M3</v>
          </cell>
          <cell r="D114">
            <v>103</v>
          </cell>
        </row>
        <row r="115">
          <cell r="A115" t="str">
            <v>05.15.02</v>
          </cell>
          <cell r="B115" t="str">
            <v>CONCRETO F'C=210 KG/CM2 PREMEZCLADO</v>
          </cell>
          <cell r="C115" t="str">
            <v>M3</v>
          </cell>
          <cell r="D115">
            <v>30.9</v>
          </cell>
        </row>
        <row r="116">
          <cell r="A116" t="str">
            <v>05.15.03</v>
          </cell>
          <cell r="B116" t="str">
            <v>ENCOFRADO Y DESENCOFRADO NORMAL DE CANAL</v>
          </cell>
          <cell r="C116" t="str">
            <v>M2</v>
          </cell>
          <cell r="D116">
            <v>280.16000000000003</v>
          </cell>
        </row>
        <row r="117">
          <cell r="A117" t="str">
            <v>05.15.04</v>
          </cell>
          <cell r="B117" t="str">
            <v>ACERO DE REFUERZO FY=4200 KG/CM2</v>
          </cell>
          <cell r="C117" t="str">
            <v>KG</v>
          </cell>
          <cell r="D117">
            <v>1413.16</v>
          </cell>
        </row>
        <row r="118">
          <cell r="A118" t="str">
            <v>05.15.05</v>
          </cell>
          <cell r="B118" t="str">
            <v xml:space="preserve">REJILLA DE FIERRO SEGÚN DISEÑO </v>
          </cell>
          <cell r="C118" t="str">
            <v>ML</v>
          </cell>
          <cell r="D118">
            <v>206</v>
          </cell>
        </row>
        <row r="119">
          <cell r="A119" t="str">
            <v>05.16.00</v>
          </cell>
          <cell r="B119" t="str">
            <v>CANAL DE DRENAJE-TIPO II</v>
          </cell>
        </row>
        <row r="120">
          <cell r="A120" t="str">
            <v>05.16.01</v>
          </cell>
          <cell r="B120" t="str">
            <v>SOLADO, e=2" MEZCLA 1:12 C:H</v>
          </cell>
          <cell r="C120" t="str">
            <v>M3</v>
          </cell>
          <cell r="D120">
            <v>98.7</v>
          </cell>
        </row>
        <row r="121">
          <cell r="A121" t="str">
            <v>05.16.02</v>
          </cell>
          <cell r="B121" t="str">
            <v>CONCRETO F'C=210 KG/CM2 PREMEZCLADO</v>
          </cell>
          <cell r="C121" t="str">
            <v>M2</v>
          </cell>
          <cell r="D121">
            <v>33.56</v>
          </cell>
        </row>
        <row r="122">
          <cell r="A122" t="str">
            <v>05.16.03</v>
          </cell>
          <cell r="B122" t="str">
            <v>ENCOFRADO Y DESENCOFRADO NORMAL DE CANAL</v>
          </cell>
          <cell r="C122" t="str">
            <v>KG</v>
          </cell>
          <cell r="D122">
            <v>296.10000000000002</v>
          </cell>
        </row>
        <row r="123">
          <cell r="A123" t="str">
            <v>05.16.04</v>
          </cell>
          <cell r="B123" t="str">
            <v>ACERO DE REFUERZO FY=4200 KG/CM2</v>
          </cell>
          <cell r="C123" t="str">
            <v>ML</v>
          </cell>
          <cell r="D123">
            <v>1796.34</v>
          </cell>
        </row>
        <row r="124">
          <cell r="A124" t="str">
            <v>05.17.00</v>
          </cell>
          <cell r="B124" t="str">
            <v>RÍA</v>
          </cell>
        </row>
        <row r="125">
          <cell r="A125" t="str">
            <v>05.17.01</v>
          </cell>
          <cell r="B125" t="str">
            <v>CONCRETO F'C-210 KG/CM2 PREMEZCLADO</v>
          </cell>
          <cell r="C125" t="str">
            <v>M3</v>
          </cell>
          <cell r="D125">
            <v>1.25</v>
          </cell>
        </row>
        <row r="126">
          <cell r="A126" t="str">
            <v>05.17.02</v>
          </cell>
          <cell r="B126" t="str">
            <v>ENCOFRADO Y DESENCOFRADO CARA VÍSTA DE RÍA</v>
          </cell>
          <cell r="C126" t="str">
            <v>M2</v>
          </cell>
          <cell r="D126">
            <v>14.4</v>
          </cell>
        </row>
        <row r="127">
          <cell r="A127" t="str">
            <v>05.17.03</v>
          </cell>
          <cell r="B127" t="str">
            <v>ACERO OE REFUERZO FY=4200 KG/CM2</v>
          </cell>
          <cell r="C127" t="str">
            <v>KG</v>
          </cell>
          <cell r="D127">
            <v>110</v>
          </cell>
        </row>
        <row r="128">
          <cell r="A128" t="str">
            <v>05.18.00</v>
          </cell>
          <cell r="B128" t="str">
            <v>SALTO LARGO Y SALTO TRIPLE</v>
          </cell>
        </row>
        <row r="129">
          <cell r="A129" t="str">
            <v>05.18.01</v>
          </cell>
          <cell r="B129" t="str">
            <v>CONCRETO F'C=210 KG/CM2 PREMEZCLADO</v>
          </cell>
          <cell r="C129" t="str">
            <v>M3</v>
          </cell>
          <cell r="D129">
            <v>4.5</v>
          </cell>
        </row>
        <row r="130">
          <cell r="A130" t="str">
            <v>05.18.02</v>
          </cell>
          <cell r="B130" t="str">
            <v>ENCOFRADO Y DESENCOFRADO CARAVISTA DE FOSA SALTO LARGO Y TRIPLE</v>
          </cell>
          <cell r="C130" t="str">
            <v>M2</v>
          </cell>
          <cell r="D130">
            <v>50</v>
          </cell>
        </row>
        <row r="131">
          <cell r="A131" t="str">
            <v>05.18.03</v>
          </cell>
          <cell r="B131" t="str">
            <v>ACERO DE REFUERZO FY=4200 KG/CM2</v>
          </cell>
          <cell r="C131" t="str">
            <v>KG</v>
          </cell>
          <cell r="D131">
            <v>360</v>
          </cell>
        </row>
        <row r="132">
          <cell r="A132" t="str">
            <v>05.19.00</v>
          </cell>
          <cell r="B132" t="str">
            <v>PERTIGA, LANZAMIENTO PE DISCO Y LANZAMIENTO DE PESO</v>
          </cell>
        </row>
        <row r="133">
          <cell r="A133" t="str">
            <v>05.19.01</v>
          </cell>
          <cell r="B133" t="str">
            <v>CONCRETO F'C=210 KG/CM2 PREMEZCLADO</v>
          </cell>
          <cell r="C133" t="str">
            <v>M3</v>
          </cell>
          <cell r="D133">
            <v>301.13</v>
          </cell>
        </row>
        <row r="134">
          <cell r="A134" t="str">
            <v>05.19.02</v>
          </cell>
          <cell r="B134" t="str">
            <v>ENCOFRADO Y DESENCOFRADO CARAVISTA DE FOSA SALTO LARGO Y TRIPLE</v>
          </cell>
          <cell r="C134" t="str">
            <v>M2</v>
          </cell>
          <cell r="D134">
            <v>37.880000000000003</v>
          </cell>
        </row>
        <row r="135">
          <cell r="A135" t="str">
            <v>05.19.03</v>
          </cell>
          <cell r="B135" t="str">
            <v>ACERO DE REFUERZO FY=200 KG/CM2</v>
          </cell>
          <cell r="C135" t="str">
            <v>KG</v>
          </cell>
          <cell r="D135">
            <v>4.25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"/>
      <sheetName val="PU"/>
      <sheetName val="PC's"/>
      <sheetName val="Basi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Panel de Control"/>
      <sheetName val="Indicadores"/>
      <sheetName val="BrechasXFR"/>
      <sheetName val="Gestión - Consolidado"/>
      <sheetName val="Gestión - A Fin de Obra"/>
      <sheetName val="Gestión - A la Fecha"/>
      <sheetName val="Gestión - Del Saldo"/>
      <sheetName val="Bitacora de Brechas"/>
      <sheetName val="BDGRAF"/>
      <sheetName val="K"/>
      <sheetName val="INTRODUCCION"/>
      <sheetName val="Met-Elec"/>
      <sheetName val="Met-Sant"/>
    </sheetNames>
    <sheetDataSet>
      <sheetData sheetId="0">
        <row r="8">
          <cell r="B8">
            <v>1</v>
          </cell>
          <cell r="C8" t="str">
            <v>ESTRUCTURA PARTE 2 (PODIO TORRE)</v>
          </cell>
        </row>
        <row r="9">
          <cell r="B9">
            <v>2</v>
          </cell>
          <cell r="C9" t="str">
            <v>MOCK UP</v>
          </cell>
        </row>
        <row r="10">
          <cell r="B10" t="str">
            <v>PR</v>
          </cell>
          <cell r="C10" t="str">
            <v>1611-HOTEL LIBERTADOR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%-a"/>
      <sheetName val="ENTREG NORTE"/>
      <sheetName val="Staff (6)"/>
      <sheetName val="Equip-a (7)"/>
      <sheetName val="PGR-4 SEMANAS"/>
      <sheetName val="CALENDARIO"/>
      <sheetName val="ENTREG_NORTE"/>
      <sheetName val="Staff_(6)"/>
      <sheetName val="Equip-a_(7)"/>
      <sheetName val="PGR-4_SEMANAS"/>
      <sheetName val="Curva S DAMRAISE-Central"/>
      <sheetName val="Curva S DAMRAISE"/>
      <sheetName val="Curva S Banquetas "/>
      <sheetName val="CSL-091500-400-SC-MT-01"/>
      <sheetName val="Datos"/>
      <sheetName val="WEEKBASE"/>
      <sheetName val="3Week Sch. (1)"/>
      <sheetName val="ENTREG_NORTE1"/>
      <sheetName val="Staff_(6)1"/>
      <sheetName val="Equip-a_(7)1"/>
      <sheetName val="PGR-4_SEMANAS1"/>
      <sheetName val="Curva_S_DAMRAISE-Central"/>
      <sheetName val="Curva_S_DAMRAISE"/>
      <sheetName val="Curva_S_Banquetas_"/>
      <sheetName val="3Week_Sch__(1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2</v>
          </cell>
          <cell r="B2" t="str">
            <v>MO</v>
          </cell>
          <cell r="C2" t="str">
            <v>MON</v>
          </cell>
          <cell r="J2">
            <v>38353</v>
          </cell>
          <cell r="K2" t="str">
            <v>SA</v>
          </cell>
        </row>
        <row r="3">
          <cell r="A3">
            <v>3</v>
          </cell>
          <cell r="B3" t="str">
            <v>TU</v>
          </cell>
          <cell r="C3" t="str">
            <v>TUE</v>
          </cell>
          <cell r="J3">
            <v>38435</v>
          </cell>
          <cell r="K3" t="str">
            <v>TH</v>
          </cell>
        </row>
        <row r="4">
          <cell r="A4">
            <v>4</v>
          </cell>
          <cell r="B4" t="str">
            <v>WE</v>
          </cell>
          <cell r="C4" t="str">
            <v>WED</v>
          </cell>
          <cell r="J4">
            <v>38436</v>
          </cell>
          <cell r="K4" t="str">
            <v>FR</v>
          </cell>
        </row>
        <row r="5">
          <cell r="A5">
            <v>5</v>
          </cell>
          <cell r="B5" t="str">
            <v>TH</v>
          </cell>
          <cell r="C5" t="str">
            <v>THU</v>
          </cell>
          <cell r="J5">
            <v>38532</v>
          </cell>
          <cell r="K5" t="str">
            <v>WE</v>
          </cell>
        </row>
        <row r="6">
          <cell r="A6">
            <v>6</v>
          </cell>
          <cell r="B6" t="str">
            <v>FR</v>
          </cell>
          <cell r="C6" t="str">
            <v>FRI</v>
          </cell>
          <cell r="J6">
            <v>38561</v>
          </cell>
          <cell r="K6" t="str">
            <v>TH</v>
          </cell>
        </row>
        <row r="7">
          <cell r="A7">
            <v>7</v>
          </cell>
          <cell r="B7" t="str">
            <v>SA</v>
          </cell>
          <cell r="C7" t="str">
            <v>SAT</v>
          </cell>
          <cell r="J7">
            <v>38562</v>
          </cell>
          <cell r="K7" t="str">
            <v>FR</v>
          </cell>
        </row>
        <row r="8">
          <cell r="A8">
            <v>1</v>
          </cell>
          <cell r="B8" t="str">
            <v>SU</v>
          </cell>
          <cell r="C8" t="str">
            <v>SUN</v>
          </cell>
          <cell r="J8">
            <v>38594</v>
          </cell>
          <cell r="K8" t="str">
            <v>TU</v>
          </cell>
        </row>
        <row r="9">
          <cell r="J9">
            <v>38633</v>
          </cell>
          <cell r="K9" t="str">
            <v>SA</v>
          </cell>
        </row>
        <row r="10">
          <cell r="J10">
            <v>38657</v>
          </cell>
          <cell r="K10" t="str">
            <v>TU</v>
          </cell>
        </row>
        <row r="11">
          <cell r="J11">
            <v>38694</v>
          </cell>
          <cell r="K11" t="str">
            <v>TH</v>
          </cell>
        </row>
        <row r="12">
          <cell r="J12">
            <v>38718</v>
          </cell>
          <cell r="K12" t="str">
            <v>SU</v>
          </cell>
        </row>
        <row r="13">
          <cell r="J13">
            <v>38799</v>
          </cell>
          <cell r="K13" t="str">
            <v>TH</v>
          </cell>
        </row>
        <row r="14">
          <cell r="J14">
            <v>38800</v>
          </cell>
          <cell r="K14" t="str">
            <v>FR</v>
          </cell>
        </row>
        <row r="15">
          <cell r="J15">
            <v>38897</v>
          </cell>
          <cell r="K15" t="str">
            <v>TH</v>
          </cell>
        </row>
        <row r="16">
          <cell r="J16">
            <v>38959</v>
          </cell>
          <cell r="K16" t="str">
            <v>WE</v>
          </cell>
        </row>
        <row r="17">
          <cell r="J17">
            <v>38998</v>
          </cell>
          <cell r="K17" t="str">
            <v>SU</v>
          </cell>
        </row>
        <row r="18">
          <cell r="J18">
            <v>39022</v>
          </cell>
          <cell r="K18" t="str">
            <v>WE</v>
          </cell>
        </row>
        <row r="19">
          <cell r="J19">
            <v>39059</v>
          </cell>
          <cell r="K19" t="str">
            <v>FR</v>
          </cell>
        </row>
        <row r="20">
          <cell r="J20">
            <v>38354</v>
          </cell>
          <cell r="K20" t="str">
            <v>SU</v>
          </cell>
        </row>
        <row r="21">
          <cell r="J21">
            <v>38361</v>
          </cell>
          <cell r="K21" t="str">
            <v>SU</v>
          </cell>
        </row>
        <row r="22">
          <cell r="J22">
            <v>38368</v>
          </cell>
          <cell r="K22" t="str">
            <v>SU</v>
          </cell>
        </row>
        <row r="23">
          <cell r="J23">
            <v>38375</v>
          </cell>
          <cell r="K23" t="str">
            <v>SU</v>
          </cell>
        </row>
        <row r="24">
          <cell r="J24">
            <v>38382</v>
          </cell>
          <cell r="K24" t="str">
            <v>SU</v>
          </cell>
        </row>
        <row r="25">
          <cell r="J25">
            <v>38389</v>
          </cell>
          <cell r="K25" t="str">
            <v>SU</v>
          </cell>
        </row>
        <row r="26">
          <cell r="J26">
            <v>38396</v>
          </cell>
          <cell r="K26" t="str">
            <v>SU</v>
          </cell>
        </row>
        <row r="27">
          <cell r="J27">
            <v>38403</v>
          </cell>
          <cell r="K27" t="str">
            <v>SU</v>
          </cell>
        </row>
        <row r="28">
          <cell r="J28">
            <v>38410</v>
          </cell>
          <cell r="K28" t="str">
            <v>SU</v>
          </cell>
        </row>
        <row r="29">
          <cell r="J29">
            <v>38417</v>
          </cell>
          <cell r="K29" t="str">
            <v>SU</v>
          </cell>
        </row>
        <row r="30">
          <cell r="J30">
            <v>38424</v>
          </cell>
          <cell r="K30" t="str">
            <v>SU</v>
          </cell>
        </row>
        <row r="31">
          <cell r="J31">
            <v>38431</v>
          </cell>
          <cell r="K31" t="str">
            <v>SU</v>
          </cell>
        </row>
        <row r="32">
          <cell r="J32">
            <v>38438</v>
          </cell>
          <cell r="K32" t="str">
            <v>SU</v>
          </cell>
        </row>
        <row r="33">
          <cell r="J33">
            <v>38445</v>
          </cell>
          <cell r="K33" t="str">
            <v>SU</v>
          </cell>
        </row>
        <row r="34">
          <cell r="J34">
            <v>38452</v>
          </cell>
          <cell r="K34" t="str">
            <v>SU</v>
          </cell>
        </row>
        <row r="35">
          <cell r="J35">
            <v>38459</v>
          </cell>
          <cell r="K35" t="str">
            <v>SU</v>
          </cell>
        </row>
        <row r="36">
          <cell r="J36">
            <v>38466</v>
          </cell>
          <cell r="K36" t="str">
            <v>SU</v>
          </cell>
        </row>
        <row r="37">
          <cell r="J37">
            <v>38473</v>
          </cell>
          <cell r="K37" t="str">
            <v>SU</v>
          </cell>
        </row>
        <row r="38">
          <cell r="J38">
            <v>38480</v>
          </cell>
          <cell r="K38" t="str">
            <v>SU</v>
          </cell>
        </row>
        <row r="39">
          <cell r="J39">
            <v>38487</v>
          </cell>
          <cell r="K39" t="str">
            <v>SU</v>
          </cell>
        </row>
        <row r="40">
          <cell r="J40">
            <v>38494</v>
          </cell>
          <cell r="K40" t="str">
            <v>SU</v>
          </cell>
        </row>
        <row r="41">
          <cell r="J41">
            <v>38501</v>
          </cell>
          <cell r="K41" t="str">
            <v>SU</v>
          </cell>
        </row>
        <row r="42">
          <cell r="J42">
            <v>38508</v>
          </cell>
          <cell r="K42" t="str">
            <v>SU</v>
          </cell>
        </row>
        <row r="43">
          <cell r="J43">
            <v>38515</v>
          </cell>
          <cell r="K43" t="str">
            <v>SU</v>
          </cell>
        </row>
        <row r="44">
          <cell r="J44">
            <v>38522</v>
          </cell>
          <cell r="K44" t="str">
            <v>SU</v>
          </cell>
        </row>
        <row r="45">
          <cell r="J45">
            <v>38529</v>
          </cell>
          <cell r="K45" t="str">
            <v>SU</v>
          </cell>
        </row>
        <row r="46">
          <cell r="J46">
            <v>38536</v>
          </cell>
          <cell r="K46" t="str">
            <v>SU</v>
          </cell>
        </row>
        <row r="47">
          <cell r="J47">
            <v>38543</v>
          </cell>
          <cell r="K47" t="str">
            <v>SU</v>
          </cell>
        </row>
        <row r="48">
          <cell r="J48">
            <v>38550</v>
          </cell>
          <cell r="K48" t="str">
            <v>SU</v>
          </cell>
        </row>
        <row r="49">
          <cell r="J49">
            <v>38557</v>
          </cell>
          <cell r="K49" t="str">
            <v>SU</v>
          </cell>
        </row>
        <row r="50">
          <cell r="J50">
            <v>38564</v>
          </cell>
          <cell r="K50" t="str">
            <v>SU</v>
          </cell>
        </row>
        <row r="51">
          <cell r="J51">
            <v>38571</v>
          </cell>
          <cell r="K51" t="str">
            <v>SU</v>
          </cell>
        </row>
        <row r="52">
          <cell r="J52">
            <v>38578</v>
          </cell>
          <cell r="K52" t="str">
            <v>SU</v>
          </cell>
        </row>
        <row r="53">
          <cell r="J53">
            <v>38585</v>
          </cell>
          <cell r="K53" t="str">
            <v>SU</v>
          </cell>
        </row>
        <row r="54">
          <cell r="J54">
            <v>38592</v>
          </cell>
          <cell r="K54" t="str">
            <v>SU</v>
          </cell>
        </row>
        <row r="55">
          <cell r="J55">
            <v>38599</v>
          </cell>
          <cell r="K55" t="str">
            <v>SU</v>
          </cell>
        </row>
        <row r="56">
          <cell r="J56">
            <v>38606</v>
          </cell>
          <cell r="K56" t="str">
            <v>SU</v>
          </cell>
        </row>
        <row r="57">
          <cell r="J57">
            <v>38613</v>
          </cell>
          <cell r="K57" t="str">
            <v>SU</v>
          </cell>
        </row>
        <row r="58">
          <cell r="J58">
            <v>38620</v>
          </cell>
          <cell r="K58" t="str">
            <v>SU</v>
          </cell>
        </row>
        <row r="59">
          <cell r="J59">
            <v>38627</v>
          </cell>
          <cell r="K59" t="str">
            <v>SU</v>
          </cell>
        </row>
        <row r="60">
          <cell r="J60">
            <v>38634</v>
          </cell>
          <cell r="K60" t="str">
            <v>SU</v>
          </cell>
        </row>
        <row r="61">
          <cell r="J61">
            <v>38641</v>
          </cell>
          <cell r="K61" t="str">
            <v>SU</v>
          </cell>
        </row>
        <row r="62">
          <cell r="J62">
            <v>38648</v>
          </cell>
          <cell r="K62" t="str">
            <v>SU</v>
          </cell>
        </row>
        <row r="63">
          <cell r="J63">
            <v>38655</v>
          </cell>
          <cell r="K63" t="str">
            <v>SU</v>
          </cell>
        </row>
        <row r="64">
          <cell r="J64">
            <v>38662</v>
          </cell>
          <cell r="K64" t="str">
            <v>SU</v>
          </cell>
        </row>
        <row r="65">
          <cell r="J65">
            <v>38669</v>
          </cell>
          <cell r="K65" t="str">
            <v>SU</v>
          </cell>
        </row>
        <row r="66">
          <cell r="J66">
            <v>38676</v>
          </cell>
          <cell r="K66" t="str">
            <v>SU</v>
          </cell>
        </row>
        <row r="67">
          <cell r="J67">
            <v>38683</v>
          </cell>
          <cell r="K67" t="str">
            <v>SU</v>
          </cell>
        </row>
        <row r="68">
          <cell r="J68">
            <v>38690</v>
          </cell>
          <cell r="K68" t="str">
            <v>SU</v>
          </cell>
        </row>
        <row r="69">
          <cell r="J69">
            <v>38697</v>
          </cell>
          <cell r="K69" t="str">
            <v>SU</v>
          </cell>
        </row>
        <row r="70">
          <cell r="J70">
            <v>38704</v>
          </cell>
          <cell r="K70" t="str">
            <v>SU</v>
          </cell>
        </row>
        <row r="71">
          <cell r="J71">
            <v>38711</v>
          </cell>
          <cell r="K71" t="str">
            <v>SU</v>
          </cell>
        </row>
        <row r="72">
          <cell r="J72">
            <v>38718</v>
          </cell>
          <cell r="K72" t="str">
            <v>SU</v>
          </cell>
        </row>
        <row r="73">
          <cell r="J73">
            <v>38725</v>
          </cell>
          <cell r="K73" t="str">
            <v>SU</v>
          </cell>
        </row>
        <row r="74">
          <cell r="J74">
            <v>38732</v>
          </cell>
          <cell r="K74" t="str">
            <v>SU</v>
          </cell>
        </row>
        <row r="75">
          <cell r="J75">
            <v>38739</v>
          </cell>
          <cell r="K75" t="str">
            <v>SU</v>
          </cell>
        </row>
        <row r="76">
          <cell r="J76">
            <v>38746</v>
          </cell>
          <cell r="K76" t="str">
            <v>SU</v>
          </cell>
        </row>
        <row r="77">
          <cell r="J77">
            <v>38753</v>
          </cell>
          <cell r="K77" t="str">
            <v>SU</v>
          </cell>
        </row>
        <row r="78">
          <cell r="J78">
            <v>38760</v>
          </cell>
          <cell r="K78" t="str">
            <v>SU</v>
          </cell>
        </row>
        <row r="79">
          <cell r="J79">
            <v>38767</v>
          </cell>
          <cell r="K79" t="str">
            <v>SU</v>
          </cell>
        </row>
        <row r="80">
          <cell r="J80">
            <v>38774</v>
          </cell>
          <cell r="K80" t="str">
            <v>SU</v>
          </cell>
        </row>
        <row r="81">
          <cell r="J81">
            <v>38781</v>
          </cell>
          <cell r="K81" t="str">
            <v>SU</v>
          </cell>
        </row>
        <row r="82">
          <cell r="J82">
            <v>38788</v>
          </cell>
          <cell r="K82" t="str">
            <v>SU</v>
          </cell>
        </row>
        <row r="83">
          <cell r="J83">
            <v>38795</v>
          </cell>
          <cell r="K83" t="str">
            <v>SU</v>
          </cell>
        </row>
        <row r="84">
          <cell r="J84">
            <v>38802</v>
          </cell>
          <cell r="K84" t="str">
            <v>SU</v>
          </cell>
        </row>
        <row r="85">
          <cell r="J85">
            <v>38809</v>
          </cell>
          <cell r="K85" t="str">
            <v>SU</v>
          </cell>
        </row>
        <row r="86">
          <cell r="J86">
            <v>38816</v>
          </cell>
          <cell r="K86" t="str">
            <v>SU</v>
          </cell>
        </row>
        <row r="87">
          <cell r="J87">
            <v>38823</v>
          </cell>
          <cell r="K87" t="str">
            <v>SU</v>
          </cell>
        </row>
        <row r="88">
          <cell r="J88">
            <v>38830</v>
          </cell>
          <cell r="K88" t="str">
            <v>SU</v>
          </cell>
        </row>
        <row r="89">
          <cell r="J89">
            <v>38837</v>
          </cell>
          <cell r="K89" t="str">
            <v>SU</v>
          </cell>
        </row>
        <row r="90">
          <cell r="J90">
            <v>38844</v>
          </cell>
          <cell r="K90" t="str">
            <v>SU</v>
          </cell>
        </row>
        <row r="91">
          <cell r="J91">
            <v>38851</v>
          </cell>
          <cell r="K91" t="str">
            <v>SU</v>
          </cell>
        </row>
        <row r="92">
          <cell r="J92">
            <v>38858</v>
          </cell>
          <cell r="K92" t="str">
            <v>SU</v>
          </cell>
        </row>
        <row r="93">
          <cell r="J93">
            <v>38865</v>
          </cell>
          <cell r="K93" t="str">
            <v>SU</v>
          </cell>
        </row>
        <row r="94">
          <cell r="J94">
            <v>38872</v>
          </cell>
          <cell r="K94" t="str">
            <v>SU</v>
          </cell>
        </row>
        <row r="95">
          <cell r="J95">
            <v>38879</v>
          </cell>
          <cell r="K95" t="str">
            <v>SU</v>
          </cell>
        </row>
        <row r="96">
          <cell r="J96">
            <v>38886</v>
          </cell>
          <cell r="K96" t="str">
            <v>SU</v>
          </cell>
        </row>
        <row r="97">
          <cell r="J97">
            <v>38893</v>
          </cell>
          <cell r="K97" t="str">
            <v>SU</v>
          </cell>
        </row>
        <row r="98">
          <cell r="J98">
            <v>38900</v>
          </cell>
          <cell r="K98" t="str">
            <v>SU</v>
          </cell>
        </row>
        <row r="99">
          <cell r="J99">
            <v>38907</v>
          </cell>
          <cell r="K99" t="str">
            <v>SU</v>
          </cell>
        </row>
        <row r="100">
          <cell r="J100">
            <v>38914</v>
          </cell>
          <cell r="K100" t="str">
            <v>SU</v>
          </cell>
        </row>
        <row r="101">
          <cell r="J101">
            <v>38921</v>
          </cell>
          <cell r="K101" t="str">
            <v>SU</v>
          </cell>
        </row>
        <row r="102">
          <cell r="J102">
            <v>38928</v>
          </cell>
          <cell r="K102" t="str">
            <v>SU</v>
          </cell>
        </row>
        <row r="103">
          <cell r="J103">
            <v>38935</v>
          </cell>
          <cell r="K103" t="str">
            <v>SU</v>
          </cell>
        </row>
        <row r="104">
          <cell r="J104">
            <v>38942</v>
          </cell>
          <cell r="K104" t="str">
            <v>SU</v>
          </cell>
        </row>
        <row r="105">
          <cell r="J105">
            <v>38949</v>
          </cell>
          <cell r="K105" t="str">
            <v>SU</v>
          </cell>
        </row>
        <row r="106">
          <cell r="J106">
            <v>38956</v>
          </cell>
          <cell r="K106" t="str">
            <v>SU</v>
          </cell>
        </row>
        <row r="107">
          <cell r="J107">
            <v>38963</v>
          </cell>
          <cell r="K107" t="str">
            <v>SU</v>
          </cell>
        </row>
        <row r="108">
          <cell r="J108">
            <v>38970</v>
          </cell>
          <cell r="K108" t="str">
            <v>SU</v>
          </cell>
        </row>
        <row r="109">
          <cell r="J109">
            <v>38977</v>
          </cell>
          <cell r="K109" t="str">
            <v>SU</v>
          </cell>
        </row>
        <row r="110">
          <cell r="J110">
            <v>38984</v>
          </cell>
          <cell r="K110" t="str">
            <v>SU</v>
          </cell>
        </row>
        <row r="111">
          <cell r="J111">
            <v>38991</v>
          </cell>
          <cell r="K111" t="str">
            <v>SU</v>
          </cell>
        </row>
        <row r="112">
          <cell r="J112">
            <v>38998</v>
          </cell>
          <cell r="K112" t="str">
            <v>SU</v>
          </cell>
        </row>
        <row r="113">
          <cell r="J113">
            <v>39005</v>
          </cell>
          <cell r="K113" t="str">
            <v>SU</v>
          </cell>
        </row>
        <row r="114">
          <cell r="J114">
            <v>39012</v>
          </cell>
          <cell r="K114" t="str">
            <v>SU</v>
          </cell>
        </row>
        <row r="115">
          <cell r="J115">
            <v>39019</v>
          </cell>
          <cell r="K115" t="str">
            <v>SU</v>
          </cell>
        </row>
        <row r="116">
          <cell r="J116">
            <v>39026</v>
          </cell>
          <cell r="K116" t="str">
            <v>SU</v>
          </cell>
        </row>
        <row r="117">
          <cell r="J117">
            <v>39033</v>
          </cell>
          <cell r="K117" t="str">
            <v>SU</v>
          </cell>
        </row>
        <row r="118">
          <cell r="J118">
            <v>39040</v>
          </cell>
          <cell r="K118" t="str">
            <v>SU</v>
          </cell>
        </row>
        <row r="119">
          <cell r="J119">
            <v>39047</v>
          </cell>
          <cell r="K119" t="str">
            <v>SU</v>
          </cell>
        </row>
        <row r="120">
          <cell r="J120">
            <v>39054</v>
          </cell>
          <cell r="K120" t="str">
            <v>SU</v>
          </cell>
        </row>
        <row r="121">
          <cell r="J121">
            <v>39061</v>
          </cell>
          <cell r="K121" t="str">
            <v>SU</v>
          </cell>
        </row>
        <row r="122">
          <cell r="J122">
            <v>39068</v>
          </cell>
          <cell r="K122" t="str">
            <v>SU</v>
          </cell>
        </row>
        <row r="123">
          <cell r="J123">
            <v>39075</v>
          </cell>
          <cell r="K123" t="str">
            <v>SU</v>
          </cell>
        </row>
        <row r="124">
          <cell r="J124">
            <v>39082</v>
          </cell>
          <cell r="K124" t="str">
            <v>SU</v>
          </cell>
        </row>
        <row r="125">
          <cell r="J125">
            <v>39089</v>
          </cell>
          <cell r="K125" t="str">
            <v>SU</v>
          </cell>
        </row>
        <row r="126">
          <cell r="J126">
            <v>39096</v>
          </cell>
          <cell r="K126" t="str">
            <v>SU</v>
          </cell>
        </row>
        <row r="127">
          <cell r="J127">
            <v>39103</v>
          </cell>
          <cell r="K127" t="str">
            <v>SU</v>
          </cell>
        </row>
        <row r="128">
          <cell r="J128">
            <v>39110</v>
          </cell>
          <cell r="K128" t="str">
            <v>SU</v>
          </cell>
        </row>
        <row r="129">
          <cell r="J129">
            <v>39117</v>
          </cell>
          <cell r="K129" t="str">
            <v>SU</v>
          </cell>
        </row>
        <row r="130">
          <cell r="J130">
            <v>39124</v>
          </cell>
          <cell r="K130" t="str">
            <v>SU</v>
          </cell>
        </row>
        <row r="131">
          <cell r="J131">
            <v>39131</v>
          </cell>
          <cell r="K131" t="str">
            <v>SU</v>
          </cell>
        </row>
        <row r="132">
          <cell r="J132">
            <v>39138</v>
          </cell>
          <cell r="K132" t="str">
            <v>SU</v>
          </cell>
        </row>
        <row r="133">
          <cell r="J133">
            <v>39145</v>
          </cell>
          <cell r="K133" t="str">
            <v>SU</v>
          </cell>
        </row>
        <row r="134">
          <cell r="J134">
            <v>39152</v>
          </cell>
          <cell r="K134" t="str">
            <v>SU</v>
          </cell>
        </row>
        <row r="135">
          <cell r="J135">
            <v>39159</v>
          </cell>
          <cell r="K135" t="str">
            <v>SU</v>
          </cell>
        </row>
        <row r="136">
          <cell r="J136">
            <v>39166</v>
          </cell>
          <cell r="K136" t="str">
            <v>SU</v>
          </cell>
        </row>
        <row r="137">
          <cell r="J137">
            <v>39173</v>
          </cell>
          <cell r="K137" t="str">
            <v>SU</v>
          </cell>
        </row>
        <row r="138">
          <cell r="J138">
            <v>39180</v>
          </cell>
          <cell r="K138" t="str">
            <v>SU</v>
          </cell>
        </row>
        <row r="139">
          <cell r="J139">
            <v>39187</v>
          </cell>
          <cell r="K139" t="str">
            <v>SU</v>
          </cell>
        </row>
        <row r="140">
          <cell r="J140">
            <v>39194</v>
          </cell>
          <cell r="K140" t="str">
            <v>SU</v>
          </cell>
        </row>
        <row r="141">
          <cell r="J141">
            <v>39201</v>
          </cell>
          <cell r="K141" t="str">
            <v>SU</v>
          </cell>
        </row>
        <row r="142">
          <cell r="J142">
            <v>39208</v>
          </cell>
          <cell r="K142" t="str">
            <v>SU</v>
          </cell>
        </row>
        <row r="143">
          <cell r="J143">
            <v>39215</v>
          </cell>
          <cell r="K143" t="str">
            <v>SU</v>
          </cell>
        </row>
        <row r="144">
          <cell r="J144">
            <v>39222</v>
          </cell>
          <cell r="K144" t="str">
            <v>SU</v>
          </cell>
        </row>
        <row r="145">
          <cell r="J145">
            <v>39229</v>
          </cell>
          <cell r="K145" t="str">
            <v>SU</v>
          </cell>
        </row>
        <row r="146">
          <cell r="J146">
            <v>39236</v>
          </cell>
          <cell r="K146" t="str">
            <v>SU</v>
          </cell>
        </row>
        <row r="147">
          <cell r="J147">
            <v>39243</v>
          </cell>
          <cell r="K147" t="str">
            <v>SU</v>
          </cell>
        </row>
        <row r="148">
          <cell r="J148">
            <v>39250</v>
          </cell>
          <cell r="K148" t="str">
            <v>SU</v>
          </cell>
        </row>
        <row r="149">
          <cell r="J149">
            <v>39257</v>
          </cell>
          <cell r="K149" t="str">
            <v>SU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."/>
      <sheetName val="Simp."/>
      <sheetName val="Zap."/>
      <sheetName val="Cist."/>
      <sheetName val="Cont."/>
      <sheetName val="Sub.est"/>
      <sheetName val="Col."/>
      <sheetName val="Plac."/>
      <sheetName val="Vig."/>
      <sheetName val="Alig."/>
      <sheetName val="Jard."/>
      <sheetName val="Esc."/>
      <sheetName val="Mac."/>
      <sheetName val="met."/>
      <sheetName val="Sant."/>
      <sheetName val="Elect."/>
      <sheetName val="Gener."/>
      <sheetName val="Electrico"/>
      <sheetName val="Sanitario"/>
      <sheetName val="Insumos"/>
      <sheetName val="Est"/>
      <sheetName val="Analisis Arq."/>
      <sheetName val="Analisis Estruc."/>
      <sheetName val="Resum-Gener."/>
      <sheetName val="Presupue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6">
          <cell r="A6" t="str">
            <v>ACERO CORRUGADO PROMEDIO</v>
          </cell>
          <cell r="B6" t="str">
            <v>KG.</v>
          </cell>
          <cell r="C6">
            <v>2.5704000000000002</v>
          </cell>
        </row>
        <row r="7">
          <cell r="A7" t="str">
            <v>AGUA</v>
          </cell>
          <cell r="B7" t="str">
            <v>M3</v>
          </cell>
          <cell r="C7">
            <v>9</v>
          </cell>
        </row>
        <row r="8">
          <cell r="A8" t="str">
            <v>ALAMBRE NEGRO RECOCIDO # 16</v>
          </cell>
          <cell r="B8" t="str">
            <v>KG</v>
          </cell>
          <cell r="C8">
            <v>2.6774999999999998</v>
          </cell>
        </row>
        <row r="9">
          <cell r="A9" t="str">
            <v>ALAMBRE NEGRO RECOCIDO # 8</v>
          </cell>
          <cell r="B9" t="str">
            <v>KG</v>
          </cell>
          <cell r="C9">
            <v>2.25</v>
          </cell>
        </row>
        <row r="10">
          <cell r="A10" t="str">
            <v>ARENA FINA</v>
          </cell>
          <cell r="B10" t="str">
            <v>M3</v>
          </cell>
          <cell r="C10">
            <v>22.61</v>
          </cell>
        </row>
        <row r="11">
          <cell r="A11" t="str">
            <v>ARENA GRUESA</v>
          </cell>
          <cell r="B11" t="str">
            <v>M3</v>
          </cell>
          <cell r="C11">
            <v>18</v>
          </cell>
        </row>
        <row r="12">
          <cell r="A12" t="str">
            <v>AFIRMADO</v>
          </cell>
          <cell r="B12" t="str">
            <v>M3</v>
          </cell>
          <cell r="C12">
            <v>45</v>
          </cell>
        </row>
        <row r="13">
          <cell r="A13" t="str">
            <v>CAL DE OBRA 20 KG.</v>
          </cell>
          <cell r="B13" t="str">
            <v>BLS</v>
          </cell>
          <cell r="C13">
            <v>10</v>
          </cell>
        </row>
        <row r="14">
          <cell r="A14" t="str">
            <v>CAL HIDRATADA DE 30 KG.</v>
          </cell>
          <cell r="B14" t="str">
            <v>BLS</v>
          </cell>
          <cell r="C14">
            <v>17</v>
          </cell>
        </row>
        <row r="15">
          <cell r="A15" t="str">
            <v>CEMENTO PORTLAND TIPO I</v>
          </cell>
          <cell r="B15" t="str">
            <v>BLS</v>
          </cell>
          <cell r="C15">
            <v>17.5</v>
          </cell>
        </row>
        <row r="16">
          <cell r="A16" t="str">
            <v>CLAVOS PARA MADERA</v>
          </cell>
          <cell r="B16" t="str">
            <v>KG</v>
          </cell>
          <cell r="C16">
            <v>3.62</v>
          </cell>
        </row>
        <row r="17">
          <cell r="A17" t="str">
            <v>CONCRETO PRE-MEZCLADO 210 KG/CM2</v>
          </cell>
          <cell r="B17" t="str">
            <v>M3</v>
          </cell>
          <cell r="C17">
            <v>199</v>
          </cell>
        </row>
        <row r="18">
          <cell r="A18" t="str">
            <v>CONCRETO PRE-MEZCLADO 140 KG/CM3</v>
          </cell>
          <cell r="B18" t="str">
            <v>M3</v>
          </cell>
          <cell r="C18">
            <v>186</v>
          </cell>
        </row>
        <row r="19">
          <cell r="A19" t="str">
            <v>CONCRETO PRE-MEZCLADO 175 KG/CM2 CON IGV</v>
          </cell>
          <cell r="B19" t="str">
            <v>M3</v>
          </cell>
          <cell r="C19">
            <v>195.5</v>
          </cell>
        </row>
        <row r="20">
          <cell r="A20" t="str">
            <v>DESMOLDANTE PARA ENCOFRADO 15 KG.</v>
          </cell>
          <cell r="B20" t="str">
            <v>UND</v>
          </cell>
          <cell r="C20">
            <v>236.5</v>
          </cell>
        </row>
        <row r="21">
          <cell r="A21" t="str">
            <v xml:space="preserve">GASOLINA DE 84 OCTANOS </v>
          </cell>
          <cell r="B21" t="str">
            <v>GLN</v>
          </cell>
          <cell r="C21">
            <v>10</v>
          </cell>
        </row>
        <row r="22">
          <cell r="A22" t="str">
            <v>HORMIGON</v>
          </cell>
          <cell r="B22" t="str">
            <v>M3</v>
          </cell>
          <cell r="C22">
            <v>20</v>
          </cell>
        </row>
        <row r="23">
          <cell r="A23" t="str">
            <v xml:space="preserve">IMPERMEAB. PARA MORTERO </v>
          </cell>
          <cell r="B23" t="str">
            <v>KG</v>
          </cell>
          <cell r="C23">
            <v>10.5</v>
          </cell>
        </row>
        <row r="24">
          <cell r="A24" t="str">
            <v>LADRILLO DE ARCILLA K.K. 18 HUECOS</v>
          </cell>
          <cell r="B24" t="str">
            <v>MLL</v>
          </cell>
          <cell r="C24">
            <v>280</v>
          </cell>
        </row>
        <row r="25">
          <cell r="A25" t="str">
            <v>LADRILLO DE TECHO 30x30x30</v>
          </cell>
          <cell r="B25" t="str">
            <v>MLL</v>
          </cell>
          <cell r="C25">
            <v>1100</v>
          </cell>
        </row>
        <row r="26">
          <cell r="A26" t="str">
            <v>LADRILLO PASTELERO ARCILLA 25X25</v>
          </cell>
          <cell r="B26" t="str">
            <v>MLL</v>
          </cell>
          <cell r="C26">
            <v>450</v>
          </cell>
        </row>
        <row r="27">
          <cell r="A27" t="str">
            <v>MADERA TORNILLO</v>
          </cell>
          <cell r="B27" t="str">
            <v>P2</v>
          </cell>
          <cell r="C27">
            <v>2.65</v>
          </cell>
        </row>
        <row r="28">
          <cell r="A28" t="str">
            <v>PIEDRA CHANCADA 1/2"</v>
          </cell>
          <cell r="B28" t="str">
            <v>M3</v>
          </cell>
          <cell r="C28">
            <v>50</v>
          </cell>
        </row>
        <row r="29">
          <cell r="A29" t="str">
            <v>PIEDRA GRANDE # 6</v>
          </cell>
          <cell r="B29" t="str">
            <v>M3</v>
          </cell>
          <cell r="C29">
            <v>18</v>
          </cell>
        </row>
        <row r="30">
          <cell r="A30" t="str">
            <v>REGLA DE MADERA</v>
          </cell>
          <cell r="B30" t="str">
            <v>PZA</v>
          </cell>
          <cell r="C30">
            <v>6.51</v>
          </cell>
        </row>
        <row r="31">
          <cell r="A31" t="str">
            <v>SERVICIO DE BOMBA</v>
          </cell>
          <cell r="B31" t="str">
            <v>M3</v>
          </cell>
          <cell r="C31">
            <v>27</v>
          </cell>
        </row>
        <row r="32">
          <cell r="A32" t="str">
            <v>TIERRA DE CHACRA</v>
          </cell>
          <cell r="B32" t="str">
            <v>M3</v>
          </cell>
          <cell r="C32">
            <v>31.6</v>
          </cell>
        </row>
        <row r="33">
          <cell r="A33" t="str">
            <v>TRIPLAY DE 4X8X19MM</v>
          </cell>
          <cell r="B33" t="str">
            <v>PLN</v>
          </cell>
          <cell r="C33">
            <v>79.73</v>
          </cell>
        </row>
        <row r="34">
          <cell r="A34" t="str">
            <v>VIGUETA V-101</v>
          </cell>
          <cell r="B34" t="str">
            <v>ML</v>
          </cell>
          <cell r="C34">
            <v>9.65</v>
          </cell>
        </row>
        <row r="35">
          <cell r="A35" t="str">
            <v>VIGUETA V-102</v>
          </cell>
          <cell r="B35" t="str">
            <v>ML</v>
          </cell>
          <cell r="C35">
            <v>10.98</v>
          </cell>
        </row>
        <row r="36">
          <cell r="A36" t="str">
            <v>VIGUETA V-103</v>
          </cell>
          <cell r="B36" t="str">
            <v>ML</v>
          </cell>
          <cell r="C36">
            <v>12.08</v>
          </cell>
        </row>
        <row r="37">
          <cell r="A37" t="str">
            <v>VIGUETA V-104</v>
          </cell>
          <cell r="B37" t="str">
            <v>ML</v>
          </cell>
          <cell r="C37">
            <v>12.49</v>
          </cell>
        </row>
        <row r="38">
          <cell r="A38" t="str">
            <v>CORDEL (ROLLO DE 50 M)</v>
          </cell>
          <cell r="B38" t="str">
            <v>PZA</v>
          </cell>
          <cell r="C38">
            <v>1</v>
          </cell>
        </row>
        <row r="39">
          <cell r="A39" t="str">
            <v>WINCHA DE 30 ML.</v>
          </cell>
          <cell r="B39" t="str">
            <v>PZA</v>
          </cell>
          <cell r="C39">
            <v>1</v>
          </cell>
        </row>
        <row r="40">
          <cell r="A40" t="str">
            <v>PINTURA ESMALTE</v>
          </cell>
          <cell r="B40" t="str">
            <v>GLN</v>
          </cell>
          <cell r="C40">
            <v>1</v>
          </cell>
        </row>
        <row r="41">
          <cell r="A41" t="str">
            <v>TIERRA DE CHACRA</v>
          </cell>
          <cell r="B41" t="str">
            <v>M3</v>
          </cell>
          <cell r="C41">
            <v>31.6</v>
          </cell>
        </row>
        <row r="42">
          <cell r="A42" t="str">
            <v>TRIPLAY DE 4X8X19MM  ( hasta 12 usos )</v>
          </cell>
          <cell r="B42" t="str">
            <v>PLN</v>
          </cell>
          <cell r="C42">
            <v>94.878699999999995</v>
          </cell>
        </row>
        <row r="43">
          <cell r="A43" t="str">
            <v>CERAMICO : MATERIAL POR DEFINIR</v>
          </cell>
          <cell r="B43" t="str">
            <v>M2</v>
          </cell>
          <cell r="C43">
            <v>25</v>
          </cell>
        </row>
        <row r="44">
          <cell r="A44" t="str">
            <v>CAPATAZ</v>
          </cell>
          <cell r="B44">
            <v>480</v>
          </cell>
          <cell r="C44">
            <v>10</v>
          </cell>
        </row>
        <row r="45">
          <cell r="A45" t="str">
            <v>OPERARIO</v>
          </cell>
          <cell r="B45">
            <v>380</v>
          </cell>
          <cell r="C45">
            <v>7.916666666666667</v>
          </cell>
        </row>
        <row r="46">
          <cell r="A46" t="str">
            <v>OFICIAL</v>
          </cell>
          <cell r="B46">
            <v>330</v>
          </cell>
          <cell r="C46">
            <v>6.875</v>
          </cell>
        </row>
        <row r="47">
          <cell r="A47" t="str">
            <v>PEON</v>
          </cell>
          <cell r="B47">
            <v>280</v>
          </cell>
          <cell r="C47">
            <v>5.833333333333333</v>
          </cell>
        </row>
        <row r="48">
          <cell r="A48" t="str">
            <v>OPERADOR DE EQUIPO</v>
          </cell>
          <cell r="B48">
            <v>380</v>
          </cell>
          <cell r="C48">
            <v>7.916666666666667</v>
          </cell>
        </row>
        <row r="49">
          <cell r="A49" t="str">
            <v>TOPOGRAFO</v>
          </cell>
          <cell r="B49" t="str">
            <v>HH</v>
          </cell>
          <cell r="C49">
            <v>10</v>
          </cell>
        </row>
        <row r="50">
          <cell r="A50" t="str">
            <v>CORDON DE ESPUMA</v>
          </cell>
          <cell r="B50" t="str">
            <v>ML</v>
          </cell>
          <cell r="C50">
            <v>0.55000000000000004</v>
          </cell>
        </row>
        <row r="52">
          <cell r="C52" t="str">
            <v xml:space="preserve">sin beneficios </v>
          </cell>
        </row>
        <row r="53">
          <cell r="A53" t="str">
            <v>CAMION VOLQUETE</v>
          </cell>
          <cell r="B53" t="str">
            <v>HM</v>
          </cell>
          <cell r="C53">
            <v>70</v>
          </cell>
        </row>
        <row r="54">
          <cell r="A54" t="str">
            <v>CARGADOR FRONTAL</v>
          </cell>
          <cell r="B54" t="str">
            <v>HM</v>
          </cell>
          <cell r="C54">
            <v>65</v>
          </cell>
        </row>
        <row r="55">
          <cell r="A55" t="str">
            <v>COMPACTADOR TIPO PLANCHA</v>
          </cell>
          <cell r="B55" t="str">
            <v>HM</v>
          </cell>
          <cell r="C55">
            <v>6.5</v>
          </cell>
        </row>
        <row r="56">
          <cell r="A56" t="str">
            <v>MEZCLADORA DE CONCRETO</v>
          </cell>
          <cell r="B56" t="str">
            <v>HM</v>
          </cell>
          <cell r="C56">
            <v>10</v>
          </cell>
        </row>
        <row r="57">
          <cell r="A57" t="str">
            <v>JALON</v>
          </cell>
          <cell r="B57" t="str">
            <v>HM</v>
          </cell>
          <cell r="C57">
            <v>50</v>
          </cell>
        </row>
        <row r="58">
          <cell r="A58" t="str">
            <v>MIRA TOPOGRAFICA</v>
          </cell>
          <cell r="B58" t="str">
            <v>HM</v>
          </cell>
          <cell r="C58">
            <v>20</v>
          </cell>
        </row>
        <row r="59">
          <cell r="A59" t="str">
            <v>TEODOLITO</v>
          </cell>
          <cell r="B59" t="str">
            <v>HM</v>
          </cell>
          <cell r="C59">
            <v>30</v>
          </cell>
        </row>
        <row r="60">
          <cell r="A60" t="str">
            <v xml:space="preserve">BLOQUE DE CONCRETO </v>
          </cell>
          <cell r="B60" t="str">
            <v>MLL</v>
          </cell>
          <cell r="C60">
            <v>1950</v>
          </cell>
        </row>
        <row r="61">
          <cell r="A61" t="str">
            <v>VIBRADOR DE CONCRETO</v>
          </cell>
          <cell r="B61" t="str">
            <v>HM</v>
          </cell>
          <cell r="C61">
            <v>6.5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Analisis Estruc."/>
      <sheetName val="Resumen"/>
    </sheetNames>
    <sheetDataSet>
      <sheetData sheetId="0">
        <row r="6">
          <cell r="A6" t="str">
            <v>ACERO CORRUGADO PROMEDIO</v>
          </cell>
          <cell r="B6" t="str">
            <v>KG.</v>
          </cell>
          <cell r="C6">
            <v>2.36</v>
          </cell>
        </row>
        <row r="7">
          <cell r="A7" t="str">
            <v>CLAVOS PARA MADERA</v>
          </cell>
          <cell r="B7" t="str">
            <v>KG.</v>
          </cell>
          <cell r="C7">
            <v>2.9</v>
          </cell>
        </row>
        <row r="8">
          <cell r="A8" t="str">
            <v>ALAMBRE NEGRO RECOCIDO # 16</v>
          </cell>
          <cell r="B8" t="str">
            <v>KG</v>
          </cell>
          <cell r="C8">
            <v>2.41</v>
          </cell>
        </row>
        <row r="9">
          <cell r="A9" t="str">
            <v>ALAMBRE NEGRO RECOCIDO # 8</v>
          </cell>
          <cell r="B9" t="str">
            <v>KG</v>
          </cell>
          <cell r="C9">
            <v>2.41</v>
          </cell>
        </row>
        <row r="10">
          <cell r="A10" t="str">
            <v>CONCRETO PRE-MEZCLADO 210 KG/CM2 INCL. SERV. DE BOMBA</v>
          </cell>
          <cell r="B10" t="str">
            <v>M3</v>
          </cell>
          <cell r="C10">
            <v>199</v>
          </cell>
        </row>
        <row r="11">
          <cell r="A11" t="str">
            <v>LADRILLO DE TECHO 30X15X30</v>
          </cell>
          <cell r="B11" t="str">
            <v>MLL</v>
          </cell>
          <cell r="C11">
            <v>1010</v>
          </cell>
        </row>
        <row r="12">
          <cell r="A12" t="str">
            <v>MADERA TORNILLO</v>
          </cell>
          <cell r="B12" t="str">
            <v>P2</v>
          </cell>
          <cell r="C12">
            <v>2.5</v>
          </cell>
        </row>
        <row r="13">
          <cell r="A13" t="str">
            <v>REGLA DE MADERA</v>
          </cell>
          <cell r="B13" t="str">
            <v>PZA</v>
          </cell>
          <cell r="C13">
            <v>4.6399999999999997</v>
          </cell>
        </row>
        <row r="14">
          <cell r="A14" t="str">
            <v>TRIPLAY DE 4X8X19MM</v>
          </cell>
          <cell r="B14" t="str">
            <v>PLN</v>
          </cell>
          <cell r="C14">
            <v>79.73</v>
          </cell>
        </row>
        <row r="16">
          <cell r="A16" t="str">
            <v>CAPATAZ</v>
          </cell>
          <cell r="B16">
            <v>374.00000000000006</v>
          </cell>
          <cell r="C16">
            <v>7.7916666666666679</v>
          </cell>
        </row>
        <row r="17">
          <cell r="A17" t="str">
            <v>OPERARIO</v>
          </cell>
          <cell r="B17">
            <v>340</v>
          </cell>
          <cell r="C17">
            <v>7.083333333333333</v>
          </cell>
        </row>
        <row r="18">
          <cell r="A18" t="str">
            <v>OFICIAL</v>
          </cell>
          <cell r="B18">
            <v>310</v>
          </cell>
          <cell r="C18">
            <v>6.458333333333333</v>
          </cell>
        </row>
        <row r="19">
          <cell r="A19" t="str">
            <v>PEON</v>
          </cell>
          <cell r="B19">
            <v>290</v>
          </cell>
          <cell r="C19">
            <v>6.041666666666667</v>
          </cell>
        </row>
        <row r="20">
          <cell r="A20" t="str">
            <v>OPERADOR DE EQUIPO</v>
          </cell>
          <cell r="B20">
            <v>340</v>
          </cell>
          <cell r="C20">
            <v>7.083333333333333</v>
          </cell>
        </row>
        <row r="22">
          <cell r="A22" t="str">
            <v>CIZALLA</v>
          </cell>
          <cell r="B22" t="str">
            <v>HM</v>
          </cell>
          <cell r="C22">
            <v>4.8499999999999996</v>
          </cell>
        </row>
        <row r="23">
          <cell r="A23" t="str">
            <v>COMPACTADOR TIPO PLANCHA</v>
          </cell>
          <cell r="B23" t="str">
            <v>HM</v>
          </cell>
          <cell r="C23">
            <v>5.81</v>
          </cell>
        </row>
        <row r="24">
          <cell r="A24" t="str">
            <v>VIBRADOR DE CONCRETO</v>
          </cell>
          <cell r="B24" t="str">
            <v>HM</v>
          </cell>
          <cell r="C24">
            <v>6.5</v>
          </cell>
        </row>
      </sheetData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Sheet1"/>
      <sheetName val="Sheet3"/>
      <sheetName val="CALENDARIO"/>
    </sheetNames>
    <sheetDataSet>
      <sheetData sheetId="0"/>
      <sheetData sheetId="1"/>
      <sheetData sheetId="2">
        <row r="1">
          <cell r="A1" t="str">
            <v>H1</v>
          </cell>
          <cell r="B1">
            <v>1</v>
          </cell>
        </row>
        <row r="2">
          <cell r="A2" t="str">
            <v>H2</v>
          </cell>
          <cell r="B2">
            <v>2</v>
          </cell>
        </row>
        <row r="3">
          <cell r="A3" t="str">
            <v>H3</v>
          </cell>
          <cell r="B3">
            <v>3</v>
          </cell>
        </row>
        <row r="4">
          <cell r="A4" t="str">
            <v>H4</v>
          </cell>
          <cell r="B4">
            <v>4</v>
          </cell>
        </row>
        <row r="5">
          <cell r="A5" t="str">
            <v>H5</v>
          </cell>
          <cell r="B5">
            <v>5</v>
          </cell>
        </row>
        <row r="6">
          <cell r="A6" t="str">
            <v>H6</v>
          </cell>
          <cell r="B6">
            <v>6</v>
          </cell>
        </row>
        <row r="7">
          <cell r="A7" t="str">
            <v>H7</v>
          </cell>
          <cell r="B7">
            <v>7</v>
          </cell>
        </row>
        <row r="8">
          <cell r="A8" t="str">
            <v>H8</v>
          </cell>
          <cell r="B8">
            <v>8</v>
          </cell>
        </row>
        <row r="9">
          <cell r="A9" t="str">
            <v>FC1</v>
          </cell>
          <cell r="B9">
            <v>9</v>
          </cell>
        </row>
        <row r="10">
          <cell r="A10" t="str">
            <v>FC2</v>
          </cell>
          <cell r="B10">
            <v>10</v>
          </cell>
        </row>
        <row r="11">
          <cell r="A11" t="str">
            <v>FC3</v>
          </cell>
          <cell r="B11">
            <v>11</v>
          </cell>
        </row>
        <row r="12">
          <cell r="A12" t="str">
            <v>FC4</v>
          </cell>
          <cell r="B12">
            <v>12</v>
          </cell>
        </row>
        <row r="13">
          <cell r="A13" t="str">
            <v>FC5</v>
          </cell>
          <cell r="B13">
            <v>13</v>
          </cell>
        </row>
        <row r="14">
          <cell r="A14" t="str">
            <v>FC6</v>
          </cell>
          <cell r="B14">
            <v>14</v>
          </cell>
        </row>
        <row r="15">
          <cell r="A15" t="str">
            <v>MB</v>
          </cell>
          <cell r="B15">
            <v>15</v>
          </cell>
        </row>
        <row r="16">
          <cell r="A16" t="str">
            <v>CC</v>
          </cell>
          <cell r="B16">
            <v>16</v>
          </cell>
        </row>
        <row r="17">
          <cell r="A17" t="str">
            <v>SPA</v>
          </cell>
          <cell r="B17">
            <v>17</v>
          </cell>
        </row>
        <row r="18">
          <cell r="A18" t="str">
            <v>GC</v>
          </cell>
          <cell r="B18">
            <v>18</v>
          </cell>
        </row>
        <row r="19">
          <cell r="A19" t="str">
            <v>WP</v>
          </cell>
          <cell r="B19">
            <v>19</v>
          </cell>
        </row>
        <row r="20">
          <cell r="A20" t="str">
            <v>KA</v>
          </cell>
          <cell r="B20">
            <v>20</v>
          </cell>
        </row>
        <row r="21">
          <cell r="A21" t="str">
            <v>TS</v>
          </cell>
          <cell r="B21">
            <v>21</v>
          </cell>
        </row>
        <row r="22">
          <cell r="A22" t="str">
            <v>WB</v>
          </cell>
          <cell r="B22">
            <v>22</v>
          </cell>
        </row>
        <row r="23">
          <cell r="A23" t="str">
            <v>MA</v>
          </cell>
          <cell r="B23">
            <v>23</v>
          </cell>
        </row>
        <row r="24">
          <cell r="A24" t="str">
            <v>FNC</v>
          </cell>
          <cell r="B24">
            <v>24</v>
          </cell>
        </row>
      </sheetData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Analisis"/>
      <sheetName val="Joe_Materiales"/>
      <sheetName val="Administracion"/>
      <sheetName val="Mano de Obra"/>
      <sheetName val="Incidencia"/>
      <sheetName val="Hoja1"/>
    </sheetNames>
    <sheetDataSet>
      <sheetData sheetId="0"/>
      <sheetData sheetId="1"/>
      <sheetData sheetId="2">
        <row r="15">
          <cell r="B15">
            <v>0</v>
          </cell>
        </row>
        <row r="16">
          <cell r="B16" t="str">
            <v xml:space="preserve">1.5mm2 NH-70 </v>
          </cell>
        </row>
        <row r="17">
          <cell r="B17" t="str">
            <v>2.5mm2 NH-70</v>
          </cell>
        </row>
        <row r="18">
          <cell r="B18" t="str">
            <v xml:space="preserve">4mm2 NH-70 </v>
          </cell>
        </row>
        <row r="19">
          <cell r="B19" t="str">
            <v xml:space="preserve">6mm2 NH-70 </v>
          </cell>
        </row>
        <row r="20">
          <cell r="B20" t="str">
            <v xml:space="preserve">10mm2 NH-70 </v>
          </cell>
        </row>
        <row r="21">
          <cell r="B21" t="str">
            <v>16mm2 NH-70</v>
          </cell>
        </row>
        <row r="22">
          <cell r="B22" t="str">
            <v>25mm2 NH-70</v>
          </cell>
        </row>
        <row r="23">
          <cell r="B23" t="str">
            <v>35mm2 NH-70</v>
          </cell>
        </row>
        <row r="24">
          <cell r="B24" t="str">
            <v>50mm2 NH-70</v>
          </cell>
        </row>
        <row r="25">
          <cell r="B25" t="str">
            <v xml:space="preserve">70mm2 NH-70 </v>
          </cell>
        </row>
        <row r="26">
          <cell r="B26" t="str">
            <v xml:space="preserve">95mm2 NH-70 </v>
          </cell>
        </row>
        <row r="27">
          <cell r="B27" t="str">
            <v>120mm2 NH-70</v>
          </cell>
        </row>
        <row r="28">
          <cell r="B28" t="str">
            <v>150mm2 NH-70</v>
          </cell>
        </row>
        <row r="29">
          <cell r="B29" t="str">
            <v>185mm2 NH-70</v>
          </cell>
        </row>
        <row r="30">
          <cell r="B30" t="str">
            <v>240mm2 NH-70</v>
          </cell>
        </row>
        <row r="31">
          <cell r="B31" t="str">
            <v>300mm2 NH-70</v>
          </cell>
        </row>
        <row r="32">
          <cell r="B32" t="str">
            <v>400mm2 NH-70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 t="str">
            <v>1.5mm2 NH-80</v>
          </cell>
        </row>
        <row r="36">
          <cell r="B36" t="str">
            <v>2.5mm2 NH-80</v>
          </cell>
        </row>
        <row r="37">
          <cell r="B37" t="str">
            <v>4mm2 NH-80</v>
          </cell>
        </row>
        <row r="38">
          <cell r="B38" t="str">
            <v>6mm2 NH-80</v>
          </cell>
        </row>
        <row r="39">
          <cell r="B39" t="str">
            <v>10mm2 NH-80</v>
          </cell>
        </row>
        <row r="40">
          <cell r="B40" t="str">
            <v>16mm2 NH-80</v>
          </cell>
        </row>
        <row r="41">
          <cell r="B41" t="str">
            <v>25mm2 NH-80</v>
          </cell>
        </row>
        <row r="42">
          <cell r="B42" t="str">
            <v>35mm2 NH-80</v>
          </cell>
        </row>
        <row r="43">
          <cell r="B43" t="str">
            <v>50mm2 NH-80</v>
          </cell>
        </row>
        <row r="44">
          <cell r="B44" t="str">
            <v>70mm2 NH-80</v>
          </cell>
        </row>
        <row r="45">
          <cell r="B45" t="str">
            <v>95mm2 NH-80</v>
          </cell>
        </row>
        <row r="46">
          <cell r="B46" t="str">
            <v>120mm2 NH-80</v>
          </cell>
        </row>
        <row r="47">
          <cell r="B47" t="str">
            <v>150mm2 NH-80</v>
          </cell>
        </row>
        <row r="48">
          <cell r="B48" t="str">
            <v>185mm2 NH-80</v>
          </cell>
        </row>
        <row r="49">
          <cell r="B49" t="str">
            <v>240mm2 NH-80</v>
          </cell>
        </row>
        <row r="50">
          <cell r="B50" t="str">
            <v>300mm2 NH-80</v>
          </cell>
        </row>
        <row r="51">
          <cell r="B51" t="str">
            <v>400mm2 NH-80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 t="str">
            <v>2.5mm2 NHX-90</v>
          </cell>
        </row>
        <row r="55">
          <cell r="B55" t="str">
            <v>4mm2 NHX-90</v>
          </cell>
        </row>
        <row r="56">
          <cell r="B56" t="str">
            <v>6mm2 NHX-90</v>
          </cell>
        </row>
        <row r="57">
          <cell r="B57" t="str">
            <v>10mm2 NHX-90</v>
          </cell>
        </row>
        <row r="58">
          <cell r="B58" t="str">
            <v>16mm2 NHX-90</v>
          </cell>
        </row>
        <row r="59">
          <cell r="B59" t="str">
            <v>25mm2 NHX-90</v>
          </cell>
        </row>
        <row r="60">
          <cell r="B60" t="str">
            <v>35mm2 NHX-90</v>
          </cell>
        </row>
        <row r="61">
          <cell r="B61" t="str">
            <v>50mm2 NHX-90</v>
          </cell>
        </row>
        <row r="62">
          <cell r="B62" t="str">
            <v>70mm2 NHX-90</v>
          </cell>
        </row>
        <row r="63">
          <cell r="B63" t="str">
            <v>95mm2 NHX-90</v>
          </cell>
        </row>
        <row r="64">
          <cell r="B64" t="str">
            <v>120mm2 NHX-90</v>
          </cell>
        </row>
        <row r="65">
          <cell r="B65" t="str">
            <v>150mm2 NHX-90</v>
          </cell>
        </row>
        <row r="66">
          <cell r="B66" t="str">
            <v>185mm2 NHX-90</v>
          </cell>
        </row>
        <row r="67">
          <cell r="B67" t="str">
            <v>240mm2 NHX-90</v>
          </cell>
        </row>
        <row r="68">
          <cell r="B68" t="str">
            <v>300mm2 NHX-90</v>
          </cell>
        </row>
        <row r="69">
          <cell r="B69" t="str">
            <v>400mm2 NHX-90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 t="str">
            <v xml:space="preserve">2.5mm2 N2XH </v>
          </cell>
        </row>
        <row r="73">
          <cell r="B73" t="str">
            <v>4mm2 N2XH</v>
          </cell>
        </row>
        <row r="74">
          <cell r="B74" t="str">
            <v xml:space="preserve">6mm2 N2XH </v>
          </cell>
        </row>
        <row r="75">
          <cell r="B75" t="str">
            <v>10mm2 N2XH</v>
          </cell>
        </row>
        <row r="76">
          <cell r="B76" t="str">
            <v xml:space="preserve">16mm2 N2XH </v>
          </cell>
        </row>
        <row r="77">
          <cell r="B77" t="str">
            <v>25mm2 N2XH</v>
          </cell>
        </row>
        <row r="78">
          <cell r="B78" t="str">
            <v xml:space="preserve">35mm2 N2XH </v>
          </cell>
        </row>
        <row r="79">
          <cell r="B79" t="str">
            <v xml:space="preserve">50mm2 N2XH </v>
          </cell>
        </row>
        <row r="80">
          <cell r="B80" t="str">
            <v xml:space="preserve">70mm2 N2XH </v>
          </cell>
        </row>
        <row r="81">
          <cell r="B81" t="str">
            <v xml:space="preserve">95mm2 N2XH </v>
          </cell>
        </row>
        <row r="82">
          <cell r="B82" t="str">
            <v>120mm2 N2XH</v>
          </cell>
        </row>
        <row r="83">
          <cell r="B83" t="str">
            <v>150mm2 N2XH</v>
          </cell>
        </row>
        <row r="84">
          <cell r="B84" t="str">
            <v xml:space="preserve">185mm2 N2XH </v>
          </cell>
        </row>
        <row r="85">
          <cell r="B85" t="str">
            <v xml:space="preserve">240mm2 N2XH </v>
          </cell>
        </row>
        <row r="86">
          <cell r="B86" t="str">
            <v>300mm2 N2XH</v>
          </cell>
        </row>
        <row r="87">
          <cell r="B87" t="str">
            <v>400mm2 N2XH</v>
          </cell>
        </row>
        <row r="88">
          <cell r="B88" t="str">
            <v>500mm2 N2XH</v>
          </cell>
        </row>
        <row r="89">
          <cell r="B89">
            <v>0</v>
          </cell>
        </row>
        <row r="90">
          <cell r="B90" t="str">
            <v xml:space="preserve">10mm2 N2XY </v>
          </cell>
        </row>
        <row r="91">
          <cell r="B91" t="str">
            <v>16mm2 N2XY</v>
          </cell>
        </row>
        <row r="92">
          <cell r="B92" t="str">
            <v>25mm2 N2XY</v>
          </cell>
        </row>
        <row r="93">
          <cell r="B93" t="str">
            <v>35mm2 N2XY</v>
          </cell>
        </row>
        <row r="94">
          <cell r="B94" t="str">
            <v>50mm2 N2XY</v>
          </cell>
        </row>
        <row r="95">
          <cell r="B95" t="str">
            <v>70mm2 N2XY</v>
          </cell>
        </row>
        <row r="96">
          <cell r="B96" t="str">
            <v>95mm2 N2XY</v>
          </cell>
        </row>
        <row r="97">
          <cell r="B97" t="str">
            <v>120mm2 N2XY</v>
          </cell>
        </row>
        <row r="98">
          <cell r="B98" t="str">
            <v>150mm2 N2XY</v>
          </cell>
        </row>
        <row r="99">
          <cell r="B99" t="str">
            <v>185mm2 N2XY</v>
          </cell>
        </row>
        <row r="100">
          <cell r="B100" t="str">
            <v>240mm2 N2XY</v>
          </cell>
        </row>
        <row r="101">
          <cell r="B101" t="str">
            <v>300mm2 N2XY</v>
          </cell>
        </row>
        <row r="102">
          <cell r="B102">
            <v>0</v>
          </cell>
        </row>
        <row r="103">
          <cell r="B103">
            <v>0</v>
          </cell>
        </row>
        <row r="104">
          <cell r="B104" t="str">
            <v>1x25mm2 N2XSY - 15KV</v>
          </cell>
        </row>
        <row r="105">
          <cell r="B105" t="str">
            <v>1x35mm2 N2XSY - 15KV</v>
          </cell>
        </row>
        <row r="106">
          <cell r="B106" t="str">
            <v>1x50mm2 N2XSY - 15KV</v>
          </cell>
        </row>
        <row r="107">
          <cell r="B107" t="str">
            <v>1x70mm2 N2XSY - 15KV</v>
          </cell>
        </row>
        <row r="108">
          <cell r="B108" t="str">
            <v>1x95mm2 N2XSY - 15KV</v>
          </cell>
        </row>
        <row r="109">
          <cell r="B109" t="str">
            <v>1x120mm2 N2XSY - 15KV</v>
          </cell>
        </row>
        <row r="110">
          <cell r="B110" t="str">
            <v>1x150mm2 N2XSY - 15KV</v>
          </cell>
        </row>
        <row r="111">
          <cell r="B111" t="str">
            <v>1x185mm2 N2XSY - 15KV</v>
          </cell>
        </row>
        <row r="112">
          <cell r="B112" t="str">
            <v>1x240mm2 N2XSY - 15KV</v>
          </cell>
        </row>
        <row r="113">
          <cell r="B113" t="str">
            <v>1x300mm2 N2XSY - 15KV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 t="str">
            <v>1x50mm2 N2XSY - 30KV</v>
          </cell>
        </row>
        <row r="117">
          <cell r="B117" t="str">
            <v>1x70mm2 N2XSY - 30KV</v>
          </cell>
        </row>
        <row r="118">
          <cell r="B118" t="str">
            <v>1x95mm2 N2XSY - 30KV</v>
          </cell>
        </row>
        <row r="119">
          <cell r="B119" t="str">
            <v>1x120mm2 N2XSY - 30KV</v>
          </cell>
        </row>
        <row r="120">
          <cell r="B120" t="str">
            <v>1x150mm2 N2XSY - 30KV</v>
          </cell>
        </row>
        <row r="121">
          <cell r="B121" t="str">
            <v>1x185mm2 N2XSY - 30KV</v>
          </cell>
        </row>
        <row r="122">
          <cell r="B122" t="str">
            <v>1x240mm2 N2XSY - 30KV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 t="str">
            <v>Cable Vulcanizado NLT 2X18 AWG</v>
          </cell>
        </row>
        <row r="126">
          <cell r="B126" t="str">
            <v>Cable Vulcanizado NLT 2X16 AWG</v>
          </cell>
        </row>
        <row r="127">
          <cell r="B127" t="str">
            <v>Cable Vulcanizado NLT 2X14 AWG</v>
          </cell>
        </row>
        <row r="128">
          <cell r="B128" t="str">
            <v>Cable Vulcanizado NLT 2X12 AWG</v>
          </cell>
        </row>
        <row r="129">
          <cell r="B129">
            <v>0</v>
          </cell>
        </row>
        <row r="130">
          <cell r="B130" t="str">
            <v>Cable Vulcanizado NLT 3X18 AWG</v>
          </cell>
        </row>
        <row r="131">
          <cell r="B131" t="str">
            <v>Cable Vulcanizado NLT 3X16 AWG</v>
          </cell>
        </row>
        <row r="132">
          <cell r="B132" t="str">
            <v>Cable Vulcanizado NLT 3X14 AWG</v>
          </cell>
        </row>
        <row r="133">
          <cell r="B133" t="str">
            <v>Cable Vulcanizado NLT 3X12 AWG</v>
          </cell>
        </row>
        <row r="134">
          <cell r="B134" t="str">
            <v>Cable Vulcanizado NLT 3X10 AWG</v>
          </cell>
        </row>
        <row r="135">
          <cell r="B135">
            <v>0</v>
          </cell>
        </row>
        <row r="136">
          <cell r="B136" t="str">
            <v>Cable Vulcanizado NLT 4X16 AWG</v>
          </cell>
        </row>
        <row r="137">
          <cell r="B137" t="str">
            <v>Cable Vulcanizado NLT 4X14 AWG</v>
          </cell>
        </row>
        <row r="138">
          <cell r="B138">
            <v>0</v>
          </cell>
        </row>
        <row r="139">
          <cell r="B139" t="str">
            <v>Cable Vulcanizado NMT 2X12 AWG</v>
          </cell>
        </row>
        <row r="140">
          <cell r="B140" t="str">
            <v>Cable Vulcanizado NMT 2X10 AWG</v>
          </cell>
        </row>
        <row r="141">
          <cell r="B141" t="str">
            <v>Cable Vulcanizado NMT 3X12 AWG</v>
          </cell>
        </row>
        <row r="142">
          <cell r="B142" t="str">
            <v>Cable Vulcanizado NMT 3X10 AWG</v>
          </cell>
        </row>
        <row r="143">
          <cell r="B143" t="str">
            <v>Cable Vulcanizado NMT 4X12 AWG</v>
          </cell>
        </row>
        <row r="144">
          <cell r="B144" t="str">
            <v>Cable Vulcanizado NMT 4X10 AWG</v>
          </cell>
        </row>
        <row r="145">
          <cell r="B145">
            <v>0</v>
          </cell>
        </row>
        <row r="146">
          <cell r="B146">
            <v>0</v>
          </cell>
        </row>
        <row r="147">
          <cell r="B147" t="str">
            <v>Conductor 10mm2 AMARILLO</v>
          </cell>
        </row>
        <row r="148">
          <cell r="B148" t="str">
            <v>Conductor 16mm2 AMARILLO</v>
          </cell>
        </row>
        <row r="149">
          <cell r="B149" t="str">
            <v>Conductor 25mm2 AMARILLO</v>
          </cell>
        </row>
        <row r="150">
          <cell r="B150" t="str">
            <v>Conductor 35mm2 AMARILLO</v>
          </cell>
        </row>
        <row r="151">
          <cell r="B151" t="str">
            <v>Conductor 50mm2 AMARILLO</v>
          </cell>
        </row>
        <row r="152">
          <cell r="B152" t="str">
            <v>Conductor 70mm2 AMARILLO</v>
          </cell>
        </row>
        <row r="153">
          <cell r="B153" t="str">
            <v>Conductor 90mm2 AMARILLO</v>
          </cell>
        </row>
        <row r="154">
          <cell r="B154" t="str">
            <v>Conductor 120mm2 AMARILLO</v>
          </cell>
        </row>
        <row r="155">
          <cell r="B155" t="str">
            <v>Conductor 150mm2 AMARILLO</v>
          </cell>
        </row>
        <row r="156">
          <cell r="B156" t="str">
            <v>Conductor 50mm2 VERDE</v>
          </cell>
        </row>
        <row r="157">
          <cell r="B157" t="str">
            <v>Conductor 70mm2 VERDE</v>
          </cell>
        </row>
        <row r="158">
          <cell r="B158" t="str">
            <v>Conductor 90mm2 VERDE</v>
          </cell>
        </row>
        <row r="159">
          <cell r="B159" t="str">
            <v>Conductor 120mm2 VERDE</v>
          </cell>
        </row>
        <row r="160">
          <cell r="B160" t="str">
            <v>Conductor 150mm2 VERDE</v>
          </cell>
        </row>
        <row r="161">
          <cell r="B161">
            <v>0</v>
          </cell>
        </row>
        <row r="162">
          <cell r="B162">
            <v>0</v>
          </cell>
        </row>
        <row r="163">
          <cell r="B163" t="str">
            <v>CONDUCTOR CU.DESNUDO 1X6mm²</v>
          </cell>
        </row>
        <row r="164">
          <cell r="B164" t="str">
            <v>CONDUCTOR CU.DESNUDO 1X10mm²</v>
          </cell>
        </row>
        <row r="165">
          <cell r="B165" t="str">
            <v>CONDUCTOR CU.DESNUDO 1X16mm²</v>
          </cell>
        </row>
        <row r="166">
          <cell r="B166" t="str">
            <v>CONDUCTOR CU.DESNUDO 1X25mm²</v>
          </cell>
        </row>
        <row r="167">
          <cell r="B167" t="str">
            <v>CONDUCTOR CU.DESNUDO 1X35mm²</v>
          </cell>
        </row>
        <row r="168">
          <cell r="B168" t="str">
            <v>CONDUCTOR CU.DESNUDO 1X50mm²</v>
          </cell>
        </row>
        <row r="169">
          <cell r="B169" t="str">
            <v>CONDUCTOR CU.DESNUDO 1X70mm²</v>
          </cell>
        </row>
        <row r="170">
          <cell r="B170" t="str">
            <v>CONDUCTOR CU.DESNUDO 1X95mm²</v>
          </cell>
        </row>
        <row r="171">
          <cell r="B171" t="str">
            <v>CONDUCTOR CU.DESNUDO 1X120mm²</v>
          </cell>
        </row>
        <row r="172">
          <cell r="B172" t="str">
            <v>CONDUCTOR CU.DESNUDO 1X150mm²</v>
          </cell>
        </row>
        <row r="173">
          <cell r="B173" t="str">
            <v>CONDUCTOR CU.DESNUDO 1X185mm²</v>
          </cell>
        </row>
        <row r="174">
          <cell r="B174">
            <v>0</v>
          </cell>
        </row>
        <row r="175">
          <cell r="B175" t="str">
            <v>Cable de control 1.5mm2 LSOH</v>
          </cell>
        </row>
        <row r="176">
          <cell r="B176">
            <v>0</v>
          </cell>
        </row>
        <row r="177">
          <cell r="B177">
            <v>0</v>
          </cell>
        </row>
        <row r="178">
          <cell r="B178" t="str">
            <v xml:space="preserve">Barra de Cobre </v>
          </cell>
        </row>
        <row r="179">
          <cell r="B179">
            <v>0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0</v>
          </cell>
        </row>
        <row r="183">
          <cell r="B183">
            <v>0</v>
          </cell>
        </row>
        <row r="184">
          <cell r="B184" t="str">
            <v>Tuberia de PVC</v>
          </cell>
        </row>
        <row r="185">
          <cell r="B185">
            <v>0</v>
          </cell>
        </row>
        <row r="186">
          <cell r="B186">
            <v>0</v>
          </cell>
        </row>
        <row r="187">
          <cell r="B187" t="str">
            <v>PVC-SAP 5/8"</v>
          </cell>
        </row>
        <row r="188">
          <cell r="B188">
            <v>0</v>
          </cell>
        </row>
        <row r="189">
          <cell r="B189" t="str">
            <v>PVC-SAP 15mm  ( 1/2")</v>
          </cell>
        </row>
        <row r="190">
          <cell r="B190" t="str">
            <v>PVC-SAP 20 mm ( 3/4" )</v>
          </cell>
        </row>
        <row r="191">
          <cell r="B191" t="str">
            <v>PVC-SAP 25 mm ( 1" )</v>
          </cell>
        </row>
        <row r="192">
          <cell r="B192" t="str">
            <v>PVC-SAP 32 mm ( 1 1/4" )</v>
          </cell>
        </row>
        <row r="193">
          <cell r="B193" t="str">
            <v>PVC-SAP 40 mm ( 1 1/2" )</v>
          </cell>
        </row>
        <row r="194">
          <cell r="B194" t="str">
            <v>PVC-SAP 50 mm ( 2" )</v>
          </cell>
        </row>
        <row r="195">
          <cell r="B195" t="str">
            <v>PVC-SAP 65 mm ( 2 1/2")</v>
          </cell>
        </row>
        <row r="196">
          <cell r="B196" t="str">
            <v>PVC-SAP 80 mm ( 3" )</v>
          </cell>
        </row>
        <row r="197">
          <cell r="B197" t="str">
            <v>PVC-SAP 100 mm ( 4" )</v>
          </cell>
        </row>
        <row r="198">
          <cell r="B198" t="str">
            <v>PVC-SAP 160 mm ( 6" )</v>
          </cell>
        </row>
        <row r="199">
          <cell r="B199">
            <v>0</v>
          </cell>
        </row>
        <row r="200">
          <cell r="B200">
            <v>0</v>
          </cell>
        </row>
        <row r="201">
          <cell r="B201">
            <v>0</v>
          </cell>
        </row>
        <row r="202">
          <cell r="B202" t="str">
            <v>Union PVC SAP 15MM  ( 1/2" )</v>
          </cell>
        </row>
        <row r="203">
          <cell r="B203" t="str">
            <v>Union PVC SAP 20MM ( 3/4" )</v>
          </cell>
        </row>
        <row r="204">
          <cell r="B204" t="str">
            <v>Union PVC SAP 25MM ( 1" )</v>
          </cell>
        </row>
        <row r="205">
          <cell r="B205" t="str">
            <v>Union PVC SAP 32MM ( 1 1/4" )</v>
          </cell>
        </row>
        <row r="206">
          <cell r="B206" t="str">
            <v>Union PVC SAP 40MM ( 1 1/2" )</v>
          </cell>
        </row>
        <row r="207">
          <cell r="B207" t="str">
            <v>Union PVC SAP 50MM ( 2" )</v>
          </cell>
        </row>
        <row r="208">
          <cell r="B208" t="str">
            <v>Union PVC SAP 65MM ( 2 1/2")</v>
          </cell>
        </row>
        <row r="209">
          <cell r="B209" t="str">
            <v>Union PVC SAP 80MM ( 3" )</v>
          </cell>
        </row>
        <row r="210">
          <cell r="B210" t="str">
            <v>Union PVC SAP 100MM ( 4" )</v>
          </cell>
        </row>
        <row r="211">
          <cell r="B211">
            <v>0</v>
          </cell>
        </row>
        <row r="212">
          <cell r="B212">
            <v>0</v>
          </cell>
        </row>
        <row r="213">
          <cell r="B213" t="str">
            <v>Curva PVC SAP 1/2"</v>
          </cell>
        </row>
        <row r="214">
          <cell r="B214" t="str">
            <v>Curva PVC SAP 20MM ( 3/4" )</v>
          </cell>
        </row>
        <row r="215">
          <cell r="B215" t="str">
            <v>Curva PVC SAP 25MM ( 1" )</v>
          </cell>
        </row>
        <row r="216">
          <cell r="B216" t="str">
            <v>Curva PVC SAP 32MM ( 1 1/4" )</v>
          </cell>
        </row>
        <row r="217">
          <cell r="B217" t="str">
            <v>Curva PVC SAP 40MM ( 1 1/2" )</v>
          </cell>
        </row>
        <row r="218">
          <cell r="B218" t="str">
            <v>Curva PVC SAP 50MM ( 2" )</v>
          </cell>
        </row>
        <row r="219">
          <cell r="B219" t="str">
            <v>Curva PVC SAP 65MM ( 2 1/2")</v>
          </cell>
        </row>
        <row r="220">
          <cell r="B220" t="str">
            <v>Curva PVC SAP 80MM ( 3" )</v>
          </cell>
        </row>
        <row r="221">
          <cell r="B221" t="str">
            <v>Curva PVC SAP 100MM ( 4" )</v>
          </cell>
        </row>
        <row r="222">
          <cell r="B222">
            <v>0</v>
          </cell>
        </row>
        <row r="223">
          <cell r="B223">
            <v>0</v>
          </cell>
        </row>
        <row r="224">
          <cell r="B224" t="str">
            <v>Conector PVC SAP 1/2"</v>
          </cell>
        </row>
        <row r="225">
          <cell r="B225" t="str">
            <v>Conector PVC SAP 20MM ( 3/4" )</v>
          </cell>
        </row>
        <row r="226">
          <cell r="B226" t="str">
            <v>Conector PVC SAP 25MM ( 1" )</v>
          </cell>
        </row>
        <row r="227">
          <cell r="B227" t="str">
            <v>Conector PVC SAP 32MM ( 1 1/4" )</v>
          </cell>
        </row>
        <row r="228">
          <cell r="B228" t="str">
            <v>Conector PVC SAP 40MM ( 1 1/2" )</v>
          </cell>
        </row>
        <row r="229">
          <cell r="B229" t="str">
            <v>Conector PVC SAP 50MM ( 2" )</v>
          </cell>
        </row>
        <row r="230">
          <cell r="B230" t="str">
            <v>Conector PVC SAP 65MM ( 2 1/2")</v>
          </cell>
        </row>
        <row r="231">
          <cell r="B231" t="str">
            <v>Conector PVC SAP 80MM ( 3" )</v>
          </cell>
        </row>
        <row r="232">
          <cell r="B232" t="str">
            <v>Conector PVC SAP 100MM ( 4" )</v>
          </cell>
        </row>
        <row r="233">
          <cell r="B233">
            <v>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0</v>
          </cell>
        </row>
        <row r="237">
          <cell r="B237">
            <v>0</v>
          </cell>
        </row>
        <row r="238">
          <cell r="B238" t="str">
            <v>Tuberia Conduit EMT, IMC, RGS y Flexible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 t="str">
            <v>Tubo EMT 15 mm  - 1/2"</v>
          </cell>
        </row>
        <row r="242">
          <cell r="B242" t="str">
            <v>Tubo EMT 20 mm  - 3/4"</v>
          </cell>
        </row>
        <row r="243">
          <cell r="B243" t="str">
            <v>Tubo EMT 25 mm  - 1"</v>
          </cell>
        </row>
        <row r="244">
          <cell r="B244" t="str">
            <v>Tubo EMT 32 mm  - 1 1/4"</v>
          </cell>
        </row>
        <row r="245">
          <cell r="B245" t="str">
            <v>Tubo EMT 40 mm  - 1 1/2"</v>
          </cell>
        </row>
        <row r="246">
          <cell r="B246" t="str">
            <v>Tubo EMT 50 mm  - 2"</v>
          </cell>
        </row>
        <row r="247">
          <cell r="B247" t="str">
            <v>Tubo EMT 65 mm  - 2 1/2"</v>
          </cell>
        </row>
        <row r="248">
          <cell r="B248" t="str">
            <v>Tubo EMT 80 mm  - 3"</v>
          </cell>
        </row>
        <row r="249">
          <cell r="B249" t="str">
            <v>Tubo EMT 100 mm - 4"</v>
          </cell>
        </row>
        <row r="250">
          <cell r="B250" t="str">
            <v>Tubo EMT 160 mm - 6"</v>
          </cell>
        </row>
        <row r="251">
          <cell r="B251">
            <v>0</v>
          </cell>
        </row>
        <row r="252">
          <cell r="B252">
            <v>0</v>
          </cell>
        </row>
        <row r="253">
          <cell r="B253" t="str">
            <v>Union EMT  15 mm - 1/2"</v>
          </cell>
        </row>
        <row r="254">
          <cell r="B254" t="str">
            <v>Union EMT  20 mm - 3/4"</v>
          </cell>
        </row>
        <row r="255">
          <cell r="B255" t="str">
            <v>Union EMT  25 mm  - 1"</v>
          </cell>
        </row>
        <row r="256">
          <cell r="B256" t="str">
            <v>Union EMT  32 mm  - 1 1/4"</v>
          </cell>
        </row>
        <row r="257">
          <cell r="B257" t="str">
            <v>Union EMT  40 mm  - 1 1/2"</v>
          </cell>
        </row>
        <row r="258">
          <cell r="B258" t="str">
            <v>Union EMT  50 mm  - 2"</v>
          </cell>
        </row>
        <row r="259">
          <cell r="B259" t="str">
            <v>Union EMT  65 mm- 2 1/2"</v>
          </cell>
        </row>
        <row r="260">
          <cell r="B260" t="str">
            <v>Union EMT  80 mm  - 3"</v>
          </cell>
        </row>
        <row r="261">
          <cell r="B261" t="str">
            <v>Union EMT  100 mm - 4"</v>
          </cell>
        </row>
        <row r="262">
          <cell r="B262" t="str">
            <v>Union EMT  160 mm - 6"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 t="str">
            <v>CURVA EMT  15 mm</v>
          </cell>
        </row>
        <row r="266">
          <cell r="B266" t="str">
            <v>CURVA EMT  20 mm</v>
          </cell>
        </row>
        <row r="267">
          <cell r="B267" t="str">
            <v>CURVA EMT  25 mm</v>
          </cell>
        </row>
        <row r="268">
          <cell r="B268" t="str">
            <v>CURVA EMT  32 mm</v>
          </cell>
        </row>
        <row r="269">
          <cell r="B269" t="str">
            <v>CURVA EMT  40 mm</v>
          </cell>
        </row>
        <row r="270">
          <cell r="B270" t="str">
            <v>CURVA EMT  50 mm</v>
          </cell>
        </row>
        <row r="271">
          <cell r="B271" t="str">
            <v>CURVA EMT  65 mm</v>
          </cell>
        </row>
        <row r="272">
          <cell r="B272" t="str">
            <v>CURVA EMT  80 mm</v>
          </cell>
        </row>
        <row r="273">
          <cell r="B273" t="str">
            <v>CURVA EMT  100 mm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 t="str">
            <v>Conector Recto FºGº de  15 mm</v>
          </cell>
        </row>
        <row r="277">
          <cell r="B277" t="str">
            <v>Conector Recto FºGº de  20 mm</v>
          </cell>
        </row>
        <row r="278">
          <cell r="B278" t="str">
            <v>Conector Recto FºGº de  25 mm</v>
          </cell>
        </row>
        <row r="279">
          <cell r="B279" t="str">
            <v>Conector Recto FºGº de  32 mm</v>
          </cell>
        </row>
        <row r="280">
          <cell r="B280" t="str">
            <v>Conector Recto FºGº de  40 mm</v>
          </cell>
        </row>
        <row r="281">
          <cell r="B281" t="str">
            <v>Conector Recto FºGº de  50 mm</v>
          </cell>
        </row>
        <row r="282">
          <cell r="B282" t="str">
            <v>Conector Recto FºGº de  65 mm</v>
          </cell>
        </row>
        <row r="283">
          <cell r="B283" t="str">
            <v>Conector Recto FºGº de  80 mm</v>
          </cell>
        </row>
        <row r="284">
          <cell r="B284" t="str">
            <v>Conector Recto FºGº de  100 mm</v>
          </cell>
        </row>
        <row r="285">
          <cell r="B285">
            <v>0</v>
          </cell>
        </row>
        <row r="286">
          <cell r="B286">
            <v>0</v>
          </cell>
        </row>
        <row r="287">
          <cell r="B287" t="str">
            <v>Tubo Conduit IMC 15 mm - 1/2"</v>
          </cell>
        </row>
        <row r="288">
          <cell r="B288" t="str">
            <v>Tubo Conduit IMC 20 mm - 3/4"</v>
          </cell>
        </row>
        <row r="289">
          <cell r="B289" t="str">
            <v>Tubo Conduit IMC 25 mm - 1"</v>
          </cell>
        </row>
        <row r="290">
          <cell r="B290" t="str">
            <v>Tubo Conduit IMC 32 mm - 1 1/4"</v>
          </cell>
        </row>
        <row r="291">
          <cell r="B291" t="str">
            <v>Tubo Conduit IMC 40 mm - 1 1/2"</v>
          </cell>
        </row>
        <row r="292">
          <cell r="B292" t="str">
            <v>Tubo Conduit IMC 50 mm - 2"</v>
          </cell>
        </row>
        <row r="293">
          <cell r="B293" t="str">
            <v>Tubo Conduit IMC 65 mm - 2 1/2"</v>
          </cell>
        </row>
        <row r="294">
          <cell r="B294" t="str">
            <v>Tubo Conduit IMC 80 mm - 3"</v>
          </cell>
        </row>
        <row r="295">
          <cell r="B295" t="str">
            <v>Tubo Conduit IMC 100 mm - 4"</v>
          </cell>
        </row>
        <row r="296">
          <cell r="B296" t="str">
            <v>Tubo Conduit IMC 160 mm - 6"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 t="str">
            <v>CURVA IMC 15 mm</v>
          </cell>
        </row>
        <row r="300">
          <cell r="B300" t="str">
            <v>CURVA IMC 20 mm</v>
          </cell>
        </row>
        <row r="301">
          <cell r="B301" t="str">
            <v>CURVA IMC 25 mm</v>
          </cell>
        </row>
        <row r="302">
          <cell r="B302" t="str">
            <v>CURVA IMC 32 mm</v>
          </cell>
        </row>
        <row r="303">
          <cell r="B303" t="str">
            <v>CURVA IMC 40 mm</v>
          </cell>
        </row>
        <row r="304">
          <cell r="B304" t="str">
            <v>CURVA IMC 50 mm</v>
          </cell>
        </row>
        <row r="305">
          <cell r="B305" t="str">
            <v>CURVA IMC 65 mm</v>
          </cell>
        </row>
        <row r="306">
          <cell r="B306" t="str">
            <v>CURVA IMC 80 mm</v>
          </cell>
        </row>
        <row r="307">
          <cell r="B307" t="str">
            <v>CURVA IMC 100 mm</v>
          </cell>
        </row>
        <row r="308">
          <cell r="B308">
            <v>0</v>
          </cell>
        </row>
        <row r="309">
          <cell r="B309">
            <v>0</v>
          </cell>
        </row>
        <row r="310">
          <cell r="B310" t="str">
            <v>Tubo RGS 25 mm</v>
          </cell>
        </row>
        <row r="311">
          <cell r="B311" t="str">
            <v>Tubo RGS 32 mm</v>
          </cell>
        </row>
        <row r="312">
          <cell r="B312" t="str">
            <v>Tubo RGS 40 mm</v>
          </cell>
        </row>
        <row r="313">
          <cell r="B313" t="str">
            <v>Tubo RGS 50 mm</v>
          </cell>
        </row>
        <row r="314">
          <cell r="B314" t="str">
            <v>Tubo RGS 65 mm</v>
          </cell>
        </row>
        <row r="315">
          <cell r="B315" t="str">
            <v>Tubo RGS 80 mm</v>
          </cell>
        </row>
        <row r="316">
          <cell r="B316" t="str">
            <v>Tubo RGS 100 mm</v>
          </cell>
        </row>
        <row r="317">
          <cell r="B317">
            <v>0</v>
          </cell>
        </row>
        <row r="318">
          <cell r="B318">
            <v>0</v>
          </cell>
        </row>
        <row r="319">
          <cell r="B319" t="str">
            <v>CURVA RGS 20mm</v>
          </cell>
        </row>
        <row r="320">
          <cell r="B320" t="str">
            <v>CURVA RGS 25mm</v>
          </cell>
        </row>
        <row r="321">
          <cell r="B321" t="str">
            <v>CURVA RGS 32mm</v>
          </cell>
        </row>
        <row r="322">
          <cell r="B322" t="str">
            <v>CURVA RGS 40mm</v>
          </cell>
        </row>
        <row r="323">
          <cell r="B323" t="str">
            <v>CURVA RGS 50mm</v>
          </cell>
        </row>
        <row r="324">
          <cell r="B324" t="str">
            <v>CURVA RGS 65mm</v>
          </cell>
        </row>
        <row r="325">
          <cell r="B325" t="str">
            <v>CURVA RGS 80mm</v>
          </cell>
        </row>
        <row r="326">
          <cell r="B326" t="str">
            <v>CURVA RGS 100mm</v>
          </cell>
        </row>
        <row r="327">
          <cell r="B327">
            <v>0</v>
          </cell>
        </row>
        <row r="328">
          <cell r="B328">
            <v>0</v>
          </cell>
        </row>
        <row r="329">
          <cell r="B329" t="str">
            <v>tubería flexible metalica 3/4"</v>
          </cell>
        </row>
        <row r="330">
          <cell r="B330" t="str">
            <v>tubería flexible metalica 25mm</v>
          </cell>
        </row>
        <row r="331">
          <cell r="B331" t="str">
            <v>tubería flexible metalica 32mm</v>
          </cell>
        </row>
        <row r="332">
          <cell r="B332" t="str">
            <v>tubería flexible metalica 40mm</v>
          </cell>
        </row>
        <row r="333">
          <cell r="B333" t="str">
            <v>tubería flexible metalica 55mm</v>
          </cell>
        </row>
        <row r="334">
          <cell r="B334" t="str">
            <v>tubería flexible metalica 65mm</v>
          </cell>
        </row>
        <row r="335">
          <cell r="B335">
            <v>0</v>
          </cell>
        </row>
        <row r="336">
          <cell r="B336" t="str">
            <v>tubería flexible metalica con forro de PVC de 3/4"</v>
          </cell>
        </row>
        <row r="337">
          <cell r="B337" t="str">
            <v>tubería flexible metalica con forro de PVC de  25mm</v>
          </cell>
        </row>
        <row r="338">
          <cell r="B338" t="str">
            <v>tubería flexible metalica con forro de PVC de  32mm</v>
          </cell>
        </row>
        <row r="339">
          <cell r="B339" t="str">
            <v>tubería flexible metalica con forro de PVC de  40mm</v>
          </cell>
        </row>
        <row r="340">
          <cell r="B340" t="str">
            <v>tubería flexible metalica con forro de PVC de  55mm</v>
          </cell>
        </row>
        <row r="341">
          <cell r="B341" t="str">
            <v>tubería flexible metalica con forro de PVC de  65mm</v>
          </cell>
        </row>
        <row r="342">
          <cell r="B342">
            <v>0</v>
          </cell>
        </row>
        <row r="343">
          <cell r="B343">
            <v>0</v>
          </cell>
        </row>
        <row r="344">
          <cell r="B344" t="str">
            <v>Tuberia Flexible Corrugada de PVC 1/2"</v>
          </cell>
        </row>
        <row r="345">
          <cell r="B345" t="str">
            <v>Tuberia Flexible Corrugada de PVC 3/4"</v>
          </cell>
        </row>
        <row r="346">
          <cell r="B346" t="str">
            <v>Tuberia Flexible Corrugada de PVC 1"</v>
          </cell>
        </row>
        <row r="347">
          <cell r="B347" t="str">
            <v>Tuberia Flexible Corrugada de PVC 1 1/2"</v>
          </cell>
        </row>
        <row r="348">
          <cell r="B348" t="str">
            <v>Tuberia Flexible Corrugada de PVC 2"</v>
          </cell>
        </row>
        <row r="349">
          <cell r="B349">
            <v>0</v>
          </cell>
        </row>
        <row r="350">
          <cell r="B350">
            <v>0</v>
          </cell>
        </row>
        <row r="351">
          <cell r="B351" t="str">
            <v>Conector Recto Plastica para Tuberia Corrugada de 1/2"</v>
          </cell>
        </row>
        <row r="352">
          <cell r="B352" t="str">
            <v>Conector Recto Plastica para Tuberia Corrugada de 3/4"</v>
          </cell>
        </row>
        <row r="353">
          <cell r="B353" t="str">
            <v>Conector Recto Plastica para Tuberia Corrugada de 1"</v>
          </cell>
        </row>
        <row r="354">
          <cell r="B354" t="str">
            <v>Conector Recto Plastica para Tuberia Corrugada de 1 1/2"</v>
          </cell>
        </row>
        <row r="355">
          <cell r="B355" t="str">
            <v>Conector Recto Plastica para Tuberia Corrugada de  2"</v>
          </cell>
        </row>
        <row r="356">
          <cell r="B356" t="str">
            <v>Conector Recto Plastica para Tuberia Corrugada de 1/2"</v>
          </cell>
        </row>
        <row r="357">
          <cell r="B357">
            <v>0</v>
          </cell>
        </row>
        <row r="358">
          <cell r="B358">
            <v>0</v>
          </cell>
        </row>
        <row r="359">
          <cell r="B359" t="str">
            <v>Conector Hermetico P/Tuberia Flexible de 1/2</v>
          </cell>
        </row>
        <row r="360">
          <cell r="B360" t="str">
            <v>Conector Hermetico P/Tuberia Flexible de 3/4</v>
          </cell>
        </row>
        <row r="361">
          <cell r="B361" t="str">
            <v>Conector Hermetico P/Tuberia Flexible de 1"</v>
          </cell>
        </row>
        <row r="362">
          <cell r="B362" t="str">
            <v>Conector Hermetico P/Tuberia Flexible de 1 1/4</v>
          </cell>
        </row>
        <row r="363">
          <cell r="B363" t="str">
            <v>Conector Hermetico P/Tuberia Flexible de 1 1/2"</v>
          </cell>
        </row>
        <row r="364">
          <cell r="B364" t="str">
            <v>Conector Hermetico P/Tuberia Flexible de 2"</v>
          </cell>
        </row>
        <row r="365">
          <cell r="B365" t="str">
            <v>Conector Hermetico P/Tuberia Flexible de 2 1/2"</v>
          </cell>
        </row>
        <row r="366">
          <cell r="B366" t="str">
            <v>Conector Hermetico P/Tuberia Flexible de 3"</v>
          </cell>
        </row>
        <row r="367">
          <cell r="B367" t="str">
            <v>Conector Hermetico P/Tuberia Flexible de 4"</v>
          </cell>
        </row>
        <row r="368">
          <cell r="B368">
            <v>0</v>
          </cell>
        </row>
        <row r="369">
          <cell r="B369">
            <v>0</v>
          </cell>
        </row>
        <row r="370">
          <cell r="B370">
            <v>0</v>
          </cell>
        </row>
        <row r="371">
          <cell r="B371">
            <v>0</v>
          </cell>
        </row>
        <row r="372">
          <cell r="B372">
            <v>0</v>
          </cell>
        </row>
        <row r="373">
          <cell r="B373" t="str">
            <v>Sistema de Puesta a Tierra</v>
          </cell>
        </row>
        <row r="374">
          <cell r="B374">
            <v>0</v>
          </cell>
        </row>
        <row r="375">
          <cell r="B375" t="str">
            <v>Capsula Exotermica Cadweld #45</v>
          </cell>
        </row>
        <row r="376">
          <cell r="B376" t="str">
            <v>Capsula Exotermica Cadweld #90</v>
          </cell>
        </row>
        <row r="377">
          <cell r="B377" t="str">
            <v>Soldadura exotermica #150 - USA THERMOWELD</v>
          </cell>
        </row>
        <row r="378">
          <cell r="B378">
            <v>0</v>
          </cell>
        </row>
        <row r="379">
          <cell r="B379" t="str">
            <v>Cemento Conductivo Para puesta a tierra 11.3 Kg CONDUCRETE</v>
          </cell>
        </row>
        <row r="380">
          <cell r="B380" t="str">
            <v>Cemento Conductivo Para puesta a tierra 25 Kg CONDUCRETE</v>
          </cell>
        </row>
        <row r="381">
          <cell r="B381" t="str">
            <v>Cemento Conductivo Para puesta a tierra 11.5 Kg THERMOWELD</v>
          </cell>
        </row>
        <row r="382">
          <cell r="B382" t="str">
            <v>Cemento Conductivo Para puesta a tierra 11.5 Kg ERICO GEM</v>
          </cell>
        </row>
        <row r="383">
          <cell r="B383" t="str">
            <v>Cemento Conductivo Para puesta a tierra  25 Kg GEO GEM</v>
          </cell>
        </row>
        <row r="384">
          <cell r="B384">
            <v>0</v>
          </cell>
        </row>
        <row r="385">
          <cell r="B385" t="str">
            <v>Dosis para Puesta a Tierra 5Kg THORGEL</v>
          </cell>
        </row>
        <row r="386">
          <cell r="B386" t="str">
            <v>Dosis para Puesta a Tierra 25Kg FAVIGEL</v>
          </cell>
        </row>
        <row r="387">
          <cell r="B387" t="str">
            <v>Dosis para Puesta a Tierra 6Kg PROTEGEL</v>
          </cell>
        </row>
        <row r="388">
          <cell r="B388" t="str">
            <v>Dosis para Puesta a Tierra 6Kg TIERRAGEL</v>
          </cell>
        </row>
        <row r="389">
          <cell r="B389" t="str">
            <v>Dosis para Puesta a Tierra ?Kg REDUGEL</v>
          </cell>
        </row>
        <row r="390">
          <cell r="B390">
            <v>0</v>
          </cell>
        </row>
        <row r="391">
          <cell r="B391" t="str">
            <v>Varilla de Cobre 3/8" x2.4 mt Cobre Puro</v>
          </cell>
        </row>
        <row r="392">
          <cell r="B392" t="str">
            <v>Varilla de Cobre 1/2" x2.4 mt Cobre Puro</v>
          </cell>
        </row>
        <row r="393">
          <cell r="B393" t="str">
            <v>Varilla de Cobre 3/4" x2.4 mt Cobre Puro</v>
          </cell>
        </row>
        <row r="394">
          <cell r="B394" t="str">
            <v>Varilla de Cobre 5/8" x2.4 mt Cobre Puro</v>
          </cell>
        </row>
        <row r="395">
          <cell r="B395" t="str">
            <v>Varilla de Cobre 5/8" x3 mt  Cobre Puro</v>
          </cell>
        </row>
        <row r="396">
          <cell r="B396" t="str">
            <v>Varilla Coperweld  3/4"x2.4 mt</v>
          </cell>
        </row>
        <row r="397">
          <cell r="B397" t="str">
            <v>Varilla Coperweld  3/4"x3 mt</v>
          </cell>
        </row>
        <row r="398">
          <cell r="B398" t="str">
            <v>Varilla Coperweld  5/8"x3 mt</v>
          </cell>
        </row>
        <row r="399">
          <cell r="B399">
            <v>0</v>
          </cell>
        </row>
        <row r="400">
          <cell r="B400" t="str">
            <v>Bentonita Sodica</v>
          </cell>
        </row>
        <row r="401">
          <cell r="B401" t="str">
            <v>Bentonita  x 30kl</v>
          </cell>
        </row>
        <row r="402">
          <cell r="B402" t="str">
            <v>Sal Industrial  saco de 15Kg</v>
          </cell>
        </row>
        <row r="403">
          <cell r="B403">
            <v>0</v>
          </cell>
        </row>
        <row r="404">
          <cell r="B404" t="str">
            <v>Conector AB 3/8"</v>
          </cell>
        </row>
        <row r="405">
          <cell r="B405" t="str">
            <v>Conector AB 1/2"</v>
          </cell>
        </row>
        <row r="406">
          <cell r="B406" t="str">
            <v>Conector AB 3/4"</v>
          </cell>
        </row>
        <row r="407">
          <cell r="B407" t="str">
            <v>Conector AB 5/8"</v>
          </cell>
        </row>
        <row r="408">
          <cell r="B408" t="str">
            <v>Conector Espiga</v>
          </cell>
        </row>
        <row r="410">
          <cell r="B410" t="str">
            <v>Tierra de Chacra</v>
          </cell>
        </row>
        <row r="411">
          <cell r="B411" t="str">
            <v>Caja de Registro D/Polipropileno p/puesta tierra PROTEGEL</v>
          </cell>
        </row>
        <row r="412">
          <cell r="B412" t="str">
            <v>Caja de Registro D/Concreto p/puesta tierra CONDUCRETE</v>
          </cell>
        </row>
        <row r="413">
          <cell r="B413">
            <v>0</v>
          </cell>
        </row>
        <row r="414">
          <cell r="B414" t="str">
            <v>Caja Equipotencial 400cmx400cmx200cm Esp. 1/16 para adosar</v>
          </cell>
        </row>
        <row r="415">
          <cell r="B415" t="str">
            <v>Caja Equipotencial 200cmx200cmx100cm Esp. 1/16 para adosar</v>
          </cell>
        </row>
        <row r="416">
          <cell r="B416" t="str">
            <v>Caja Equipotencial 300cmx300cmx100cm Esp. 1/16 para adosar</v>
          </cell>
        </row>
        <row r="417">
          <cell r="B417" t="str">
            <v>Caja Equipotencial 400cmx300cmx100cm Esp. 1/16 para adosar</v>
          </cell>
        </row>
        <row r="418">
          <cell r="B418">
            <v>0</v>
          </cell>
        </row>
        <row r="419">
          <cell r="B419" t="str">
            <v xml:space="preserve">Cinta de Señalizacion </v>
          </cell>
        </row>
        <row r="420">
          <cell r="B420" t="str">
            <v>Pararrayo Franklin</v>
          </cell>
        </row>
        <row r="421">
          <cell r="B421" t="str">
            <v>Pararayo</v>
          </cell>
        </row>
        <row r="422">
          <cell r="B422" t="str">
            <v>Pararayo</v>
          </cell>
        </row>
        <row r="423">
          <cell r="B423" t="str">
            <v>Pararayo</v>
          </cell>
        </row>
        <row r="424">
          <cell r="B424" t="str">
            <v xml:space="preserve">Barra equipotencial  de Cobre </v>
          </cell>
        </row>
        <row r="425">
          <cell r="B425">
            <v>0</v>
          </cell>
        </row>
        <row r="426">
          <cell r="B426">
            <v>0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</v>
          </cell>
        </row>
        <row r="430">
          <cell r="B430" t="str">
            <v>Caja de Pase</v>
          </cell>
        </row>
        <row r="431">
          <cell r="B431">
            <v>0</v>
          </cell>
        </row>
        <row r="432">
          <cell r="B432" t="str">
            <v>Caja de pase FºGº Rectangular SAP 1/2"</v>
          </cell>
        </row>
        <row r="433">
          <cell r="B433" t="str">
            <v>Caja de pase FºGº Rectangular SAP 3/4"</v>
          </cell>
        </row>
        <row r="434">
          <cell r="B434" t="str">
            <v>Caja de pase FºGº Octogonal SAP 1/2"</v>
          </cell>
        </row>
        <row r="435">
          <cell r="B435" t="str">
            <v>Caja de pase FºGº Octogonal SAP 3/4"</v>
          </cell>
        </row>
        <row r="436">
          <cell r="B436" t="str">
            <v>Caja FºGº 50x50x50mm</v>
          </cell>
        </row>
        <row r="437">
          <cell r="B437" t="str">
            <v>Caja FºGº  100x100x50mm</v>
          </cell>
        </row>
        <row r="438">
          <cell r="B438" t="str">
            <v>Caja FºGº  100x100x70mm</v>
          </cell>
        </row>
        <row r="439">
          <cell r="B439" t="str">
            <v>Caja FºGº  100X100X100mm</v>
          </cell>
        </row>
        <row r="440">
          <cell r="B440" t="str">
            <v>Caja FºGº  150X150X75mm</v>
          </cell>
        </row>
        <row r="441">
          <cell r="B441" t="str">
            <v>Caja FºGº  150X150X100MM</v>
          </cell>
        </row>
        <row r="442">
          <cell r="B442" t="str">
            <v>Caja FºGº  200X200X100MM</v>
          </cell>
        </row>
        <row r="443">
          <cell r="B443" t="str">
            <v>Caja FºGº  250X250X100MM</v>
          </cell>
        </row>
        <row r="444">
          <cell r="B444" t="str">
            <v>Caja FºGº  250X250X150MM</v>
          </cell>
        </row>
        <row r="445">
          <cell r="B445" t="str">
            <v>Caja FºGº  300X300X100MM</v>
          </cell>
        </row>
        <row r="446">
          <cell r="B446" t="str">
            <v>Caja FºGº  300X300X150MM</v>
          </cell>
        </row>
        <row r="447">
          <cell r="B447" t="str">
            <v>Caja FºGº  300X300X200MM</v>
          </cell>
        </row>
        <row r="448">
          <cell r="B448" t="str">
            <v>Caja FºGº  400X400X150MM</v>
          </cell>
        </row>
        <row r="449">
          <cell r="B449" t="str">
            <v>Caja FºGº  400X400X200MM</v>
          </cell>
        </row>
        <row r="450">
          <cell r="B450" t="str">
            <v>Caja FºGº  500X500X150MM</v>
          </cell>
        </row>
        <row r="451">
          <cell r="B451" t="str">
            <v>Caja FºGº  500X500X200MM</v>
          </cell>
        </row>
        <row r="452">
          <cell r="B452" t="str">
            <v>Caja FºGº  600X400X150MM</v>
          </cell>
        </row>
        <row r="453">
          <cell r="B453" t="str">
            <v>Caja FºGº  600X600X200MM</v>
          </cell>
        </row>
        <row r="454">
          <cell r="B454" t="str">
            <v>Caja FºGº  700X700X350MM</v>
          </cell>
        </row>
        <row r="455">
          <cell r="B455" t="str">
            <v>Caja FºGº  750X750X250MM</v>
          </cell>
        </row>
        <row r="456">
          <cell r="B456" t="str">
            <v>Caja FºGº  800X800X400MM</v>
          </cell>
        </row>
        <row r="457">
          <cell r="B457" t="str">
            <v>Caja FºGº  800X500X250MM</v>
          </cell>
        </row>
        <row r="458">
          <cell r="B458" t="str">
            <v>Caja FºGº  900X900X450MM</v>
          </cell>
        </row>
        <row r="459">
          <cell r="B459" t="str">
            <v>Caja FºGº  1000X1000X500MM</v>
          </cell>
        </row>
        <row r="460">
          <cell r="B460" t="str">
            <v>Caja FºGº  1200X1200X250MM</v>
          </cell>
        </row>
        <row r="461">
          <cell r="B461" t="str">
            <v>Caja FºGº  1500X1200X250MM</v>
          </cell>
        </row>
        <row r="462">
          <cell r="B462" t="str">
            <v>Caja 100x100x50 mm PVC</v>
          </cell>
        </row>
        <row r="463">
          <cell r="B463" t="str">
            <v>Caja 100x100x100 mm PVC</v>
          </cell>
        </row>
        <row r="464">
          <cell r="B464" t="str">
            <v xml:space="preserve">Caja  zincada 100x65 mm PVC tipo chuqui </v>
          </cell>
        </row>
        <row r="465">
          <cell r="B465" t="str">
            <v>Caja 100x65 mm PVC alto impacto</v>
          </cell>
        </row>
        <row r="466">
          <cell r="B466" t="str">
            <v>Caja Hermetica de 200x100</v>
          </cell>
        </row>
        <row r="467">
          <cell r="B467" t="str">
            <v>Caja Hermetica de 150x150</v>
          </cell>
        </row>
        <row r="468">
          <cell r="B468" t="str">
            <v>Caja Condulet LL 1 1/2"</v>
          </cell>
        </row>
        <row r="469">
          <cell r="B469" t="str">
            <v>Caja Condulet LR 1 1/2"</v>
          </cell>
        </row>
        <row r="470">
          <cell r="B470" t="str">
            <v>Caja Condulet T 1 1/2"</v>
          </cell>
        </row>
        <row r="471">
          <cell r="B471">
            <v>0</v>
          </cell>
        </row>
        <row r="472">
          <cell r="B472">
            <v>0</v>
          </cell>
        </row>
        <row r="473">
          <cell r="B473" t="str">
            <v>Caja ticibox</v>
          </cell>
        </row>
        <row r="474">
          <cell r="B474" t="str">
            <v>Caja tipo " C "    (Telefonico)</v>
          </cell>
        </row>
        <row r="475">
          <cell r="B475" t="str">
            <v>Caja tipo " D "    (Telefonico)</v>
          </cell>
        </row>
        <row r="476">
          <cell r="B476" t="str">
            <v>Caja tipo Chuqui</v>
          </cell>
        </row>
        <row r="477">
          <cell r="B477" t="str">
            <v>Caja FºGº Para Gondola c/tapa 150x120x90mm</v>
          </cell>
        </row>
        <row r="478">
          <cell r="B478" t="str">
            <v>Caja Porta Cable 450x300x50mm</v>
          </cell>
        </row>
        <row r="479">
          <cell r="B479" t="str">
            <v>Caja Check Out</v>
          </cell>
        </row>
        <row r="480">
          <cell r="B480" t="str">
            <v>Caja POP - UP  150627A para 3 Modulos Marca Ticino</v>
          </cell>
        </row>
        <row r="481">
          <cell r="B481" t="str">
            <v>Caja POP - UP  150627G para 3 Modulos Marca Ticino</v>
          </cell>
        </row>
        <row r="482">
          <cell r="B482" t="str">
            <v>Caja para Empotrar para piso 150620M de Aluminio - Marca Ticino</v>
          </cell>
        </row>
        <row r="483">
          <cell r="B483" t="str">
            <v>Caja para Empotrar para piso 150620P de Resina - Marca Ticino</v>
          </cell>
        </row>
        <row r="484">
          <cell r="B484" t="str">
            <v>Caja para Empotrar para piso 150620L de Metal - Marca Ticino</v>
          </cell>
        </row>
        <row r="485">
          <cell r="B485" t="str">
            <v>Caja Rawelt 3/4"</v>
          </cell>
        </row>
        <row r="486">
          <cell r="B486">
            <v>0</v>
          </cell>
        </row>
        <row r="487">
          <cell r="B487" t="str">
            <v>Tapas gang</v>
          </cell>
        </row>
        <row r="488">
          <cell r="B488" t="str">
            <v xml:space="preserve">Tapa Ciega Galvanizada Rectangular </v>
          </cell>
        </row>
        <row r="489">
          <cell r="B489" t="str">
            <v>Tapa Ciega Galvanizada Cuadrada</v>
          </cell>
        </row>
        <row r="490">
          <cell r="B490" t="str">
            <v>Tapa Ciega Galvanizada Octogonal</v>
          </cell>
        </row>
        <row r="491">
          <cell r="B491" t="str">
            <v>Tapa Hermetica de 150x120x90mm Esp. 1/16</v>
          </cell>
        </row>
        <row r="492">
          <cell r="B492">
            <v>0</v>
          </cell>
        </row>
        <row r="493">
          <cell r="B493" t="str">
            <v>Placa acrilica para tomas de check outs</v>
          </cell>
        </row>
        <row r="494">
          <cell r="B494">
            <v>0</v>
          </cell>
        </row>
        <row r="495">
          <cell r="B495">
            <v>0</v>
          </cell>
        </row>
        <row r="496">
          <cell r="B496">
            <v>0</v>
          </cell>
        </row>
        <row r="497">
          <cell r="B497">
            <v>0</v>
          </cell>
        </row>
        <row r="498">
          <cell r="B498">
            <v>0</v>
          </cell>
        </row>
        <row r="499">
          <cell r="B499" t="str">
            <v>Poste de Concreto y Metal y Material de Construccion</v>
          </cell>
        </row>
        <row r="500">
          <cell r="B500">
            <v>0</v>
          </cell>
        </row>
        <row r="501">
          <cell r="B501">
            <v>0</v>
          </cell>
        </row>
        <row r="502">
          <cell r="B502" t="str">
            <v>Cemento SOL</v>
          </cell>
        </row>
        <row r="503">
          <cell r="B503" t="str">
            <v>Concreto Premezclado de 175</v>
          </cell>
        </row>
        <row r="504">
          <cell r="B504" t="str">
            <v>Concreto Premezclado de 210</v>
          </cell>
        </row>
        <row r="505">
          <cell r="B505" t="str">
            <v>Hormigon H-10 (Calcular según detalles)</v>
          </cell>
        </row>
        <row r="506">
          <cell r="B506" t="str">
            <v>Hormigon H-20</v>
          </cell>
        </row>
        <row r="507">
          <cell r="B507" t="str">
            <v>Hormigon H-25</v>
          </cell>
        </row>
        <row r="508">
          <cell r="B508" t="str">
            <v>Fe 3/8" (Calcular)</v>
          </cell>
        </row>
        <row r="509">
          <cell r="B509" t="str">
            <v>Fe 1/2" (Calcular)</v>
          </cell>
        </row>
        <row r="510">
          <cell r="B510" t="str">
            <v>Fe 3/4" (Calcular)</v>
          </cell>
        </row>
        <row r="511">
          <cell r="B511" t="str">
            <v>Angulo de 3"x3" para marco de fierro</v>
          </cell>
        </row>
        <row r="512">
          <cell r="B512" t="str">
            <v>Pernos de Anclaje Tipo " J " Yncluye Tuercas y Arandela de Presion</v>
          </cell>
        </row>
        <row r="513">
          <cell r="B513" t="str">
            <v>Tapa concreto</v>
          </cell>
        </row>
        <row r="514">
          <cell r="B514" t="str">
            <v>Cinta de Señalizacion "PELIGRO TENSION 220V"</v>
          </cell>
        </row>
        <row r="515">
          <cell r="B515" t="str">
            <v>Asfalto  3/4"</v>
          </cell>
        </row>
        <row r="516">
          <cell r="B516" t="str">
            <v>Ducto de Concreto 2 Vias de 90Φ</v>
          </cell>
        </row>
        <row r="517">
          <cell r="B517" t="str">
            <v>Ducto de Concreto 4 Vias de 90Φ</v>
          </cell>
        </row>
        <row r="518">
          <cell r="B518" t="str">
            <v>Ducto de Concreto 6 Vias de 90Φ</v>
          </cell>
        </row>
        <row r="519">
          <cell r="B519" t="str">
            <v>Ducto de Concreto 8 Vias de 90Φ</v>
          </cell>
        </row>
        <row r="520">
          <cell r="B520" t="str">
            <v>Tierra afirmada con grava de 3/4</v>
          </cell>
        </row>
        <row r="521">
          <cell r="B521">
            <v>0</v>
          </cell>
        </row>
        <row r="522">
          <cell r="B522" t="str">
            <v>POSTE DE C.A.C  6/90/180/70  C/Perilla</v>
          </cell>
        </row>
        <row r="523">
          <cell r="B523" t="str">
            <v>POSTE DE C.A.C  6/90/180/70  C/Perilla</v>
          </cell>
        </row>
        <row r="524">
          <cell r="B524" t="str">
            <v>POSTE DE C.A.C  7/120/225/100  C/Perilla</v>
          </cell>
        </row>
        <row r="525">
          <cell r="B525" t="str">
            <v>POSTE DE C.A.C  8/120/240/200  C/Perilla</v>
          </cell>
        </row>
        <row r="526">
          <cell r="B526" t="str">
            <v>POSTE DE C.A.C  9/120/255/200  C/Perilla</v>
          </cell>
        </row>
        <row r="527">
          <cell r="B527" t="str">
            <v>POSTE DE C.A.C  11/400/180/345  C/Perilla</v>
          </cell>
        </row>
        <row r="528">
          <cell r="B528" t="str">
            <v>POSTE DE C.A.C  11/120/285/200  C/Perilla</v>
          </cell>
        </row>
        <row r="529">
          <cell r="B529" t="str">
            <v>POSTE DE C.A.C  11.5/150/323/200  C/Perilla</v>
          </cell>
        </row>
        <row r="530">
          <cell r="B530" t="str">
            <v>POSTE DE C.A.C  12/120/300/200  C/Perilla</v>
          </cell>
        </row>
        <row r="531">
          <cell r="B531" t="str">
            <v>POSTE DE C.A.C  13/140/335/200  C/Perilla</v>
          </cell>
        </row>
        <row r="532">
          <cell r="B532" t="str">
            <v>POSTE DE C.A.C  13/300/180/375  C/Perilla</v>
          </cell>
        </row>
        <row r="533">
          <cell r="B533" t="str">
            <v>POSTE DE C.A.C  15/400/225/450  C/Perilla</v>
          </cell>
        </row>
        <row r="534">
          <cell r="B534" t="str">
            <v>POSTE DE C.A.C  15/300/225/450  C/Perilla</v>
          </cell>
        </row>
        <row r="535">
          <cell r="B535" t="str">
            <v>POSTE DE C.A.C  15/210/435/500  C/Perilla</v>
          </cell>
        </row>
        <row r="536">
          <cell r="B536" t="str">
            <v>POSTE DE C.A.C Seccionado 8/120/240/200  C/Perilla</v>
          </cell>
        </row>
        <row r="537">
          <cell r="B537">
            <v>0</v>
          </cell>
        </row>
        <row r="538">
          <cell r="B538" t="str">
            <v>POSTE METALICO 3.0MTS</v>
          </cell>
        </row>
        <row r="539">
          <cell r="B539" t="str">
            <v>POSTE METALICO 5.50MTS</v>
          </cell>
        </row>
        <row r="540">
          <cell r="B540" t="str">
            <v>POSTE METALICO 6.0MTS tubo redondo de 4" ,pernos de anclaje y Galvanizado en Caliente</v>
          </cell>
        </row>
        <row r="541">
          <cell r="B541" t="str">
            <v>POSTE METALICO 6.0MTS tubo redondo de 4" ,pernos de anclaje y Galvanizado en Caliente</v>
          </cell>
        </row>
        <row r="542">
          <cell r="B542" t="str">
            <v>POSTE METALICO 8.0MTS tubo redondo de 6" ,pernos de anclaje y Galvanizado en Caliente</v>
          </cell>
        </row>
        <row r="543">
          <cell r="B543" t="str">
            <v>POSTE METALICO 9.0MTS tubo redondo de 6" con Cruzeta para 2 luminaria con base para pernos de anclaje y Galvanizado en Caliente</v>
          </cell>
        </row>
        <row r="544">
          <cell r="B544" t="str">
            <v>POSTE METALICO 9.0MTS tubo redondo de 6" con Cruzeta para 4 luminaria con base para pernos de anclaje y Galvanizado en Caliente</v>
          </cell>
        </row>
        <row r="545">
          <cell r="B545" t="str">
            <v xml:space="preserve">POSTE METALICO 12.0 MTS </v>
          </cell>
        </row>
        <row r="546">
          <cell r="B546" t="str">
            <v>POSTE METALICO 20.0MTS</v>
          </cell>
        </row>
        <row r="547">
          <cell r="B547" t="str">
            <v>POSTE METALICO 9.0MTS</v>
          </cell>
        </row>
        <row r="548">
          <cell r="B548">
            <v>0</v>
          </cell>
        </row>
        <row r="549">
          <cell r="B549" t="str">
            <v>Soporte para 2 Luminarias</v>
          </cell>
        </row>
        <row r="550">
          <cell r="B550" t="str">
            <v>Soporte para 3 Luminarias</v>
          </cell>
        </row>
        <row r="551">
          <cell r="B551">
            <v>0</v>
          </cell>
        </row>
        <row r="552">
          <cell r="B552" t="str">
            <v>BRAZO PASTORAL</v>
          </cell>
        </row>
        <row r="553">
          <cell r="B553" t="str">
            <v>Tableros de Fuerza y Control con puerta.</v>
          </cell>
        </row>
        <row r="554">
          <cell r="B554" t="str">
            <v>Murete en la Base de cada poste de 20.00 mts.</v>
          </cell>
        </row>
        <row r="555">
          <cell r="B555">
            <v>0</v>
          </cell>
        </row>
        <row r="556">
          <cell r="B556" t="str">
            <v>Corona Exagonal de 3" x 2" x 2.00 mts en tubo rectangular Galvanizado en Caliente (Ver Detalle de Plano)</v>
          </cell>
        </row>
        <row r="557">
          <cell r="B557" t="str">
            <v>Corona Octogonal de 3" x 2" x 2.00 mtsen tubo rectangular Galvanizado en Caliente (Ver Detalle de Plano)</v>
          </cell>
        </row>
        <row r="558">
          <cell r="B558">
            <v>0</v>
          </cell>
        </row>
        <row r="559">
          <cell r="B559" t="str">
            <v>Marco y Tapa de Fierre Fundido Laminado, P^ Buzon 600MM</v>
          </cell>
        </row>
        <row r="560">
          <cell r="B560" t="str">
            <v>Marco y Tapa de Fierre Fundido Laminado, P^ Buzon 795MM</v>
          </cell>
        </row>
        <row r="561">
          <cell r="B561" t="str">
            <v>Marco y Tapa de Fierre Fundido Laminado, P^ Buzon 1000MM</v>
          </cell>
        </row>
        <row r="562">
          <cell r="B562" t="str">
            <v>Marco y Tapa de Fierre Fundido Ductil, P^ Buzon 600MM</v>
          </cell>
        </row>
        <row r="563">
          <cell r="B563" t="str">
            <v>Marco y Tapa de Fierre Fundido Ductil, P^ Buzon 795MM</v>
          </cell>
        </row>
        <row r="564">
          <cell r="B564" t="str">
            <v>Marco y Tapa de Fierre Fundido Ductil, P^ Buzon 1000MM</v>
          </cell>
        </row>
        <row r="565">
          <cell r="B565" t="str">
            <v>Marco y Tapa de Fierre Fundido Ductil, P^ Buzon 600MM Sistema de Lap</v>
          </cell>
        </row>
        <row r="566">
          <cell r="B566">
            <v>0</v>
          </cell>
        </row>
        <row r="567">
          <cell r="B567" t="str">
            <v>Peldaño escalera tipo gato</v>
          </cell>
        </row>
        <row r="568">
          <cell r="B568">
            <v>0</v>
          </cell>
        </row>
        <row r="569">
          <cell r="B569" t="str">
            <v>Cruceta Simetrica 1.2m/300kg</v>
          </cell>
        </row>
        <row r="570">
          <cell r="B570" t="str">
            <v>Cruceta Simetrica 1.5m/300kg</v>
          </cell>
        </row>
        <row r="571">
          <cell r="B571" t="str">
            <v>Cruceta Simetrica 1.5m/400kg</v>
          </cell>
        </row>
        <row r="572">
          <cell r="B572" t="str">
            <v>Cruceta Simetrica 2.0m/500kg</v>
          </cell>
        </row>
        <row r="573">
          <cell r="B573" t="str">
            <v>Cruceta Simetrica 2.4m/600kg</v>
          </cell>
        </row>
        <row r="574">
          <cell r="B574" t="str">
            <v>Cruceta Asimetrica 1.5m/0.9m/250kg</v>
          </cell>
        </row>
        <row r="575">
          <cell r="B575" t="str">
            <v>Cruceta Asimetrica 1.8m/1.2m/250kg</v>
          </cell>
        </row>
        <row r="576">
          <cell r="B576" t="str">
            <v>Cruceta Asimetrica 2.0m/1.2m/300kg</v>
          </cell>
        </row>
        <row r="577">
          <cell r="B577">
            <v>0</v>
          </cell>
        </row>
        <row r="578">
          <cell r="B578" t="str">
            <v>Pastorales de C.A.V. Parabolico Simple 1.5/1.3/125</v>
          </cell>
        </row>
        <row r="579">
          <cell r="B579" t="str">
            <v>Pastorales de C.A.V. Parabolico Doble 1.5/1.3/126</v>
          </cell>
        </row>
        <row r="580">
          <cell r="B580">
            <v>0</v>
          </cell>
        </row>
        <row r="581">
          <cell r="B581" t="str">
            <v>Pastorales de C.A.V. Sucre C Largo  PD/1.30/0.90/125</v>
          </cell>
        </row>
        <row r="582">
          <cell r="B582" t="str">
            <v>Pastorales de C.A.V. Sucre C Largo  PT/1.30/0.90/125</v>
          </cell>
        </row>
        <row r="583">
          <cell r="B583" t="str">
            <v>Pastorales de C.A.V. Sucre C Largo  PS/1.30/0.90/125</v>
          </cell>
        </row>
        <row r="584">
          <cell r="B584" t="str">
            <v>Pastorales de C.A.V. Sucre C Recortado  PS/0.5/0.25/125</v>
          </cell>
        </row>
        <row r="585">
          <cell r="B585" t="str">
            <v>Pastorales de C.A.V. Sucre C Recortado  PD/0.5/0.25/126</v>
          </cell>
        </row>
        <row r="586">
          <cell r="B586" t="str">
            <v>Pastorales de C.A.V. Sucre C Recortado  PT/0.5/0.25/127</v>
          </cell>
        </row>
        <row r="587">
          <cell r="B587">
            <v>0</v>
          </cell>
        </row>
        <row r="588">
          <cell r="B588" t="str">
            <v>Plataforma Soporte de Transformador / Media loza 1.10/750/50 a 250 KVA 320</v>
          </cell>
        </row>
        <row r="589">
          <cell r="B589" t="str">
            <v>Plataforma Soporte de Transformador / Media loza 1.15/2600/400 a 630 KVA 350</v>
          </cell>
        </row>
        <row r="590">
          <cell r="B590">
            <v>0</v>
          </cell>
        </row>
        <row r="591">
          <cell r="B591" t="str">
            <v>Palomilla C.A. ( SABl)  2.20m/100</v>
          </cell>
        </row>
        <row r="592">
          <cell r="B592" t="str">
            <v>Media Palomilla (SAM)  1.10m/50</v>
          </cell>
        </row>
        <row r="593">
          <cell r="B593">
            <v>0</v>
          </cell>
        </row>
        <row r="594">
          <cell r="B594" t="str">
            <v>Bloque de anclaje de C.A.V.  0.40x0.40x0.20/210kg/cm2</v>
          </cell>
        </row>
        <row r="595">
          <cell r="B595" t="str">
            <v>Bloque de anclaje de C.A.V.  0.50x0.50x0.20/210kg/cm2</v>
          </cell>
        </row>
        <row r="596">
          <cell r="B596" t="str">
            <v>Bloque de anclaje de C.A.V.  0.40x0.40x0.15/210kg/cm2</v>
          </cell>
        </row>
        <row r="597">
          <cell r="B597" t="str">
            <v>Bloque de anclaje de C.A.V.  0.50x0.50x0.15/210kg/cm2</v>
          </cell>
        </row>
        <row r="598">
          <cell r="B598">
            <v>0</v>
          </cell>
        </row>
        <row r="599">
          <cell r="B599" t="str">
            <v>Bloque de C.A. Contra Impacto 1.60m/700/210kg</v>
          </cell>
        </row>
        <row r="600">
          <cell r="B600" t="str">
            <v>Bloque de C.A. Contra Impacto 2.00m/1020/210kg</v>
          </cell>
        </row>
        <row r="601">
          <cell r="B601" t="str">
            <v>Viga  " I " 6" x 5mm</v>
          </cell>
        </row>
        <row r="602">
          <cell r="B602">
            <v>0</v>
          </cell>
        </row>
        <row r="603">
          <cell r="B603">
            <v>0</v>
          </cell>
        </row>
        <row r="604">
          <cell r="B604">
            <v>0</v>
          </cell>
        </row>
        <row r="605">
          <cell r="B605">
            <v>0</v>
          </cell>
        </row>
        <row r="606">
          <cell r="B606">
            <v>0</v>
          </cell>
        </row>
        <row r="607">
          <cell r="B607" t="str">
            <v>Material para Lines de Media Tension</v>
          </cell>
        </row>
        <row r="608">
          <cell r="B608">
            <v>0</v>
          </cell>
        </row>
        <row r="609">
          <cell r="B609" t="str">
            <v>Plataforma de Soporte C.A 1.10m 314MMD</v>
          </cell>
        </row>
        <row r="610">
          <cell r="B610" t="str">
            <v>Plataforma de Soporte C.A 1.50 - 750 KG</v>
          </cell>
        </row>
        <row r="611">
          <cell r="B611" t="str">
            <v>Palomilla Doble de C.A 2.20. 240MMD</v>
          </cell>
        </row>
        <row r="612">
          <cell r="B612" t="str">
            <v>Zapata C.A 500x500x200 MM-TP. Cuadrado</v>
          </cell>
        </row>
        <row r="613">
          <cell r="B613" t="str">
            <v>Cable de Aluminio AAAC 50MM2 7 HILOS</v>
          </cell>
        </row>
        <row r="614">
          <cell r="B614" t="str">
            <v>Cable de Aluminio AAAC 70MM2 19 HILOS</v>
          </cell>
        </row>
        <row r="615">
          <cell r="B615" t="str">
            <v>Cable de Aluminio AAAC 120MM2 19 HILOS</v>
          </cell>
        </row>
        <row r="616">
          <cell r="B616">
            <v>0</v>
          </cell>
        </row>
        <row r="617">
          <cell r="B617" t="str">
            <v>Seccionador CUT OUT 27KV 100A 125KVBIL-12KA NEMA B</v>
          </cell>
        </row>
        <row r="618">
          <cell r="B618" t="str">
            <v>Seccionador CUT OUT 38KV 100A 170KVBIL-10KA NEMA B</v>
          </cell>
        </row>
        <row r="619">
          <cell r="B619" t="str">
            <v>Fusible Chicote TP "K" 25A/27KV 10KA 730MM Cabeza remov</v>
          </cell>
        </row>
        <row r="620">
          <cell r="B620">
            <v>0</v>
          </cell>
        </row>
        <row r="621">
          <cell r="B621" t="str">
            <v>Asilador de Porcelana tipo pin 25kv clase56-2, LF 432MM</v>
          </cell>
        </row>
        <row r="622">
          <cell r="B622" t="str">
            <v>AISLADOR POLIMERICO TP.PIN P/LINEAS AEREAS 22 9KV.</v>
          </cell>
        </row>
        <row r="623">
          <cell r="B623" t="str">
            <v>SOPORTE METALICO PASANTE DE ACERO PARA AISLADOR POLIMERICO TIPO PIN DE 22,9 KV</v>
          </cell>
        </row>
        <row r="624">
          <cell r="B624" t="str">
            <v>AISLADOR POLIMERICO TP.SUSPENSION / ANCLAJE 35KV 569MM LONG. L.F. 915MM 70KN C.ACCESORIOS</v>
          </cell>
        </row>
        <row r="625">
          <cell r="B625" t="str">
            <v>SECCIONADOR FUSIBLE UNIPOLAR TP.C 27KV 200A 10KA L.F. 440MM 150KV BIL EXTERIOR</v>
          </cell>
        </row>
        <row r="626">
          <cell r="B626" t="str">
            <v>ARANDELA CUADRADA PLANA DE ACERO GALV. 55 X 4,5MM C.AGUJERO 17,5MM DIAM</v>
          </cell>
        </row>
        <row r="627">
          <cell r="B627" t="str">
            <v>ARANDELA CUADRADA CURVA DE ACERO GALV. 3" X 3" X 3/16" C.AGUJERO 11/16" DIAM</v>
          </cell>
        </row>
        <row r="628">
          <cell r="B628" t="str">
            <v>PERNO CON OJAL DE ACERO GALV. 5/8" X 10", ROSCA 6" C.ACCESORIOS</v>
          </cell>
        </row>
        <row r="629">
          <cell r="B629" t="str">
            <v>PLANCHA DE COBRE P.LINEA A TIERRA C.AGUJERO 20MM DIAM.</v>
          </cell>
        </row>
        <row r="630">
          <cell r="B630" t="str">
            <v>OJAL ROSCADO AC.GALV. DE 5/8PULG.D. X80MML. P.L.A.</v>
          </cell>
        </row>
        <row r="631">
          <cell r="B631" t="str">
            <v>FLEJE AC. INOX. ANCHO 19MM.</v>
          </cell>
        </row>
        <row r="632">
          <cell r="B632" t="str">
            <v>GRAPA (HEBILLA) AC. INOX. P.FLEJE 19MM ANCHO.</v>
          </cell>
        </row>
        <row r="633">
          <cell r="B633" t="str">
            <v>FUSIBLE DE EXPULSION TIPO K - ANSI CABEZA REMOVIBLE 15A 36KV P.SECCIONADOR FUSIBLE UNIPOLAR</v>
          </cell>
        </row>
        <row r="634">
          <cell r="B634" t="str">
            <v>Medidor</v>
          </cell>
        </row>
        <row r="635">
          <cell r="B635" t="str">
            <v>Sistema de Medición y Protección</v>
          </cell>
        </row>
        <row r="636">
          <cell r="B636" t="str">
            <v>Kit de Empalme 3M para cable N2XSY de 35mm2 /15KV ( Tres Fases)</v>
          </cell>
        </row>
        <row r="637">
          <cell r="B637" t="str">
            <v>Kit de Empalme 3M para cable N2XSY de 50mm2 /15KV ( Tres Fases)</v>
          </cell>
        </row>
        <row r="638">
          <cell r="B638" t="str">
            <v>Kit de Empalme 3M para cable N2XSY de 70mm2 /15KV ( Tres Fases)</v>
          </cell>
        </row>
        <row r="639">
          <cell r="B639" t="str">
            <v>Kit de terminacion 3M para cable N2XSY de 50mm2 /20KV ( Tres Fases)</v>
          </cell>
        </row>
        <row r="640">
          <cell r="B640">
            <v>0</v>
          </cell>
        </row>
        <row r="641">
          <cell r="B641">
            <v>0</v>
          </cell>
        </row>
        <row r="642">
          <cell r="B642">
            <v>0</v>
          </cell>
        </row>
        <row r="643">
          <cell r="B643">
            <v>0</v>
          </cell>
        </row>
        <row r="644">
          <cell r="B644" t="str">
            <v>Material de Anclaje y Ferreteria Electrica.</v>
          </cell>
        </row>
        <row r="645">
          <cell r="B645">
            <v>0</v>
          </cell>
        </row>
        <row r="646">
          <cell r="B646" t="str">
            <v>Cable Acerado Galvanizado 2.0mm</v>
          </cell>
        </row>
        <row r="647">
          <cell r="B647" t="str">
            <v>Grampa - Candado Para Cable Liv. 3mm (1/8)</v>
          </cell>
        </row>
        <row r="648">
          <cell r="B648" t="str">
            <v>Gancho 1 1/2" ac. Galv.</v>
          </cell>
        </row>
        <row r="649">
          <cell r="B649" t="str">
            <v>cable de acero galvanizado 3/16"</v>
          </cell>
        </row>
        <row r="650">
          <cell r="B650" t="str">
            <v>cable de acero galvanizado nº8</v>
          </cell>
        </row>
        <row r="651">
          <cell r="B651" t="str">
            <v>abrazadera para cable 3/16"</v>
          </cell>
        </row>
        <row r="652">
          <cell r="B652" t="str">
            <v>contratuerca</v>
          </cell>
        </row>
        <row r="653">
          <cell r="B653" t="str">
            <v>perno tipo ojo 3/8"</v>
          </cell>
        </row>
        <row r="654">
          <cell r="B654">
            <v>0</v>
          </cell>
        </row>
        <row r="655">
          <cell r="B655" t="str">
            <v>cintillo color Blanco 100x3mm</v>
          </cell>
        </row>
        <row r="656">
          <cell r="B656" t="str">
            <v>cintillo color Blanco 150x3.6mm</v>
          </cell>
        </row>
        <row r="657">
          <cell r="B657" t="str">
            <v>cintillo color Blanco 200x4.8mm</v>
          </cell>
        </row>
        <row r="658">
          <cell r="B658" t="str">
            <v>cintillo color Blanco 250x5mm</v>
          </cell>
        </row>
        <row r="659">
          <cell r="B659" t="str">
            <v>cintillo color Blanco 300x5mm</v>
          </cell>
        </row>
        <row r="660">
          <cell r="B660" t="str">
            <v>cintillo color Blanco 350x5mm</v>
          </cell>
        </row>
        <row r="661">
          <cell r="B661" t="str">
            <v>cintillo color Blanco 400x8mm</v>
          </cell>
        </row>
        <row r="662">
          <cell r="B662">
            <v>0</v>
          </cell>
        </row>
        <row r="663">
          <cell r="B663" t="str">
            <v>cintillo color Negro150x3.6mm</v>
          </cell>
        </row>
        <row r="664">
          <cell r="B664" t="str">
            <v>cintillo color Negro 200x3.6mm</v>
          </cell>
        </row>
        <row r="665">
          <cell r="B665" t="str">
            <v>cintillo color Negro 250x4.8mm</v>
          </cell>
        </row>
        <row r="666">
          <cell r="B666" t="str">
            <v>cintillo color Negro 300x4.8mm</v>
          </cell>
        </row>
        <row r="667">
          <cell r="B667" t="str">
            <v>cintillo color Negro 526x9mm</v>
          </cell>
        </row>
        <row r="668">
          <cell r="B668">
            <v>0</v>
          </cell>
        </row>
        <row r="669">
          <cell r="B669" t="str">
            <v>Cable de Acero Galvanizado 1.6mm (1/16")</v>
          </cell>
        </row>
        <row r="670">
          <cell r="B670" t="str">
            <v>Cable de Acero Galvanizado 2mm (5/64")</v>
          </cell>
        </row>
        <row r="671">
          <cell r="B671" t="str">
            <v>Cable de Acero Galvanizado 3mm (1/8")</v>
          </cell>
        </row>
        <row r="672">
          <cell r="B672" t="str">
            <v>Cable de Acero Galvanizado 4mm (5/32")</v>
          </cell>
        </row>
        <row r="673">
          <cell r="B673">
            <v>0</v>
          </cell>
        </row>
        <row r="674">
          <cell r="B674" t="str">
            <v>Cinta Aislante 3M 1000 / 1600 Temflex</v>
          </cell>
        </row>
        <row r="675">
          <cell r="B675" t="str">
            <v>Cinta Aislante 3M 1700 Temflex</v>
          </cell>
        </row>
        <row r="676">
          <cell r="B676" t="str">
            <v>Cinta Aislante 3M Scotch Super 33+</v>
          </cell>
        </row>
        <row r="677">
          <cell r="B677" t="str">
            <v>Cinta Aislante 3M Scotch  35  (Colores)</v>
          </cell>
        </row>
        <row r="678">
          <cell r="B678" t="str">
            <v>Cinta 3M Scotch 23</v>
          </cell>
        </row>
        <row r="679">
          <cell r="B679" t="str">
            <v>Cinta Vulcanizante Scotch 23</v>
          </cell>
        </row>
        <row r="680">
          <cell r="B680" t="str">
            <v>Marcador de Cto para cable</v>
          </cell>
        </row>
        <row r="681">
          <cell r="B681">
            <v>0</v>
          </cell>
        </row>
        <row r="682">
          <cell r="B682" t="str">
            <v>Tarugos</v>
          </cell>
        </row>
        <row r="683">
          <cell r="B683" t="str">
            <v>Tarugos azul 5/16" x 1.1/2"</v>
          </cell>
        </row>
        <row r="684">
          <cell r="B684">
            <v>0</v>
          </cell>
        </row>
        <row r="685">
          <cell r="B685" t="str">
            <v>Tornillos</v>
          </cell>
        </row>
        <row r="686">
          <cell r="B686" t="str">
            <v>Tornillos Autorroscante PAN 5/16 x 1.1/2"</v>
          </cell>
        </row>
        <row r="687">
          <cell r="B687">
            <v>0</v>
          </cell>
        </row>
        <row r="688">
          <cell r="B688" t="str">
            <v>Fulminante tiro a tiro color Verde</v>
          </cell>
        </row>
        <row r="689">
          <cell r="B689" t="str">
            <v>Fulminante tiro a tiro color Marron</v>
          </cell>
        </row>
        <row r="690">
          <cell r="B690" t="str">
            <v>Clavo p/fulminante de 3/4"</v>
          </cell>
        </row>
        <row r="691">
          <cell r="B691" t="str">
            <v>Clavo p/fulminante de 1"</v>
          </cell>
        </row>
        <row r="692">
          <cell r="B692">
            <v>0</v>
          </cell>
        </row>
        <row r="693">
          <cell r="B693" t="str">
            <v>Pernos Zincado de 3/8" x 1/2"</v>
          </cell>
        </row>
        <row r="694">
          <cell r="B694" t="str">
            <v>Pernos Zincado de 3/8" x 3/4"</v>
          </cell>
        </row>
        <row r="695">
          <cell r="B695" t="str">
            <v>Pernos Zincado de 3/8" x 1"</v>
          </cell>
        </row>
        <row r="696">
          <cell r="B696" t="str">
            <v>Pernos Zincado de 3/8" x 1 1/2"</v>
          </cell>
        </row>
        <row r="697">
          <cell r="B697" t="str">
            <v>Pernos Zincado de 1/2" x 1"</v>
          </cell>
        </row>
        <row r="698">
          <cell r="B698" t="str">
            <v>Pernos Zincado de 1/2" x 1 1/2"</v>
          </cell>
        </row>
        <row r="699">
          <cell r="B699">
            <v>0</v>
          </cell>
        </row>
        <row r="700">
          <cell r="B700" t="str">
            <v>Prensaestopa de PVC gris PG7 para cable - IP68  - Inc. Tuerca</v>
          </cell>
        </row>
        <row r="701">
          <cell r="B701" t="str">
            <v>Prensaestopa de PVC gris PG9 para cable - IP68  - Inc. Tuerca</v>
          </cell>
        </row>
        <row r="702">
          <cell r="B702" t="str">
            <v>Prensaestopa de PVC gris PG11 para cable - IP68  - Inc. Tuerca</v>
          </cell>
        </row>
        <row r="703">
          <cell r="B703" t="str">
            <v>Prensaestopa de PVC gris PG13 para cable - IP68  - Inc. Tuerca</v>
          </cell>
        </row>
        <row r="704">
          <cell r="B704" t="str">
            <v>Prensaestopa de PVC gris PG16 para cable - IP68  - Inc. Tuerca</v>
          </cell>
        </row>
        <row r="705">
          <cell r="B705" t="str">
            <v>Prensaestopa de PVC gris PG21 para cable - IP68  - Inc. Tuerca</v>
          </cell>
        </row>
        <row r="706">
          <cell r="B706" t="str">
            <v>Prensaestopa de PVC gris PG29 para cable - IP68  - Inc. Tuerca</v>
          </cell>
        </row>
        <row r="707">
          <cell r="B707" t="str">
            <v>Prensaestopa de PVC gris PG36 para cable - IP68  - Inc. Tuerca</v>
          </cell>
        </row>
        <row r="708">
          <cell r="B708" t="str">
            <v>Prensaestopa de PVC gris PG42 para cable - IP68  - Inc. Tuerca</v>
          </cell>
        </row>
        <row r="709">
          <cell r="B709" t="str">
            <v>Prensaestopa de PVC gris PG48 para cable - IP68  - Inc. Tuerca</v>
          </cell>
        </row>
        <row r="710">
          <cell r="B710">
            <v>0</v>
          </cell>
        </row>
        <row r="711">
          <cell r="B711" t="str">
            <v>Tacos tipo Hil Tin de 3/8"</v>
          </cell>
        </row>
        <row r="712">
          <cell r="B712" t="str">
            <v>Tacos tipo Hil Tin de 1/2"</v>
          </cell>
        </row>
        <row r="713">
          <cell r="B713" t="str">
            <v>Tacos de Expansión de 3/8"</v>
          </cell>
        </row>
        <row r="714">
          <cell r="B714" t="str">
            <v>Tacos de Expansión de 1/2"</v>
          </cell>
        </row>
        <row r="715">
          <cell r="B715">
            <v>0</v>
          </cell>
        </row>
        <row r="716">
          <cell r="B716">
            <v>0</v>
          </cell>
        </row>
        <row r="717">
          <cell r="B717" t="str">
            <v>Empalme Recto Autocontraible 6 - 16mm2 1KV</v>
          </cell>
        </row>
        <row r="718">
          <cell r="B718" t="str">
            <v>Empalme Recto Autocontraible 35 - 50mm2 1KV</v>
          </cell>
        </row>
        <row r="719">
          <cell r="B719" t="str">
            <v>Empalme Recto Autocontraible 70 - 125mm2 1KV</v>
          </cell>
        </row>
        <row r="720">
          <cell r="B720" t="str">
            <v>Empalme Recto Autocontraible 125 - 185mm2 1KV</v>
          </cell>
        </row>
        <row r="721">
          <cell r="B721" t="str">
            <v>Empalme Recto Autocontraible 300 - 400mm2 1KV</v>
          </cell>
        </row>
        <row r="722">
          <cell r="B722" t="str">
            <v>Empalme Recto Autocontraible 500mm2 1KV</v>
          </cell>
        </row>
        <row r="723">
          <cell r="B723">
            <v>0</v>
          </cell>
        </row>
        <row r="724">
          <cell r="B724" t="str">
            <v>Empalme Acometida Recto o Derivacion 6 - 10mm2 1KV</v>
          </cell>
        </row>
        <row r="725">
          <cell r="B725" t="str">
            <v>Empalme Acometida Recto o Derivacion 16 - 35mm2 1KV</v>
          </cell>
        </row>
        <row r="726">
          <cell r="B726" t="str">
            <v>Empalme Acometida Recto o Derivacion 70mm2 1KV</v>
          </cell>
        </row>
        <row r="727">
          <cell r="B727" t="str">
            <v>Empalme Acometida Recto o Derivacion 120 - 185mm2 1KV</v>
          </cell>
        </row>
        <row r="728">
          <cell r="B728">
            <v>0</v>
          </cell>
        </row>
        <row r="729">
          <cell r="B729" t="str">
            <v>Abrazadera de 25mm  1-OR  SAP</v>
          </cell>
        </row>
        <row r="730">
          <cell r="B730" t="str">
            <v>Abrazadera de 32mm  1-OR  SAP</v>
          </cell>
        </row>
        <row r="731">
          <cell r="B731" t="str">
            <v>Abrazadera de 40mm  1-OR  SAP</v>
          </cell>
        </row>
        <row r="732">
          <cell r="B732" t="str">
            <v>Abrazadera de 50mm  1-OR  SAP</v>
          </cell>
        </row>
        <row r="733">
          <cell r="B733" t="str">
            <v>Abrazadera de 65mm  1-OR  SAP</v>
          </cell>
        </row>
        <row r="734">
          <cell r="B734" t="str">
            <v>Abrazadera de 80mm  1-OR  SAP</v>
          </cell>
        </row>
        <row r="735">
          <cell r="B735" t="str">
            <v>Abrazadera de 100mm  1-OR  SAP</v>
          </cell>
        </row>
        <row r="736">
          <cell r="B736">
            <v>0</v>
          </cell>
        </row>
        <row r="737">
          <cell r="B737" t="str">
            <v>Abrazadera de 20mm  2-OR  SAP</v>
          </cell>
        </row>
        <row r="738">
          <cell r="B738" t="str">
            <v>Abrazadera de 25mm  2-OR  SAP</v>
          </cell>
        </row>
        <row r="739">
          <cell r="B739" t="str">
            <v>Abrazadera de 35mm  2-OR  SAP</v>
          </cell>
        </row>
        <row r="740">
          <cell r="B740" t="str">
            <v>Abrazadera de 40mm  2-OR  SAP</v>
          </cell>
        </row>
        <row r="741">
          <cell r="B741" t="str">
            <v>Abrazadera de 50mm  2-OR  SAP</v>
          </cell>
        </row>
        <row r="742">
          <cell r="B742" t="str">
            <v>Abrazadera de 65mm  2-OR  SAP</v>
          </cell>
        </row>
        <row r="743">
          <cell r="B743" t="str">
            <v>Abrazadera de 80mm  2-OR  SAP</v>
          </cell>
        </row>
        <row r="744">
          <cell r="B744" t="str">
            <v>Abrazadera de 100mm  2-OR  SAP</v>
          </cell>
        </row>
        <row r="745">
          <cell r="B745">
            <v>0</v>
          </cell>
        </row>
        <row r="746">
          <cell r="B746" t="str">
            <v>Abrazadera p/riel unistrut 1/2" Acero Galv.</v>
          </cell>
        </row>
        <row r="747">
          <cell r="B747" t="str">
            <v>Abrazadera p/riel unistrut 3/4" Acero Galv.</v>
          </cell>
        </row>
        <row r="748">
          <cell r="B748" t="str">
            <v>Abrazadera p/riel unistrut 1" Acero Galv.</v>
          </cell>
        </row>
        <row r="749">
          <cell r="B749" t="str">
            <v>Abrazadera p/riel unistrut 1 1/4" Acero Galv.</v>
          </cell>
        </row>
        <row r="750">
          <cell r="B750" t="str">
            <v>Abrazadera p/riel unistrut 1 1/2" Acero Galv.</v>
          </cell>
        </row>
        <row r="751">
          <cell r="B751" t="str">
            <v>Abrazadera p/riel unistrut  2" Acero Galv.</v>
          </cell>
        </row>
        <row r="752">
          <cell r="B752" t="str">
            <v>Abrazadera p/riel unistrut  2 1/2" Acero Galv.</v>
          </cell>
        </row>
        <row r="753">
          <cell r="B753" t="str">
            <v>Abrazadera p/riel unistrut  3" Acero Galv.</v>
          </cell>
        </row>
        <row r="754">
          <cell r="B754" t="str">
            <v>Abrazadera p/riel unistrut  4" Acero Galv.</v>
          </cell>
        </row>
        <row r="755">
          <cell r="B755" t="str">
            <v>Abrazadera p/riel unistrut  6" Acero Galv.</v>
          </cell>
        </row>
        <row r="756">
          <cell r="B756">
            <v>0</v>
          </cell>
        </row>
        <row r="757">
          <cell r="B757" t="str">
            <v>terminales 1.5mm2 Tipo Ojal</v>
          </cell>
        </row>
        <row r="758">
          <cell r="B758" t="str">
            <v>terminales 2.5mm2 Tipo Ojal</v>
          </cell>
        </row>
        <row r="759">
          <cell r="B759" t="str">
            <v>terminales 4mm2 Tipo Ojal</v>
          </cell>
        </row>
        <row r="760">
          <cell r="B760" t="str">
            <v>terminales 6mm2 Tipo Ojal</v>
          </cell>
        </row>
        <row r="761">
          <cell r="B761" t="str">
            <v>terminales 10mm2 Tipo Ojal</v>
          </cell>
        </row>
        <row r="762">
          <cell r="B762" t="str">
            <v>terminales 16mm2 Tipo Ojal</v>
          </cell>
        </row>
        <row r="763">
          <cell r="B763" t="str">
            <v>terminales 25mm2 Tipo Ojal</v>
          </cell>
        </row>
        <row r="764">
          <cell r="B764" t="str">
            <v>terminales 35mm2 Tipo Ojal</v>
          </cell>
        </row>
        <row r="765">
          <cell r="B765" t="str">
            <v>terminales 50mm2 Tipo Ojal</v>
          </cell>
        </row>
        <row r="766">
          <cell r="B766" t="str">
            <v>terminales 70mm2 Tipo Ojal</v>
          </cell>
        </row>
        <row r="767">
          <cell r="B767" t="str">
            <v>terminales 95mm2 Tipo Ojal</v>
          </cell>
        </row>
        <row r="768">
          <cell r="B768" t="str">
            <v>terminales 120mm2 Tipo Ojal</v>
          </cell>
        </row>
        <row r="769">
          <cell r="B769" t="str">
            <v>terminales 150mm2 Tipo Ojal</v>
          </cell>
        </row>
        <row r="770">
          <cell r="B770" t="str">
            <v>terminales 185mm2 Tipo Ojal</v>
          </cell>
        </row>
        <row r="771">
          <cell r="B771" t="str">
            <v>terminales 240mm2 Tipo Ojal</v>
          </cell>
        </row>
        <row r="772">
          <cell r="B772" t="str">
            <v>terminales 300mm2 Tipo Ojal</v>
          </cell>
        </row>
        <row r="773">
          <cell r="B773" t="str">
            <v>terminales 2/0 AWG Tipo Ojal</v>
          </cell>
        </row>
        <row r="774">
          <cell r="B774">
            <v>0</v>
          </cell>
        </row>
        <row r="775">
          <cell r="B775" t="str">
            <v>Terminal Punta para cable de 2.5mm2</v>
          </cell>
        </row>
        <row r="776">
          <cell r="B776" t="str">
            <v>Terminal Punta para cable de 4mm2</v>
          </cell>
        </row>
        <row r="777">
          <cell r="B777" t="str">
            <v>Terminal Punta para cable de 6mm2</v>
          </cell>
        </row>
        <row r="778">
          <cell r="B778" t="str">
            <v>Terminal de Punta de Compresion para cable de 10mm2</v>
          </cell>
        </row>
        <row r="779">
          <cell r="B779" t="str">
            <v>Terminal de Punta de Compresion para cable de 16mm3</v>
          </cell>
        </row>
        <row r="780">
          <cell r="B780" t="str">
            <v>Terminal de Punta de Compresion para cable de 25mm4</v>
          </cell>
        </row>
        <row r="781">
          <cell r="B781" t="str">
            <v>Terminal de Punta de Compresion para cable de 35mm5</v>
          </cell>
        </row>
        <row r="782">
          <cell r="B782">
            <v>0</v>
          </cell>
        </row>
        <row r="783">
          <cell r="B783" t="str">
            <v>Pegamento PVC (1GL)</v>
          </cell>
        </row>
        <row r="784">
          <cell r="B784">
            <v>0</v>
          </cell>
        </row>
        <row r="785">
          <cell r="B785">
            <v>0</v>
          </cell>
        </row>
        <row r="786">
          <cell r="B786">
            <v>0</v>
          </cell>
        </row>
        <row r="787">
          <cell r="B787" t="str">
            <v>Tomacorriente, Interruptores, Placas, Etc</v>
          </cell>
        </row>
        <row r="788">
          <cell r="B788">
            <v>0</v>
          </cell>
        </row>
        <row r="789">
          <cell r="B789">
            <v>0</v>
          </cell>
        </row>
        <row r="790">
          <cell r="B790" t="str">
            <v>Pulsador doble NO LUMINOSO, VERDE/ROJO, 230V ac-dc, inc. contacto NA+NC  LEGRAND</v>
          </cell>
        </row>
        <row r="791">
          <cell r="B791" t="str">
            <v>Seccionador Monofasico</v>
          </cell>
        </row>
        <row r="792">
          <cell r="B792" t="str">
            <v>Seccionador Trifasico</v>
          </cell>
        </row>
        <row r="793">
          <cell r="B793" t="str">
            <v>Timbre chichara</v>
          </cell>
        </row>
        <row r="794">
          <cell r="B794" t="str">
            <v>Baliza Intermitente Legrand Ref. 41344</v>
          </cell>
        </row>
        <row r="795">
          <cell r="B795" t="str">
            <v>Timbre Campanilla</v>
          </cell>
        </row>
        <row r="796">
          <cell r="B796" t="str">
            <v>Timbre Ding Dong</v>
          </cell>
        </row>
        <row r="797">
          <cell r="B797" t="str">
            <v>Timbre Zumbador</v>
          </cell>
        </row>
        <row r="798">
          <cell r="B798" t="str">
            <v>Seccionador monofásico 1x16A</v>
          </cell>
        </row>
        <row r="799">
          <cell r="B799" t="str">
            <v>Seccionador monofásico 1x40A</v>
          </cell>
        </row>
        <row r="800">
          <cell r="B800" t="str">
            <v xml:space="preserve">Seccionador monofásico 1x63A </v>
          </cell>
        </row>
        <row r="801">
          <cell r="B801" t="str">
            <v>Seccionador Trifásico 3x16A</v>
          </cell>
        </row>
        <row r="802">
          <cell r="B802" t="str">
            <v>Seccionador Trifásico 3x20A</v>
          </cell>
        </row>
        <row r="803">
          <cell r="B803" t="str">
            <v>Seccionador Trifásico 3x32A</v>
          </cell>
        </row>
        <row r="804">
          <cell r="B804" t="str">
            <v>Placa de Acero galvanizado 250x250x3mm para seccionador</v>
          </cell>
        </row>
        <row r="805">
          <cell r="B805">
            <v>0</v>
          </cell>
        </row>
        <row r="806">
          <cell r="B806" t="str">
            <v>Interruptor Magic 5001 unipolar de 16A</v>
          </cell>
        </row>
        <row r="807">
          <cell r="B807" t="str">
            <v>Interruptor Magic 5011 bipolar de 16A</v>
          </cell>
        </row>
        <row r="808">
          <cell r="B808" t="str">
            <v>Interruptor Magic 5007D bipolar con llave 10A</v>
          </cell>
        </row>
        <row r="809">
          <cell r="B809">
            <v>0</v>
          </cell>
        </row>
        <row r="810">
          <cell r="B810" t="str">
            <v>Interruptor para Conmutacion Magic 5003 de 3 vias 16A</v>
          </cell>
        </row>
        <row r="811">
          <cell r="B811" t="str">
            <v>Interruptor para Conmutacion Magic 5003 de 4 vias 16A</v>
          </cell>
        </row>
        <row r="812">
          <cell r="B812" t="str">
            <v>Interruptor para Conmutacion Magic 5003 de 3 vias con llave 10A</v>
          </cell>
        </row>
        <row r="813">
          <cell r="B813">
            <v>0</v>
          </cell>
        </row>
        <row r="814">
          <cell r="B814" t="str">
            <v>Pulsador Unipolar Magic 10A (NA)</v>
          </cell>
        </row>
        <row r="815">
          <cell r="B815" t="str">
            <v>Pulsador Unipolar con luz piloto Magic 10A (NA)</v>
          </cell>
        </row>
        <row r="816">
          <cell r="B816">
            <v>0</v>
          </cell>
        </row>
        <row r="817">
          <cell r="B817" t="str">
            <v>Tomacorriente Magic 5180 2P+T 10 y 16A tipo bipaso</v>
          </cell>
        </row>
        <row r="818">
          <cell r="B818" t="str">
            <v xml:space="preserve">Tomacorriente Magic 5113 2P+T 10A </v>
          </cell>
        </row>
        <row r="819">
          <cell r="B819" t="str">
            <v>Tomacorriente Magic 5028 2P+T 15A 220V</v>
          </cell>
        </row>
        <row r="820">
          <cell r="B820" t="str">
            <v xml:space="preserve">Tomacorriente de Seguridad Magic 5100 2P+T 10A </v>
          </cell>
        </row>
        <row r="821">
          <cell r="B821" t="str">
            <v xml:space="preserve">Tomacorriente de Seguridad Magic 5300 2P+T 16A </v>
          </cell>
        </row>
        <row r="822">
          <cell r="B822" t="str">
            <v xml:space="preserve">Tomacorriente de Seguridad Magic 5139 2P+T 20A </v>
          </cell>
        </row>
        <row r="823">
          <cell r="B823">
            <v>0</v>
          </cell>
        </row>
        <row r="824">
          <cell r="B824" t="str">
            <v>Conectores Telefonico y Data 5982 RJ11 de 2 pares/4contactos</v>
          </cell>
        </row>
        <row r="825">
          <cell r="B825" t="str">
            <v>Conectores Telefonico y Data 5983 RJ12 de 3 pares/6 contactos</v>
          </cell>
        </row>
        <row r="826">
          <cell r="B826" t="str">
            <v>Toma 5979C5E RJ45 Categ. 5E - 4 pares</v>
          </cell>
        </row>
        <row r="827">
          <cell r="B827" t="str">
            <v>Toma 5979C6 RJ45 Categ. 6 - 4 pares</v>
          </cell>
        </row>
        <row r="828">
          <cell r="B828">
            <v>0</v>
          </cell>
        </row>
        <row r="829">
          <cell r="B829" t="str">
            <v>Toma Coaxial 5152E para TV VHF UHF</v>
          </cell>
        </row>
        <row r="830">
          <cell r="B830">
            <v>0</v>
          </cell>
        </row>
        <row r="831">
          <cell r="B831" t="str">
            <v>Dimer 5361 Magicpara lamparas Incandecente 100W-500W</v>
          </cell>
        </row>
        <row r="832">
          <cell r="B832">
            <v>0</v>
          </cell>
        </row>
        <row r="833">
          <cell r="B833" t="str">
            <v>Interruptor Matix A5001 unipolar de 16A</v>
          </cell>
        </row>
        <row r="834">
          <cell r="B834" t="str">
            <v>Interruptor Matix  A5011 bipolar de 16A</v>
          </cell>
        </row>
        <row r="835">
          <cell r="B835" t="str">
            <v>Interruptor Matix A5007 bipolar con llave 10A</v>
          </cell>
        </row>
        <row r="836">
          <cell r="B836">
            <v>0</v>
          </cell>
        </row>
        <row r="837">
          <cell r="B837" t="str">
            <v>Interruptor para Conmutacion Matix A5003 de 3 vias 16A</v>
          </cell>
        </row>
        <row r="838">
          <cell r="B838" t="str">
            <v>Interruptor para Conmutacion Matix A5012 de 4 vias 16A</v>
          </cell>
        </row>
        <row r="839">
          <cell r="B839" t="str">
            <v>Interruptor para Conmutacion Matix A5007 de 3 vias con llave 10A</v>
          </cell>
        </row>
        <row r="840">
          <cell r="B840">
            <v>0</v>
          </cell>
        </row>
        <row r="841">
          <cell r="B841" t="str">
            <v>Pulsador Unipolar Matix A5005N 10A (NA)</v>
          </cell>
        </row>
        <row r="842">
          <cell r="B842">
            <v>0</v>
          </cell>
        </row>
        <row r="843">
          <cell r="B843" t="str">
            <v>Tomacorriente Matix A5180 2P+T 10 y 16A tipo bipaso</v>
          </cell>
        </row>
        <row r="844">
          <cell r="B844" t="str">
            <v xml:space="preserve">Tomacorriente Matix A5113 2P+T 10A </v>
          </cell>
        </row>
        <row r="845">
          <cell r="B845" t="str">
            <v xml:space="preserve">Tomacorriente Matix A5440/3 Schuko 2P+T 10A </v>
          </cell>
        </row>
        <row r="846">
          <cell r="B846" t="str">
            <v>Tomacorriente Matix AM5028 2P+T 15A 220V</v>
          </cell>
        </row>
        <row r="847">
          <cell r="B847" t="str">
            <v xml:space="preserve">Tomacorriente de Seguridad Matix A5100 2P+T 10A </v>
          </cell>
        </row>
        <row r="848">
          <cell r="B848">
            <v>0</v>
          </cell>
        </row>
        <row r="849">
          <cell r="B849" t="str">
            <v xml:space="preserve">Detector Watt Stopper WPIR para techo o pared 90° </v>
          </cell>
        </row>
        <row r="850">
          <cell r="B850" t="str">
            <v xml:space="preserve">Detector Watt Stopper CX-100 Cobertura 112m2-90°  </v>
          </cell>
        </row>
        <row r="851">
          <cell r="B851" t="str">
            <v xml:space="preserve">Detector Watt Stopper CX-100-1 para pared o techo Alcance 27m </v>
          </cell>
        </row>
        <row r="852">
          <cell r="B852" t="str">
            <v xml:space="preserve">Detector Watt Stopper CX-100-3 para techos altos Alcance 37m </v>
          </cell>
        </row>
        <row r="853">
          <cell r="B853" t="str">
            <v xml:space="preserve">Detector Watt Stopper CI-200 para techo 112m2 Cobertura 360° </v>
          </cell>
        </row>
        <row r="854">
          <cell r="B854" t="str">
            <v xml:space="preserve">Detector Watt Stopper CB-100 para pared o techo 90° </v>
          </cell>
        </row>
        <row r="855">
          <cell r="B855">
            <v>0</v>
          </cell>
        </row>
        <row r="856">
          <cell r="B856" t="str">
            <v>Detector Ultrasonico de cielo Watt Stopper W-500A Cobertura 46m2</v>
          </cell>
        </row>
        <row r="857">
          <cell r="B857" t="str">
            <v>Detector Ultrasonico de cielo Watt Stopper W-1000A Cobertura 93m2</v>
          </cell>
        </row>
        <row r="858">
          <cell r="B858" t="str">
            <v>Detector Ultrasonico de cielo Watt Stopper W-2000A Cobertura 186m2</v>
          </cell>
        </row>
        <row r="859">
          <cell r="B859" t="str">
            <v>Detector Ultrasonico de cielo Watt Stopper W-2000H para techo Alcance 27m - Cobertura 360°</v>
          </cell>
        </row>
        <row r="860">
          <cell r="B860" t="str">
            <v>Detector Ultrasonico Watt Stopper WT-600 cobertura 56m2</v>
          </cell>
        </row>
        <row r="861">
          <cell r="B861" t="str">
            <v>Detector Ultrasonico Watt Stopper WT-1100 cobertura 102m2</v>
          </cell>
        </row>
        <row r="862">
          <cell r="B862" t="str">
            <v>Detector Ultrasonico Watt Stopper WT-2200 cobertura 204m2</v>
          </cell>
        </row>
        <row r="863">
          <cell r="B863" t="str">
            <v>Detector Ultrasonico Watt Stopper WT-2250 para techo Cobertura 27m-360°</v>
          </cell>
        </row>
        <row r="864">
          <cell r="B864" t="str">
            <v>Detector Dual Watt Stopper DT-200 para techo o pared 112m2-90°</v>
          </cell>
        </row>
        <row r="865">
          <cell r="B865" t="str">
            <v>Detector Dual Watt Stopper DT-200-1 27m</v>
          </cell>
        </row>
        <row r="866">
          <cell r="B866">
            <v>0</v>
          </cell>
        </row>
        <row r="867">
          <cell r="B867">
            <v>0</v>
          </cell>
        </row>
        <row r="868">
          <cell r="B868" t="str">
            <v>Tomacorriente 2P +T 15A/250V AMERICANO AXOLUTE HS4129S - BTICINO</v>
          </cell>
        </row>
        <row r="869">
          <cell r="B869">
            <v>0</v>
          </cell>
        </row>
        <row r="870">
          <cell r="B870" t="str">
            <v>Toma Industrial Macho volante 16A 2P+T /220V</v>
          </cell>
        </row>
        <row r="871">
          <cell r="B871" t="str">
            <v>Toma Industrial Macho volante 16A 3P+T /380V</v>
          </cell>
        </row>
        <row r="872">
          <cell r="B872" t="str">
            <v>Toma Industrial Macho volante 16A 3P+N+T/380V</v>
          </cell>
        </row>
        <row r="873">
          <cell r="B873" t="str">
            <v>Toma Industrial Macho volante 32A 2P+T /220V</v>
          </cell>
        </row>
        <row r="874">
          <cell r="B874" t="str">
            <v>Toma Industrial Macho volante 32A 3P+T /380V</v>
          </cell>
        </row>
        <row r="875">
          <cell r="B875" t="str">
            <v>Toma Industrial Macho volante 32A 3P+N+T/380V</v>
          </cell>
        </row>
        <row r="876">
          <cell r="B876">
            <v>0</v>
          </cell>
        </row>
        <row r="877">
          <cell r="B877" t="str">
            <v>Toma Industrial Aereo  2P+T  de 16A</v>
          </cell>
        </row>
        <row r="878">
          <cell r="B878" t="str">
            <v>Toma Industrial Aereo  2P+T  de 32A</v>
          </cell>
        </row>
        <row r="879">
          <cell r="B879" t="str">
            <v>Toma Industrial Aereo  3P+N+T  de 16A</v>
          </cell>
        </row>
        <row r="880">
          <cell r="B880" t="str">
            <v>Toma Industrial Aereo  3P+N+T  de 32A</v>
          </cell>
        </row>
        <row r="881">
          <cell r="B881">
            <v>0</v>
          </cell>
        </row>
        <row r="882">
          <cell r="B882" t="str">
            <v>Toma Industrial Hembra Fija Sobrepuesta  2P+T  de 16A</v>
          </cell>
        </row>
        <row r="883">
          <cell r="B883" t="str">
            <v xml:space="preserve">Toma Industrial Hembra Fija Sobrepuesta  2P+T de 32A </v>
          </cell>
        </row>
        <row r="884">
          <cell r="B884" t="str">
            <v>Toma Industrial Hembra Fija Sobrepuesta  3P+N+T de 16A</v>
          </cell>
        </row>
        <row r="885">
          <cell r="B885" t="str">
            <v>Toma Industrial Hembra Fija Sobrepuesta  3P+N+T de 32A</v>
          </cell>
        </row>
        <row r="886">
          <cell r="B886" t="str">
            <v>Toma Industrial Hembra Fija Sobrepuesta  3P+N+T de 150A</v>
          </cell>
        </row>
        <row r="887">
          <cell r="B887">
            <v>0</v>
          </cell>
        </row>
        <row r="888">
          <cell r="B888" t="str">
            <v>Tomacorriente  de piso con Placa de Bronce 2x15a + Nema 5-15R c/tapa</v>
          </cell>
        </row>
        <row r="889">
          <cell r="B889">
            <v>0</v>
          </cell>
        </row>
        <row r="890">
          <cell r="B890" t="str">
            <v>Placa con Base 503/1</v>
          </cell>
        </row>
        <row r="891">
          <cell r="B891" t="str">
            <v>Placa con Base 503/2</v>
          </cell>
        </row>
        <row r="892">
          <cell r="B892" t="str">
            <v>Placa con Base 503/3</v>
          </cell>
        </row>
        <row r="893">
          <cell r="B893" t="str">
            <v>Placa con Base 503S/1</v>
          </cell>
        </row>
        <row r="894">
          <cell r="B894" t="str">
            <v>Placa con Base 503S/2</v>
          </cell>
        </row>
        <row r="895">
          <cell r="B895" t="str">
            <v>Placa con Base 503S/3</v>
          </cell>
        </row>
        <row r="896">
          <cell r="B896" t="str">
            <v>Placa con Base 503S/3</v>
          </cell>
        </row>
        <row r="897">
          <cell r="B897" t="str">
            <v>Placa de Aluminio con Base 503/1SR</v>
          </cell>
        </row>
        <row r="898">
          <cell r="B898" t="str">
            <v>Placa de Aluminio con Base 503/2SR</v>
          </cell>
        </row>
        <row r="899">
          <cell r="B899" t="str">
            <v>Placa de Aluminio con Base 503/3SR</v>
          </cell>
        </row>
        <row r="900">
          <cell r="B900">
            <v>0</v>
          </cell>
        </row>
        <row r="901">
          <cell r="B901" t="str">
            <v>Caja hidrobox IP40 de 2 puestos (25402) Bticino</v>
          </cell>
        </row>
        <row r="902">
          <cell r="B902" t="str">
            <v>Caja hidrobox IP40 de 3 puestos (25403) Bticino</v>
          </cell>
        </row>
        <row r="903">
          <cell r="B903" t="str">
            <v>Caja hidrobox IP40 de 12 puestos (25412v) Bticino</v>
          </cell>
        </row>
        <row r="904">
          <cell r="B904" t="str">
            <v>Caja hidrobox IP55 de 2 puestos (25502) Bticino</v>
          </cell>
        </row>
        <row r="905">
          <cell r="B905" t="str">
            <v>Caja hidrobox IP55 de 3 puestos (25503) Bticino</v>
          </cell>
        </row>
        <row r="906">
          <cell r="B906" t="str">
            <v>Caja hidrobox IP55 de 8 puestos (25508v) Bticino</v>
          </cell>
        </row>
        <row r="907">
          <cell r="B907" t="str">
            <v>Caja hidrobox IP55 de 12 puestos (25512v) Bticino</v>
          </cell>
        </row>
        <row r="908">
          <cell r="B908">
            <v>0</v>
          </cell>
        </row>
        <row r="909">
          <cell r="B909" t="str">
            <v xml:space="preserve">Tapa para empotrar IP55 de 3 puestos Matix 25603 </v>
          </cell>
        </row>
        <row r="910">
          <cell r="B910" t="str">
            <v>Tapa para empotrar IP55 de 3 puestos Magic 25603</v>
          </cell>
        </row>
        <row r="911">
          <cell r="B911" t="str">
            <v>Tapa para empotrar IP55 de 3 puestos Living 24603N</v>
          </cell>
        </row>
        <row r="912">
          <cell r="B912" t="str">
            <v>Tapa para empotrar IP55 de 3 puestos Light 24603L</v>
          </cell>
        </row>
        <row r="913">
          <cell r="B913">
            <v>0</v>
          </cell>
        </row>
        <row r="914">
          <cell r="B914" t="str">
            <v>Placa para Toma Doble Nylon marfil Levinton</v>
          </cell>
        </row>
        <row r="915">
          <cell r="B915" t="str">
            <v>Toma Doble Levinton 5028-I</v>
          </cell>
        </row>
        <row r="916">
          <cell r="B916" t="str">
            <v>Toma Doble Levinton 5292-I</v>
          </cell>
        </row>
        <row r="917">
          <cell r="B917" t="str">
            <v>Toma Doble Levinton 5242-W</v>
          </cell>
        </row>
        <row r="918">
          <cell r="B918">
            <v>0</v>
          </cell>
        </row>
        <row r="919">
          <cell r="B919" t="str">
            <v>Canaleta 32X12MM C/2 Compartimiento  D/PVC TICINO</v>
          </cell>
        </row>
        <row r="920">
          <cell r="B920" t="str">
            <v>Canaleta de PVC de 130x50mm</v>
          </cell>
        </row>
        <row r="921">
          <cell r="B921" t="str">
            <v>Interruptor Termomagnetico de 2x20A / 12kva Marca Ticino</v>
          </cell>
        </row>
        <row r="922">
          <cell r="B922" t="str">
            <v>Interruptor Termomagnetico de 3x20A / 12kva Marca Ticino</v>
          </cell>
        </row>
        <row r="923">
          <cell r="B923" t="str">
            <v>Interruptor Termomagnetico de 3x25A / 12kva Marca Ticino</v>
          </cell>
        </row>
        <row r="924">
          <cell r="B924" t="str">
            <v>Interruptor Termomagnetico de 3x63A / 12kva Marca Ticino</v>
          </cell>
        </row>
        <row r="925">
          <cell r="B925" t="str">
            <v>Interruptor con fusible (3x200 A)</v>
          </cell>
        </row>
        <row r="926">
          <cell r="B926" t="str">
            <v>Interruptor con fusible (3x20 A)</v>
          </cell>
        </row>
        <row r="927">
          <cell r="B927" t="str">
            <v>Interruptor con fusible (1x20 A)</v>
          </cell>
        </row>
        <row r="928">
          <cell r="B928">
            <v>0</v>
          </cell>
        </row>
        <row r="929">
          <cell r="B929" t="str">
            <v>TOMA DOBLE RJ-45</v>
          </cell>
        </row>
        <row r="930">
          <cell r="B930" t="str">
            <v>TOMA RJ-45</v>
          </cell>
        </row>
        <row r="931">
          <cell r="B931" t="str">
            <v>TOMA TURNLOCK IP67</v>
          </cell>
        </row>
        <row r="932">
          <cell r="B932" t="str">
            <v>CAMARA DOMO</v>
          </cell>
        </row>
        <row r="933">
          <cell r="B933" t="str">
            <v>CAMARA FIJA</v>
          </cell>
        </row>
        <row r="934">
          <cell r="B934">
            <v>0</v>
          </cell>
        </row>
        <row r="935">
          <cell r="B935">
            <v>0</v>
          </cell>
        </row>
        <row r="936">
          <cell r="B936">
            <v>0</v>
          </cell>
        </row>
        <row r="937">
          <cell r="B937">
            <v>0</v>
          </cell>
        </row>
        <row r="938">
          <cell r="B938">
            <v>0</v>
          </cell>
        </row>
        <row r="939">
          <cell r="B939" t="str">
            <v>Bandeja Porta Cables</v>
          </cell>
        </row>
        <row r="940">
          <cell r="B940">
            <v>0</v>
          </cell>
        </row>
        <row r="941">
          <cell r="B941">
            <v>0</v>
          </cell>
        </row>
        <row r="942">
          <cell r="B942" t="str">
            <v>Canaleta Plastica Ticino de 100mm x 50</v>
          </cell>
        </row>
        <row r="943">
          <cell r="B943">
            <v>0</v>
          </cell>
        </row>
        <row r="944">
          <cell r="B944">
            <v>0</v>
          </cell>
        </row>
        <row r="945">
          <cell r="B945" t="str">
            <v>Canaleta de 85x50 blanco w48000</v>
          </cell>
        </row>
        <row r="946">
          <cell r="B946" t="str">
            <v>Canal Tipo C 75X50X1.5mm de Espesor</v>
          </cell>
        </row>
        <row r="947">
          <cell r="B947" t="str">
            <v>Canaleta perimetral Zoloda 150x50mm</v>
          </cell>
        </row>
        <row r="948">
          <cell r="B948" t="str">
            <v>Canaleta perimetral Zoloda 100x50mm</v>
          </cell>
        </row>
        <row r="949">
          <cell r="B949" t="str">
            <v>Perfil de aluminio 100x50x2mm</v>
          </cell>
        </row>
        <row r="950">
          <cell r="B950" t="str">
            <v>Perfil Metálico cuadrado 100x100x3mm</v>
          </cell>
        </row>
        <row r="951">
          <cell r="B951">
            <v>0</v>
          </cell>
        </row>
        <row r="952">
          <cell r="B952" t="str">
            <v>Plancha Separador de Circuito 100x1000cm</v>
          </cell>
        </row>
        <row r="953">
          <cell r="B953" t="str">
            <v>Canastillo Porta Conductor (Powertray) de 60x50</v>
          </cell>
        </row>
        <row r="954">
          <cell r="B954" t="str">
            <v>Canastillo Porta Conductor (Powertray) de 100x50</v>
          </cell>
        </row>
        <row r="955">
          <cell r="B955" t="str">
            <v>Canastillo Porta Conductor (Powertray) de 100x100</v>
          </cell>
        </row>
        <row r="956">
          <cell r="B956" t="str">
            <v>Canastillo Porta Conductor (Powertray) de 150x100</v>
          </cell>
        </row>
        <row r="957">
          <cell r="B957" t="str">
            <v>Canastillo Porta Conductor (Powertray) de 200x100</v>
          </cell>
        </row>
        <row r="958">
          <cell r="B958" t="str">
            <v>Canastillo Porta Conductor (Powertray) de 300x100</v>
          </cell>
        </row>
        <row r="959">
          <cell r="B959" t="str">
            <v>Canastillo Porta Conductor (Powertray) de 400x100</v>
          </cell>
        </row>
        <row r="960">
          <cell r="B960" t="str">
            <v>Canastillo Porta Conductor (Powertray) de 400x150</v>
          </cell>
        </row>
        <row r="961">
          <cell r="B961" t="str">
            <v>Canastillo Porta Conductor (Powertray) de 500x100</v>
          </cell>
        </row>
        <row r="962">
          <cell r="B962" t="str">
            <v>Canastillo Porta Conductor (Powertray) de 500x150</v>
          </cell>
        </row>
        <row r="963">
          <cell r="B963" t="str">
            <v>Canastillo Porta Conductor (Powertray) de 600x100</v>
          </cell>
        </row>
        <row r="964">
          <cell r="B964" t="str">
            <v>Canastillo Porta Conductor (Powertray) de 600x150</v>
          </cell>
        </row>
        <row r="965">
          <cell r="B965" t="str">
            <v>Canastillo Porta Conductor (Powertray) de 700x100</v>
          </cell>
        </row>
        <row r="966">
          <cell r="B966" t="str">
            <v>Canastillo Porta Conductor (Powertray) de 700x150</v>
          </cell>
        </row>
        <row r="967">
          <cell r="B967" t="str">
            <v>Canastillo Porta Conductor (Powertray) de 800x100</v>
          </cell>
        </row>
        <row r="968">
          <cell r="B968" t="str">
            <v>Canastillo Porta Conductor (Powertray) de 800x150</v>
          </cell>
        </row>
        <row r="969">
          <cell r="B969" t="str">
            <v>Canastillo Porta Conductor (Powertray) de 900x100</v>
          </cell>
        </row>
        <row r="970">
          <cell r="B970" t="str">
            <v>Canastillo Porta Conductor (Powertray) de 900x150</v>
          </cell>
        </row>
        <row r="971">
          <cell r="B971" t="str">
            <v>Canastillo Porta Conductor (Powertray) de 1000x100</v>
          </cell>
        </row>
        <row r="972">
          <cell r="B972" t="str">
            <v>Canastillo Porta Conductor (Powertray) de 1000x150</v>
          </cell>
        </row>
        <row r="973">
          <cell r="B973" t="str">
            <v>Canastillo Porta Conductor (Powertray) de 1000x200</v>
          </cell>
        </row>
        <row r="974">
          <cell r="B974">
            <v>0</v>
          </cell>
        </row>
        <row r="975">
          <cell r="B975">
            <v>0</v>
          </cell>
        </row>
        <row r="976">
          <cell r="B976" t="str">
            <v>Tapa para Canastillo Portaconductor 100</v>
          </cell>
        </row>
        <row r="977">
          <cell r="B977" t="str">
            <v>Tapa para Canastillo Portaconductor 200</v>
          </cell>
        </row>
        <row r="978">
          <cell r="B978" t="str">
            <v>Tapa para Canastillo Portaconductor 300</v>
          </cell>
        </row>
        <row r="979">
          <cell r="B979" t="str">
            <v>Tapa para Canastillo Portaconductor 400</v>
          </cell>
        </row>
        <row r="980">
          <cell r="B980" t="str">
            <v>Tapa para Canastillo Portaconductor 500</v>
          </cell>
        </row>
        <row r="981">
          <cell r="B981" t="str">
            <v>Tapa para Canastillo Portaconductor 600</v>
          </cell>
        </row>
        <row r="982">
          <cell r="B982" t="str">
            <v>Tapa para Canastillo Portaconductor 700</v>
          </cell>
        </row>
        <row r="983">
          <cell r="B983" t="str">
            <v>Tapa para Canastillo Portaconductor 800</v>
          </cell>
        </row>
        <row r="984">
          <cell r="B984" t="str">
            <v>Tapa para Canastillo Portaconductor 900</v>
          </cell>
        </row>
        <row r="985">
          <cell r="B985" t="str">
            <v>Tapa para Canastillo Portaconductor 1000</v>
          </cell>
        </row>
        <row r="986">
          <cell r="B986">
            <v>0</v>
          </cell>
        </row>
        <row r="987">
          <cell r="B987">
            <v>0</v>
          </cell>
        </row>
        <row r="988">
          <cell r="B988" t="str">
            <v>EPC 1/16" 60x50 F°G° S/Tapa</v>
          </cell>
        </row>
        <row r="989">
          <cell r="B989" t="str">
            <v>EPC 1/16" 100x50 F°G° S/Tapa</v>
          </cell>
        </row>
        <row r="990">
          <cell r="B990" t="str">
            <v>EPC 1/16" 100x100 F°G° S/Tapa</v>
          </cell>
        </row>
        <row r="991">
          <cell r="B991" t="str">
            <v>EPC 1/16" 150x150 F°G° S/Tapa</v>
          </cell>
        </row>
        <row r="992">
          <cell r="B992" t="str">
            <v>EPC 1/16" 150x100 F°G° S/Tapa</v>
          </cell>
        </row>
        <row r="993">
          <cell r="B993" t="str">
            <v>EPC 1/16" 200x100 F°G° S/Tapa</v>
          </cell>
        </row>
        <row r="994">
          <cell r="B994" t="str">
            <v>EPC 1/16" 200x150 F°G° S/Tapa</v>
          </cell>
        </row>
        <row r="995">
          <cell r="B995" t="str">
            <v>EPC 1/16" 250x100 F°G° S/Tapa</v>
          </cell>
        </row>
        <row r="996">
          <cell r="B996" t="str">
            <v>EPC 1/16" 250x150 F°G° S/Tapa</v>
          </cell>
        </row>
        <row r="997">
          <cell r="B997" t="str">
            <v>EPC 1/16" 300x100 F°G° S/Tapa</v>
          </cell>
        </row>
        <row r="998">
          <cell r="B998" t="str">
            <v>EPC 1/16" 300x150 F°G° S/Tapa</v>
          </cell>
        </row>
        <row r="999">
          <cell r="B999" t="str">
            <v>EPC 1/16" 350x100 F°G° S/Tapa</v>
          </cell>
        </row>
        <row r="1000">
          <cell r="B1000" t="str">
            <v>EPC 1/16" 350x150 F°G° S/Tapa</v>
          </cell>
        </row>
        <row r="1001">
          <cell r="B1001" t="str">
            <v>EPC 1/16" 400x100 F°G° S/Tapa</v>
          </cell>
        </row>
        <row r="1002">
          <cell r="B1002" t="str">
            <v>EPC 1/16" 400x150 F°G° S/Tapa</v>
          </cell>
        </row>
        <row r="1003">
          <cell r="B1003" t="str">
            <v>EPC 1/16" 500x100 F°G° S/Tapa</v>
          </cell>
        </row>
        <row r="1004">
          <cell r="B1004" t="str">
            <v>EPC 1/16" 500x150 F°G° S/Tapa</v>
          </cell>
        </row>
        <row r="1005">
          <cell r="B1005" t="str">
            <v>EPC 1/16" 600x100 F°G° S/Tapa</v>
          </cell>
        </row>
        <row r="1006">
          <cell r="B1006" t="str">
            <v>EPC 1/16" 600x150 F°G° S/Tapa</v>
          </cell>
        </row>
        <row r="1007">
          <cell r="B1007" t="str">
            <v>EPC 1/16" 700x100 F°G° S/Tapa</v>
          </cell>
        </row>
        <row r="1008">
          <cell r="B1008" t="str">
            <v>EPC 1/16" 700x150 F°G° S/Tapa</v>
          </cell>
        </row>
        <row r="1009">
          <cell r="B1009" t="str">
            <v>EPC 1/16" 800x100 F°G° S/Tapa</v>
          </cell>
        </row>
        <row r="1010">
          <cell r="B1010" t="str">
            <v>EPC 1/16" 800x150 F°G° S/Tapa</v>
          </cell>
        </row>
        <row r="1011">
          <cell r="B1011" t="str">
            <v>EPC 1/16" 900x100 F°G° S/Tapa</v>
          </cell>
        </row>
        <row r="1012">
          <cell r="B1012" t="str">
            <v>EPC 1/16" 1000x100 F°G° S/Tapa</v>
          </cell>
        </row>
        <row r="1013">
          <cell r="B1013" t="str">
            <v>EPC 1/16" 1000x150 F°G° S/Tapa</v>
          </cell>
        </row>
        <row r="1014">
          <cell r="B1014" t="str">
            <v>EPC 1/16" 1100x100 F°G° S/Tapa</v>
          </cell>
        </row>
        <row r="1015">
          <cell r="B1015" t="str">
            <v>EPC 1/16" 1200x100 F°G° S/Tapa</v>
          </cell>
        </row>
        <row r="1016">
          <cell r="B1016" t="str">
            <v>EPC 1/16" 100x100 F°G° S/Tapa c/1 Separador</v>
          </cell>
        </row>
        <row r="1017">
          <cell r="B1017" t="str">
            <v>EPC 1/16" 150x100 F°G° S/Tapa c/1 Separador</v>
          </cell>
        </row>
        <row r="1018">
          <cell r="B1018" t="str">
            <v>EPC 1/16" 200x100 F°G° S/Tapa c/1 Separador</v>
          </cell>
        </row>
        <row r="1019">
          <cell r="B1019" t="str">
            <v>EPC 1/16" 250x100 F°G° S/Tapa c/1 Separador</v>
          </cell>
        </row>
        <row r="1020">
          <cell r="B1020" t="str">
            <v>EPC 1/16" 300x100 F°G° S/Tapa c/1 Separador</v>
          </cell>
        </row>
        <row r="1021">
          <cell r="B1021" t="str">
            <v>EPC 1/16" 350x100 F°G° S/Tapa c/1 Separador</v>
          </cell>
        </row>
        <row r="1022">
          <cell r="B1022" t="str">
            <v>EPC 1/16" 400x100 F°G° S/Tapa c/1 Separador</v>
          </cell>
        </row>
        <row r="1023">
          <cell r="B1023" t="str">
            <v>EPC 1/16" 500x100 F°G° S/Tapa c/1 Separador</v>
          </cell>
        </row>
        <row r="1024">
          <cell r="B1024" t="str">
            <v>EPC 1/16" 600x100 F°G° S/Tapa c/1 Separador</v>
          </cell>
        </row>
        <row r="1025">
          <cell r="B1025" t="str">
            <v>EPC 1/16" 700x100 F°G° S/Tapa c/1 Separador</v>
          </cell>
        </row>
        <row r="1026">
          <cell r="B1026" t="str">
            <v>EPC 1/16" 800x100 F°G° S/Tapa c/1 Separador</v>
          </cell>
        </row>
        <row r="1027">
          <cell r="B1027" t="str">
            <v>EPC 1/16" 1000x100 F°G° S/Tapa c/1 Separador</v>
          </cell>
        </row>
        <row r="1028">
          <cell r="B1028" t="str">
            <v>EPC 1/16" 1200x100 F°G° S/Tapa c/1 Separador</v>
          </cell>
        </row>
        <row r="1029">
          <cell r="B1029">
            <v>0</v>
          </cell>
        </row>
        <row r="1030">
          <cell r="B1030" t="str">
            <v>EPC 5/64" 100x100 F°G° S/Tapa</v>
          </cell>
        </row>
        <row r="1031">
          <cell r="B1031" t="str">
            <v>EPC 5/64" 150x100 F°G° S/Tapa</v>
          </cell>
        </row>
        <row r="1032">
          <cell r="B1032" t="str">
            <v>EPC 5/64" 200x100 F°G° S/Tapa</v>
          </cell>
        </row>
        <row r="1033">
          <cell r="B1033" t="str">
            <v>EPC 5/64" 250x100 F°G° S/Tapa</v>
          </cell>
        </row>
        <row r="1034">
          <cell r="B1034" t="str">
            <v>EPC 5/64" 300x100 F°G° S/Tapa</v>
          </cell>
        </row>
        <row r="1035">
          <cell r="B1035" t="str">
            <v>EPC 5/64" 350x100 F°G° S/Tapa</v>
          </cell>
        </row>
        <row r="1036">
          <cell r="B1036" t="str">
            <v>EPC 5/64" 400x100 F°G° S/Tapa</v>
          </cell>
        </row>
        <row r="1037">
          <cell r="B1037" t="str">
            <v>EPC 5/64" 500x100 F°G° S/Tapa</v>
          </cell>
        </row>
        <row r="1038">
          <cell r="B1038" t="str">
            <v>EPC 5/64" 600x100 F°G° S/Tapa</v>
          </cell>
        </row>
        <row r="1039">
          <cell r="B1039" t="str">
            <v>EPC 5/64" 700x100 F°G° S/Tapa</v>
          </cell>
        </row>
        <row r="1040">
          <cell r="B1040" t="str">
            <v>EPC 5/64" 800x100 F°G° S/Tapa</v>
          </cell>
        </row>
        <row r="1041">
          <cell r="B1041" t="str">
            <v>EPC 5/64" 1000x100 F°G° S/Tapa</v>
          </cell>
        </row>
        <row r="1042">
          <cell r="B1042" t="str">
            <v>EPC 5/64" 1200x100 F°G° S/Tapa</v>
          </cell>
        </row>
        <row r="1043">
          <cell r="B1043" t="str">
            <v>EPC 5/64" 100x100 F°G° S/Tapa c/1 Separador</v>
          </cell>
        </row>
        <row r="1044">
          <cell r="B1044" t="str">
            <v>EPC 5/64" 150x100 F°G° S/Tapa c/1 Separador</v>
          </cell>
        </row>
        <row r="1045">
          <cell r="B1045" t="str">
            <v>EPC 5/64" 200x100 F°G° S/Tapa c/1 Separador</v>
          </cell>
        </row>
        <row r="1046">
          <cell r="B1046" t="str">
            <v>EPC 5/64" 250x100 F°G° S/Tapa c/1 Separador</v>
          </cell>
        </row>
        <row r="1047">
          <cell r="B1047" t="str">
            <v>EPC 5/64" 300x100 F°G° S/Tapa c/1 Separador</v>
          </cell>
        </row>
        <row r="1048">
          <cell r="B1048" t="str">
            <v>EPC 5/64" 350x100 F°G° S/Tapa c/1 Separador</v>
          </cell>
        </row>
        <row r="1049">
          <cell r="B1049" t="str">
            <v>EPC 5/64" 400x100 F°G° S/Tapa c/1 Separador</v>
          </cell>
        </row>
        <row r="1050">
          <cell r="B1050" t="str">
            <v>EPC 5/64" 500x100 F°G° S/Tapa c/1 Separador</v>
          </cell>
        </row>
        <row r="1051">
          <cell r="B1051" t="str">
            <v>EPC 5/64" 600x100 F°G° S/Tapa c/1 Separador</v>
          </cell>
        </row>
        <row r="1052">
          <cell r="B1052" t="str">
            <v>EPC 5/64" 700x100 F°G° S/Tapa c/1 Separador</v>
          </cell>
        </row>
        <row r="1053">
          <cell r="B1053" t="str">
            <v>EPC 5/64" 800x100 F°G° S/Tapa c/1 Separador</v>
          </cell>
        </row>
        <row r="1054">
          <cell r="B1054" t="str">
            <v>EPC 5/64" 1000x100 F°G° S/Tapa c/1 Separador</v>
          </cell>
        </row>
        <row r="1055">
          <cell r="B1055" t="str">
            <v>EPC 5/64" 1200x100 F°G° S/Tapa c/1 Separador</v>
          </cell>
        </row>
        <row r="1056">
          <cell r="B1056" t="str">
            <v>EPC 5/64" 100x100 F°G° S/Tapa c/2 Separador</v>
          </cell>
        </row>
        <row r="1057">
          <cell r="B1057">
            <v>0</v>
          </cell>
        </row>
        <row r="1058">
          <cell r="B1058" t="str">
            <v>EPC 1/16" 60x50 F°G° Pintado S/Tapa</v>
          </cell>
        </row>
        <row r="1059">
          <cell r="B1059" t="str">
            <v>EPC 1/16" 100x50 F°G° Pintado S/Tapa</v>
          </cell>
        </row>
        <row r="1060">
          <cell r="B1060" t="str">
            <v>EPC 1/16" 100x100 F°G° Pintado S/Tapa</v>
          </cell>
        </row>
        <row r="1061">
          <cell r="B1061" t="str">
            <v>EPC 1/16" 150x100 F°G° Pintado S/Tapa</v>
          </cell>
        </row>
        <row r="1062">
          <cell r="B1062" t="str">
            <v>EPC 1/16" 200x100 F°G° Pintado S/Tapa</v>
          </cell>
        </row>
        <row r="1063">
          <cell r="B1063" t="str">
            <v>EPC 1/16" 250x100 F°G° Pintado S/Tapa</v>
          </cell>
        </row>
        <row r="1064">
          <cell r="B1064" t="str">
            <v>EPC 1/16" 300x100 F°G° Pintado S/Tapa</v>
          </cell>
        </row>
        <row r="1065">
          <cell r="B1065" t="str">
            <v>EPC 1/16" 350x100 F°G° Pintado S/Tapa</v>
          </cell>
        </row>
        <row r="1066">
          <cell r="B1066" t="str">
            <v>EPC 1/16" 400x100 F°G° Pintado S/Tapa</v>
          </cell>
        </row>
        <row r="1067">
          <cell r="B1067" t="str">
            <v>EPC 1/16" 400x150 F°G° Pintado S/Tapa</v>
          </cell>
        </row>
        <row r="1068">
          <cell r="B1068" t="str">
            <v>EPC 1/16" 500x100 F°G° Pintado S/Tapa</v>
          </cell>
        </row>
        <row r="1069">
          <cell r="B1069" t="str">
            <v>EPC 1/16" 500x150 F°G° Pintado S/Tapa</v>
          </cell>
        </row>
        <row r="1070">
          <cell r="B1070" t="str">
            <v>EPC 1/16" 600x100 F°G° Pintado S/Tapa</v>
          </cell>
        </row>
        <row r="1071">
          <cell r="B1071" t="str">
            <v>EPC 1/16" 600x150 F°G° Pintado S/Tapa</v>
          </cell>
        </row>
        <row r="1072">
          <cell r="B1072" t="str">
            <v>EPC 1/16" 700x100 F°G° Pintado S/Tapa</v>
          </cell>
        </row>
        <row r="1073">
          <cell r="B1073" t="str">
            <v>EPC 1/16" 700x150 F°G° Pintado S/Tapa</v>
          </cell>
        </row>
        <row r="1074">
          <cell r="B1074" t="str">
            <v>EPC 1/16" 800x100 F°G° Pintado S/Tapa</v>
          </cell>
        </row>
        <row r="1075">
          <cell r="B1075" t="str">
            <v>EPC 1/16" 800x150 F°G° Pintado S/Tapa</v>
          </cell>
        </row>
        <row r="1076">
          <cell r="B1076" t="str">
            <v>EPC 1/16" 900x100 F°G° Pintado S/Tapa</v>
          </cell>
        </row>
        <row r="1077">
          <cell r="B1077" t="str">
            <v>EPC 1/16" 900x150 F°G° Pintado S/Tapa</v>
          </cell>
        </row>
        <row r="1078">
          <cell r="B1078" t="str">
            <v>EPC 1/16" 1000x100 F°G° Pintado S/Tapa</v>
          </cell>
        </row>
        <row r="1079">
          <cell r="B1079" t="str">
            <v>EPC 1/16" 1000x150 F°G° Pintado S/Tapa</v>
          </cell>
        </row>
        <row r="1080">
          <cell r="B1080" t="str">
            <v>EPC 1/16" 1000x200 F°G° Pintado S/Tapa</v>
          </cell>
        </row>
        <row r="1081">
          <cell r="B1081" t="str">
            <v>EPC 1/16" 1200x100 F°G° Pintado S/Tapa</v>
          </cell>
        </row>
        <row r="1082">
          <cell r="B1082">
            <v>0</v>
          </cell>
        </row>
        <row r="1083">
          <cell r="B1083" t="str">
            <v>EPC 1/16" 100x100 F°G° Pintado S/Tapa c/1 Separador</v>
          </cell>
        </row>
        <row r="1084">
          <cell r="B1084" t="str">
            <v>EPC 1/16" 150x100 F°G° Pintado S/Tapa c/1 Separador</v>
          </cell>
        </row>
        <row r="1085">
          <cell r="B1085" t="str">
            <v>EPC 1/16" 200x100 F°G° Pintado S/Tapa c/1 Separador</v>
          </cell>
        </row>
        <row r="1086">
          <cell r="B1086" t="str">
            <v>EPC 1/16" 250x100 F°G° Pintado S/Tapa c/1 Separador</v>
          </cell>
        </row>
        <row r="1087">
          <cell r="B1087" t="str">
            <v>EPC 1/16" 300x100 F°G° Pintado S/Tapa c/1 Separador</v>
          </cell>
        </row>
        <row r="1088">
          <cell r="B1088" t="str">
            <v>EPC 1/16" 350x100 F°G° Pintado S/Tapa c/1 Separador</v>
          </cell>
        </row>
        <row r="1089">
          <cell r="B1089" t="str">
            <v>EPC 1/16" 400x100 F°G° Pintado S/Tapa c/1 Separador</v>
          </cell>
        </row>
        <row r="1090">
          <cell r="B1090" t="str">
            <v>EPC 1/16" 500x100 F°G° Pintado S/Tapa c/1 Separador</v>
          </cell>
        </row>
        <row r="1091">
          <cell r="B1091" t="str">
            <v>EPC 1/16" 600x100 F°G° Pintado S/Tapa c/1 Separador</v>
          </cell>
        </row>
        <row r="1092">
          <cell r="B1092" t="str">
            <v>EPC 1/16" 700x100 F°G° Pintado S/Tapa c/1 Separador</v>
          </cell>
        </row>
        <row r="1093">
          <cell r="B1093" t="str">
            <v>EPC 1/16" 800x100 F°G° Pintado S/Tapa c/1 Separador</v>
          </cell>
        </row>
        <row r="1094">
          <cell r="B1094" t="str">
            <v>EPC 1/16" 1000x100 F°G° Pintado S/Tapa c/1 Separador</v>
          </cell>
        </row>
        <row r="1095">
          <cell r="B1095" t="str">
            <v>EPC 1/16" 1200x100 F°G° Pintado S/Tapa c/1 Separador</v>
          </cell>
        </row>
        <row r="1096">
          <cell r="B1096">
            <v>0</v>
          </cell>
        </row>
        <row r="1097">
          <cell r="B1097" t="str">
            <v>EPC 5/64" 100x100 F°G° Pintado S/Tapa</v>
          </cell>
        </row>
        <row r="1098">
          <cell r="B1098" t="str">
            <v>EPC 5/64" 150x100 F°G° Pintado S/Tapa</v>
          </cell>
        </row>
        <row r="1099">
          <cell r="B1099" t="str">
            <v>EPC 5/64" 200x100 F°G° Pintado S/Tapa</v>
          </cell>
        </row>
        <row r="1100">
          <cell r="B1100" t="str">
            <v>EPC 5/64" 250x100 F°G° Pintado S/Tapa</v>
          </cell>
        </row>
        <row r="1101">
          <cell r="B1101" t="str">
            <v>EPC 5/64" 300x100 F°G° Pintado S/Tapa</v>
          </cell>
        </row>
        <row r="1102">
          <cell r="B1102" t="str">
            <v>EPC 5/64" 350x100 F°G° Pintado S/Tapa</v>
          </cell>
        </row>
        <row r="1103">
          <cell r="B1103" t="str">
            <v>EPC 5/64" 400x100 F°G° Pintado S/Tapa</v>
          </cell>
        </row>
        <row r="1104">
          <cell r="B1104" t="str">
            <v>EPC 5/64" 500x100 F°G° Pintado S/Tapa</v>
          </cell>
        </row>
        <row r="1105">
          <cell r="B1105" t="str">
            <v>EPC 5/64" 600x100 F°G° Pintado S/Tapa</v>
          </cell>
        </row>
        <row r="1106">
          <cell r="B1106" t="str">
            <v>EPC 5/64" 700x100 F°G° Pintado S/Tapa</v>
          </cell>
        </row>
        <row r="1107">
          <cell r="B1107" t="str">
            <v>EPC 5/64" 800x100 F°G° Pintado S/Tapa</v>
          </cell>
        </row>
        <row r="1108">
          <cell r="B1108" t="str">
            <v>EPC 5/64" 1000x100 F°G° Pintado S/Tapa</v>
          </cell>
        </row>
        <row r="1109">
          <cell r="B1109" t="str">
            <v>EPC 5/64" 1200x100 F°G° Pintado S/Tapa</v>
          </cell>
        </row>
        <row r="1110">
          <cell r="B1110">
            <v>0</v>
          </cell>
        </row>
        <row r="1111">
          <cell r="B1111" t="str">
            <v>EPC 1/16" 100x100 F°G° En Caliente S/Tapa</v>
          </cell>
        </row>
        <row r="1112">
          <cell r="B1112" t="str">
            <v>EPC 1/16" 150x100 F°G° En Caliente S/Tapa</v>
          </cell>
        </row>
        <row r="1113">
          <cell r="B1113" t="str">
            <v>EPC 1/16" 150x150 F°G° En Caliente S/Tapa</v>
          </cell>
        </row>
        <row r="1114">
          <cell r="B1114" t="str">
            <v>EPC 1/16" 200x100 F°G° En Caliente S/Tapa</v>
          </cell>
        </row>
        <row r="1115">
          <cell r="B1115" t="str">
            <v>EPC 1/16" 200x150 F°G° En Caliente S/Tapa</v>
          </cell>
        </row>
        <row r="1116">
          <cell r="B1116" t="str">
            <v>EPC 1/16" 250x100 F°G° En Caliente S/Tapa</v>
          </cell>
        </row>
        <row r="1117">
          <cell r="B1117" t="str">
            <v>EPC 1/16" 250x150 F°G° En Caliente S/Tapa</v>
          </cell>
        </row>
        <row r="1118">
          <cell r="B1118" t="str">
            <v>EPC 1/16" 300x100 F°G° En Caliente S/Tapa</v>
          </cell>
        </row>
        <row r="1119">
          <cell r="B1119" t="str">
            <v>EPC 1/16" 300x150 F°G° En Caliente S/Tapa</v>
          </cell>
        </row>
        <row r="1120">
          <cell r="B1120" t="str">
            <v>EPC 1/16" 350x100 F°G° En Caliente S/Tapa</v>
          </cell>
        </row>
        <row r="1121">
          <cell r="B1121" t="str">
            <v>EPC 1/16" 350x150 F°G° En Caliente S/Tapa</v>
          </cell>
        </row>
        <row r="1122">
          <cell r="B1122" t="str">
            <v>EPC 1/16" 400x100 F°G° En Caliente S/Tapa</v>
          </cell>
        </row>
        <row r="1123">
          <cell r="B1123" t="str">
            <v>EPC 1/16" 400x150 F°G° En Caliente S/Tapa</v>
          </cell>
        </row>
        <row r="1124">
          <cell r="B1124" t="str">
            <v>EPC 1/16" 500x100 F°G° En Caliente S/Tapa</v>
          </cell>
        </row>
        <row r="1125">
          <cell r="B1125" t="str">
            <v>EPC 1/16" 500x150 F°G° En Caliente S/Tapa</v>
          </cell>
        </row>
        <row r="1126">
          <cell r="B1126" t="str">
            <v>EPC 1/16" 600x100 F°G° En Caliente S/Tapa</v>
          </cell>
        </row>
        <row r="1127">
          <cell r="B1127" t="str">
            <v>EPC 1/16" 600x150 F°G° En Caliente S/Tapa</v>
          </cell>
        </row>
        <row r="1128">
          <cell r="B1128" t="str">
            <v>EPC 1/16" 700x100 F°G° En Caliente S/Tapa</v>
          </cell>
        </row>
        <row r="1129">
          <cell r="B1129" t="str">
            <v>EPC 1/16" 800x100 F°G° En Caliente S/Tapa</v>
          </cell>
        </row>
        <row r="1130">
          <cell r="B1130" t="str">
            <v>EPC 1/16" 800x150 F°G° En Caliente S/Tapa</v>
          </cell>
        </row>
        <row r="1131">
          <cell r="B1131" t="str">
            <v>EPC 1/16" 1000x100 F°G° En Caliente S/Tapa</v>
          </cell>
        </row>
        <row r="1132">
          <cell r="B1132" t="str">
            <v>EPC 1/16" 1000x150 F°G° En Caliente S/Tapa</v>
          </cell>
        </row>
        <row r="1133">
          <cell r="B1133" t="str">
            <v>EPC 1/16" 1200x100 F°G° En Caliente S/Tapa</v>
          </cell>
        </row>
        <row r="1134">
          <cell r="B1134">
            <v>0</v>
          </cell>
        </row>
        <row r="1135">
          <cell r="B1135" t="str">
            <v>EPC 5/64" 100x100 F°G° En Caliente S/Tapa</v>
          </cell>
        </row>
        <row r="1136">
          <cell r="B1136" t="str">
            <v>EPC 5/64" 150x100 F°G° En Caliente S/Tapa</v>
          </cell>
        </row>
        <row r="1137">
          <cell r="B1137" t="str">
            <v>EPC 5/64" 200x100 F°G° En Caliente S/Tapa</v>
          </cell>
        </row>
        <row r="1138">
          <cell r="B1138" t="str">
            <v>EPC 5/64" 250x100 F°G° En CalienteS/Tapa</v>
          </cell>
        </row>
        <row r="1139">
          <cell r="B1139" t="str">
            <v>EPC 5/64" 300x100 F°G° En Caliente S/Tapa</v>
          </cell>
        </row>
        <row r="1140">
          <cell r="B1140" t="str">
            <v>EPC 5/64" 350x100 F°G° En Caliente S/Tapa</v>
          </cell>
        </row>
        <row r="1141">
          <cell r="B1141" t="str">
            <v>EPC 5/64" 400x100 F°G° En Caliente S/Tapa</v>
          </cell>
        </row>
        <row r="1142">
          <cell r="B1142" t="str">
            <v>EPC 5/64" 500x100 F°G° En Caliente S/Tapa</v>
          </cell>
        </row>
        <row r="1143">
          <cell r="B1143" t="str">
            <v>EPC 5/64" 600x100 F°G° En Caliente S/Tapa</v>
          </cell>
        </row>
        <row r="1144">
          <cell r="B1144" t="str">
            <v>EPC 5/64" 700x100 F°G° En Caliente S/Tapa</v>
          </cell>
        </row>
        <row r="1145">
          <cell r="B1145" t="str">
            <v>EPC 5/64" 800x100 F°G° En Caliente S/Tapa</v>
          </cell>
        </row>
        <row r="1146">
          <cell r="B1146" t="str">
            <v>EPC 5/64" 1000x100 F°G° En Caliente S/Tapa</v>
          </cell>
        </row>
        <row r="1147">
          <cell r="B1147" t="str">
            <v>EPC 5/64" 1200x100 F°G° En Caliente S/Tapa</v>
          </cell>
        </row>
        <row r="1148">
          <cell r="B1148">
            <v>0</v>
          </cell>
        </row>
        <row r="1149">
          <cell r="B1149" t="str">
            <v>BPC lisa Ranurada, 1/16"  60mm x 50mm  F°G° S/Tapa</v>
          </cell>
        </row>
        <row r="1150">
          <cell r="B1150" t="str">
            <v>BPC lisa Ranurada, 1/16"  100mm x 50mm  F°G° S/Tapa</v>
          </cell>
        </row>
        <row r="1151">
          <cell r="B1151" t="str">
            <v>BPC lisa Ranurada, 1/16"  100mm x 70mm  F°G° S/Tapa</v>
          </cell>
        </row>
        <row r="1152">
          <cell r="B1152" t="str">
            <v>BPC lisa Ranurada, 1/16"  100mm x 100mm  F°G° S/Tapa</v>
          </cell>
        </row>
        <row r="1153">
          <cell r="B1153" t="str">
            <v>BPC lisa Ranurada, 1/16"  100mm x 80mm  F°G° S/Tapa</v>
          </cell>
        </row>
        <row r="1154">
          <cell r="B1154" t="str">
            <v>BPC lisa Ranurada, 1/16"  150mm x80mm  F°G° S/Tapa</v>
          </cell>
        </row>
        <row r="1155">
          <cell r="B1155" t="str">
            <v>BPC lisa Ranurada, 1/16"  150mm x 100mm  F°G° S/Tapa</v>
          </cell>
        </row>
        <row r="1156">
          <cell r="B1156" t="str">
            <v>BPC lisa Ranurada, 1/16"  200mm x 80mm  F°G° S/Tapa</v>
          </cell>
        </row>
        <row r="1157">
          <cell r="B1157" t="str">
            <v>BPC lisa Ranurada, 1/16"  250mm x 80mm  F°G° S/Tapa</v>
          </cell>
        </row>
        <row r="1158">
          <cell r="B1158" t="str">
            <v>BPC lisa Ranurada, 1/16"  200mm x 100mm  F°G° S/Tapa</v>
          </cell>
        </row>
        <row r="1159">
          <cell r="B1159" t="str">
            <v>BPC lisa Ranurada, 1/16"  250mm x 100mm  F°G° S/Tapa</v>
          </cell>
        </row>
        <row r="1160">
          <cell r="B1160" t="str">
            <v>BPC lisa Ranurada, 1/16"  300mm x 80mm  F°G° S/Tapa</v>
          </cell>
        </row>
        <row r="1161">
          <cell r="B1161" t="str">
            <v>BPC lisa Ranurada, 1/16"  300mm x 80mm  F°G° S/Tapa con 1 Separador</v>
          </cell>
        </row>
        <row r="1162">
          <cell r="B1162" t="str">
            <v>BPC lisa Ranurada, 1/16"  300mm x 80mm  F°G° S/Tapa con 2 Separador</v>
          </cell>
        </row>
        <row r="1163">
          <cell r="B1163" t="str">
            <v>BPC lisa Ranurada, 1/16"  300mm x 100mm  F°G° S/Tapa</v>
          </cell>
        </row>
        <row r="1164">
          <cell r="B1164" t="str">
            <v>BPC lisa Ranurada, 1/16"  350mm x 100mm  F°G° S/Tapa</v>
          </cell>
        </row>
        <row r="1165">
          <cell r="B1165" t="str">
            <v>BPC lisa Ranurada, 1/16"  400mm x 100mm  F°G° S/Tapa</v>
          </cell>
        </row>
        <row r="1166">
          <cell r="B1166" t="str">
            <v>BPC lisa Ranurada, 1/16"  400mm x 150mm  F°G° S/Tapa</v>
          </cell>
        </row>
        <row r="1167">
          <cell r="B1167" t="str">
            <v>BPC lisa Ranurada, 1/16"  450mm x 100mm  F°G° S/Tapa</v>
          </cell>
        </row>
        <row r="1168">
          <cell r="B1168" t="str">
            <v>BPC lisa Ranurada, 1/16"  500mm x 100mm  F°G° S/Tapa</v>
          </cell>
        </row>
        <row r="1169">
          <cell r="B1169" t="str">
            <v>BPC lisa Ranurada, 1/16"  500mm x 150mm  F°G° S/Tapa</v>
          </cell>
        </row>
        <row r="1170">
          <cell r="B1170" t="str">
            <v>BPC lisa Ranurada, 1/16"  600mm x 100mm  F°G° S/Tapa</v>
          </cell>
        </row>
        <row r="1171">
          <cell r="B1171" t="str">
            <v>BPC lisa Ranurada, 1/16"  600mm x 150mm  F°G° S/Tapa</v>
          </cell>
        </row>
        <row r="1172">
          <cell r="B1172" t="str">
            <v>BPC lisa Ranurada, 1/16"  700mm x 100mm  F°G° S/Tapa</v>
          </cell>
        </row>
        <row r="1173">
          <cell r="B1173" t="str">
            <v>BPC lisa Ranurada, 1/16"  700mm x 150mm  F°G° S/Tapa</v>
          </cell>
        </row>
        <row r="1174">
          <cell r="B1174" t="str">
            <v>BPC lisa Ranurada, 1/16"  800mm x 100mm  F°G° S/Tapa</v>
          </cell>
        </row>
        <row r="1175">
          <cell r="B1175" t="str">
            <v>BPC lisa Ranurada, 1/16"  800mm x 150mm  F°G° S/Tapa</v>
          </cell>
        </row>
        <row r="1176">
          <cell r="B1176" t="str">
            <v>BPC lisa Ranurada, 1/16"  900mm x 100mm  F°G° S/Tapa</v>
          </cell>
        </row>
        <row r="1177">
          <cell r="B1177" t="str">
            <v>BPC lisa Ranurada, 1/16"  900mm x 150mm  F°G° S/Tapa</v>
          </cell>
        </row>
        <row r="1178">
          <cell r="B1178" t="str">
            <v>BPC lisa Ranurada, 1/16"  1000mm x 100mm  F°G° S/Tapa</v>
          </cell>
        </row>
        <row r="1179">
          <cell r="B1179" t="str">
            <v>BPC lisa Ranurada, 1/16"  1000mm x 150mm  F°G° S/Tapa</v>
          </cell>
        </row>
        <row r="1180">
          <cell r="B1180" t="str">
            <v>BPC lisa Ranurada, 1/16"  1000mm x 200mm  F°G° S/Tapa</v>
          </cell>
        </row>
        <row r="1181">
          <cell r="B1181" t="str">
            <v>BPC lisa Ranurada, 1/16"  1200mm x 100mm  F°G° S/Tapa</v>
          </cell>
        </row>
        <row r="1182">
          <cell r="B1182">
            <v>0</v>
          </cell>
        </row>
        <row r="1183">
          <cell r="B1183" t="str">
            <v>BPC lisa Ranurada, 1/16"  100mm x 70mm  F°G° S/Tapa  c/separador</v>
          </cell>
        </row>
        <row r="1184">
          <cell r="B1184" t="str">
            <v>BPC lisa Ranurada, 1/16"  100mm x 100mm  F°G° S/Tapa  c/separador</v>
          </cell>
        </row>
        <row r="1185">
          <cell r="B1185" t="str">
            <v>BPC lisa Ranurada, 1/16"  150mm x 100mm  F°G° S/Tapa   c/separador</v>
          </cell>
        </row>
        <row r="1186">
          <cell r="B1186" t="str">
            <v>BPC lisa Ranurada, 1/16"  200mm x 100mm  F°G° S/Tapa   c/separador</v>
          </cell>
        </row>
        <row r="1187">
          <cell r="B1187" t="str">
            <v>BPC lisa Ranurada, 1/16"  250mm x 100mm  F°G° S/Tapa    c/separador</v>
          </cell>
        </row>
        <row r="1188">
          <cell r="B1188" t="str">
            <v>BPC lisa Ranurada, 1/16"  300mm x 100mm  F°G° S/Tapa    c/separador</v>
          </cell>
        </row>
        <row r="1189">
          <cell r="B1189" t="str">
            <v>BPC lisa Ranurada, 1/16"  350mm x 100mm  F°G° S/Tapa    c/separador</v>
          </cell>
        </row>
        <row r="1190">
          <cell r="B1190" t="str">
            <v>BPC lisa Ranurada, 1/16"  400mm x 100mm  F°G° S/Tapa    c/separador</v>
          </cell>
        </row>
        <row r="1191">
          <cell r="B1191" t="str">
            <v>BPC lisa Ranurada, 1/16"  450mm x 100mm  F°G° S/Tapa    c/separador</v>
          </cell>
        </row>
        <row r="1192">
          <cell r="B1192" t="str">
            <v>BPC lisa Ranurada, 1/16"  500mm x 100mm  F°G° S/Tapa    c/separador</v>
          </cell>
        </row>
        <row r="1193">
          <cell r="B1193" t="str">
            <v>BPC lisa Ranurada, 1/16"  600mm x 100mm  F°G° S/Tapa    c/separador</v>
          </cell>
        </row>
        <row r="1194">
          <cell r="B1194" t="str">
            <v>BPC lisa Ranurada, 1/16"  700mm x 100mm  F°G° S/Tapa    c/separador</v>
          </cell>
        </row>
        <row r="1195">
          <cell r="B1195" t="str">
            <v>BPC lisa Ranurada, 1/16"  800mm x 100mm  F°G° S/Tapa    c/separador</v>
          </cell>
        </row>
        <row r="1196">
          <cell r="B1196" t="str">
            <v>BPC lisa Ranurada, 1/16"  900mm x 100mm  F°G° S/Tapa    c/separador</v>
          </cell>
        </row>
        <row r="1197">
          <cell r="B1197" t="str">
            <v>BPC lisa Ranurada, 1/16"  1000mm x 100mm  F°G° S/Tapa    c/separador</v>
          </cell>
        </row>
        <row r="1198">
          <cell r="B1198" t="str">
            <v>BPC lisa Ranurada, 1/16"  1200mm x 100mm  F°G° S/Tapa    c/separador</v>
          </cell>
        </row>
        <row r="1199">
          <cell r="B1199">
            <v>0</v>
          </cell>
        </row>
        <row r="1200">
          <cell r="B1200" t="str">
            <v>BPC lisa Ranurada, 5/64"  50mm x 50mm  F°G° S/Tapa</v>
          </cell>
        </row>
        <row r="1201">
          <cell r="B1201" t="str">
            <v>BPC lisa Ranurada, 5/64"  100mm x 50mm  F°G° S/Tapa</v>
          </cell>
        </row>
        <row r="1202">
          <cell r="B1202" t="str">
            <v>BPC lisa Ranurada, 5/64"  150mm x 50mm  F°G° S/Tapa</v>
          </cell>
        </row>
        <row r="1203">
          <cell r="B1203" t="str">
            <v>BPC lisa Ranurada, 5/64"  200mm x 50mm  F°G° S/Tapa</v>
          </cell>
        </row>
        <row r="1204">
          <cell r="B1204" t="str">
            <v>BPC lisa Ranurada, 5/64"  300mm x 50mm  F°G° S/Tapa</v>
          </cell>
        </row>
        <row r="1205">
          <cell r="B1205" t="str">
            <v>BPC lisa Ranurada, 5/64"  400mm x 50mm  F°G° S/Tapa</v>
          </cell>
        </row>
        <row r="1206">
          <cell r="B1206" t="str">
            <v>BPC lisa Ranurada, 5/64"  450mm x 50mm  F°G° S/Tapa</v>
          </cell>
        </row>
        <row r="1207">
          <cell r="B1207" t="str">
            <v>BPC lisa Ranurada, 5/64"  100mm x 70mm  F°G° S/Tapa</v>
          </cell>
        </row>
        <row r="1208">
          <cell r="B1208" t="str">
            <v>BPC lisa Ranurada, 5/64"  100mm x 100mm  F°G° S/Tapa</v>
          </cell>
        </row>
        <row r="1209">
          <cell r="B1209" t="str">
            <v>BPC lisa Ranurada, 5/64"  150mm x 100mm  F°G° S/Tapa</v>
          </cell>
        </row>
        <row r="1210">
          <cell r="B1210" t="str">
            <v>BPC lisa Ranurada, 5/64"  150mm x 150mm  F°G° S/Tapa</v>
          </cell>
        </row>
        <row r="1211">
          <cell r="B1211" t="str">
            <v>BPC lisa Ranurada, 5/64"  200mm x 100mm  F°G° S/Tapa</v>
          </cell>
        </row>
        <row r="1212">
          <cell r="B1212" t="str">
            <v>BPC lisa Ranurada, 5/64"  200mm x 150mm  F°G° S/Tapa</v>
          </cell>
        </row>
        <row r="1213">
          <cell r="B1213" t="str">
            <v>BPC lisa Ranurada, 5/64"  250mm x 100mm  F°G° S/Tapa</v>
          </cell>
        </row>
        <row r="1214">
          <cell r="B1214" t="str">
            <v>BPC lisa Ranurada, 5/64"  250mm x 150mm  F°G° S/Tapa</v>
          </cell>
        </row>
        <row r="1215">
          <cell r="B1215" t="str">
            <v>BPC lisa Ranurada, 5/64"  300mm x 100mm  F°G° S/Tapa</v>
          </cell>
        </row>
        <row r="1216">
          <cell r="B1216" t="str">
            <v>BPC lisa Ranurada, 5/64"  300mm x 150mm  F°G° S/Tapa</v>
          </cell>
        </row>
        <row r="1217">
          <cell r="B1217" t="str">
            <v>BPC lisa Ranurada, 5/64"  350mm x 100mm  F°G° S/Tapa</v>
          </cell>
        </row>
        <row r="1218">
          <cell r="B1218" t="str">
            <v>BPC lisa Ranurada, 5/64"  350mm x 150mm  F°G° S/Tapa</v>
          </cell>
        </row>
        <row r="1219">
          <cell r="B1219" t="str">
            <v>BPC lisa Ranurada, 5/64"  400mm x 100mm  F°G° S/Tapa</v>
          </cell>
        </row>
        <row r="1220">
          <cell r="B1220" t="str">
            <v>BPC lisa Ranurada, 5/64"  400mm x 150mm  F°G° S/Tapa</v>
          </cell>
        </row>
        <row r="1221">
          <cell r="B1221" t="str">
            <v>BPC lisa Ranurada, 5/64"  450mm x 100mm  F°G° S/Tapa</v>
          </cell>
        </row>
        <row r="1222">
          <cell r="B1222" t="str">
            <v>BPC lisa Ranurada, 5/64"  450mm x 150mm  F°G° S/Tapa</v>
          </cell>
        </row>
        <row r="1223">
          <cell r="B1223" t="str">
            <v>BPC lisa Ranurada, 5/64"  500mm x 100mm  F°G° S/Tapa</v>
          </cell>
        </row>
        <row r="1224">
          <cell r="B1224" t="str">
            <v>BPC lisa Ranurada, 5/64"  500mm x 150mm  F°G° S/Tapa</v>
          </cell>
        </row>
        <row r="1225">
          <cell r="B1225" t="str">
            <v>BPC lisa Ranurada, 5/64"  600mm x 100mm  F°G° S/Tapa</v>
          </cell>
        </row>
        <row r="1226">
          <cell r="B1226" t="str">
            <v>BPC lisa Ranurada, 5/64"  600mm x 150mm  F°G° S/Tapa</v>
          </cell>
        </row>
        <row r="1227">
          <cell r="B1227" t="str">
            <v>BPC lisa Ranurada, 5/64"  700mm x 100mm  F°G° S/Tapa</v>
          </cell>
        </row>
        <row r="1228">
          <cell r="B1228" t="str">
            <v>BPC lisa Ranurada, 5/64"  800mm x 100mm  F°G° S/Tapa</v>
          </cell>
        </row>
        <row r="1229">
          <cell r="B1229" t="str">
            <v>BPC lisa Ranurada, 5/64"  800mm x 150mm  F°G° S/Tapa</v>
          </cell>
        </row>
        <row r="1230">
          <cell r="B1230" t="str">
            <v>BPC lisa Ranurada, 5/64"  900mm x 100mm  F°G° S/Tapa</v>
          </cell>
        </row>
        <row r="1231">
          <cell r="B1231" t="str">
            <v>BPC lisa Ranurada, 5/64"  900mm x 150mm  F°G° S/Tapa</v>
          </cell>
        </row>
        <row r="1232">
          <cell r="B1232" t="str">
            <v>BPC lisa Ranurada, 5/64"  1000mm x 100mm  F°G° S/Tapa</v>
          </cell>
        </row>
        <row r="1233">
          <cell r="B1233" t="str">
            <v>BPC lisa Ranurada, 5/64"  1200mm x 100mm  F°G° S/Tapa</v>
          </cell>
        </row>
        <row r="1234">
          <cell r="B1234" t="str">
            <v>BPC lisa Ranurada, 5/64"  1000mm x 150mm  F°G° S/Tapa</v>
          </cell>
        </row>
        <row r="1235">
          <cell r="B1235" t="str">
            <v>BPC lisa Ranurada, 5/64"  1000mm x 200mm  F°G° S/Tapa</v>
          </cell>
        </row>
        <row r="1236">
          <cell r="B1236">
            <v>0</v>
          </cell>
        </row>
        <row r="1237">
          <cell r="B1237" t="str">
            <v>BPC lisa Ranurada, 1/16"  60mm x 50mm  F°G°  Pintado S/Tapa</v>
          </cell>
        </row>
        <row r="1238">
          <cell r="B1238" t="str">
            <v>BPC lisa Ranurada, 1/16"  100mm x 50mm  F°G° Pintado S/Tapa</v>
          </cell>
        </row>
        <row r="1239">
          <cell r="B1239" t="str">
            <v>BPC lisa Ranurada, 1/16"  100mm x 100mm  F°G° Pintado S/Tapa</v>
          </cell>
        </row>
        <row r="1240">
          <cell r="B1240" t="str">
            <v>BPC lisa Ranurada, 1/16"  150mm x 100mm  F°G° Pintado S/Tapa</v>
          </cell>
        </row>
        <row r="1241">
          <cell r="B1241" t="str">
            <v>BPC lisa Ranurada, 1/16"  200mm x 100mm  F°G° Pintado S/Tapa</v>
          </cell>
        </row>
        <row r="1242">
          <cell r="B1242" t="str">
            <v>BPC lisa Ranurada, 1/16"  250mm x 100mm  F°G° Pintado S/Tapa</v>
          </cell>
        </row>
        <row r="1243">
          <cell r="B1243" t="str">
            <v>BPC lisa Ranurada, 1/16"  300mm x 100mm  F°G° Pintado S/Tapa</v>
          </cell>
        </row>
        <row r="1244">
          <cell r="B1244" t="str">
            <v>BPC lisa Ranurada, 1/16"  350mm x 100mm  F°G° Pintado S/Tapa</v>
          </cell>
        </row>
        <row r="1245">
          <cell r="B1245" t="str">
            <v>BPC lisa Ranurada, 1/16"  400mm x 100mm  F°G° Pintado S/Tapa</v>
          </cell>
        </row>
        <row r="1246">
          <cell r="B1246" t="str">
            <v>BPC lisa Ranurada, 1/16"  450mm x 100mm  F°G° Pintado S/Tapa</v>
          </cell>
        </row>
        <row r="1247">
          <cell r="B1247" t="str">
            <v>BPC lisa Ranurada, 1/16"  400mm x 150mm  F°G° Pintado S/Tapa</v>
          </cell>
        </row>
        <row r="1248">
          <cell r="B1248" t="str">
            <v>BPC lisa Ranurada, 1/16"  500mm x 100mm  F°G° Pintado S/Tapa</v>
          </cell>
        </row>
        <row r="1249">
          <cell r="B1249" t="str">
            <v>BPC lisa Ranurada, 1/16"  500mm x 150mm  F°G° Pintado S/Tapa</v>
          </cell>
        </row>
        <row r="1250">
          <cell r="B1250" t="str">
            <v>BPC lisa Ranurada, 1/16"  600mm x 100mm  F°G° Pintado S/Tapa</v>
          </cell>
        </row>
        <row r="1251">
          <cell r="B1251" t="str">
            <v>BPC lisa Ranurada, 1/16"  600mm x 150mm  F°G°  Pintado S/Tapa</v>
          </cell>
        </row>
        <row r="1252">
          <cell r="B1252" t="str">
            <v>BPC lisa Ranurada, 1/16"  700mm x 100mm  F°G° Pintado S/Tapa</v>
          </cell>
        </row>
        <row r="1253">
          <cell r="B1253" t="str">
            <v>BPC lisa Ranurada, 1/16"  800mm x 100mm  F°G° Pintado S/Tapa</v>
          </cell>
        </row>
        <row r="1254">
          <cell r="B1254" t="str">
            <v>BPC lisa Ranurada, 1/16"  800mm x 150mm  F°G° Pintado S/Tapa</v>
          </cell>
        </row>
        <row r="1255">
          <cell r="B1255" t="str">
            <v>BPC lisa Ranurada, 1/16"  900mm x 100mm  F°G° Pintado S/Tapa</v>
          </cell>
        </row>
        <row r="1256">
          <cell r="B1256" t="str">
            <v>BPC lisa Ranurada, 1/16"  1000mm x 100mm  F°G° Pintado S/Tapa</v>
          </cell>
        </row>
        <row r="1257">
          <cell r="B1257" t="str">
            <v>BPC lisa Ranurada, 1/16"  1200mm x 100mm  F°G° Pintado S/Tapa</v>
          </cell>
        </row>
        <row r="1258">
          <cell r="B1258" t="str">
            <v>BPC lisa Ranurada, 1/16"  1000mm x 150mm  F°G° Pintado S/Tapa</v>
          </cell>
        </row>
        <row r="1259">
          <cell r="B1259">
            <v>0</v>
          </cell>
        </row>
        <row r="1260">
          <cell r="B1260" t="str">
            <v>BPC lisa Ranurada, 5/64"  50mm x 50mm  F°G° Pintado S/Tapa</v>
          </cell>
        </row>
        <row r="1261">
          <cell r="B1261" t="str">
            <v>BPC lisa Ranurada, 5/64"  100mm x 50mm  F°G° Pintado S/Tapa</v>
          </cell>
        </row>
        <row r="1262">
          <cell r="B1262" t="str">
            <v>BPC lisa Ranurada, 5/64"  150mm x 50mm  F°G° Pintado S/Tapa</v>
          </cell>
        </row>
        <row r="1263">
          <cell r="B1263" t="str">
            <v>BPC lisa Ranurada, 5/64"  200mm x 50mm  F°G° Pintado S/Tapa</v>
          </cell>
        </row>
        <row r="1264">
          <cell r="B1264" t="str">
            <v>BPC lisa Ranurada, 5/64"  300mm x 50mm  F°G° Pintado S/Tapa</v>
          </cell>
        </row>
        <row r="1265">
          <cell r="B1265" t="str">
            <v>BPC lisa Ranurada, 5/64"  400mm x 50mm  F°G° Pintado S/Tapa</v>
          </cell>
        </row>
        <row r="1266">
          <cell r="B1266" t="str">
            <v>BPC lisa Ranurada, 5/64"  450mm x 50mm  F°G° Pintado S/Tapa</v>
          </cell>
        </row>
        <row r="1267">
          <cell r="B1267">
            <v>0</v>
          </cell>
        </row>
        <row r="1268">
          <cell r="B1268" t="str">
            <v>BPC lisa Ranurada, 5/64"  100mm x 100mm  F°G° Pintado S/Tapa</v>
          </cell>
        </row>
        <row r="1269">
          <cell r="B1269" t="str">
            <v>BPC lisa Ranurada, 5/64"  150mm x 100mm  F°G° Pintado S/Tapa</v>
          </cell>
        </row>
        <row r="1270">
          <cell r="B1270" t="str">
            <v>BPC lisa Ranurada, 5/64"  200mm x 100mm  F°G° Pintado S/Tapa</v>
          </cell>
        </row>
        <row r="1271">
          <cell r="B1271" t="str">
            <v>BPC lisa Ranurada, 5/64"  250mm x 100mm  F°G° Pintado S/Tapa</v>
          </cell>
        </row>
        <row r="1272">
          <cell r="B1272" t="str">
            <v>BPC lisa Ranurada, 5/64"  300mm x 100mm  F°G° Pintado S/Tapa</v>
          </cell>
        </row>
        <row r="1273">
          <cell r="B1273" t="str">
            <v>BPC lisa Ranurada, 5/64"  350mm x 100mm  F°G° Pintado S/Tapa</v>
          </cell>
        </row>
        <row r="1274">
          <cell r="B1274" t="str">
            <v>BPC lisa Ranurada, 5/64"  400mm x 100mm  F°G° Pintado S/Tapa</v>
          </cell>
        </row>
        <row r="1275">
          <cell r="B1275" t="str">
            <v>BPC lisa Ranurada, 5/64"  450mm x 100mm  F°G° Pintado S/Tapa</v>
          </cell>
        </row>
        <row r="1276">
          <cell r="B1276" t="str">
            <v>BPC lisa Ranurada, 5/64"  500mm x 100mm  F°G° Pintado S/Tapa</v>
          </cell>
        </row>
        <row r="1277">
          <cell r="B1277" t="str">
            <v>BPC lisa Ranurada, 5/64"  600mm x 100mm  F°G° Pintado S/Tapa</v>
          </cell>
        </row>
        <row r="1278">
          <cell r="B1278" t="str">
            <v>BPC lisa Ranurada, 5/64"  700mm x 100mm  F°G° Pintado S/Tapa</v>
          </cell>
        </row>
        <row r="1279">
          <cell r="B1279" t="str">
            <v>BPC lisa Ranurada, 5/64"  700mm x 150mm  F°G° Pintado S/Tapa</v>
          </cell>
        </row>
        <row r="1280">
          <cell r="B1280" t="str">
            <v>BPC lisa Ranurada, 5/64"  800mm x 100mm  F°G° Pintado S/Tapa</v>
          </cell>
        </row>
        <row r="1281">
          <cell r="B1281" t="str">
            <v>BPC lisa Ranurada, 5/64"  800mm x 150mm  F°G° Pintado S/Tapa</v>
          </cell>
        </row>
        <row r="1282">
          <cell r="B1282" t="str">
            <v>BPC lisa Ranurada, 5/64"  900mm x 100mm  F°G° Pintado S/Tapa</v>
          </cell>
        </row>
        <row r="1283">
          <cell r="B1283" t="str">
            <v>BPC lisa Ranurada, 5/64"  900mm x 150mm  F°G° Pintado S/Tapa</v>
          </cell>
        </row>
        <row r="1284">
          <cell r="B1284" t="str">
            <v>BPC lisa Ranurada, 5/64"  1000mm x 100mm  F°G° Pintado S/Tapa</v>
          </cell>
        </row>
        <row r="1285">
          <cell r="B1285" t="str">
            <v>BPC lisa Ranurada, 5/64"  1200mm x 100mm  F°G° Pintado S/Tapa</v>
          </cell>
        </row>
        <row r="1286">
          <cell r="B1286" t="str">
            <v>BPC lisa Ranurada, 5/64"  1000mm x 150mm  F°G° Pintado S/Tapa</v>
          </cell>
        </row>
        <row r="1287">
          <cell r="B1287" t="str">
            <v>BPC lisa Ranurada, 5/64"  1000mm x 200mm  F°G° Pintado S/Tapa</v>
          </cell>
        </row>
        <row r="1288">
          <cell r="B1288">
            <v>0</v>
          </cell>
        </row>
        <row r="1289">
          <cell r="B1289" t="str">
            <v>BPC lisa Ranurada, 5/64"  100mm x 100mm  F°G° Pintado S/Tapa c/1 Separador</v>
          </cell>
        </row>
        <row r="1290">
          <cell r="B1290" t="str">
            <v>BPC lisa Ranurada, 5/64"  150mm x 100mm  F°G° Pintado S/Tapa c/1 Separador</v>
          </cell>
        </row>
        <row r="1291">
          <cell r="B1291" t="str">
            <v>BPC lisa Ranurada, 5/64"  200mm x 100mm  F°G° Pintado S/Tapa c/1 Separador</v>
          </cell>
        </row>
        <row r="1292">
          <cell r="B1292" t="str">
            <v>BPC lisa Ranurada, 5/64"  250mm x 100mm  F°G° Pintado S/Tapa c/1 Separador</v>
          </cell>
        </row>
        <row r="1293">
          <cell r="B1293" t="str">
            <v>BPC lisa Ranurada, 5/64"  300mm x 100mm  F°G° Pintado S/Tapa c/1 Separador</v>
          </cell>
        </row>
        <row r="1294">
          <cell r="B1294" t="str">
            <v>BPC lisa Ranurada, 5/64"  350mm x 100mm  F°G° Pintado S/Tapa c/1 Separador</v>
          </cell>
        </row>
        <row r="1295">
          <cell r="B1295" t="str">
            <v>BPC lisa Ranurada, 5/64"  400mm x 100mm  F°G° Pintado S/Tapa c/1 Separador</v>
          </cell>
        </row>
        <row r="1296">
          <cell r="B1296" t="str">
            <v>BPC lisa Ranurada, 5/64"  450mm x 100mm  F°G° Pintado S/Tapa c/1 Separador</v>
          </cell>
        </row>
        <row r="1297">
          <cell r="B1297" t="str">
            <v>BPC lisa Ranurada, 5/64"  500mm x 100mm  F°G° Pintado S/Tapa c/1 Separador</v>
          </cell>
        </row>
        <row r="1298">
          <cell r="B1298" t="str">
            <v>BPC lisa Ranurada, 5/64"  600mm x 100mm  F°G° Pintado S/Tapa c/1 Separador</v>
          </cell>
        </row>
        <row r="1299">
          <cell r="B1299" t="str">
            <v>BPC lisa Ranurada, 5/64"  700mm x 100mm  F°G° Pintado S/Tapa c/1 Separador</v>
          </cell>
        </row>
        <row r="1300">
          <cell r="B1300" t="str">
            <v>BPC lisa Ranurada, 5/64"  800mm x 100mm  F°G° Pintado S/Tapa c/1 Separador</v>
          </cell>
        </row>
        <row r="1301">
          <cell r="B1301" t="str">
            <v>BPC lisa Ranurada, 5/64"  900mm x 100mm  F°G° Pintado S/Tapa c/1 Separador</v>
          </cell>
        </row>
        <row r="1302">
          <cell r="B1302" t="str">
            <v>BPC lisa Ranurada, 5/64"  1000mm x 100mm  F°G° Pintado S/Tapa c/1 Separador</v>
          </cell>
        </row>
        <row r="1303">
          <cell r="B1303" t="str">
            <v>BPC lisa Ranurada, 5/64"  1200mm x 100mm  F°G° Pintado S/Tapa c/1 Separador</v>
          </cell>
        </row>
        <row r="1304">
          <cell r="B1304" t="str">
            <v>BPC lisa Ranurada, 5/64"  100mm x 100mm  F°G° Pintado S/Tapa c/2 Separador</v>
          </cell>
        </row>
        <row r="1305">
          <cell r="B1305">
            <v>0</v>
          </cell>
        </row>
        <row r="1306">
          <cell r="B1306" t="str">
            <v>BPC lisa Ranurada, 1/16"  100mm x 100mm  F°G° En Caliente S/Tapa</v>
          </cell>
        </row>
        <row r="1307">
          <cell r="B1307" t="str">
            <v>BPC lisa Ranurada, 1/16"  150mm x 100mm  F°G° En Caliente S/Tapa</v>
          </cell>
        </row>
        <row r="1308">
          <cell r="B1308" t="str">
            <v>BPC lisa Ranurada, 1/16"  200mm x 100mm  F°G° En Caliente S/Tapa</v>
          </cell>
        </row>
        <row r="1309">
          <cell r="B1309" t="str">
            <v>BPC lisa Ranurada, 1/16"  250mm x 100mm  F°G° En Caliente S/Tapa</v>
          </cell>
        </row>
        <row r="1310">
          <cell r="B1310" t="str">
            <v>BPC lisa Ranurada, 1/16"  300mm x 100mm  F°G° En Caliente S/Tapa</v>
          </cell>
        </row>
        <row r="1311">
          <cell r="B1311" t="str">
            <v>BPC lisa Ranurada, 1/16"  350mm x 100mm  F°G° En Caliente S/Tapa</v>
          </cell>
        </row>
        <row r="1312">
          <cell r="B1312" t="str">
            <v>BPC lisa Ranurada, 1/16"  400mm x 100mm  F°G° En Caliente S/Tapa</v>
          </cell>
        </row>
        <row r="1313">
          <cell r="B1313" t="str">
            <v>BPC lisa Ranurada, 1/16"  400mm x 150mm  F°G° En Caliente S/Tapa</v>
          </cell>
        </row>
        <row r="1314">
          <cell r="B1314" t="str">
            <v>BPC lisa Ranurada, 1/16"  450mm x 100mm  F°G° En Caliente S/Tapa</v>
          </cell>
        </row>
        <row r="1315">
          <cell r="B1315" t="str">
            <v>BPC lisa Ranurada, 1/16"  500mm x 100mm  F°G° En Caliente S/Tapa</v>
          </cell>
        </row>
        <row r="1316">
          <cell r="B1316" t="str">
            <v>BPC lisa Ranurada, 1/16"  600mm x 100mm  F°G° En Caliente S/Tapa</v>
          </cell>
        </row>
        <row r="1317">
          <cell r="B1317" t="str">
            <v>BPC lisa Ranurada, 1/16"  600mm x 150mm  F°G° En Caliente S/Tapa</v>
          </cell>
        </row>
        <row r="1318">
          <cell r="B1318" t="str">
            <v>BPC lisa Ranurada, 1/16"  700mm x 100mm  F°G° En Caliente S/Tapa</v>
          </cell>
        </row>
        <row r="1319">
          <cell r="B1319" t="str">
            <v>BPC lisa Ranurada, 1/16"  800mm x 100mm  F°G° En Caliente S/Tapa</v>
          </cell>
        </row>
        <row r="1320">
          <cell r="B1320" t="str">
            <v>BPC lisa Ranurada, 1/16"  900mm x 100mm  F°G° En Caliente S/Tapa</v>
          </cell>
        </row>
        <row r="1321">
          <cell r="B1321" t="str">
            <v>BPC lisa Ranurada, 1/16"  1000mm x 100mm  F°G° En Caliente S/Tapa</v>
          </cell>
        </row>
        <row r="1322">
          <cell r="B1322" t="str">
            <v>BPC lisa Ranurada, 1/16"  1200mm x 100mm  F°G° En Caliente S/Tapa</v>
          </cell>
        </row>
        <row r="1323">
          <cell r="B1323">
            <v>0</v>
          </cell>
        </row>
        <row r="1324">
          <cell r="B1324" t="str">
            <v>BPC lisa Ranurada, 5/64"  100mm x 100mm  F°G° En Caliente S/Tapa</v>
          </cell>
        </row>
        <row r="1325">
          <cell r="B1325" t="str">
            <v>BPC lisa Ranurada, 5/64"  150mm x 100mm  F°G° En Caliente S/Tapa</v>
          </cell>
        </row>
        <row r="1326">
          <cell r="B1326" t="str">
            <v>BPC lisa Ranurada, 5/64"  200mm x 100mm  F°G° En Caliente S/Tapa</v>
          </cell>
        </row>
        <row r="1327">
          <cell r="B1327" t="str">
            <v>BPC lisa Ranurada, 5/64"  250mm x 100mm  F°G° En Caliente S/Tapa</v>
          </cell>
        </row>
        <row r="1328">
          <cell r="B1328" t="str">
            <v>BPC lisa Ranurada, 5/64"  300mm x 100mm  F°G° En Caliente S/Tapa</v>
          </cell>
        </row>
        <row r="1329">
          <cell r="B1329" t="str">
            <v>BPC lisa Ranurada, 5/64"  350mm x 100mm  F°G° En Caliente S/Tapa</v>
          </cell>
        </row>
        <row r="1330">
          <cell r="B1330" t="str">
            <v>BPC lisa Ranurada, 5/64"  400mm x 100mm  F°G° En Caliente S/Tapa</v>
          </cell>
        </row>
        <row r="1331">
          <cell r="B1331" t="str">
            <v>BPC lisa Ranurada, 5/64"  450mm x 100mm  F°G° En Caliente S/Tapa</v>
          </cell>
        </row>
        <row r="1332">
          <cell r="B1332" t="str">
            <v>BPC lisa Ranurada, 5/64"  500mm x 100mm  F°G° En Caliente S/Tapa</v>
          </cell>
        </row>
        <row r="1333">
          <cell r="B1333" t="str">
            <v>BPC lisa Ranurada, 5/64"  600mm x 100mm  F°G° En Caliente S/Tapa</v>
          </cell>
        </row>
        <row r="1334">
          <cell r="B1334" t="str">
            <v>BPC lisa Ranurada, 5/64"  700mm x 100mm  F°G° En Caliente S/Tapa</v>
          </cell>
        </row>
        <row r="1335">
          <cell r="B1335" t="str">
            <v>BPC lisa Ranurada, 5/64"  800mm x 100mm  F°G° En Caliente S/Tapa</v>
          </cell>
        </row>
        <row r="1336">
          <cell r="B1336" t="str">
            <v>BPC lisa Ranurada, 5/64"  900mm x 100mm  F°G° En Caliente S/Tapa</v>
          </cell>
        </row>
        <row r="1337">
          <cell r="B1337" t="str">
            <v>BPC lisa Ranurada, 5/64"  1000mm x 100mm  F°G° En Caliente S/Tapa</v>
          </cell>
        </row>
        <row r="1338">
          <cell r="B1338" t="str">
            <v>BPC lisa Ranurada, 5/64"  1200mm x 100mm  F°G° En Caliente S/Tapa</v>
          </cell>
        </row>
        <row r="1339">
          <cell r="B1339" t="str">
            <v>BPC lisa Ranurada, 5/64"  150mm x 150mm  F°G° En Caliente S/Tapa</v>
          </cell>
        </row>
        <row r="1340">
          <cell r="B1340" t="str">
            <v>BPC lisa Ranurada, 5/64"  200mm x 150mm  F°G° En Caliente S/Tapa</v>
          </cell>
        </row>
        <row r="1341">
          <cell r="B1341" t="str">
            <v>BPC lisa Ranurada, 5/64"  250mm x 150mm  F°G° En Caliente S/Tapa</v>
          </cell>
        </row>
        <row r="1342">
          <cell r="B1342" t="str">
            <v>BPC lisa Ranurada, 5/64"  300mm x 150mm  F°G° En Caliente S/Tapa</v>
          </cell>
        </row>
        <row r="1343">
          <cell r="B1343" t="str">
            <v>BPC lisa Ranurada, 5/64"  350mm x 150mm  F°G° En Caliente S/Tapa</v>
          </cell>
        </row>
        <row r="1344">
          <cell r="B1344" t="str">
            <v>BPC lisa Ranurada, 5/64"  400mm x 150mm  F°G° En Caliente S/Tapa</v>
          </cell>
        </row>
        <row r="1345">
          <cell r="B1345" t="str">
            <v>BPC lisa Ranurada, 5/64"  450mm x 150mm  F°G° En Caliente S/Tapa</v>
          </cell>
        </row>
        <row r="1346">
          <cell r="B1346" t="str">
            <v>BPC lisa Ranurada, 5/64"  500mm x 150mm  F°G° En Caliente S/Tapa</v>
          </cell>
        </row>
        <row r="1347">
          <cell r="B1347" t="str">
            <v>BPC lisa Ranurada, 5/64"  600mm x 150mm  F°G° En Caliente S/Tapa</v>
          </cell>
        </row>
        <row r="1348">
          <cell r="B1348" t="str">
            <v>BPC lisa Ranurada, 5/64"  800mm x 150mm  F°G° En Caliente S/Tapa</v>
          </cell>
        </row>
        <row r="1349">
          <cell r="B1349" t="str">
            <v>BPC lisa Ranurada, 5/64"  900mm x 150mm  F°G° En Caliente S/Tapa</v>
          </cell>
        </row>
        <row r="1350">
          <cell r="B1350" t="str">
            <v>BPC lisa Ranurada, 5/64"  1000mm x 150mm  F°G° En Caliente S/Tapa</v>
          </cell>
        </row>
        <row r="1351">
          <cell r="B1351">
            <v>0</v>
          </cell>
        </row>
        <row r="1352">
          <cell r="B1352">
            <v>0</v>
          </cell>
        </row>
        <row r="1353">
          <cell r="B1353" t="str">
            <v>Curva de 100mm x 70mm F°G°, Lisa Ranura, 1/16" - Horizontal</v>
          </cell>
        </row>
        <row r="1354">
          <cell r="B1354" t="str">
            <v>Curva de 150mm x 100mm  F°G°, Lisa Ranura, 1/16" - Horizontal</v>
          </cell>
        </row>
        <row r="1355">
          <cell r="B1355" t="str">
            <v>Curva de 200mm x 100mm  F°G°, Lisa Ranura, 1/16" - Horizontal</v>
          </cell>
        </row>
        <row r="1356">
          <cell r="B1356" t="str">
            <v>Curva de 250mm x 100mm  F°G°, Lisa Ranura, 1/16" - Horizontal</v>
          </cell>
        </row>
        <row r="1357">
          <cell r="B1357" t="str">
            <v>Curva de 300mm x 100mm  F°G°, Lisa Ranura, 1/16" - Horizontal</v>
          </cell>
        </row>
        <row r="1358">
          <cell r="B1358" t="str">
            <v>Curva de 350mm x 100mm  F°G°, Lisa Ranura, 1/16" - Horizontal</v>
          </cell>
        </row>
        <row r="1359">
          <cell r="B1359" t="str">
            <v>Curva de 400mm x 100mm  F°G°, Lisa Ranura, 1/16" - Horizontal</v>
          </cell>
        </row>
        <row r="1360">
          <cell r="B1360" t="str">
            <v>Curva de 450mm x 100mm  F°G°, Lisa Ranura, 1/16" - Horizontal</v>
          </cell>
        </row>
        <row r="1361">
          <cell r="B1361" t="str">
            <v>Curva de 500mm x 100mm  F°G°, Lisa Ranura, 1/16" - Horizontal</v>
          </cell>
        </row>
        <row r="1362">
          <cell r="B1362" t="str">
            <v>Curva de 600mm x 100mm  F°G°, Lisa Ranura, 1/16" - Horizontal</v>
          </cell>
        </row>
        <row r="1363">
          <cell r="B1363" t="str">
            <v>Curva de 700mm x 100mm  F°G°, Lisa Ranura, 1/16" - Horizontal</v>
          </cell>
        </row>
        <row r="1364">
          <cell r="B1364" t="str">
            <v>Curva de 800mm x 100mm  F°G°, Lisa Ranura, 1/16" - Horizontal</v>
          </cell>
        </row>
        <row r="1365">
          <cell r="B1365" t="str">
            <v>Curva de 900mm x 100mm  F°G°, Lisa Ranura, 1/16" - Horizontal</v>
          </cell>
        </row>
        <row r="1366">
          <cell r="B1366" t="str">
            <v>Curva de 1000mm x 100 F°G°, Lisa Ranura, 1/16" - Horizontal</v>
          </cell>
        </row>
        <row r="1367">
          <cell r="B1367">
            <v>0</v>
          </cell>
        </row>
        <row r="1368">
          <cell r="B1368" t="str">
            <v>Curva de 100mm x 70mm F°G°, Lisa Ranura, 1/16" - Vertical Angulo Abierto</v>
          </cell>
        </row>
        <row r="1369">
          <cell r="B1369" t="str">
            <v>Curva de 150mm x 100mm  F°G°, Lisa Ranura, 1/16" - Vertical Angulo Abierto</v>
          </cell>
        </row>
        <row r="1370">
          <cell r="B1370" t="str">
            <v>Curva de 200mm x 100mm  F°G°, Lisa Ranura, 1/16" - Vertical Angulo Abierto</v>
          </cell>
        </row>
        <row r="1371">
          <cell r="B1371" t="str">
            <v>Curva de 250mm x 100mm  F°G°, Lisa Ranura, 1/16" - Vertical Angulo Abierto</v>
          </cell>
        </row>
        <row r="1372">
          <cell r="B1372" t="str">
            <v>Curva de 300mm x 100mm  F°G°, Lisa Ranura, 1/16" - Vertical Angulo Abierto</v>
          </cell>
        </row>
        <row r="1373">
          <cell r="B1373" t="str">
            <v>Curva de 350mm x 100mm  F°G°, Lisa Ranura, 1/16" - Vertical Angulo Abierto</v>
          </cell>
        </row>
        <row r="1374">
          <cell r="B1374" t="str">
            <v>Curva de 400mm x 100mm  F°G°, Lisa Ranura, 1/16" - Vertical Angulo Abierto</v>
          </cell>
        </row>
        <row r="1375">
          <cell r="B1375" t="str">
            <v>Curva de 450mm x 100mm  F°G°, Lisa Ranura, 1/16" - Vertical Angulo Abierto</v>
          </cell>
        </row>
        <row r="1376">
          <cell r="B1376" t="str">
            <v>Curva de 500mm x 100mm  F°G°, Lisa Ranura, 1/16" - Vertical Angulo Abierto</v>
          </cell>
        </row>
        <row r="1377">
          <cell r="B1377" t="str">
            <v>Curva de 600mm x 100mm  F°G°, Lisa Ranura, 1/16" - Vertical Angulo Abierto</v>
          </cell>
        </row>
        <row r="1378">
          <cell r="B1378" t="str">
            <v>Curva de 700mm x 100mm  F°G°, Lisa Ranura, 1/16" - Vertical Angulo Abierto</v>
          </cell>
        </row>
        <row r="1379">
          <cell r="B1379" t="str">
            <v>Curva de 800mm x 100mm  F°G°, Lisa Ranura, 1/16" - Vertical Angulo Abierto</v>
          </cell>
        </row>
        <row r="1380">
          <cell r="B1380" t="str">
            <v>Curva de 900mm x 100mm  F°G°, Lisa Ranura, 1/16" - Vertical Angulo Abierto</v>
          </cell>
        </row>
        <row r="1381">
          <cell r="B1381" t="str">
            <v>Curva de 1000mm x 100 F°G°, Lisa Ranura, 1/16" - Vertical Angulo Abierto</v>
          </cell>
        </row>
        <row r="1382">
          <cell r="B1382">
            <v>0</v>
          </cell>
        </row>
        <row r="1383">
          <cell r="B1383" t="str">
            <v>Derivacion " T " 100mm F°G°, Lisa Ranura, 1/16"</v>
          </cell>
        </row>
        <row r="1384">
          <cell r="B1384" t="str">
            <v>Derivacion " T " 150mm F°G°, Lisa Ranura, 1/16"</v>
          </cell>
        </row>
        <row r="1385">
          <cell r="B1385" t="str">
            <v>Derivacion " T " 200mm F°G°, Lisa Ranura, 1/16"</v>
          </cell>
        </row>
        <row r="1386">
          <cell r="B1386" t="str">
            <v>Derivacion " T " 250mm F°G°, Lisa Ranura, 1/16"</v>
          </cell>
        </row>
        <row r="1387">
          <cell r="B1387" t="str">
            <v>Derivacion " T " 300mm F°G°, Lisa Ranura, 1/16"</v>
          </cell>
        </row>
        <row r="1388">
          <cell r="B1388" t="str">
            <v>Derivacion " T " 350mm F°G°, Lisa Ranura, 1/16"</v>
          </cell>
        </row>
        <row r="1389">
          <cell r="B1389" t="str">
            <v>Derivacion " T " 400mm F°G°, Lisa Ranura, 1/16"</v>
          </cell>
        </row>
        <row r="1390">
          <cell r="B1390" t="str">
            <v>Derivacion " T " 450mm F°G°, Lisa Ranura, 1/16"</v>
          </cell>
        </row>
        <row r="1391">
          <cell r="B1391" t="str">
            <v>Derivacion " T " 500mm F°G°, Lisa Ranura, 1/16"</v>
          </cell>
        </row>
        <row r="1392">
          <cell r="B1392" t="str">
            <v>Derivacion " T " 600mm F°G°, Lisa Ranura, 1/16"</v>
          </cell>
        </row>
        <row r="1393">
          <cell r="B1393" t="str">
            <v>Derivacion " T " 700mm F°G°, Lisa Ranura, 1/16"</v>
          </cell>
        </row>
        <row r="1394">
          <cell r="B1394" t="str">
            <v>Derivacion " T " 800mm F°G°, Lisa Ranura, 1/16"</v>
          </cell>
        </row>
        <row r="1395">
          <cell r="B1395" t="str">
            <v>Derivacion " T " 900mm F°G°, Lisa Ranura, 1/16"</v>
          </cell>
        </row>
        <row r="1396">
          <cell r="B1396" t="str">
            <v>Derivacion " T " 1000mm F°G°, Lisa Ranura, 1/16"</v>
          </cell>
        </row>
        <row r="1397">
          <cell r="B1397" t="str">
            <v>Derivacion " X " 200mm F°G°, Lisa Ranura, 1/16"</v>
          </cell>
        </row>
        <row r="1398">
          <cell r="B1398" t="str">
            <v>Derivacion " X " 250mm F°G°, Lisa Ranura, 1/16"</v>
          </cell>
        </row>
        <row r="1399">
          <cell r="B1399" t="str">
            <v>Derivacion " X " 300mm F°G°, Lisa Ranura, 1/16"</v>
          </cell>
        </row>
        <row r="1400">
          <cell r="B1400" t="str">
            <v>Derivacion " X " 350mm F°G°, Lisa Ranura, 1/16"</v>
          </cell>
        </row>
        <row r="1401">
          <cell r="B1401" t="str">
            <v>Derivacion " X " 400mm F°G°, Lisa Ranura, 1/16"</v>
          </cell>
        </row>
        <row r="1402">
          <cell r="B1402" t="str">
            <v>Derivacion " X " 450mm F°G°, Lisa Ranura, 1/16"</v>
          </cell>
        </row>
        <row r="1403">
          <cell r="B1403" t="str">
            <v>Derivacion " X " 500mm F°G°, Lisa Ranura, 1/16"</v>
          </cell>
        </row>
        <row r="1404">
          <cell r="B1404" t="str">
            <v>Derivacion " X " 600mm F°G°, Lisa Ranura, 1/16"</v>
          </cell>
        </row>
        <row r="1405">
          <cell r="B1405" t="str">
            <v>Derivacion " X " 700mm F°G°, Lisa Ranura, 1/16"</v>
          </cell>
        </row>
        <row r="1406">
          <cell r="B1406" t="str">
            <v>Derivacion " X " 800mm F°G°, Lisa Ranura, 1/16"</v>
          </cell>
        </row>
        <row r="1407">
          <cell r="B1407" t="str">
            <v>Derivacion " X " 900mm F°G°, Lisa Ranura, 1/16"</v>
          </cell>
        </row>
        <row r="1408">
          <cell r="B1408" t="str">
            <v>Derivacion " X " 1000mm F°G°, Lisa Ranura, 1/16"</v>
          </cell>
        </row>
        <row r="1409">
          <cell r="B1409">
            <v>0</v>
          </cell>
        </row>
        <row r="1410">
          <cell r="B1410" t="str">
            <v>Reduccion de 1000 a 900, F°G°, Lisa Ranura, 1/16"</v>
          </cell>
        </row>
        <row r="1411">
          <cell r="B1411" t="str">
            <v>Reduccion de 1000 a 800, F°G°, Lisa Ranura, 1/16"</v>
          </cell>
        </row>
        <row r="1412">
          <cell r="B1412" t="str">
            <v>Reduccion de 900 a 800, F°G°, Lisa Ranura, 1/16"</v>
          </cell>
        </row>
        <row r="1413">
          <cell r="B1413" t="str">
            <v>Reduccion de 900 a 700, F°G°, Lisa Ranura, 1/16"</v>
          </cell>
        </row>
        <row r="1414">
          <cell r="B1414" t="str">
            <v>Reduccion de 800 a 700, F°G°, Lisa Ranura, 1/16"</v>
          </cell>
        </row>
        <row r="1415">
          <cell r="B1415" t="str">
            <v>Reduccion de 800 a 600, F°G°, Lisa Ranura, 1/16"</v>
          </cell>
        </row>
        <row r="1416">
          <cell r="B1416" t="str">
            <v>Reduccion de 700 a 600, F°G°, Lisa Ranura, 1/16"</v>
          </cell>
        </row>
        <row r="1417">
          <cell r="B1417" t="str">
            <v>Reduccion de 700 a 500, F°G°, Lisa Ranura, 1/16"</v>
          </cell>
        </row>
        <row r="1418">
          <cell r="B1418" t="str">
            <v>Reduccion de 600 a 500, F°G°, Lisa Ranura, 1/16"</v>
          </cell>
        </row>
        <row r="1419">
          <cell r="B1419" t="str">
            <v>Reduccion de 600 a 400, F°G°, Lisa Ranura, 1/16"</v>
          </cell>
        </row>
        <row r="1420">
          <cell r="B1420" t="str">
            <v>Reduccion de 500 a 400, F°G°, Lisa Ranura, 1/16"</v>
          </cell>
        </row>
        <row r="1421">
          <cell r="B1421" t="str">
            <v>Reduccion de 400 a 300, F°G°, Lisa Ranura, 1/16"</v>
          </cell>
        </row>
        <row r="1422">
          <cell r="B1422" t="str">
            <v>Reduccion de 400 a 150, F°G°, Lisa Ranura, 1/16"</v>
          </cell>
        </row>
        <row r="1423">
          <cell r="B1423" t="str">
            <v>Reduccion de 300 a 200, F°G°, Lisa Ranura, 1/16"</v>
          </cell>
        </row>
        <row r="1424">
          <cell r="B1424" t="str">
            <v>Reduccion de 200 a 100, F°G°, Lisa Ranura, 1/16"</v>
          </cell>
        </row>
        <row r="1425">
          <cell r="B1425">
            <v>0</v>
          </cell>
        </row>
        <row r="1426">
          <cell r="B1426">
            <v>0</v>
          </cell>
        </row>
        <row r="1427">
          <cell r="B1427" t="str">
            <v>Tapa de1/16" - 100mm F°G°</v>
          </cell>
        </row>
        <row r="1428">
          <cell r="B1428" t="str">
            <v>Tapa de1/16" - 150mm F°G°</v>
          </cell>
        </row>
        <row r="1429">
          <cell r="B1429" t="str">
            <v>Tapa de1/16" - 200mm F°G°</v>
          </cell>
        </row>
        <row r="1430">
          <cell r="B1430" t="str">
            <v>Tapa de1/16" - 250mm F°G°</v>
          </cell>
        </row>
        <row r="1431">
          <cell r="B1431" t="str">
            <v>Tapa de1/16" - 300mm F°G°</v>
          </cell>
        </row>
        <row r="1432">
          <cell r="B1432" t="str">
            <v>Tapa de1/16" - 350mm F°G°</v>
          </cell>
        </row>
        <row r="1433">
          <cell r="B1433" t="str">
            <v>Tapa de1/16" - 400mm F°G°</v>
          </cell>
        </row>
        <row r="1434">
          <cell r="B1434" t="str">
            <v>Tapa de1/16" - 450mm F°G°</v>
          </cell>
        </row>
        <row r="1435">
          <cell r="B1435" t="str">
            <v>Tapa de1/16" - 500mm F°G°</v>
          </cell>
        </row>
        <row r="1436">
          <cell r="B1436" t="str">
            <v>Tapa de1/16" - 600mm F°G°</v>
          </cell>
        </row>
        <row r="1437">
          <cell r="B1437" t="str">
            <v>Tapa de1/16" - 700mm F°G°</v>
          </cell>
        </row>
        <row r="1438">
          <cell r="B1438" t="str">
            <v>Tapa de1/16" - 800mm F°G°</v>
          </cell>
        </row>
        <row r="1439">
          <cell r="B1439" t="str">
            <v>Tapa de1/16" - 900mm F°G°</v>
          </cell>
        </row>
        <row r="1440">
          <cell r="B1440" t="str">
            <v>Tapa de1/16" - 1000mm F°G°</v>
          </cell>
        </row>
        <row r="1441">
          <cell r="B1441" t="str">
            <v>Tapa de1/16" - 1200mm F°G°</v>
          </cell>
        </row>
        <row r="1442">
          <cell r="B1442">
            <v>0</v>
          </cell>
        </row>
        <row r="1443">
          <cell r="B1443">
            <v>0</v>
          </cell>
        </row>
        <row r="1444">
          <cell r="B1444" t="str">
            <v>Tapa de1/20" - 100mm F°G°</v>
          </cell>
        </row>
        <row r="1445">
          <cell r="B1445" t="str">
            <v>Tapa de1/20" - 150mm F°G°</v>
          </cell>
        </row>
        <row r="1446">
          <cell r="B1446" t="str">
            <v>Tapa de1/20" - 200mm F°G°</v>
          </cell>
        </row>
        <row r="1447">
          <cell r="B1447" t="str">
            <v>Tapa de1/20" - 250mm F°G°</v>
          </cell>
        </row>
        <row r="1448">
          <cell r="B1448" t="str">
            <v>Tapa de1/20" - 300mm F°G°</v>
          </cell>
        </row>
        <row r="1449">
          <cell r="B1449" t="str">
            <v>Tapa de1/20" - 350mm F°G°</v>
          </cell>
        </row>
        <row r="1450">
          <cell r="B1450" t="str">
            <v>Tapa de1/20" - 400mm F°G°</v>
          </cell>
        </row>
        <row r="1451">
          <cell r="B1451" t="str">
            <v>Tapa de1/20" - 450mm F°G°</v>
          </cell>
        </row>
        <row r="1452">
          <cell r="B1452" t="str">
            <v>Tapa de1/20" - 500mm F°G°</v>
          </cell>
        </row>
        <row r="1453">
          <cell r="B1453" t="str">
            <v>Tapa de1/20" - 600mm F°G°</v>
          </cell>
        </row>
        <row r="1454">
          <cell r="B1454" t="str">
            <v>Tapa de1/20" - 700mm F°G°</v>
          </cell>
        </row>
        <row r="1455">
          <cell r="B1455" t="str">
            <v>Tapa de1/20" - 800mm F°G°</v>
          </cell>
        </row>
        <row r="1456">
          <cell r="B1456" t="str">
            <v>Tapa de1/20" - 900mm F°G°</v>
          </cell>
        </row>
        <row r="1457">
          <cell r="B1457" t="str">
            <v>Tapa de1/20" - 1000mm F°G°</v>
          </cell>
        </row>
        <row r="1458">
          <cell r="B1458" t="str">
            <v>Tapa de1/20" - 1200mm F°G°</v>
          </cell>
        </row>
        <row r="1459">
          <cell r="B1459">
            <v>0</v>
          </cell>
        </row>
        <row r="1460">
          <cell r="B1460" t="str">
            <v>Tapa de 5/64" - 50x50mm F°G°</v>
          </cell>
        </row>
        <row r="1461">
          <cell r="B1461" t="str">
            <v>Tapa de 5/64" - 100x150mm F°G°</v>
          </cell>
        </row>
        <row r="1462">
          <cell r="B1462" t="str">
            <v>Tapa de 5/64" - 150x50mm F°G°</v>
          </cell>
        </row>
        <row r="1463">
          <cell r="B1463" t="str">
            <v>Tapa de 5/64" - 200x50mm F°G°</v>
          </cell>
        </row>
        <row r="1464">
          <cell r="B1464" t="str">
            <v>Tapa de 5/64" - 300x50mm F°G°</v>
          </cell>
        </row>
        <row r="1465">
          <cell r="B1465" t="str">
            <v>Tapa de 5/64" - 400x50mm F°G°</v>
          </cell>
        </row>
        <row r="1466">
          <cell r="B1466" t="str">
            <v>Tapa de 5/64" - 450x50mm F°G°</v>
          </cell>
        </row>
        <row r="1467">
          <cell r="B1467" t="str">
            <v>Tapa de 5/64" - 600x50mm F°G°</v>
          </cell>
        </row>
        <row r="1468">
          <cell r="B1468" t="str">
            <v>BPC lisa Ranurada, 1/16"  300mm x 100mm  F°G° S/Tapa 3 vias</v>
          </cell>
        </row>
        <row r="1469">
          <cell r="B1469">
            <v>0</v>
          </cell>
        </row>
        <row r="1470">
          <cell r="B1470" t="str">
            <v>Tuerca Exagonal Zincada de 3/8"</v>
          </cell>
        </row>
        <row r="1471">
          <cell r="B1471" t="str">
            <v>Tuerca Exagonal Acero Inoxidable de 3/8"</v>
          </cell>
        </row>
        <row r="1472">
          <cell r="B1472" t="str">
            <v>Tuerca Exagonal Galvanizada en frio 3/8"</v>
          </cell>
        </row>
        <row r="1473">
          <cell r="B1473" t="str">
            <v>Tuerca Exagonal Galvanizada en Caliente de 3/8"</v>
          </cell>
        </row>
        <row r="1474">
          <cell r="B1474" t="str">
            <v>Tuerca Exagonal Zincada de 1/2"</v>
          </cell>
        </row>
        <row r="1475">
          <cell r="B1475" t="str">
            <v>Tuerca Exagonal Acero Inoxidable de 1/2"</v>
          </cell>
        </row>
        <row r="1476">
          <cell r="B1476" t="str">
            <v>Tuerca Exagonal Galvanizada en frio 1/2"</v>
          </cell>
        </row>
        <row r="1477">
          <cell r="B1477" t="str">
            <v>Tuerca Exagonal Galvanizada en Caliente de 1/2"</v>
          </cell>
        </row>
        <row r="1478">
          <cell r="B1478">
            <v>0</v>
          </cell>
        </row>
        <row r="1479">
          <cell r="B1479" t="str">
            <v>Arandela Plana Zincada de 3/8"</v>
          </cell>
        </row>
        <row r="1480">
          <cell r="B1480" t="str">
            <v>Arandela Plana Inoxidable de 3/8"</v>
          </cell>
        </row>
        <row r="1481">
          <cell r="B1481" t="str">
            <v>Arandela Plana Galvanizada en frio 3/8"</v>
          </cell>
        </row>
        <row r="1482">
          <cell r="B1482" t="str">
            <v>Arandela Plana Galvanizada en Caliente de 3/8"</v>
          </cell>
        </row>
        <row r="1483">
          <cell r="B1483" t="str">
            <v>Arandela Plana Zincada de 1/2"</v>
          </cell>
        </row>
        <row r="1484">
          <cell r="B1484" t="str">
            <v>Arandela Plana Inoxidable de 1/2"</v>
          </cell>
        </row>
        <row r="1485">
          <cell r="B1485" t="str">
            <v>Arandela Plana Galvanizada en frio 1/2"</v>
          </cell>
        </row>
        <row r="1486">
          <cell r="B1486" t="str">
            <v>Arandela Plana Galvanizada en Caliente de 1/2"</v>
          </cell>
        </row>
        <row r="1487">
          <cell r="B1487" t="str">
            <v>Arandela de Presion Zincada de 3/8"</v>
          </cell>
        </row>
        <row r="1488">
          <cell r="B1488" t="str">
            <v>Arandela de Presion Inoxidable de 3/8"</v>
          </cell>
        </row>
        <row r="1489">
          <cell r="B1489" t="str">
            <v>Arandela de Presion Galvanizada en frio 3/8"</v>
          </cell>
        </row>
        <row r="1490">
          <cell r="B1490" t="str">
            <v>Arandela de Presion Galvanizada en Caliente de 3/8"</v>
          </cell>
        </row>
        <row r="1491">
          <cell r="B1491" t="str">
            <v>Arandela de Presion  Zincada de 1/2"</v>
          </cell>
        </row>
        <row r="1492">
          <cell r="B1492" t="str">
            <v>Arandela de Presion Inoxidable de 1/2"</v>
          </cell>
        </row>
        <row r="1493">
          <cell r="B1493" t="str">
            <v>Arandela de Presion Galvanizada en frio 1/2"</v>
          </cell>
        </row>
        <row r="1494">
          <cell r="B1494" t="str">
            <v>Arandela de Presion Galvanizada en Caliente de 1/2"</v>
          </cell>
        </row>
        <row r="1495">
          <cell r="B1495">
            <v>0</v>
          </cell>
        </row>
        <row r="1496">
          <cell r="B1496" t="str">
            <v>Varilla roscada 3/8" Zincada</v>
          </cell>
        </row>
        <row r="1497">
          <cell r="B1497" t="str">
            <v>Varilla roscada 1/2" Zincada</v>
          </cell>
        </row>
        <row r="1498">
          <cell r="B1498" t="str">
            <v>Varilla roscada 3/8" x 1.80 Zincada</v>
          </cell>
        </row>
        <row r="1499">
          <cell r="B1499" t="str">
            <v>Varilla roscada 1/2" x 1.80 Zincada</v>
          </cell>
        </row>
        <row r="1500">
          <cell r="B1500" t="str">
            <v>Union para Varilla de 1/2"</v>
          </cell>
        </row>
        <row r="1501">
          <cell r="B1501">
            <v>0</v>
          </cell>
        </row>
        <row r="1502">
          <cell r="B1502" t="str">
            <v>riel 42x42x2.4m (2mm. Esp.)</v>
          </cell>
        </row>
        <row r="1503">
          <cell r="B1503" t="str">
            <v>riel 42x20x2.4m (2mm. Esp.)</v>
          </cell>
        </row>
        <row r="1504">
          <cell r="B1504">
            <v>0</v>
          </cell>
        </row>
        <row r="1505">
          <cell r="B1505" t="str">
            <v>Perno partido</v>
          </cell>
        </row>
        <row r="1506">
          <cell r="B1506">
            <v>0</v>
          </cell>
        </row>
        <row r="1511">
          <cell r="B1511">
            <v>0</v>
          </cell>
        </row>
        <row r="1512">
          <cell r="B1512">
            <v>0</v>
          </cell>
        </row>
        <row r="1513">
          <cell r="B1513" t="str">
            <v>Tableros de Distribucion</v>
          </cell>
        </row>
        <row r="1514">
          <cell r="B1514">
            <v>0</v>
          </cell>
        </row>
        <row r="1515">
          <cell r="B1515">
            <v>0</v>
          </cell>
        </row>
        <row r="1516">
          <cell r="B1516" t="str">
            <v>TG-TR1</v>
          </cell>
        </row>
        <row r="1517">
          <cell r="B1517" t="str">
            <v>TG-TR2</v>
          </cell>
        </row>
        <row r="1518">
          <cell r="B1518" t="str">
            <v>BC 225 kVAR.</v>
          </cell>
        </row>
        <row r="1519">
          <cell r="B1519" t="str">
            <v>BC 250 kVAR.</v>
          </cell>
        </row>
        <row r="1520">
          <cell r="B1520" t="str">
            <v>TF-ASC</v>
          </cell>
        </row>
        <row r="1521">
          <cell r="B1521" t="str">
            <v>T-ACI</v>
          </cell>
        </row>
        <row r="1522">
          <cell r="B1522" t="str">
            <v>TDE-1</v>
          </cell>
        </row>
        <row r="1523">
          <cell r="B1523" t="str">
            <v>TDE-2</v>
          </cell>
        </row>
        <row r="1524">
          <cell r="B1524" t="str">
            <v>TD-EST</v>
          </cell>
        </row>
        <row r="1525">
          <cell r="B1525" t="str">
            <v>TD-OF</v>
          </cell>
        </row>
        <row r="1526">
          <cell r="B1526" t="str">
            <v>TDE-UPS</v>
          </cell>
        </row>
        <row r="1527">
          <cell r="B1527" t="str">
            <v>TDE-SH</v>
          </cell>
        </row>
        <row r="1528">
          <cell r="B1528">
            <v>0</v>
          </cell>
        </row>
        <row r="1529">
          <cell r="B1529">
            <v>0</v>
          </cell>
        </row>
        <row r="1530">
          <cell r="B1530">
            <v>0</v>
          </cell>
        </row>
        <row r="1531">
          <cell r="B1531">
            <v>0</v>
          </cell>
        </row>
        <row r="1532">
          <cell r="B1532">
            <v>0</v>
          </cell>
        </row>
        <row r="1533">
          <cell r="B1533">
            <v>0</v>
          </cell>
        </row>
        <row r="1534">
          <cell r="B1534">
            <v>0</v>
          </cell>
        </row>
        <row r="1535">
          <cell r="B1535">
            <v>0</v>
          </cell>
        </row>
        <row r="1536">
          <cell r="B1536">
            <v>0</v>
          </cell>
        </row>
        <row r="1537">
          <cell r="B1537">
            <v>0</v>
          </cell>
        </row>
        <row r="1538">
          <cell r="B1538">
            <v>0</v>
          </cell>
        </row>
        <row r="1539">
          <cell r="B1539">
            <v>0</v>
          </cell>
        </row>
        <row r="1540">
          <cell r="B1540">
            <v>0</v>
          </cell>
        </row>
        <row r="1541">
          <cell r="B1541">
            <v>0</v>
          </cell>
        </row>
        <row r="1542">
          <cell r="B1542">
            <v>0</v>
          </cell>
        </row>
        <row r="1543">
          <cell r="B1543">
            <v>0</v>
          </cell>
        </row>
        <row r="1544">
          <cell r="B1544">
            <v>0</v>
          </cell>
        </row>
        <row r="1545">
          <cell r="B1545">
            <v>0</v>
          </cell>
        </row>
        <row r="1546">
          <cell r="B1546">
            <v>0</v>
          </cell>
        </row>
        <row r="1547">
          <cell r="B1547">
            <v>0</v>
          </cell>
        </row>
        <row r="1548">
          <cell r="B1548">
            <v>0</v>
          </cell>
        </row>
        <row r="1549">
          <cell r="B1549">
            <v>0</v>
          </cell>
        </row>
        <row r="1550">
          <cell r="B1550">
            <v>0</v>
          </cell>
        </row>
        <row r="1551">
          <cell r="B1551">
            <v>0</v>
          </cell>
        </row>
        <row r="1552">
          <cell r="B1552">
            <v>0</v>
          </cell>
        </row>
        <row r="1553">
          <cell r="B1553">
            <v>0</v>
          </cell>
        </row>
        <row r="1554">
          <cell r="B1554">
            <v>0</v>
          </cell>
        </row>
        <row r="1555">
          <cell r="B1555">
            <v>0</v>
          </cell>
        </row>
        <row r="1556">
          <cell r="B1556">
            <v>0</v>
          </cell>
        </row>
        <row r="1557">
          <cell r="B1557">
            <v>0</v>
          </cell>
        </row>
        <row r="1558">
          <cell r="B1558">
            <v>0</v>
          </cell>
        </row>
        <row r="1559">
          <cell r="B1559">
            <v>0</v>
          </cell>
        </row>
        <row r="1560">
          <cell r="B1560">
            <v>0</v>
          </cell>
        </row>
        <row r="1561">
          <cell r="B1561">
            <v>0</v>
          </cell>
        </row>
        <row r="1562">
          <cell r="B1562">
            <v>0</v>
          </cell>
        </row>
        <row r="1563">
          <cell r="B1563">
            <v>0</v>
          </cell>
        </row>
        <row r="1564">
          <cell r="B1564">
            <v>0</v>
          </cell>
        </row>
        <row r="1565">
          <cell r="B1565">
            <v>0</v>
          </cell>
        </row>
        <row r="1566">
          <cell r="B1566">
            <v>0</v>
          </cell>
        </row>
        <row r="1567">
          <cell r="B1567">
            <v>0</v>
          </cell>
        </row>
        <row r="1568">
          <cell r="B1568">
            <v>0</v>
          </cell>
        </row>
        <row r="1569">
          <cell r="B1569">
            <v>0</v>
          </cell>
        </row>
        <row r="1570">
          <cell r="B1570">
            <v>0</v>
          </cell>
        </row>
        <row r="1571">
          <cell r="B1571">
            <v>0</v>
          </cell>
        </row>
        <row r="1572">
          <cell r="B1572">
            <v>0</v>
          </cell>
        </row>
        <row r="1573">
          <cell r="B1573">
            <v>0</v>
          </cell>
        </row>
        <row r="1574">
          <cell r="B1574">
            <v>0</v>
          </cell>
        </row>
        <row r="1575">
          <cell r="B1575">
            <v>0</v>
          </cell>
        </row>
        <row r="1576">
          <cell r="B1576">
            <v>0</v>
          </cell>
        </row>
        <row r="1577">
          <cell r="B1577">
            <v>0</v>
          </cell>
        </row>
        <row r="1578">
          <cell r="B1578">
            <v>0</v>
          </cell>
        </row>
        <row r="1579">
          <cell r="B1579">
            <v>0</v>
          </cell>
        </row>
        <row r="1580">
          <cell r="B1580">
            <v>0</v>
          </cell>
        </row>
        <row r="1581">
          <cell r="B1581">
            <v>0</v>
          </cell>
        </row>
        <row r="1582">
          <cell r="B1582">
            <v>0</v>
          </cell>
        </row>
        <row r="1583">
          <cell r="B1583">
            <v>0</v>
          </cell>
        </row>
        <row r="1584">
          <cell r="B1584">
            <v>0</v>
          </cell>
        </row>
        <row r="1585">
          <cell r="B1585">
            <v>0</v>
          </cell>
        </row>
        <row r="1586">
          <cell r="B1586">
            <v>0</v>
          </cell>
        </row>
        <row r="1587">
          <cell r="B1587">
            <v>0</v>
          </cell>
        </row>
        <row r="1588">
          <cell r="B1588">
            <v>0</v>
          </cell>
        </row>
        <row r="1589">
          <cell r="B1589">
            <v>0</v>
          </cell>
        </row>
        <row r="1590">
          <cell r="B1590">
            <v>0</v>
          </cell>
        </row>
        <row r="1591">
          <cell r="B1591">
            <v>0</v>
          </cell>
        </row>
        <row r="1592">
          <cell r="B1592">
            <v>0</v>
          </cell>
        </row>
        <row r="1593">
          <cell r="B1593">
            <v>0</v>
          </cell>
        </row>
        <row r="1594">
          <cell r="B1594">
            <v>0</v>
          </cell>
        </row>
        <row r="1595">
          <cell r="B1595">
            <v>0</v>
          </cell>
        </row>
        <row r="1596">
          <cell r="B1596">
            <v>0</v>
          </cell>
        </row>
        <row r="1597">
          <cell r="B1597">
            <v>0</v>
          </cell>
        </row>
        <row r="1598">
          <cell r="B1598">
            <v>0</v>
          </cell>
        </row>
        <row r="1599">
          <cell r="B1599">
            <v>0</v>
          </cell>
        </row>
        <row r="1600">
          <cell r="B1600">
            <v>0</v>
          </cell>
        </row>
        <row r="1601">
          <cell r="B1601">
            <v>0</v>
          </cell>
        </row>
        <row r="1602">
          <cell r="B1602">
            <v>0</v>
          </cell>
        </row>
        <row r="1603">
          <cell r="B1603">
            <v>0</v>
          </cell>
        </row>
        <row r="1604">
          <cell r="B1604">
            <v>0</v>
          </cell>
        </row>
        <row r="1605">
          <cell r="B1605">
            <v>0</v>
          </cell>
        </row>
        <row r="1606">
          <cell r="B1606">
            <v>0</v>
          </cell>
        </row>
        <row r="1607">
          <cell r="B1607">
            <v>0</v>
          </cell>
        </row>
        <row r="1608">
          <cell r="B1608">
            <v>0</v>
          </cell>
        </row>
        <row r="1609">
          <cell r="B1609">
            <v>0</v>
          </cell>
        </row>
        <row r="1610">
          <cell r="B1610">
            <v>0</v>
          </cell>
        </row>
        <row r="1611">
          <cell r="B1611">
            <v>0</v>
          </cell>
        </row>
        <row r="1612">
          <cell r="B1612">
            <v>0</v>
          </cell>
        </row>
        <row r="1613">
          <cell r="B1613">
            <v>0</v>
          </cell>
        </row>
        <row r="1614">
          <cell r="B1614">
            <v>0</v>
          </cell>
        </row>
        <row r="1615">
          <cell r="B1615">
            <v>0</v>
          </cell>
        </row>
        <row r="1616">
          <cell r="B1616">
            <v>0</v>
          </cell>
        </row>
        <row r="1617">
          <cell r="B1617">
            <v>0</v>
          </cell>
        </row>
        <row r="1618">
          <cell r="B1618">
            <v>0</v>
          </cell>
        </row>
        <row r="1619">
          <cell r="B1619">
            <v>0</v>
          </cell>
        </row>
        <row r="1620">
          <cell r="B1620">
            <v>0</v>
          </cell>
        </row>
        <row r="1621">
          <cell r="B1621">
            <v>0</v>
          </cell>
        </row>
        <row r="1622">
          <cell r="B1622">
            <v>0</v>
          </cell>
        </row>
        <row r="1623">
          <cell r="B1623" t="str">
            <v>Celdas, Transformadores, Grupos y UPS</v>
          </cell>
        </row>
        <row r="1624">
          <cell r="B1624">
            <v>0</v>
          </cell>
        </row>
        <row r="1625">
          <cell r="B1625" t="str">
            <v xml:space="preserve">Suministro de Celdas compactas con aislamiento en aire, marca SEL, </v>
          </cell>
        </row>
        <row r="1626">
          <cell r="B1626" t="str">
            <v>Suministro de Celda de Transformacion Tipo Seco Encapsulado, 800KVA, 10-22.9/0.40-0.23 Kv</v>
          </cell>
        </row>
        <row r="1627">
          <cell r="B1627" t="str">
            <v>Transformador Seco Encapsulado GBE 200 KVA</v>
          </cell>
        </row>
        <row r="1628">
          <cell r="B1628" t="str">
            <v>Transformador Seco Encapsulado GBE 250 KVA</v>
          </cell>
        </row>
        <row r="1629">
          <cell r="B1629" t="str">
            <v>Transformador Seco Encapsulado GBE 315 KVA</v>
          </cell>
        </row>
        <row r="1630">
          <cell r="B1630" t="str">
            <v>Transformador Seco Encapsulado GBE 400 KVA</v>
          </cell>
        </row>
        <row r="1631">
          <cell r="B1631" t="str">
            <v>Transformador Seco Encapsulado GBE 500 KVA</v>
          </cell>
        </row>
        <row r="1632">
          <cell r="B1632" t="str">
            <v>Transformador Seco Encapsulado GBE 630 KVA</v>
          </cell>
        </row>
        <row r="1633">
          <cell r="B1633" t="str">
            <v>Transformador Seco Encapsulado GBE 800 KVA</v>
          </cell>
        </row>
        <row r="1634">
          <cell r="B1634" t="str">
            <v>Transformador Seco Encapsulado GBE 1000 KVA</v>
          </cell>
        </row>
        <row r="1635">
          <cell r="B1635" t="str">
            <v>Transformador Seco Encapsulado GBE 1250 KVA</v>
          </cell>
        </row>
        <row r="1636">
          <cell r="B1636" t="str">
            <v>Transformador Seco Encapsulado GBE 1600 KVA</v>
          </cell>
        </row>
        <row r="1637">
          <cell r="B1637" t="str">
            <v>Transformador Seco Encapsulado GBE 2000 KVA</v>
          </cell>
        </row>
        <row r="1638">
          <cell r="B1638" t="str">
            <v>Transformador Seco Encapsulado GBE 2500 KVA</v>
          </cell>
        </row>
        <row r="1639">
          <cell r="B1639" t="str">
            <v>Transformador Seco Encapsulado GBE 3150 KVA</v>
          </cell>
        </row>
        <row r="1640">
          <cell r="B1640" t="str">
            <v>Transformador Seco Encapsulado GBE 4000 KVA</v>
          </cell>
        </row>
        <row r="1641">
          <cell r="B1641" t="str">
            <v>Transformador Seco Encapsulado GBE 5000 KVA</v>
          </cell>
        </row>
        <row r="1642">
          <cell r="B1642">
            <v>0</v>
          </cell>
        </row>
        <row r="1643">
          <cell r="B1643">
            <v>0</v>
          </cell>
        </row>
        <row r="1644">
          <cell r="B1644" t="str">
            <v>Transformador 630 KVA</v>
          </cell>
        </row>
        <row r="1645">
          <cell r="B1645" t="str">
            <v>Transformador 800 KVA</v>
          </cell>
        </row>
        <row r="1646">
          <cell r="B1646" t="str">
            <v>Transformador 1250 Kva</v>
          </cell>
        </row>
        <row r="1647">
          <cell r="B1647" t="str">
            <v>Transformador 1250 Kva</v>
          </cell>
        </row>
        <row r="1648">
          <cell r="B1648" t="str">
            <v>Transformador 2500KVA</v>
          </cell>
        </row>
        <row r="1649">
          <cell r="B1649" t="str">
            <v>Medicón y cerificado sist. G.E.</v>
          </cell>
        </row>
        <row r="1650">
          <cell r="B1650">
            <v>0</v>
          </cell>
        </row>
        <row r="1651">
          <cell r="B1651" t="str">
            <v>grupo electrogeno 1250KW</v>
          </cell>
        </row>
        <row r="1652">
          <cell r="B1652" t="str">
            <v>grupo electrogeno 250KW 400-230 V</v>
          </cell>
        </row>
        <row r="1653">
          <cell r="B1653" t="str">
            <v>montaje g.e. 400KVA</v>
          </cell>
        </row>
        <row r="1654">
          <cell r="B1654">
            <v>0</v>
          </cell>
        </row>
        <row r="1655">
          <cell r="B1655" t="str">
            <v>UPS 2 KVA</v>
          </cell>
        </row>
        <row r="1656">
          <cell r="B1656" t="str">
            <v>UPS 3 KVA</v>
          </cell>
        </row>
        <row r="1657">
          <cell r="B1657" t="str">
            <v>UPS 4 KVA</v>
          </cell>
        </row>
        <row r="1658">
          <cell r="B1658" t="str">
            <v>UPS 6 KVA</v>
          </cell>
        </row>
        <row r="1659">
          <cell r="B1659" t="str">
            <v>UPS 15 KVA 380V 3F</v>
          </cell>
        </row>
        <row r="1660">
          <cell r="B1660" t="str">
            <v>UPS 20KVA 380V 3F</v>
          </cell>
        </row>
        <row r="1661">
          <cell r="B1661" t="str">
            <v>UPS 30KVA 380V 3F</v>
          </cell>
        </row>
        <row r="1662">
          <cell r="B1662" t="str">
            <v>UPS 40KVA 380V 3F</v>
          </cell>
        </row>
        <row r="1663">
          <cell r="B1663" t="str">
            <v>UPS Monofacico 3Kva/2F/220</v>
          </cell>
        </row>
        <row r="1664">
          <cell r="B1664" t="str">
            <v>UPS Monofacico 10Kva/2F/220</v>
          </cell>
        </row>
        <row r="1665">
          <cell r="B1665">
            <v>0</v>
          </cell>
        </row>
        <row r="1666">
          <cell r="B1666" t="str">
            <v>Estabilizador Solido con Transformador Aislamiento 3Kva/2F</v>
          </cell>
        </row>
        <row r="1667">
          <cell r="B1667" t="str">
            <v>Estabilizador Solido con Transformador Aislamiento 6Kva/2F</v>
          </cell>
        </row>
        <row r="1668">
          <cell r="B1668" t="str">
            <v>Estabilizador Solido con Transformador Aislamiento 12Kva/2F</v>
          </cell>
        </row>
        <row r="1669">
          <cell r="B1669" t="str">
            <v>Estabilizador Solido con Transformador Aislamiento 15Kva/2F</v>
          </cell>
        </row>
        <row r="1670">
          <cell r="B1670" t="str">
            <v>Estabilizador Solido con DELTA / DELTA 3Kva 3F</v>
          </cell>
        </row>
        <row r="1671">
          <cell r="B1671" t="str">
            <v>Estabilizador Solido con Transformador Aislamiento DELTA / ESTRELLA 3Kva 3F</v>
          </cell>
        </row>
        <row r="1672">
          <cell r="B1672" t="str">
            <v>Estabilizador con 3F /380v/120kVA</v>
          </cell>
        </row>
        <row r="1673">
          <cell r="B1673" t="str">
            <v>Estabilizador con 3F /380v/230kVA</v>
          </cell>
        </row>
        <row r="1674">
          <cell r="B1674">
            <v>0</v>
          </cell>
        </row>
        <row r="1675">
          <cell r="B1675" t="str">
            <v>Transformador Aislamiento 15Kva</v>
          </cell>
        </row>
        <row r="1676">
          <cell r="B1676" t="str">
            <v>Transformador Aislamiento 20Kva-3F</v>
          </cell>
        </row>
        <row r="1677">
          <cell r="B1677" t="str">
            <v>Transformador Aislamiento 130Kva-3F</v>
          </cell>
        </row>
        <row r="1678">
          <cell r="B1678" t="str">
            <v>Transformador Aislamiento 240KVA-3F</v>
          </cell>
        </row>
        <row r="1679">
          <cell r="B1679">
            <v>0</v>
          </cell>
        </row>
        <row r="1680">
          <cell r="B1680" t="str">
            <v>Sistema de Surtidor de Petroleo</v>
          </cell>
        </row>
        <row r="1681">
          <cell r="B1681" t="str">
            <v>Ducto escape de Gases</v>
          </cell>
        </row>
        <row r="1682">
          <cell r="B1682" t="str">
            <v>Ducto de Aire Caliente</v>
          </cell>
        </row>
        <row r="1683">
          <cell r="B1683">
            <v>0</v>
          </cell>
        </row>
        <row r="1684">
          <cell r="B1684" t="str">
            <v>Termografía</v>
          </cell>
        </row>
        <row r="1685">
          <cell r="B1685" t="str">
            <v>Petroleo</v>
          </cell>
        </row>
        <row r="1686">
          <cell r="B1686" t="str">
            <v>Isonorizacion</v>
          </cell>
        </row>
        <row r="1687">
          <cell r="B1687">
            <v>0</v>
          </cell>
        </row>
        <row r="1688">
          <cell r="B1688" t="str">
            <v>Elementos de seguridad (Pértiga, guantes dieléctricos 25 kV, banco aislante, detector de presencia de tensión, casco.</v>
          </cell>
        </row>
        <row r="1689">
          <cell r="B1689">
            <v>0</v>
          </cell>
        </row>
        <row r="1690">
          <cell r="B1690">
            <v>0</v>
          </cell>
        </row>
        <row r="1691">
          <cell r="B1691">
            <v>0</v>
          </cell>
        </row>
        <row r="1692">
          <cell r="B1692">
            <v>0</v>
          </cell>
        </row>
        <row r="1693">
          <cell r="B1693">
            <v>0</v>
          </cell>
        </row>
        <row r="1694">
          <cell r="B1694">
            <v>0</v>
          </cell>
        </row>
        <row r="1695">
          <cell r="B1695">
            <v>0</v>
          </cell>
        </row>
        <row r="1696">
          <cell r="B1696" t="str">
            <v>Luminarias</v>
          </cell>
        </row>
        <row r="1697">
          <cell r="B1697">
            <v>0</v>
          </cell>
        </row>
        <row r="1698">
          <cell r="B1698" t="str">
            <v xml:space="preserve">Luminaria emergencia autónomo con lámparas halógenas 2x55W / 12V autonomía 2 horas. Marca Kollf   </v>
          </cell>
        </row>
        <row r="1699">
          <cell r="B1699" t="str">
            <v xml:space="preserve">Luminaria Atomlux "SALIDA" 2 horas de Autonomia   </v>
          </cell>
        </row>
        <row r="1700">
          <cell r="B1700">
            <v>0</v>
          </cell>
        </row>
        <row r="1701">
          <cell r="B1701">
            <v>0</v>
          </cell>
        </row>
        <row r="1702">
          <cell r="B1702" t="str">
            <v xml:space="preserve"> Luminaria de Alumbrado Publico, Equipada con Lampara de Halogenuro Metalico 150w, 4000ºk, en poste de 9.00 mts. modelo ecovia - philips o similar.- LD-1X150W   </v>
          </cell>
        </row>
        <row r="1703">
          <cell r="B1703" t="str">
            <v xml:space="preserve">Luminaria de Alumbrado Publico, Equipada con Lampara de halogenuro metalico 400w, 4000ºk, en poste de 12.00 mts. modelo ecovia - philips o similar. LAP-1X400W   </v>
          </cell>
        </row>
        <row r="1704">
          <cell r="B1704" t="str">
            <v xml:space="preserve">Braquete Decorativo, Equipado con 2 lamparas de Halogenuro Metalico cdm-t 1x70w, 4000 ºk. luz directa e indirecta. similar a -BDI-2X70W  </v>
          </cell>
        </row>
        <row r="1705">
          <cell r="B1705" t="str">
            <v xml:space="preserve">Luminaria Hermetica para Suspender Equipada con Lampara Fluorescente 1x54w t5ho / 4100ºk. modelo indiko, marca philips o similar.-HF-1X54W   </v>
          </cell>
        </row>
        <row r="1706">
          <cell r="B1706" t="str">
            <v xml:space="preserve">Luminaria Hermetica para Suspender Equipada con dos Lamparas fluorescentes 54w t5ho / 4100ºk. modelo indiko, marca philips o similar.-HF-2X54W   </v>
          </cell>
        </row>
        <row r="1707">
          <cell r="B1707" t="str">
            <v xml:space="preserve">Reflector Simetrico Equipado con Lampara de Halugenuro RSE-1X400W   </v>
          </cell>
        </row>
        <row r="1708">
          <cell r="B1708" t="str">
            <v xml:space="preserve">Luminaria con Rejilla para Empotrar en techo equipada con lampara flourescente t5 1x28w con difusor acrilico-LFA-1X14W    </v>
          </cell>
        </row>
        <row r="1709">
          <cell r="B1709" t="str">
            <v xml:space="preserve">Luminaria con Rejilla para Empotrar en techo equipada con lampara flourescente t5 1x28w-LFA-1X28W    </v>
          </cell>
        </row>
        <row r="1710">
          <cell r="B1710" t="str">
            <v xml:space="preserve">Proyector Equipado con Lampara de Halogenuro Metalico 35w / 4000 ºk. haz de luz 60°,para adosar, Modelo Soprano, marca Philips o similar.PHM-1X35W   </v>
          </cell>
        </row>
        <row r="1711">
          <cell r="B1711" t="str">
            <v xml:space="preserve">Reflector Simetrico Equipado con lampara de halogenuro metalico 400w. 4000 ºk.para adosar en pared,modelo contempo - philips o similar. RAE-2X28   </v>
          </cell>
        </row>
        <row r="1712">
          <cell r="B1712" t="str">
            <v xml:space="preserve">Spot para Empotrar Equipado con lampara flourescente-SAE-1X42W   </v>
          </cell>
        </row>
        <row r="1713">
          <cell r="B1713" t="str">
            <v xml:space="preserve">Spot para Empotrar Equipado con lampara flourescente 2x42w-SAE-2X42W    </v>
          </cell>
        </row>
        <row r="1714">
          <cell r="B1714" t="str">
            <v xml:space="preserve">Spot para Empotrar en Cielo Raso Equipado con Lampara de Halogenuro Metalico cdm-t 1x70w, 4100ºk, modelo firenze o marca philips o similar.-SEHM-1X70W   </v>
          </cell>
        </row>
        <row r="1715">
          <cell r="B1715" t="str">
            <v xml:space="preserve">Braquete para Exteriores Adosar en pared equipado con dos lámparas fluorescentes compactas 42w / 4100°k. modelo perimetral, marca philips o similar.-WP-2X42W    </v>
          </cell>
        </row>
        <row r="1716">
          <cell r="B1716" t="str">
            <v xml:space="preserve">Braquete Decorativo Para Adosar Equipado con lampara de halogenuro metalico ceramico 150w / 4100°k. marca: lithonia, modelo: wst o similar.-WST-1X150W    </v>
          </cell>
        </row>
        <row r="1717">
          <cell r="B1717" t="str">
            <v xml:space="preserve">Braquete Decorativo para Adosar Equipado con dos lamparas flourescente 2x42-WST-2X42W   </v>
          </cell>
        </row>
        <row r="1718">
          <cell r="B1718">
            <v>0</v>
          </cell>
        </row>
        <row r="1719">
          <cell r="B1719">
            <v>0</v>
          </cell>
        </row>
        <row r="1720">
          <cell r="B1720">
            <v>0</v>
          </cell>
        </row>
        <row r="1721">
          <cell r="B1721">
            <v>0</v>
          </cell>
        </row>
        <row r="1722">
          <cell r="B1722">
            <v>0</v>
          </cell>
        </row>
        <row r="1723">
          <cell r="B1723">
            <v>0</v>
          </cell>
        </row>
        <row r="1724">
          <cell r="B1724" t="str">
            <v>Ducto de Barras</v>
          </cell>
        </row>
        <row r="1725">
          <cell r="B1725">
            <v>0</v>
          </cell>
        </row>
        <row r="1726">
          <cell r="B1726" t="str">
            <v>Ducto de Barra de TRAFO-TG-1 (2000A)</v>
          </cell>
        </row>
        <row r="1727">
          <cell r="B1727" t="str">
            <v>Ducto de Barra de TRAFO-TG-2 (2000A)</v>
          </cell>
        </row>
        <row r="1728">
          <cell r="B1728" t="str">
            <v>Ducto de Barra de GE - T-SIN-A(2000A)</v>
          </cell>
        </row>
        <row r="1729">
          <cell r="B1729" t="str">
            <v>Ducto de Barra de GE - T-SIN-B (2000A)</v>
          </cell>
        </row>
        <row r="1730">
          <cell r="B1730">
            <v>0</v>
          </cell>
        </row>
        <row r="1731">
          <cell r="B1731">
            <v>0</v>
          </cell>
        </row>
        <row r="1732">
          <cell r="B1732">
            <v>0</v>
          </cell>
        </row>
        <row r="1735">
          <cell r="B1735" t="str">
            <v>Maquinaria Pesada</v>
          </cell>
        </row>
        <row r="1736">
          <cell r="B1736">
            <v>0</v>
          </cell>
        </row>
        <row r="1737">
          <cell r="B1737">
            <v>0</v>
          </cell>
        </row>
        <row r="1738">
          <cell r="B1738" t="str">
            <v>Maquina Cortadora de Concreto</v>
          </cell>
        </row>
        <row r="1739">
          <cell r="B1739" t="str">
            <v>Vibroapizonador</v>
          </cell>
        </row>
        <row r="1740">
          <cell r="B1740" t="str">
            <v>Rotomartillo</v>
          </cell>
        </row>
        <row r="1741">
          <cell r="B1741" t="str">
            <v>Camion Grua 10 Mts</v>
          </cell>
        </row>
        <row r="1742">
          <cell r="B1742" t="str">
            <v>Bobcat con  Marillo Hidraulico</v>
          </cell>
        </row>
        <row r="1743">
          <cell r="B1743" t="str">
            <v>Bobcat con Cuchara</v>
          </cell>
        </row>
        <row r="1744">
          <cell r="B1744" t="str">
            <v>Grua de 25mts - 25TN</v>
          </cell>
        </row>
        <row r="1745">
          <cell r="B1745" t="str">
            <v>Volquete de 7 M3</v>
          </cell>
        </row>
        <row r="1746">
          <cell r="B1746" t="str">
            <v>Megometro   (Alquiler)</v>
          </cell>
        </row>
        <row r="1747">
          <cell r="B1747" t="str">
            <v>Telulometro   (Alquiler)</v>
          </cell>
        </row>
        <row r="1748">
          <cell r="B1748" t="str">
            <v>Luxumetro   (Alquiler)</v>
          </cell>
        </row>
        <row r="1749">
          <cell r="B1749">
            <v>0</v>
          </cell>
        </row>
        <row r="1750">
          <cell r="B1750">
            <v>0</v>
          </cell>
        </row>
        <row r="1751">
          <cell r="B1751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IM REF"/>
      <sheetName val="Ref losa"/>
      <sheetName val="Muros"/>
      <sheetName val="Placas"/>
      <sheetName val="Escaleras"/>
      <sheetName val="VIGAS"/>
      <sheetName val="BARRAS"/>
      <sheetName val="TOTALES"/>
      <sheetName val="dATOS "/>
    </sheetNames>
    <sheetDataSet>
      <sheetData sheetId="0" refreshError="1"/>
      <sheetData sheetId="1" refreshError="1"/>
      <sheetData sheetId="2">
        <row r="4">
          <cell r="AM4" t="str">
            <v>refuerzo principal</v>
          </cell>
          <cell r="AQ4" t="str">
            <v>refuerzo secundario</v>
          </cell>
        </row>
        <row r="5">
          <cell r="AL5" t="str">
            <v>Tipo</v>
          </cell>
          <cell r="AM5" t="str">
            <v>@</v>
          </cell>
          <cell r="AN5" t="str">
            <v>F</v>
          </cell>
          <cell r="AO5" t="str">
            <v>L</v>
          </cell>
          <cell r="AP5" t="str">
            <v>@</v>
          </cell>
          <cell r="AQ5" t="str">
            <v>@</v>
          </cell>
          <cell r="AR5" t="str">
            <v>F</v>
          </cell>
          <cell r="AS5" t="str">
            <v>Eº</v>
          </cell>
        </row>
        <row r="7">
          <cell r="AL7" t="str">
            <v>Corte 1-1</v>
          </cell>
          <cell r="AM7">
            <v>0.2</v>
          </cell>
          <cell r="AN7">
            <v>0.375</v>
          </cell>
          <cell r="AO7">
            <v>5.55</v>
          </cell>
          <cell r="AP7">
            <v>0.1</v>
          </cell>
          <cell r="AQ7">
            <v>0.2</v>
          </cell>
          <cell r="AR7">
            <v>0.375</v>
          </cell>
          <cell r="AS7">
            <v>1</v>
          </cell>
        </row>
        <row r="8">
          <cell r="AL8" t="str">
            <v>Corte 2-2</v>
          </cell>
          <cell r="AM8">
            <v>0.2</v>
          </cell>
          <cell r="AN8">
            <v>0.375</v>
          </cell>
          <cell r="AO8">
            <v>5.55</v>
          </cell>
          <cell r="AP8">
            <v>0.1</v>
          </cell>
          <cell r="AQ8">
            <v>0.2</v>
          </cell>
          <cell r="AR8">
            <v>0.375</v>
          </cell>
          <cell r="AS8">
            <v>1</v>
          </cell>
        </row>
        <row r="9">
          <cell r="AL9" t="str">
            <v>Corte 3-3</v>
          </cell>
          <cell r="AM9">
            <v>0.2</v>
          </cell>
          <cell r="AN9">
            <v>0.375</v>
          </cell>
          <cell r="AQ9">
            <v>0.2</v>
          </cell>
          <cell r="AR9">
            <v>0.375</v>
          </cell>
          <cell r="AS9">
            <v>1</v>
          </cell>
        </row>
        <row r="10">
          <cell r="AL10" t="str">
            <v>Corte 4-4</v>
          </cell>
          <cell r="AM10">
            <v>0.2</v>
          </cell>
          <cell r="AN10">
            <v>0.375</v>
          </cell>
          <cell r="AO10">
            <v>4.8499999999999996</v>
          </cell>
          <cell r="AP10">
            <v>0.1</v>
          </cell>
          <cell r="AQ10">
            <v>0.2</v>
          </cell>
          <cell r="AR10">
            <v>0.375</v>
          </cell>
          <cell r="AS10">
            <v>1</v>
          </cell>
        </row>
        <row r="11">
          <cell r="AL11" t="str">
            <v>Corte 5-5</v>
          </cell>
          <cell r="AM11">
            <v>0.2</v>
          </cell>
          <cell r="AN11">
            <v>0.375</v>
          </cell>
          <cell r="AO11">
            <v>6.25</v>
          </cell>
          <cell r="AP11">
            <v>0.1</v>
          </cell>
          <cell r="AQ11">
            <v>0.2</v>
          </cell>
          <cell r="AR11">
            <v>0.375</v>
          </cell>
          <cell r="AS11">
            <v>1</v>
          </cell>
        </row>
        <row r="12">
          <cell r="AL12" t="str">
            <v>Corte 6-6</v>
          </cell>
          <cell r="AM12">
            <v>0.2</v>
          </cell>
          <cell r="AN12">
            <v>0.375</v>
          </cell>
          <cell r="AO12">
            <v>6.25</v>
          </cell>
          <cell r="AP12">
            <v>0.1</v>
          </cell>
          <cell r="AQ12">
            <v>0.2</v>
          </cell>
          <cell r="AR12">
            <v>0.375</v>
          </cell>
          <cell r="AS12">
            <v>1</v>
          </cell>
        </row>
        <row r="13">
          <cell r="AL13" t="str">
            <v>Corte 7-7</v>
          </cell>
          <cell r="AM13">
            <v>0.2</v>
          </cell>
          <cell r="AN13">
            <v>0.375</v>
          </cell>
          <cell r="AO13">
            <v>6.25</v>
          </cell>
          <cell r="AP13">
            <v>0.1</v>
          </cell>
          <cell r="AQ13">
            <v>0.2</v>
          </cell>
          <cell r="AR13">
            <v>0.375</v>
          </cell>
          <cell r="AS13">
            <v>1</v>
          </cell>
        </row>
        <row r="14">
          <cell r="AL14" t="str">
            <v>Corte 8-8</v>
          </cell>
          <cell r="AM14">
            <v>0.2</v>
          </cell>
          <cell r="AN14">
            <v>0.375</v>
          </cell>
          <cell r="AO14">
            <v>5.85</v>
          </cell>
          <cell r="AP14">
            <v>0.1</v>
          </cell>
          <cell r="AQ14">
            <v>0.2</v>
          </cell>
          <cell r="AR14">
            <v>0.375</v>
          </cell>
          <cell r="AS14">
            <v>1</v>
          </cell>
        </row>
        <row r="15">
          <cell r="AL15" t="str">
            <v>Corte 9-9</v>
          </cell>
          <cell r="AM15">
            <v>0.2</v>
          </cell>
          <cell r="AN15">
            <v>0.375</v>
          </cell>
          <cell r="AO15">
            <v>5.85</v>
          </cell>
          <cell r="AP15">
            <v>0.1</v>
          </cell>
          <cell r="AQ15">
            <v>0.2</v>
          </cell>
          <cell r="AR15">
            <v>0.375</v>
          </cell>
          <cell r="AS15">
            <v>1</v>
          </cell>
        </row>
        <row r="16">
          <cell r="AL16" t="str">
            <v>Corte 10-10</v>
          </cell>
          <cell r="AM16">
            <v>0.2</v>
          </cell>
          <cell r="AN16">
            <v>0.375</v>
          </cell>
          <cell r="AO16">
            <v>5.95</v>
          </cell>
          <cell r="AP16">
            <v>0.1</v>
          </cell>
          <cell r="AQ16">
            <v>0.2</v>
          </cell>
          <cell r="AR16">
            <v>0.375</v>
          </cell>
          <cell r="AS16">
            <v>1</v>
          </cell>
        </row>
        <row r="17">
          <cell r="AL17" t="str">
            <v>Corte 11-11</v>
          </cell>
          <cell r="AM17">
            <v>0.2</v>
          </cell>
          <cell r="AN17">
            <v>0.375</v>
          </cell>
          <cell r="AO17">
            <v>5.95</v>
          </cell>
          <cell r="AP17">
            <v>0.1</v>
          </cell>
          <cell r="AQ17">
            <v>0.2</v>
          </cell>
          <cell r="AR17">
            <v>0.375</v>
          </cell>
          <cell r="AS17">
            <v>1</v>
          </cell>
        </row>
        <row r="18">
          <cell r="AL18" t="str">
            <v>Corte 12-12</v>
          </cell>
          <cell r="AM18">
            <v>0.2</v>
          </cell>
          <cell r="AN18">
            <v>0.375</v>
          </cell>
          <cell r="AO18">
            <v>7.55</v>
          </cell>
          <cell r="AP18">
            <v>0.1</v>
          </cell>
          <cell r="AQ18">
            <v>0.2</v>
          </cell>
          <cell r="AR18">
            <v>0.375</v>
          </cell>
          <cell r="AS18">
            <v>1</v>
          </cell>
        </row>
        <row r="19">
          <cell r="AL19" t="str">
            <v>Corte 13-13</v>
          </cell>
          <cell r="AM19">
            <v>0.2</v>
          </cell>
          <cell r="AN19">
            <v>0.375</v>
          </cell>
          <cell r="AO19">
            <v>5.85</v>
          </cell>
          <cell r="AP19">
            <v>0.1</v>
          </cell>
          <cell r="AQ19">
            <v>0.2</v>
          </cell>
          <cell r="AR19">
            <v>0.375</v>
          </cell>
          <cell r="AS19">
            <v>1</v>
          </cell>
        </row>
        <row r="20">
          <cell r="AL20" t="str">
            <v>Corte 14-14</v>
          </cell>
          <cell r="AM20">
            <v>0.2</v>
          </cell>
          <cell r="AN20">
            <v>0.375</v>
          </cell>
          <cell r="AO20">
            <v>5.85</v>
          </cell>
          <cell r="AP20">
            <v>0.1</v>
          </cell>
          <cell r="AQ20">
            <v>0.2</v>
          </cell>
          <cell r="AR20">
            <v>0.375</v>
          </cell>
          <cell r="AS20">
            <v>1</v>
          </cell>
        </row>
        <row r="21">
          <cell r="AL21" t="str">
            <v>Corte 15-15</v>
          </cell>
          <cell r="AM21">
            <v>0.17499999999999999</v>
          </cell>
          <cell r="AN21">
            <v>0.375</v>
          </cell>
          <cell r="AQ21">
            <v>0.17499999999999999</v>
          </cell>
          <cell r="AR21">
            <v>0.375</v>
          </cell>
          <cell r="AS21">
            <v>2</v>
          </cell>
        </row>
        <row r="22">
          <cell r="AL22" t="str">
            <v>Corte 16-16</v>
          </cell>
          <cell r="AM22">
            <v>0.17499999999999999</v>
          </cell>
          <cell r="AN22">
            <v>0.375</v>
          </cell>
          <cell r="AQ22">
            <v>0.17499999999999999</v>
          </cell>
          <cell r="AR22">
            <v>0.375</v>
          </cell>
          <cell r="AS22">
            <v>2</v>
          </cell>
        </row>
        <row r="23">
          <cell r="AL23" t="str">
            <v>Corte 17-17</v>
          </cell>
          <cell r="AM23">
            <v>0.17499999999999999</v>
          </cell>
          <cell r="AN23">
            <v>0.375</v>
          </cell>
          <cell r="AQ23">
            <v>0.17499999999999999</v>
          </cell>
          <cell r="AR23">
            <v>0.375</v>
          </cell>
          <cell r="AS23">
            <v>2</v>
          </cell>
        </row>
        <row r="24">
          <cell r="AL24" t="str">
            <v>Corte 18-18</v>
          </cell>
          <cell r="AM24">
            <v>0.17499999999999999</v>
          </cell>
          <cell r="AN24">
            <v>0.375</v>
          </cell>
          <cell r="AQ24">
            <v>0.17499999999999999</v>
          </cell>
          <cell r="AR24">
            <v>0.375</v>
          </cell>
          <cell r="AS24">
            <v>2</v>
          </cell>
        </row>
        <row r="25">
          <cell r="AL25" t="str">
            <v>Corte 19-19</v>
          </cell>
          <cell r="AM25">
            <v>0.17499999999999999</v>
          </cell>
          <cell r="AN25">
            <v>0.375</v>
          </cell>
          <cell r="AQ25">
            <v>0.17499999999999999</v>
          </cell>
          <cell r="AR25">
            <v>0.375</v>
          </cell>
          <cell r="AS25">
            <v>2</v>
          </cell>
        </row>
        <row r="26">
          <cell r="AL26" t="str">
            <v>Corte 20-20</v>
          </cell>
          <cell r="AM26">
            <v>0.17499999999999999</v>
          </cell>
          <cell r="AN26">
            <v>0.375</v>
          </cell>
          <cell r="AQ26">
            <v>0.17499999999999999</v>
          </cell>
          <cell r="AR26">
            <v>0.375</v>
          </cell>
          <cell r="AS26">
            <v>2</v>
          </cell>
        </row>
        <row r="27">
          <cell r="AL27" t="str">
            <v>Corte 21-21</v>
          </cell>
          <cell r="AM27">
            <v>0.17499999999999999</v>
          </cell>
          <cell r="AN27">
            <v>0.375</v>
          </cell>
          <cell r="AQ27">
            <v>0.17499999999999999</v>
          </cell>
          <cell r="AR27">
            <v>0.375</v>
          </cell>
          <cell r="AS27">
            <v>2</v>
          </cell>
        </row>
        <row r="28">
          <cell r="AL28" t="str">
            <v>Corte 22-22</v>
          </cell>
          <cell r="AM28">
            <v>0.17499999999999999</v>
          </cell>
          <cell r="AN28">
            <v>0.375</v>
          </cell>
          <cell r="AQ28">
            <v>0.17499999999999999</v>
          </cell>
          <cell r="AR28">
            <v>0.375</v>
          </cell>
          <cell r="AS28">
            <v>2</v>
          </cell>
        </row>
        <row r="29">
          <cell r="AL29" t="str">
            <v>Corte A-A</v>
          </cell>
          <cell r="AM29">
            <v>0.17499999999999999</v>
          </cell>
          <cell r="AN29">
            <v>0.375</v>
          </cell>
          <cell r="AQ29">
            <v>0.17499999999999999</v>
          </cell>
          <cell r="AR29">
            <v>0.375</v>
          </cell>
          <cell r="AS29">
            <v>2</v>
          </cell>
        </row>
        <row r="30">
          <cell r="AL30" t="str">
            <v>Corte B-B</v>
          </cell>
          <cell r="AM30">
            <v>0.17499999999999999</v>
          </cell>
          <cell r="AN30">
            <v>0.375</v>
          </cell>
          <cell r="AQ30">
            <v>0.17499999999999999</v>
          </cell>
          <cell r="AR30">
            <v>0.375</v>
          </cell>
          <cell r="AS30">
            <v>2</v>
          </cell>
        </row>
        <row r="31">
          <cell r="AL31" t="str">
            <v>Corte C-C</v>
          </cell>
          <cell r="AM31">
            <v>0.17499999999999999</v>
          </cell>
          <cell r="AN31">
            <v>0.375</v>
          </cell>
          <cell r="AQ31">
            <v>0.17499999999999999</v>
          </cell>
          <cell r="AR31">
            <v>0.375</v>
          </cell>
          <cell r="AS31">
            <v>2</v>
          </cell>
        </row>
        <row r="32">
          <cell r="AL32" t="str">
            <v>Corte C'-C'</v>
          </cell>
          <cell r="AM32">
            <v>0.17499999999999999</v>
          </cell>
          <cell r="AN32">
            <v>0.375</v>
          </cell>
          <cell r="AQ32">
            <v>0.17499999999999999</v>
          </cell>
          <cell r="AR32">
            <v>0.375</v>
          </cell>
          <cell r="AS32">
            <v>2</v>
          </cell>
        </row>
        <row r="33">
          <cell r="AL33" t="str">
            <v>Corte D-D</v>
          </cell>
          <cell r="AM33">
            <v>0.17499999999999999</v>
          </cell>
          <cell r="AN33">
            <v>0.375</v>
          </cell>
          <cell r="AQ33">
            <v>0.17499999999999999</v>
          </cell>
          <cell r="AR33">
            <v>0.375</v>
          </cell>
          <cell r="AS33">
            <v>2</v>
          </cell>
        </row>
        <row r="34">
          <cell r="AL34" t="str">
            <v>Corte E-E</v>
          </cell>
          <cell r="AM34">
            <v>0.17499999999999999</v>
          </cell>
          <cell r="AN34">
            <v>0.375</v>
          </cell>
          <cell r="AQ34">
            <v>0.17499999999999999</v>
          </cell>
          <cell r="AR34">
            <v>0.375</v>
          </cell>
          <cell r="AS34">
            <v>2</v>
          </cell>
        </row>
        <row r="35">
          <cell r="AL35" t="str">
            <v>Corte F-F</v>
          </cell>
          <cell r="AM35">
            <v>0.17499999999999999</v>
          </cell>
          <cell r="AN35">
            <v>0.375</v>
          </cell>
          <cell r="AQ35">
            <v>0.17499999999999999</v>
          </cell>
          <cell r="AR35">
            <v>0.375</v>
          </cell>
          <cell r="AS35">
            <v>2</v>
          </cell>
        </row>
        <row r="36">
          <cell r="AL36" t="str">
            <v>Corte G-G</v>
          </cell>
          <cell r="AM36">
            <v>0.17499999999999999</v>
          </cell>
          <cell r="AN36">
            <v>0.375</v>
          </cell>
          <cell r="AQ36">
            <v>0.17499999999999999</v>
          </cell>
          <cell r="AR36">
            <v>0.375</v>
          </cell>
          <cell r="AS36">
            <v>2</v>
          </cell>
        </row>
        <row r="37">
          <cell r="AL37" t="str">
            <v>Corte H-H</v>
          </cell>
          <cell r="AM37">
            <v>0.17499999999999999</v>
          </cell>
          <cell r="AN37">
            <v>0.375</v>
          </cell>
          <cell r="AQ37">
            <v>0.17499999999999999</v>
          </cell>
          <cell r="AR37">
            <v>0.375</v>
          </cell>
          <cell r="AS37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5">
          <cell r="C115" t="str">
            <v>Placa</v>
          </cell>
          <cell r="D115" t="str">
            <v>Tipo</v>
          </cell>
          <cell r="E115" t="str">
            <v>Piso</v>
          </cell>
          <cell r="F115" t="str">
            <v>Area</v>
          </cell>
          <cell r="G115" t="str">
            <v>Perímetro</v>
          </cell>
          <cell r="H115" t="str">
            <v>Nº</v>
          </cell>
          <cell r="I115" t="str">
            <v>F</v>
          </cell>
          <cell r="J115" t="str">
            <v>Nº</v>
          </cell>
          <cell r="K115" t="str">
            <v>F</v>
          </cell>
          <cell r="L115" t="str">
            <v>Nº</v>
          </cell>
          <cell r="M115" t="str">
            <v>F</v>
          </cell>
          <cell r="N115" t="str">
            <v>Distribución</v>
          </cell>
          <cell r="O115" t="str">
            <v>L</v>
          </cell>
          <cell r="P115" t="str">
            <v>F</v>
          </cell>
        </row>
        <row r="116">
          <cell r="C116" t="str">
            <v>Sot 4 - PL-1</v>
          </cell>
          <cell r="D116" t="str">
            <v>PL-1</v>
          </cell>
          <cell r="E116" t="str">
            <v>Sot 4</v>
          </cell>
          <cell r="F116">
            <v>3.73</v>
          </cell>
          <cell r="G116">
            <v>24.2</v>
          </cell>
          <cell r="H116">
            <v>14</v>
          </cell>
          <cell r="I116">
            <v>1</v>
          </cell>
          <cell r="J116">
            <v>24</v>
          </cell>
          <cell r="K116">
            <v>0.75</v>
          </cell>
          <cell r="L116">
            <v>110</v>
          </cell>
          <cell r="M116">
            <v>0.375</v>
          </cell>
          <cell r="N116">
            <v>0.17499999999999999</v>
          </cell>
          <cell r="O116">
            <v>27.2</v>
          </cell>
          <cell r="P116">
            <v>0.375</v>
          </cell>
        </row>
        <row r="117">
          <cell r="C117" t="str">
            <v>Sot 3 - PL-1</v>
          </cell>
          <cell r="D117" t="str">
            <v>PL-1</v>
          </cell>
          <cell r="E117" t="str">
            <v>Sot 3</v>
          </cell>
          <cell r="F117">
            <v>3.73</v>
          </cell>
          <cell r="G117">
            <v>24.2</v>
          </cell>
          <cell r="H117">
            <v>14</v>
          </cell>
          <cell r="I117">
            <v>1</v>
          </cell>
          <cell r="J117">
            <v>24</v>
          </cell>
          <cell r="K117">
            <v>0.75</v>
          </cell>
          <cell r="L117">
            <v>110</v>
          </cell>
          <cell r="M117">
            <v>0.375</v>
          </cell>
          <cell r="N117">
            <v>0.17499999999999999</v>
          </cell>
          <cell r="O117">
            <v>38.799999999999997</v>
          </cell>
          <cell r="P117">
            <v>0.375</v>
          </cell>
        </row>
        <row r="118">
          <cell r="C118" t="str">
            <v>Sot 2 - PL-1</v>
          </cell>
          <cell r="D118" t="str">
            <v>PL-1</v>
          </cell>
          <cell r="E118" t="str">
            <v>Sot 2</v>
          </cell>
          <cell r="F118">
            <v>3.73</v>
          </cell>
          <cell r="G118">
            <v>24.2</v>
          </cell>
          <cell r="H118">
            <v>14</v>
          </cell>
          <cell r="I118">
            <v>1</v>
          </cell>
          <cell r="J118">
            <v>24</v>
          </cell>
          <cell r="K118">
            <v>0.75</v>
          </cell>
          <cell r="L118">
            <v>110</v>
          </cell>
          <cell r="M118">
            <v>0.375</v>
          </cell>
          <cell r="N118">
            <v>0.17499999999999999</v>
          </cell>
          <cell r="O118">
            <v>38.799999999999997</v>
          </cell>
          <cell r="P118">
            <v>0.375</v>
          </cell>
        </row>
        <row r="119">
          <cell r="C119" t="str">
            <v>Sot 1 - PL-1</v>
          </cell>
          <cell r="D119" t="str">
            <v>PL-1</v>
          </cell>
          <cell r="E119" t="str">
            <v>Sot 1</v>
          </cell>
          <cell r="F119">
            <v>3.73</v>
          </cell>
          <cell r="G119">
            <v>24.2</v>
          </cell>
          <cell r="H119">
            <v>14</v>
          </cell>
          <cell r="I119">
            <v>1</v>
          </cell>
          <cell r="J119">
            <v>24</v>
          </cell>
          <cell r="K119">
            <v>0.75</v>
          </cell>
          <cell r="L119">
            <v>110</v>
          </cell>
          <cell r="M119">
            <v>0.375</v>
          </cell>
          <cell r="N119">
            <v>0.17499999999999999</v>
          </cell>
          <cell r="O119">
            <v>38.799999999999997</v>
          </cell>
          <cell r="P119">
            <v>0.375</v>
          </cell>
        </row>
        <row r="120">
          <cell r="C120" t="str">
            <v>Piso 1 - PL-1</v>
          </cell>
          <cell r="D120" t="str">
            <v>PL-1</v>
          </cell>
          <cell r="E120" t="str">
            <v>Piso 1</v>
          </cell>
          <cell r="F120">
            <v>3.73</v>
          </cell>
          <cell r="G120">
            <v>24.2</v>
          </cell>
          <cell r="H120">
            <v>14</v>
          </cell>
          <cell r="I120">
            <v>1</v>
          </cell>
          <cell r="J120">
            <v>24</v>
          </cell>
          <cell r="K120">
            <v>0.75</v>
          </cell>
          <cell r="L120">
            <v>110</v>
          </cell>
          <cell r="M120">
            <v>0.375</v>
          </cell>
          <cell r="N120">
            <v>0.17499999999999999</v>
          </cell>
          <cell r="O120">
            <v>38.799999999999997</v>
          </cell>
          <cell r="P120">
            <v>0.375</v>
          </cell>
        </row>
        <row r="121">
          <cell r="C121" t="str">
            <v>Piso 2 - PL-1</v>
          </cell>
          <cell r="D121" t="str">
            <v>PL-1</v>
          </cell>
          <cell r="E121" t="str">
            <v>Piso 2</v>
          </cell>
          <cell r="F121">
            <v>3.73</v>
          </cell>
          <cell r="G121">
            <v>24.2</v>
          </cell>
          <cell r="H121">
            <v>14</v>
          </cell>
          <cell r="I121">
            <v>1</v>
          </cell>
          <cell r="J121">
            <v>24</v>
          </cell>
          <cell r="K121">
            <v>0.75</v>
          </cell>
          <cell r="L121">
            <v>110</v>
          </cell>
          <cell r="M121">
            <v>0.375</v>
          </cell>
          <cell r="N121">
            <v>0.17499999999999999</v>
          </cell>
          <cell r="O121">
            <v>38.799999999999997</v>
          </cell>
          <cell r="P121">
            <v>0.375</v>
          </cell>
        </row>
        <row r="122">
          <cell r="C122" t="str">
            <v>Piso 3 - PL-1</v>
          </cell>
          <cell r="D122" t="str">
            <v>PL-1</v>
          </cell>
          <cell r="E122" t="str">
            <v>Piso 3</v>
          </cell>
          <cell r="F122">
            <v>3.73</v>
          </cell>
          <cell r="G122">
            <v>24.2</v>
          </cell>
          <cell r="H122">
            <v>14</v>
          </cell>
          <cell r="I122">
            <v>1</v>
          </cell>
          <cell r="J122">
            <v>24</v>
          </cell>
          <cell r="K122">
            <v>0.75</v>
          </cell>
          <cell r="L122">
            <v>110</v>
          </cell>
          <cell r="M122">
            <v>0.375</v>
          </cell>
          <cell r="N122">
            <v>0.17499999999999999</v>
          </cell>
          <cell r="O122">
            <v>38.799999999999997</v>
          </cell>
          <cell r="P122">
            <v>0.375</v>
          </cell>
        </row>
        <row r="123">
          <cell r="C123" t="str">
            <v>Piso 4 - PL-1</v>
          </cell>
          <cell r="D123" t="str">
            <v>PL-1</v>
          </cell>
          <cell r="E123" t="str">
            <v>Piso 4</v>
          </cell>
          <cell r="F123">
            <v>3.73</v>
          </cell>
          <cell r="G123">
            <v>24.2</v>
          </cell>
          <cell r="H123">
            <v>14</v>
          </cell>
          <cell r="I123">
            <v>1</v>
          </cell>
          <cell r="J123">
            <v>24</v>
          </cell>
          <cell r="K123">
            <v>0.75</v>
          </cell>
          <cell r="L123">
            <v>110</v>
          </cell>
          <cell r="M123">
            <v>0.375</v>
          </cell>
          <cell r="N123">
            <v>0.17499999999999999</v>
          </cell>
          <cell r="O123">
            <v>38.799999999999997</v>
          </cell>
          <cell r="P123">
            <v>0.375</v>
          </cell>
        </row>
        <row r="124">
          <cell r="C124" t="str">
            <v>Piso 5 - PL-1</v>
          </cell>
          <cell r="D124" t="str">
            <v>PL-1</v>
          </cell>
          <cell r="E124" t="str">
            <v>Piso 5</v>
          </cell>
          <cell r="F124">
            <v>3.73</v>
          </cell>
          <cell r="G124">
            <v>24.2</v>
          </cell>
          <cell r="H124">
            <v>4</v>
          </cell>
          <cell r="I124">
            <v>1</v>
          </cell>
          <cell r="J124">
            <v>26</v>
          </cell>
          <cell r="K124">
            <v>0.75</v>
          </cell>
          <cell r="L124">
            <v>110</v>
          </cell>
          <cell r="M124">
            <v>0.375</v>
          </cell>
          <cell r="N124">
            <v>0.17499999999999999</v>
          </cell>
          <cell r="O124">
            <v>38.799999999999997</v>
          </cell>
          <cell r="P124">
            <v>0.375</v>
          </cell>
        </row>
        <row r="125">
          <cell r="C125" t="str">
            <v>Piso 6 - PL-1</v>
          </cell>
          <cell r="D125" t="str">
            <v>PL-1</v>
          </cell>
          <cell r="E125" t="str">
            <v>Piso 6</v>
          </cell>
          <cell r="F125">
            <v>3.73</v>
          </cell>
          <cell r="G125">
            <v>24.2</v>
          </cell>
          <cell r="H125">
            <v>4</v>
          </cell>
          <cell r="I125">
            <v>1</v>
          </cell>
          <cell r="J125">
            <v>26</v>
          </cell>
          <cell r="K125">
            <v>0.75</v>
          </cell>
          <cell r="L125">
            <v>110</v>
          </cell>
          <cell r="M125">
            <v>0.375</v>
          </cell>
          <cell r="N125">
            <v>0.17499999999999999</v>
          </cell>
          <cell r="O125">
            <v>38.799999999999997</v>
          </cell>
          <cell r="P125">
            <v>0.375</v>
          </cell>
        </row>
        <row r="126">
          <cell r="C126" t="str">
            <v>Piso 7 - PL-1</v>
          </cell>
          <cell r="D126" t="str">
            <v>PL-1</v>
          </cell>
          <cell r="E126" t="str">
            <v>Piso 7</v>
          </cell>
          <cell r="F126">
            <v>3.73</v>
          </cell>
          <cell r="G126">
            <v>24.2</v>
          </cell>
          <cell r="H126">
            <v>4</v>
          </cell>
          <cell r="I126">
            <v>1</v>
          </cell>
          <cell r="J126">
            <v>26</v>
          </cell>
          <cell r="K126">
            <v>0.75</v>
          </cell>
          <cell r="L126">
            <v>110</v>
          </cell>
          <cell r="M126">
            <v>0.375</v>
          </cell>
          <cell r="N126">
            <v>0.17499999999999999</v>
          </cell>
          <cell r="O126">
            <v>38.799999999999997</v>
          </cell>
          <cell r="P126">
            <v>0.375</v>
          </cell>
        </row>
        <row r="127">
          <cell r="C127" t="str">
            <v>Piso 8 - PL-1</v>
          </cell>
          <cell r="D127" t="str">
            <v>PL-1</v>
          </cell>
          <cell r="E127" t="str">
            <v>Piso 8</v>
          </cell>
          <cell r="F127">
            <v>3.73</v>
          </cell>
          <cell r="G127">
            <v>24.2</v>
          </cell>
          <cell r="H127">
            <v>4</v>
          </cell>
          <cell r="I127">
            <v>1</v>
          </cell>
          <cell r="J127">
            <v>26</v>
          </cell>
          <cell r="K127">
            <v>0.75</v>
          </cell>
          <cell r="L127">
            <v>110</v>
          </cell>
          <cell r="M127">
            <v>0.375</v>
          </cell>
          <cell r="N127">
            <v>0.17499999999999999</v>
          </cell>
          <cell r="O127">
            <v>38.799999999999997</v>
          </cell>
          <cell r="P127">
            <v>0.375</v>
          </cell>
        </row>
        <row r="128">
          <cell r="C128" t="str">
            <v>Piso 9 - PL-1</v>
          </cell>
          <cell r="D128" t="str">
            <v>PL-1</v>
          </cell>
          <cell r="E128" t="str">
            <v>Piso 9</v>
          </cell>
          <cell r="F128">
            <v>3.73</v>
          </cell>
          <cell r="G128">
            <v>24.2</v>
          </cell>
          <cell r="H128">
            <v>16</v>
          </cell>
          <cell r="I128">
            <v>0.75</v>
          </cell>
          <cell r="J128">
            <v>12</v>
          </cell>
          <cell r="K128">
            <v>0.625</v>
          </cell>
          <cell r="L128">
            <v>100</v>
          </cell>
          <cell r="M128">
            <v>0.375</v>
          </cell>
          <cell r="N128">
            <v>0.2</v>
          </cell>
          <cell r="O128">
            <v>35.799999999999997</v>
          </cell>
          <cell r="P128">
            <v>0.375</v>
          </cell>
        </row>
        <row r="129">
          <cell r="C129" t="str">
            <v>Piso 10 - PL-1</v>
          </cell>
          <cell r="D129" t="str">
            <v>PL-1</v>
          </cell>
          <cell r="E129" t="str">
            <v>Piso 10</v>
          </cell>
          <cell r="F129">
            <v>3.73</v>
          </cell>
          <cell r="G129">
            <v>24.2</v>
          </cell>
          <cell r="H129">
            <v>16</v>
          </cell>
          <cell r="I129">
            <v>0.75</v>
          </cell>
          <cell r="J129">
            <v>12</v>
          </cell>
          <cell r="K129">
            <v>0.625</v>
          </cell>
          <cell r="L129">
            <v>100</v>
          </cell>
          <cell r="M129">
            <v>0.375</v>
          </cell>
          <cell r="N129">
            <v>0.2</v>
          </cell>
          <cell r="O129">
            <v>35.799999999999997</v>
          </cell>
          <cell r="P129">
            <v>0.375</v>
          </cell>
        </row>
        <row r="130">
          <cell r="C130" t="str">
            <v>Piso 11 - PL-1</v>
          </cell>
          <cell r="D130" t="str">
            <v>PL-1</v>
          </cell>
          <cell r="E130" t="str">
            <v>Piso 11</v>
          </cell>
          <cell r="F130">
            <v>3.73</v>
          </cell>
          <cell r="G130">
            <v>24.2</v>
          </cell>
          <cell r="H130">
            <v>16</v>
          </cell>
          <cell r="I130">
            <v>0.75</v>
          </cell>
          <cell r="J130">
            <v>12</v>
          </cell>
          <cell r="K130">
            <v>0.625</v>
          </cell>
          <cell r="L130">
            <v>100</v>
          </cell>
          <cell r="M130">
            <v>0.375</v>
          </cell>
          <cell r="N130">
            <v>0.2</v>
          </cell>
          <cell r="O130">
            <v>35.799999999999997</v>
          </cell>
          <cell r="P130">
            <v>0.375</v>
          </cell>
        </row>
        <row r="131">
          <cell r="C131" t="str">
            <v>Piso 12 - PL-1</v>
          </cell>
          <cell r="D131" t="str">
            <v>PL-1</v>
          </cell>
          <cell r="E131" t="str">
            <v>Piso 12</v>
          </cell>
          <cell r="F131">
            <v>3.73</v>
          </cell>
          <cell r="G131">
            <v>24.2</v>
          </cell>
          <cell r="H131">
            <v>16</v>
          </cell>
          <cell r="I131">
            <v>0.75</v>
          </cell>
          <cell r="J131">
            <v>12</v>
          </cell>
          <cell r="K131">
            <v>0.625</v>
          </cell>
          <cell r="L131">
            <v>100</v>
          </cell>
          <cell r="M131">
            <v>0.375</v>
          </cell>
          <cell r="N131">
            <v>0.2</v>
          </cell>
          <cell r="O131">
            <v>35.799999999999997</v>
          </cell>
          <cell r="P131">
            <v>0.375</v>
          </cell>
        </row>
        <row r="132">
          <cell r="C132" t="str">
            <v>Sot 4 - PL-2</v>
          </cell>
          <cell r="D132" t="str">
            <v>PL-2</v>
          </cell>
          <cell r="E132" t="str">
            <v>Sot 4</v>
          </cell>
          <cell r="F132">
            <v>0.81920000000000004</v>
          </cell>
          <cell r="G132">
            <v>6.0613000000000001</v>
          </cell>
          <cell r="H132">
            <v>12</v>
          </cell>
          <cell r="I132">
            <v>0.625</v>
          </cell>
          <cell r="J132">
            <v>24</v>
          </cell>
          <cell r="K132">
            <v>0.375</v>
          </cell>
          <cell r="N132">
            <v>0.17499999999999999</v>
          </cell>
          <cell r="O132">
            <v>8.66</v>
          </cell>
          <cell r="P132">
            <v>0.375</v>
          </cell>
        </row>
        <row r="133">
          <cell r="C133" t="str">
            <v>Sot 3 - PL-2</v>
          </cell>
          <cell r="D133" t="str">
            <v>PL-2</v>
          </cell>
          <cell r="E133" t="str">
            <v>Sot 3</v>
          </cell>
          <cell r="F133">
            <v>0.81920000000000004</v>
          </cell>
          <cell r="G133">
            <v>6.0613000000000001</v>
          </cell>
          <cell r="H133">
            <v>12</v>
          </cell>
          <cell r="I133">
            <v>0.625</v>
          </cell>
          <cell r="J133">
            <v>18</v>
          </cell>
          <cell r="K133">
            <v>0.375</v>
          </cell>
          <cell r="N133">
            <v>0.22500000000000001</v>
          </cell>
          <cell r="O133">
            <v>8.66</v>
          </cell>
          <cell r="P133">
            <v>0.375</v>
          </cell>
        </row>
        <row r="134">
          <cell r="C134" t="str">
            <v>Sot 2 - PL-2</v>
          </cell>
          <cell r="D134" t="str">
            <v>PL-2</v>
          </cell>
          <cell r="E134" t="str">
            <v>Sot 2</v>
          </cell>
          <cell r="F134">
            <v>0.81920000000000004</v>
          </cell>
          <cell r="G134">
            <v>6.0613000000000001</v>
          </cell>
          <cell r="H134">
            <v>12</v>
          </cell>
          <cell r="I134">
            <v>0.625</v>
          </cell>
          <cell r="J134">
            <v>18</v>
          </cell>
          <cell r="K134">
            <v>0.375</v>
          </cell>
          <cell r="N134">
            <v>0.22500000000000001</v>
          </cell>
          <cell r="O134">
            <v>8.66</v>
          </cell>
          <cell r="P134">
            <v>0.375</v>
          </cell>
        </row>
        <row r="135">
          <cell r="C135" t="str">
            <v>Sot 1 - PL-2</v>
          </cell>
          <cell r="D135" t="str">
            <v>PL-2</v>
          </cell>
          <cell r="E135" t="str">
            <v>Sot 1</v>
          </cell>
          <cell r="F135">
            <v>0.81920000000000004</v>
          </cell>
          <cell r="G135">
            <v>6.0613000000000001</v>
          </cell>
          <cell r="H135">
            <v>12</v>
          </cell>
          <cell r="I135">
            <v>0.625</v>
          </cell>
          <cell r="J135">
            <v>18</v>
          </cell>
          <cell r="K135">
            <v>0.375</v>
          </cell>
          <cell r="N135">
            <v>0.22500000000000001</v>
          </cell>
          <cell r="O135">
            <v>8.66</v>
          </cell>
          <cell r="P135">
            <v>0.375</v>
          </cell>
        </row>
        <row r="136">
          <cell r="C136" t="str">
            <v>Piso 1 - PL-2</v>
          </cell>
          <cell r="D136" t="str">
            <v>PL-2</v>
          </cell>
          <cell r="E136" t="str">
            <v>Piso 1</v>
          </cell>
          <cell r="F136">
            <v>0.81920000000000004</v>
          </cell>
          <cell r="G136">
            <v>6.0613000000000001</v>
          </cell>
          <cell r="H136">
            <v>12</v>
          </cell>
          <cell r="I136">
            <v>0.625</v>
          </cell>
          <cell r="J136">
            <v>18</v>
          </cell>
          <cell r="K136">
            <v>0.375</v>
          </cell>
          <cell r="N136">
            <v>0.22500000000000001</v>
          </cell>
          <cell r="O136">
            <v>8.66</v>
          </cell>
          <cell r="P136">
            <v>0.375</v>
          </cell>
        </row>
        <row r="137">
          <cell r="C137" t="str">
            <v>Piso 2 - PL-2</v>
          </cell>
          <cell r="D137" t="str">
            <v>PL-2</v>
          </cell>
          <cell r="E137" t="str">
            <v>Piso 2</v>
          </cell>
          <cell r="F137">
            <v>0.81920000000000004</v>
          </cell>
          <cell r="G137">
            <v>6.0613000000000001</v>
          </cell>
          <cell r="H137">
            <v>12</v>
          </cell>
          <cell r="I137">
            <v>0.625</v>
          </cell>
          <cell r="J137">
            <v>18</v>
          </cell>
          <cell r="K137">
            <v>0.375</v>
          </cell>
          <cell r="N137">
            <v>0.22500000000000001</v>
          </cell>
          <cell r="O137">
            <v>8.66</v>
          </cell>
          <cell r="P137">
            <v>0.375</v>
          </cell>
        </row>
        <row r="138">
          <cell r="C138" t="str">
            <v>Piso 3 - PL-2</v>
          </cell>
          <cell r="D138" t="str">
            <v>PL-2</v>
          </cell>
          <cell r="E138" t="str">
            <v>Piso 3</v>
          </cell>
          <cell r="F138">
            <v>0.81920000000000004</v>
          </cell>
          <cell r="G138">
            <v>6.0613000000000001</v>
          </cell>
          <cell r="H138">
            <v>12</v>
          </cell>
          <cell r="I138">
            <v>0.625</v>
          </cell>
          <cell r="J138">
            <v>18</v>
          </cell>
          <cell r="K138">
            <v>0.375</v>
          </cell>
          <cell r="N138">
            <v>0.22500000000000001</v>
          </cell>
          <cell r="O138">
            <v>8.66</v>
          </cell>
          <cell r="P138">
            <v>0.375</v>
          </cell>
        </row>
        <row r="139">
          <cell r="C139" t="str">
            <v>Piso 4 - PL-2</v>
          </cell>
          <cell r="D139" t="str">
            <v>PL-2</v>
          </cell>
          <cell r="E139" t="str">
            <v>Piso 4</v>
          </cell>
          <cell r="F139">
            <v>0.81920000000000004</v>
          </cell>
          <cell r="G139">
            <v>6.0613000000000001</v>
          </cell>
          <cell r="H139">
            <v>12</v>
          </cell>
          <cell r="I139">
            <v>0.625</v>
          </cell>
          <cell r="J139">
            <v>18</v>
          </cell>
          <cell r="K139">
            <v>0.375</v>
          </cell>
          <cell r="N139">
            <v>0.22500000000000001</v>
          </cell>
          <cell r="O139">
            <v>8.66</v>
          </cell>
          <cell r="P139">
            <v>0.375</v>
          </cell>
        </row>
        <row r="140">
          <cell r="C140" t="str">
            <v>Piso 5 - PL-2</v>
          </cell>
          <cell r="D140" t="str">
            <v>PL-2</v>
          </cell>
          <cell r="E140" t="str">
            <v>Piso 5</v>
          </cell>
          <cell r="F140">
            <v>0.81920000000000004</v>
          </cell>
          <cell r="G140">
            <v>6.0613000000000001</v>
          </cell>
          <cell r="H140">
            <v>8</v>
          </cell>
          <cell r="I140">
            <v>0.625</v>
          </cell>
          <cell r="J140">
            <v>14</v>
          </cell>
          <cell r="K140">
            <v>0.375</v>
          </cell>
          <cell r="N140">
            <v>0.27500000000000002</v>
          </cell>
          <cell r="O140">
            <v>8.66</v>
          </cell>
          <cell r="P140">
            <v>0.375</v>
          </cell>
        </row>
        <row r="141">
          <cell r="C141" t="str">
            <v>Piso 6 - PL-2</v>
          </cell>
          <cell r="D141" t="str">
            <v>PL-2</v>
          </cell>
          <cell r="E141" t="str">
            <v>Piso 6</v>
          </cell>
          <cell r="F141">
            <v>0.81920000000000004</v>
          </cell>
          <cell r="G141">
            <v>6.0613000000000001</v>
          </cell>
          <cell r="H141">
            <v>8</v>
          </cell>
          <cell r="I141">
            <v>0.625</v>
          </cell>
          <cell r="J141">
            <v>14</v>
          </cell>
          <cell r="K141">
            <v>0.375</v>
          </cell>
          <cell r="N141">
            <v>0.27500000000000002</v>
          </cell>
          <cell r="O141">
            <v>8.66</v>
          </cell>
          <cell r="P141">
            <v>0.375</v>
          </cell>
        </row>
        <row r="142">
          <cell r="C142" t="str">
            <v>Piso 7 - PL-2</v>
          </cell>
          <cell r="D142" t="str">
            <v>PL-2</v>
          </cell>
          <cell r="E142" t="str">
            <v>Piso 7</v>
          </cell>
          <cell r="F142">
            <v>0.68269999999999997</v>
          </cell>
          <cell r="G142">
            <v>5.9612999999999996</v>
          </cell>
          <cell r="H142">
            <v>8</v>
          </cell>
          <cell r="I142">
            <v>0.625</v>
          </cell>
          <cell r="J142">
            <v>14</v>
          </cell>
          <cell r="K142">
            <v>0.375</v>
          </cell>
          <cell r="N142">
            <v>0.27500000000000002</v>
          </cell>
          <cell r="O142">
            <v>8.26</v>
          </cell>
          <cell r="P142">
            <v>0.375</v>
          </cell>
        </row>
        <row r="143">
          <cell r="C143" t="str">
            <v>Piso 8 - PL-2</v>
          </cell>
          <cell r="D143" t="str">
            <v>PL-2</v>
          </cell>
          <cell r="E143" t="str">
            <v>Piso 8</v>
          </cell>
          <cell r="F143">
            <v>0.68269999999999997</v>
          </cell>
          <cell r="G143">
            <v>5.9612999999999996</v>
          </cell>
          <cell r="H143">
            <v>8</v>
          </cell>
          <cell r="I143">
            <v>0.625</v>
          </cell>
          <cell r="J143">
            <v>14</v>
          </cell>
          <cell r="K143">
            <v>0.375</v>
          </cell>
          <cell r="N143">
            <v>0.27500000000000002</v>
          </cell>
          <cell r="O143">
            <v>8.26</v>
          </cell>
          <cell r="P143">
            <v>0.375</v>
          </cell>
        </row>
        <row r="144">
          <cell r="C144" t="str">
            <v>Piso 9 - PL-2</v>
          </cell>
          <cell r="D144" t="str">
            <v>PL-2</v>
          </cell>
          <cell r="E144" t="str">
            <v>Piso 9</v>
          </cell>
          <cell r="F144">
            <v>0.68269999999999997</v>
          </cell>
          <cell r="G144">
            <v>5.9612999999999996</v>
          </cell>
          <cell r="H144">
            <v>8</v>
          </cell>
          <cell r="I144">
            <v>0.5</v>
          </cell>
          <cell r="J144">
            <v>12</v>
          </cell>
          <cell r="K144">
            <v>0.375</v>
          </cell>
          <cell r="N144">
            <v>0.35</v>
          </cell>
          <cell r="O144">
            <v>8.26</v>
          </cell>
          <cell r="P144">
            <v>0.375</v>
          </cell>
        </row>
        <row r="145">
          <cell r="C145" t="str">
            <v>Piso 10 - PL-2</v>
          </cell>
          <cell r="D145" t="str">
            <v>PL-2</v>
          </cell>
          <cell r="E145" t="str">
            <v>Piso 10</v>
          </cell>
          <cell r="F145">
            <v>0.68269999999999997</v>
          </cell>
          <cell r="G145">
            <v>5.9612999999999996</v>
          </cell>
          <cell r="H145">
            <v>8</v>
          </cell>
          <cell r="I145">
            <v>0.5</v>
          </cell>
          <cell r="J145">
            <v>12</v>
          </cell>
          <cell r="K145">
            <v>0.375</v>
          </cell>
          <cell r="N145">
            <v>0.35</v>
          </cell>
          <cell r="O145">
            <v>8.26</v>
          </cell>
          <cell r="P145">
            <v>0.375</v>
          </cell>
        </row>
        <row r="146">
          <cell r="C146" t="str">
            <v>Piso 11 - PL-2</v>
          </cell>
          <cell r="D146" t="str">
            <v>PL-2</v>
          </cell>
          <cell r="E146" t="str">
            <v>Piso 11</v>
          </cell>
          <cell r="F146">
            <v>0.68269999999999997</v>
          </cell>
          <cell r="G146">
            <v>5.9612999999999996</v>
          </cell>
          <cell r="H146">
            <v>8</v>
          </cell>
          <cell r="I146">
            <v>0.5</v>
          </cell>
          <cell r="J146">
            <v>12</v>
          </cell>
          <cell r="K146">
            <v>0.375</v>
          </cell>
          <cell r="N146">
            <v>0.35</v>
          </cell>
          <cell r="O146">
            <v>8.26</v>
          </cell>
          <cell r="P146">
            <v>0.375</v>
          </cell>
        </row>
        <row r="147">
          <cell r="C147" t="str">
            <v>Piso 12 - PL-2</v>
          </cell>
          <cell r="D147" t="str">
            <v>PL-2</v>
          </cell>
          <cell r="E147" t="str">
            <v>Piso 12</v>
          </cell>
          <cell r="F147">
            <v>0.68269999999999997</v>
          </cell>
          <cell r="G147">
            <v>5.9612999999999996</v>
          </cell>
          <cell r="H147">
            <v>8</v>
          </cell>
          <cell r="I147">
            <v>0.5</v>
          </cell>
          <cell r="J147">
            <v>12</v>
          </cell>
          <cell r="K147">
            <v>0.375</v>
          </cell>
          <cell r="N147">
            <v>0.35</v>
          </cell>
          <cell r="O147">
            <v>8.26</v>
          </cell>
          <cell r="P147">
            <v>0.375</v>
          </cell>
        </row>
        <row r="148">
          <cell r="C148" t="str">
            <v>Sot 4 - PL-3</v>
          </cell>
          <cell r="D148" t="str">
            <v>PL-3</v>
          </cell>
          <cell r="E148" t="str">
            <v>Sot 4</v>
          </cell>
          <cell r="F148">
            <v>5.7077</v>
          </cell>
          <cell r="G148">
            <v>39.652000000000001</v>
          </cell>
          <cell r="H148">
            <v>12</v>
          </cell>
          <cell r="I148">
            <v>1</v>
          </cell>
          <cell r="J148">
            <v>38</v>
          </cell>
          <cell r="K148">
            <v>0.75</v>
          </cell>
          <cell r="L148">
            <v>186</v>
          </cell>
          <cell r="M148">
            <v>0.375</v>
          </cell>
          <cell r="N148">
            <v>0.17499999999999999</v>
          </cell>
          <cell r="O148">
            <v>59.08</v>
          </cell>
          <cell r="P148">
            <v>0.375</v>
          </cell>
        </row>
        <row r="149">
          <cell r="C149" t="str">
            <v>Sot 3 - PL-3</v>
          </cell>
          <cell r="D149" t="str">
            <v>PL-3</v>
          </cell>
          <cell r="E149" t="str">
            <v>Sot 3</v>
          </cell>
          <cell r="F149">
            <v>5.7077</v>
          </cell>
          <cell r="G149">
            <v>39.652000000000001</v>
          </cell>
          <cell r="H149">
            <v>12</v>
          </cell>
          <cell r="I149">
            <v>1</v>
          </cell>
          <cell r="J149">
            <v>38</v>
          </cell>
          <cell r="K149">
            <v>0.75</v>
          </cell>
          <cell r="L149">
            <v>186</v>
          </cell>
          <cell r="M149">
            <v>0.375</v>
          </cell>
          <cell r="N149">
            <v>0.17499999999999999</v>
          </cell>
          <cell r="O149">
            <v>59.08</v>
          </cell>
          <cell r="P149">
            <v>0.375</v>
          </cell>
        </row>
        <row r="150">
          <cell r="C150" t="str">
            <v>Sot 2 - PL-3</v>
          </cell>
          <cell r="D150" t="str">
            <v>PL-3</v>
          </cell>
          <cell r="E150" t="str">
            <v>Sot 2</v>
          </cell>
          <cell r="F150">
            <v>5.7077</v>
          </cell>
          <cell r="G150">
            <v>39.652000000000001</v>
          </cell>
          <cell r="H150">
            <v>12</v>
          </cell>
          <cell r="I150">
            <v>1</v>
          </cell>
          <cell r="J150">
            <v>38</v>
          </cell>
          <cell r="K150">
            <v>0.75</v>
          </cell>
          <cell r="L150">
            <v>186</v>
          </cell>
          <cell r="M150">
            <v>0.375</v>
          </cell>
          <cell r="N150">
            <v>0.17499999999999999</v>
          </cell>
          <cell r="O150">
            <v>59.08</v>
          </cell>
          <cell r="P150">
            <v>0.375</v>
          </cell>
        </row>
        <row r="151">
          <cell r="C151" t="str">
            <v>Sot 1 - PL-3</v>
          </cell>
          <cell r="D151" t="str">
            <v>PL-3</v>
          </cell>
          <cell r="E151" t="str">
            <v>Sot 1</v>
          </cell>
          <cell r="F151">
            <v>5.7077</v>
          </cell>
          <cell r="G151">
            <v>39.652000000000001</v>
          </cell>
          <cell r="H151">
            <v>12</v>
          </cell>
          <cell r="I151">
            <v>1</v>
          </cell>
          <cell r="J151">
            <v>38</v>
          </cell>
          <cell r="K151">
            <v>0.75</v>
          </cell>
          <cell r="L151">
            <v>186</v>
          </cell>
          <cell r="M151">
            <v>0.375</v>
          </cell>
          <cell r="N151">
            <v>0.17499999999999999</v>
          </cell>
          <cell r="O151">
            <v>59.08</v>
          </cell>
          <cell r="P151">
            <v>0.375</v>
          </cell>
        </row>
        <row r="152">
          <cell r="C152" t="str">
            <v>Piso 1 - PL-3</v>
          </cell>
          <cell r="D152" t="str">
            <v>PL-3</v>
          </cell>
          <cell r="E152" t="str">
            <v>Piso 1</v>
          </cell>
          <cell r="F152">
            <v>5.7077</v>
          </cell>
          <cell r="G152">
            <v>39.652000000000001</v>
          </cell>
          <cell r="H152">
            <v>12</v>
          </cell>
          <cell r="I152">
            <v>1</v>
          </cell>
          <cell r="J152">
            <v>38</v>
          </cell>
          <cell r="K152">
            <v>0.75</v>
          </cell>
          <cell r="L152">
            <v>186</v>
          </cell>
          <cell r="M152">
            <v>0.375</v>
          </cell>
          <cell r="N152">
            <v>0.17499999999999999</v>
          </cell>
          <cell r="O152">
            <v>59.08</v>
          </cell>
          <cell r="P152">
            <v>0.375</v>
          </cell>
        </row>
        <row r="153">
          <cell r="C153" t="str">
            <v>Piso 2 - PL-3</v>
          </cell>
          <cell r="D153" t="str">
            <v>PL-3</v>
          </cell>
          <cell r="E153" t="str">
            <v>Piso 2</v>
          </cell>
          <cell r="F153">
            <v>5.7077</v>
          </cell>
          <cell r="G153">
            <v>39.652000000000001</v>
          </cell>
          <cell r="H153">
            <v>12</v>
          </cell>
          <cell r="I153">
            <v>1</v>
          </cell>
          <cell r="J153">
            <v>38</v>
          </cell>
          <cell r="K153">
            <v>0.75</v>
          </cell>
          <cell r="L153">
            <v>186</v>
          </cell>
          <cell r="M153">
            <v>0.375</v>
          </cell>
          <cell r="N153">
            <v>0.17499999999999999</v>
          </cell>
          <cell r="O153">
            <v>59.08</v>
          </cell>
          <cell r="P153">
            <v>0.375</v>
          </cell>
        </row>
        <row r="154">
          <cell r="C154" t="str">
            <v>Piso 3 - PL-3</v>
          </cell>
          <cell r="D154" t="str">
            <v>PL-3</v>
          </cell>
          <cell r="E154" t="str">
            <v>Piso 3</v>
          </cell>
          <cell r="F154">
            <v>5.7077</v>
          </cell>
          <cell r="G154">
            <v>39.652000000000001</v>
          </cell>
          <cell r="H154">
            <v>12</v>
          </cell>
          <cell r="I154">
            <v>1</v>
          </cell>
          <cell r="J154">
            <v>38</v>
          </cell>
          <cell r="K154">
            <v>0.75</v>
          </cell>
          <cell r="L154">
            <v>186</v>
          </cell>
          <cell r="M154">
            <v>0.375</v>
          </cell>
          <cell r="N154">
            <v>0.17499999999999999</v>
          </cell>
          <cell r="O154">
            <v>59.08</v>
          </cell>
          <cell r="P154">
            <v>0.375</v>
          </cell>
        </row>
        <row r="155">
          <cell r="C155" t="str">
            <v>Piso 4 - PL-3</v>
          </cell>
          <cell r="D155" t="str">
            <v>PL-3</v>
          </cell>
          <cell r="E155" t="str">
            <v>Piso 4</v>
          </cell>
          <cell r="F155">
            <v>5.7077</v>
          </cell>
          <cell r="G155">
            <v>39.652000000000001</v>
          </cell>
          <cell r="H155">
            <v>12</v>
          </cell>
          <cell r="I155">
            <v>1</v>
          </cell>
          <cell r="J155">
            <v>38</v>
          </cell>
          <cell r="K155">
            <v>0.75</v>
          </cell>
          <cell r="L155">
            <v>186</v>
          </cell>
          <cell r="M155">
            <v>0.375</v>
          </cell>
          <cell r="N155">
            <v>0.17499999999999999</v>
          </cell>
          <cell r="O155">
            <v>59.08</v>
          </cell>
          <cell r="P155">
            <v>0.375</v>
          </cell>
        </row>
        <row r="156">
          <cell r="C156" t="str">
            <v>Piso 5 - PL-3</v>
          </cell>
          <cell r="D156" t="str">
            <v>PL-3</v>
          </cell>
          <cell r="E156" t="str">
            <v>Piso 5</v>
          </cell>
          <cell r="F156">
            <v>5.7077</v>
          </cell>
          <cell r="G156">
            <v>39.652000000000001</v>
          </cell>
          <cell r="H156">
            <v>8</v>
          </cell>
          <cell r="I156">
            <v>1</v>
          </cell>
          <cell r="J156">
            <v>24</v>
          </cell>
          <cell r="K156">
            <v>0.75</v>
          </cell>
          <cell r="L156">
            <v>186</v>
          </cell>
          <cell r="M156">
            <v>0.375</v>
          </cell>
          <cell r="N156">
            <v>0.17499999999999999</v>
          </cell>
          <cell r="O156">
            <v>59.08</v>
          </cell>
          <cell r="P156">
            <v>0.375</v>
          </cell>
        </row>
        <row r="157">
          <cell r="C157" t="str">
            <v>Piso 6 - PL-3</v>
          </cell>
          <cell r="D157" t="str">
            <v>PL-3</v>
          </cell>
          <cell r="E157" t="str">
            <v>Piso 6</v>
          </cell>
          <cell r="F157">
            <v>5.7077</v>
          </cell>
          <cell r="G157">
            <v>39.652000000000001</v>
          </cell>
          <cell r="H157">
            <v>8</v>
          </cell>
          <cell r="I157">
            <v>1</v>
          </cell>
          <cell r="J157">
            <v>24</v>
          </cell>
          <cell r="K157">
            <v>0.75</v>
          </cell>
          <cell r="L157">
            <v>186</v>
          </cell>
          <cell r="M157">
            <v>0.375</v>
          </cell>
          <cell r="N157">
            <v>0.17499999999999999</v>
          </cell>
          <cell r="O157">
            <v>59.08</v>
          </cell>
          <cell r="P157">
            <v>0.375</v>
          </cell>
        </row>
        <row r="158">
          <cell r="C158" t="str">
            <v>Piso 7 - PL-3</v>
          </cell>
          <cell r="D158" t="str">
            <v>PL-3</v>
          </cell>
          <cell r="E158" t="str">
            <v>Piso 7</v>
          </cell>
          <cell r="F158">
            <v>5.7077</v>
          </cell>
          <cell r="G158">
            <v>39.652000000000001</v>
          </cell>
          <cell r="H158">
            <v>8</v>
          </cell>
          <cell r="I158">
            <v>1</v>
          </cell>
          <cell r="J158">
            <v>24</v>
          </cell>
          <cell r="K158">
            <v>0.75</v>
          </cell>
          <cell r="L158">
            <v>186</v>
          </cell>
          <cell r="M158">
            <v>0.375</v>
          </cell>
          <cell r="N158">
            <v>0.17499999999999999</v>
          </cell>
          <cell r="O158">
            <v>59.08</v>
          </cell>
          <cell r="P158">
            <v>0.375</v>
          </cell>
        </row>
        <row r="159">
          <cell r="C159" t="str">
            <v>Piso 8 - PL-3</v>
          </cell>
          <cell r="D159" t="str">
            <v>PL-3</v>
          </cell>
          <cell r="E159" t="str">
            <v>Piso 8</v>
          </cell>
          <cell r="F159">
            <v>5.7077</v>
          </cell>
          <cell r="G159">
            <v>39.652000000000001</v>
          </cell>
          <cell r="H159">
            <v>8</v>
          </cell>
          <cell r="I159">
            <v>1</v>
          </cell>
          <cell r="J159">
            <v>24</v>
          </cell>
          <cell r="K159">
            <v>0.75</v>
          </cell>
          <cell r="L159">
            <v>186</v>
          </cell>
          <cell r="M159">
            <v>0.375</v>
          </cell>
          <cell r="N159">
            <v>0.17499999999999999</v>
          </cell>
          <cell r="O159">
            <v>59.08</v>
          </cell>
          <cell r="P159">
            <v>0.375</v>
          </cell>
        </row>
        <row r="160">
          <cell r="C160" t="str">
            <v>Piso 9 - PL-3</v>
          </cell>
          <cell r="D160" t="str">
            <v>PL-3</v>
          </cell>
          <cell r="E160" t="str">
            <v>Piso 9</v>
          </cell>
          <cell r="F160">
            <v>5.7077</v>
          </cell>
          <cell r="G160">
            <v>39.652000000000001</v>
          </cell>
          <cell r="H160">
            <v>32</v>
          </cell>
          <cell r="I160">
            <v>0.75</v>
          </cell>
          <cell r="J160">
            <v>8</v>
          </cell>
          <cell r="K160">
            <v>0.625</v>
          </cell>
          <cell r="L160">
            <v>142</v>
          </cell>
          <cell r="M160">
            <v>0.375</v>
          </cell>
          <cell r="N160">
            <v>0.22500000000000001</v>
          </cell>
          <cell r="O160">
            <v>59.08</v>
          </cell>
          <cell r="P160">
            <v>0.375</v>
          </cell>
        </row>
        <row r="161">
          <cell r="C161" t="str">
            <v>Piso 10 - PL-3</v>
          </cell>
          <cell r="D161" t="str">
            <v>PL-3</v>
          </cell>
          <cell r="E161" t="str">
            <v>Piso 10</v>
          </cell>
          <cell r="F161">
            <v>5.7077</v>
          </cell>
          <cell r="G161">
            <v>39.652000000000001</v>
          </cell>
          <cell r="H161">
            <v>32</v>
          </cell>
          <cell r="I161">
            <v>0.75</v>
          </cell>
          <cell r="J161">
            <v>8</v>
          </cell>
          <cell r="K161">
            <v>0.625</v>
          </cell>
          <cell r="L161">
            <v>142</v>
          </cell>
          <cell r="M161">
            <v>0.375</v>
          </cell>
          <cell r="N161">
            <v>0.22500000000000001</v>
          </cell>
          <cell r="O161">
            <v>59.08</v>
          </cell>
          <cell r="P161">
            <v>0.375</v>
          </cell>
        </row>
        <row r="162">
          <cell r="C162" t="str">
            <v>Piso 11 - PL-3</v>
          </cell>
          <cell r="D162" t="str">
            <v>PL-3</v>
          </cell>
          <cell r="E162" t="str">
            <v>Piso 11</v>
          </cell>
          <cell r="F162">
            <v>5.7077</v>
          </cell>
          <cell r="G162">
            <v>39.652000000000001</v>
          </cell>
          <cell r="H162">
            <v>32</v>
          </cell>
          <cell r="I162">
            <v>0.75</v>
          </cell>
          <cell r="J162">
            <v>8</v>
          </cell>
          <cell r="K162">
            <v>0.625</v>
          </cell>
          <cell r="L162">
            <v>142</v>
          </cell>
          <cell r="M162">
            <v>0.375</v>
          </cell>
          <cell r="N162">
            <v>0.22500000000000001</v>
          </cell>
          <cell r="O162">
            <v>59.08</v>
          </cell>
          <cell r="P162">
            <v>0.375</v>
          </cell>
        </row>
        <row r="163">
          <cell r="C163" t="str">
            <v>Piso 12 - PL-3</v>
          </cell>
          <cell r="D163" t="str">
            <v>PL-3</v>
          </cell>
          <cell r="E163" t="str">
            <v>Piso 12</v>
          </cell>
          <cell r="F163">
            <v>5.7077</v>
          </cell>
          <cell r="G163">
            <v>39.652000000000001</v>
          </cell>
          <cell r="H163">
            <v>32</v>
          </cell>
          <cell r="I163">
            <v>0.75</v>
          </cell>
          <cell r="J163">
            <v>8</v>
          </cell>
          <cell r="K163">
            <v>0.625</v>
          </cell>
          <cell r="L163">
            <v>142</v>
          </cell>
          <cell r="M163">
            <v>0.375</v>
          </cell>
          <cell r="N163">
            <v>0.22500000000000001</v>
          </cell>
          <cell r="O163">
            <v>59.08</v>
          </cell>
          <cell r="P163">
            <v>0.375</v>
          </cell>
        </row>
        <row r="164">
          <cell r="C164" t="str">
            <v>Sot 4 - PL-4</v>
          </cell>
          <cell r="D164" t="str">
            <v>PL-4</v>
          </cell>
          <cell r="E164" t="str">
            <v>Sot 4</v>
          </cell>
          <cell r="F164">
            <v>1.53</v>
          </cell>
          <cell r="G164">
            <v>10.8</v>
          </cell>
          <cell r="H164">
            <v>12</v>
          </cell>
          <cell r="I164">
            <v>0.625</v>
          </cell>
          <cell r="J164">
            <v>92</v>
          </cell>
          <cell r="K164">
            <v>0.375</v>
          </cell>
          <cell r="N164">
            <v>0.2</v>
          </cell>
          <cell r="O164">
            <v>13.4</v>
          </cell>
          <cell r="P164">
            <v>0.375</v>
          </cell>
        </row>
        <row r="165">
          <cell r="C165" t="str">
            <v>Sot 3 - PL-4</v>
          </cell>
          <cell r="D165" t="str">
            <v>PL-4</v>
          </cell>
          <cell r="E165" t="str">
            <v>Sot 3</v>
          </cell>
          <cell r="F165">
            <v>1.53</v>
          </cell>
          <cell r="G165">
            <v>10.8</v>
          </cell>
          <cell r="H165">
            <v>12</v>
          </cell>
          <cell r="I165">
            <v>0.625</v>
          </cell>
          <cell r="J165">
            <v>46</v>
          </cell>
          <cell r="K165">
            <v>0.375</v>
          </cell>
          <cell r="N165">
            <v>0.2</v>
          </cell>
          <cell r="O165">
            <v>13.4</v>
          </cell>
          <cell r="P165">
            <v>0.375</v>
          </cell>
        </row>
        <row r="166">
          <cell r="C166" t="str">
            <v>Sot 2 - PL-4</v>
          </cell>
          <cell r="D166" t="str">
            <v>PL-4</v>
          </cell>
          <cell r="E166" t="str">
            <v>Sot 2</v>
          </cell>
          <cell r="F166">
            <v>1.53</v>
          </cell>
          <cell r="G166">
            <v>10.8</v>
          </cell>
          <cell r="H166">
            <v>12</v>
          </cell>
          <cell r="I166">
            <v>0.625</v>
          </cell>
          <cell r="J166">
            <v>46</v>
          </cell>
          <cell r="K166">
            <v>0.375</v>
          </cell>
          <cell r="N166">
            <v>0.2</v>
          </cell>
          <cell r="O166">
            <v>13.4</v>
          </cell>
          <cell r="P166">
            <v>0.375</v>
          </cell>
        </row>
        <row r="167">
          <cell r="C167" t="str">
            <v>Sot 1 - PL-4</v>
          </cell>
          <cell r="D167" t="str">
            <v>PL-4</v>
          </cell>
          <cell r="E167" t="str">
            <v>Sot 1</v>
          </cell>
          <cell r="F167">
            <v>1.53</v>
          </cell>
          <cell r="G167">
            <v>10.8</v>
          </cell>
          <cell r="H167">
            <v>12</v>
          </cell>
          <cell r="I167">
            <v>0.625</v>
          </cell>
          <cell r="J167">
            <v>46</v>
          </cell>
          <cell r="K167">
            <v>0.375</v>
          </cell>
          <cell r="N167">
            <v>0.2</v>
          </cell>
          <cell r="O167">
            <v>13.4</v>
          </cell>
          <cell r="P167">
            <v>0.375</v>
          </cell>
        </row>
        <row r="168">
          <cell r="C168" t="str">
            <v>Piso 1 - PL-4</v>
          </cell>
          <cell r="D168" t="str">
            <v>PL-4</v>
          </cell>
          <cell r="E168" t="str">
            <v>Piso 1</v>
          </cell>
          <cell r="F168">
            <v>1.53</v>
          </cell>
          <cell r="G168">
            <v>10.8</v>
          </cell>
          <cell r="H168">
            <v>12</v>
          </cell>
          <cell r="I168">
            <v>0.625</v>
          </cell>
          <cell r="J168">
            <v>52</v>
          </cell>
          <cell r="K168">
            <v>0.375</v>
          </cell>
          <cell r="N168">
            <v>0.17499999999999999</v>
          </cell>
          <cell r="O168">
            <v>13.4</v>
          </cell>
          <cell r="P168">
            <v>0.375</v>
          </cell>
        </row>
        <row r="169">
          <cell r="C169" t="str">
            <v>Piso 2 - PL-4</v>
          </cell>
          <cell r="D169" t="str">
            <v>PL-4</v>
          </cell>
          <cell r="E169" t="str">
            <v>Piso 2</v>
          </cell>
          <cell r="F169">
            <v>1.53</v>
          </cell>
          <cell r="G169">
            <v>10.8</v>
          </cell>
          <cell r="H169">
            <v>12</v>
          </cell>
          <cell r="I169">
            <v>0.625</v>
          </cell>
          <cell r="J169">
            <v>52</v>
          </cell>
          <cell r="K169">
            <v>0.375</v>
          </cell>
          <cell r="N169">
            <v>0.17499999999999999</v>
          </cell>
          <cell r="O169">
            <v>13.4</v>
          </cell>
          <cell r="P169">
            <v>0.375</v>
          </cell>
        </row>
        <row r="170">
          <cell r="C170" t="str">
            <v>Piso 3 - PL-4</v>
          </cell>
          <cell r="D170" t="str">
            <v>PL-4</v>
          </cell>
          <cell r="E170" t="str">
            <v>Piso 3</v>
          </cell>
          <cell r="F170">
            <v>1.53</v>
          </cell>
          <cell r="G170">
            <v>10.8</v>
          </cell>
          <cell r="H170">
            <v>12</v>
          </cell>
          <cell r="I170">
            <v>0.625</v>
          </cell>
          <cell r="J170">
            <v>52</v>
          </cell>
          <cell r="K170">
            <v>0.375</v>
          </cell>
          <cell r="N170">
            <v>0.17499999999999999</v>
          </cell>
          <cell r="O170">
            <v>13.4</v>
          </cell>
          <cell r="P170">
            <v>0.375</v>
          </cell>
        </row>
        <row r="171">
          <cell r="C171" t="str">
            <v>Piso 4 - PL-4</v>
          </cell>
          <cell r="D171" t="str">
            <v>PL-4</v>
          </cell>
          <cell r="E171" t="str">
            <v>Piso 4</v>
          </cell>
          <cell r="F171">
            <v>1.53</v>
          </cell>
          <cell r="G171">
            <v>10.8</v>
          </cell>
          <cell r="H171">
            <v>12</v>
          </cell>
          <cell r="I171">
            <v>0.625</v>
          </cell>
          <cell r="J171">
            <v>52</v>
          </cell>
          <cell r="K171">
            <v>0.375</v>
          </cell>
          <cell r="N171">
            <v>0.17499999999999999</v>
          </cell>
          <cell r="O171">
            <v>13.4</v>
          </cell>
          <cell r="P171">
            <v>0.375</v>
          </cell>
        </row>
        <row r="172">
          <cell r="C172" t="str">
            <v>Piso 5 - PL-4</v>
          </cell>
          <cell r="D172" t="str">
            <v>PL-4</v>
          </cell>
          <cell r="E172" t="str">
            <v>Piso 5</v>
          </cell>
          <cell r="F172">
            <v>1.53</v>
          </cell>
          <cell r="G172">
            <v>10.8</v>
          </cell>
          <cell r="H172">
            <v>8</v>
          </cell>
          <cell r="I172">
            <v>0.625</v>
          </cell>
          <cell r="J172">
            <v>40</v>
          </cell>
          <cell r="K172">
            <v>0.375</v>
          </cell>
          <cell r="N172">
            <v>0.22500000000000001</v>
          </cell>
          <cell r="O172">
            <v>13.4</v>
          </cell>
          <cell r="P172">
            <v>0.375</v>
          </cell>
        </row>
        <row r="173">
          <cell r="C173" t="str">
            <v>Piso 6 - PL-4</v>
          </cell>
          <cell r="D173" t="str">
            <v>PL-4</v>
          </cell>
          <cell r="E173" t="str">
            <v>Piso 6</v>
          </cell>
          <cell r="F173">
            <v>1.53</v>
          </cell>
          <cell r="G173">
            <v>10.8</v>
          </cell>
          <cell r="H173">
            <v>8</v>
          </cell>
          <cell r="I173">
            <v>0.625</v>
          </cell>
          <cell r="J173">
            <v>40</v>
          </cell>
          <cell r="K173">
            <v>0.375</v>
          </cell>
          <cell r="N173">
            <v>0.22500000000000001</v>
          </cell>
          <cell r="O173">
            <v>13.4</v>
          </cell>
          <cell r="P173">
            <v>0.375</v>
          </cell>
        </row>
        <row r="174">
          <cell r="C174" t="str">
            <v>Piso 7 - PL-4</v>
          </cell>
          <cell r="D174" t="str">
            <v>PL-4</v>
          </cell>
          <cell r="E174" t="str">
            <v>Piso 7</v>
          </cell>
          <cell r="F174">
            <v>1.2749999999999999</v>
          </cell>
          <cell r="G174">
            <v>10.7</v>
          </cell>
          <cell r="H174">
            <v>8</v>
          </cell>
          <cell r="I174">
            <v>0.625</v>
          </cell>
          <cell r="J174">
            <v>40</v>
          </cell>
          <cell r="K174">
            <v>0.375</v>
          </cell>
          <cell r="N174">
            <v>0.22500000000000001</v>
          </cell>
          <cell r="O174">
            <v>13</v>
          </cell>
          <cell r="P174">
            <v>0.375</v>
          </cell>
        </row>
        <row r="175">
          <cell r="C175" t="str">
            <v>Piso 8 - PL-4</v>
          </cell>
          <cell r="D175" t="str">
            <v>PL-4</v>
          </cell>
          <cell r="E175" t="str">
            <v>Piso 8</v>
          </cell>
          <cell r="F175">
            <v>1.2749999999999999</v>
          </cell>
          <cell r="G175">
            <v>10.7</v>
          </cell>
          <cell r="H175">
            <v>8</v>
          </cell>
          <cell r="I175">
            <v>0.625</v>
          </cell>
          <cell r="J175">
            <v>40</v>
          </cell>
          <cell r="K175">
            <v>0.375</v>
          </cell>
          <cell r="N175">
            <v>0.22500000000000001</v>
          </cell>
          <cell r="O175">
            <v>13</v>
          </cell>
          <cell r="P175">
            <v>0.375</v>
          </cell>
        </row>
        <row r="176">
          <cell r="C176" t="str">
            <v>Piso 9 - PL-4</v>
          </cell>
          <cell r="D176" t="str">
            <v>PL-4</v>
          </cell>
          <cell r="E176" t="str">
            <v>Piso 9</v>
          </cell>
          <cell r="F176">
            <v>1.2749999999999999</v>
          </cell>
          <cell r="G176">
            <v>10.7</v>
          </cell>
          <cell r="H176">
            <v>8</v>
          </cell>
          <cell r="I176">
            <v>0.5</v>
          </cell>
          <cell r="J176">
            <v>32</v>
          </cell>
          <cell r="K176">
            <v>0.375</v>
          </cell>
          <cell r="N176">
            <v>0.27500000000000002</v>
          </cell>
          <cell r="O176">
            <v>13</v>
          </cell>
          <cell r="P176">
            <v>0.375</v>
          </cell>
        </row>
        <row r="177">
          <cell r="C177" t="str">
            <v>Piso 10 - PL-4</v>
          </cell>
          <cell r="D177" t="str">
            <v>PL-4</v>
          </cell>
          <cell r="E177" t="str">
            <v>Piso 10</v>
          </cell>
          <cell r="F177">
            <v>1.2749999999999999</v>
          </cell>
          <cell r="G177">
            <v>10.7</v>
          </cell>
          <cell r="H177">
            <v>8</v>
          </cell>
          <cell r="I177">
            <v>0.5</v>
          </cell>
          <cell r="J177">
            <v>32</v>
          </cell>
          <cell r="K177">
            <v>0.375</v>
          </cell>
          <cell r="N177">
            <v>0.27500000000000002</v>
          </cell>
          <cell r="O177">
            <v>13</v>
          </cell>
          <cell r="P177">
            <v>0.375</v>
          </cell>
        </row>
        <row r="178">
          <cell r="C178" t="str">
            <v>Piso 11 - PL-4</v>
          </cell>
          <cell r="D178" t="str">
            <v>PL-4</v>
          </cell>
          <cell r="E178" t="str">
            <v>Piso 11</v>
          </cell>
          <cell r="F178">
            <v>1.2749999999999999</v>
          </cell>
          <cell r="G178">
            <v>10.7</v>
          </cell>
          <cell r="H178">
            <v>8</v>
          </cell>
          <cell r="I178">
            <v>0.5</v>
          </cell>
          <cell r="J178">
            <v>32</v>
          </cell>
          <cell r="K178">
            <v>0.375</v>
          </cell>
          <cell r="N178">
            <v>0.27500000000000002</v>
          </cell>
          <cell r="O178">
            <v>13</v>
          </cell>
          <cell r="P178">
            <v>0.375</v>
          </cell>
        </row>
        <row r="179">
          <cell r="C179" t="str">
            <v>Piso 12 - PL-4</v>
          </cell>
          <cell r="D179" t="str">
            <v>PL-4</v>
          </cell>
          <cell r="E179" t="str">
            <v>Piso 12</v>
          </cell>
          <cell r="F179">
            <v>1.2749999999999999</v>
          </cell>
          <cell r="G179">
            <v>10.7</v>
          </cell>
          <cell r="H179">
            <v>8</v>
          </cell>
          <cell r="I179">
            <v>0.5</v>
          </cell>
          <cell r="J179">
            <v>32</v>
          </cell>
          <cell r="K179">
            <v>0.375</v>
          </cell>
          <cell r="N179">
            <v>0.27500000000000002</v>
          </cell>
          <cell r="O179">
            <v>13</v>
          </cell>
          <cell r="P179">
            <v>0.375</v>
          </cell>
        </row>
        <row r="180">
          <cell r="C180" t="str">
            <v>Sot 4 - PL-5</v>
          </cell>
          <cell r="D180" t="str">
            <v>PL-5</v>
          </cell>
          <cell r="E180" t="str">
            <v>Sot 4</v>
          </cell>
          <cell r="F180">
            <v>1.59</v>
          </cell>
          <cell r="G180">
            <v>11.2</v>
          </cell>
          <cell r="H180">
            <v>8</v>
          </cell>
          <cell r="I180">
            <v>0.625</v>
          </cell>
          <cell r="J180">
            <v>96</v>
          </cell>
          <cell r="K180">
            <v>0.375</v>
          </cell>
          <cell r="N180">
            <v>0.2</v>
          </cell>
          <cell r="O180">
            <v>13.8</v>
          </cell>
          <cell r="P180">
            <v>0.375</v>
          </cell>
        </row>
        <row r="181">
          <cell r="C181" t="str">
            <v>Sot 3 - PL-5</v>
          </cell>
          <cell r="D181" t="str">
            <v>PL-5</v>
          </cell>
          <cell r="E181" t="str">
            <v>Sot 3</v>
          </cell>
          <cell r="F181">
            <v>1.59</v>
          </cell>
          <cell r="G181">
            <v>11.2</v>
          </cell>
          <cell r="H181">
            <v>8</v>
          </cell>
          <cell r="I181">
            <v>0.625</v>
          </cell>
          <cell r="J181">
            <v>48</v>
          </cell>
          <cell r="K181">
            <v>0.375</v>
          </cell>
          <cell r="N181">
            <v>0.2</v>
          </cell>
          <cell r="O181">
            <v>13.8</v>
          </cell>
          <cell r="P181">
            <v>0.375</v>
          </cell>
        </row>
        <row r="182">
          <cell r="C182" t="str">
            <v>Sot 2 - PL-5</v>
          </cell>
          <cell r="D182" t="str">
            <v>PL-5</v>
          </cell>
          <cell r="E182" t="str">
            <v>Sot 2</v>
          </cell>
          <cell r="F182">
            <v>1.59</v>
          </cell>
          <cell r="G182">
            <v>11.2</v>
          </cell>
          <cell r="H182">
            <v>8</v>
          </cell>
          <cell r="I182">
            <v>0.625</v>
          </cell>
          <cell r="J182">
            <v>48</v>
          </cell>
          <cell r="K182">
            <v>0.375</v>
          </cell>
          <cell r="N182">
            <v>0.2</v>
          </cell>
          <cell r="O182">
            <v>13.8</v>
          </cell>
          <cell r="P182">
            <v>0.375</v>
          </cell>
        </row>
        <row r="183">
          <cell r="C183" t="str">
            <v>Sot 1 - PL-5</v>
          </cell>
          <cell r="D183" t="str">
            <v>PL-5</v>
          </cell>
          <cell r="E183" t="str">
            <v>Sot 1</v>
          </cell>
          <cell r="F183">
            <v>1.59</v>
          </cell>
          <cell r="G183">
            <v>11.2</v>
          </cell>
          <cell r="H183">
            <v>8</v>
          </cell>
          <cell r="I183">
            <v>0.625</v>
          </cell>
          <cell r="J183">
            <v>48</v>
          </cell>
          <cell r="K183">
            <v>0.375</v>
          </cell>
          <cell r="N183">
            <v>0.2</v>
          </cell>
          <cell r="O183">
            <v>13.8</v>
          </cell>
          <cell r="P183">
            <v>0.375</v>
          </cell>
        </row>
        <row r="184">
          <cell r="C184" t="str">
            <v>Piso 1 - PL-5</v>
          </cell>
          <cell r="D184" t="str">
            <v>PL-5</v>
          </cell>
          <cell r="E184" t="str">
            <v>Piso 1</v>
          </cell>
          <cell r="F184">
            <v>1.59</v>
          </cell>
          <cell r="G184">
            <v>11.2</v>
          </cell>
          <cell r="H184">
            <v>8</v>
          </cell>
          <cell r="I184">
            <v>0.625</v>
          </cell>
          <cell r="J184">
            <v>54</v>
          </cell>
          <cell r="K184">
            <v>0.375</v>
          </cell>
          <cell r="N184">
            <v>0.17499999999999999</v>
          </cell>
          <cell r="O184">
            <v>13.8</v>
          </cell>
          <cell r="P184">
            <v>0.375</v>
          </cell>
        </row>
        <row r="185">
          <cell r="C185" t="str">
            <v>Piso 2 - PL-5</v>
          </cell>
          <cell r="D185" t="str">
            <v>PL-5</v>
          </cell>
          <cell r="E185" t="str">
            <v>Piso 2</v>
          </cell>
          <cell r="F185">
            <v>1.59</v>
          </cell>
          <cell r="G185">
            <v>11.2</v>
          </cell>
          <cell r="H185">
            <v>8</v>
          </cell>
          <cell r="I185">
            <v>0.625</v>
          </cell>
          <cell r="J185">
            <v>54</v>
          </cell>
          <cell r="K185">
            <v>0.375</v>
          </cell>
          <cell r="N185">
            <v>0.17499999999999999</v>
          </cell>
          <cell r="O185">
            <v>13.8</v>
          </cell>
          <cell r="P185">
            <v>0.375</v>
          </cell>
        </row>
        <row r="186">
          <cell r="C186" t="str">
            <v>Piso 3 - PL-5</v>
          </cell>
          <cell r="D186" t="str">
            <v>PL-5</v>
          </cell>
          <cell r="E186" t="str">
            <v>Piso 3</v>
          </cell>
          <cell r="F186">
            <v>1.59</v>
          </cell>
          <cell r="G186">
            <v>11.2</v>
          </cell>
          <cell r="H186">
            <v>8</v>
          </cell>
          <cell r="I186">
            <v>0.625</v>
          </cell>
          <cell r="J186">
            <v>54</v>
          </cell>
          <cell r="K186">
            <v>0.375</v>
          </cell>
          <cell r="N186">
            <v>0.17499999999999999</v>
          </cell>
          <cell r="O186">
            <v>13.8</v>
          </cell>
          <cell r="P186">
            <v>0.375</v>
          </cell>
        </row>
        <row r="187">
          <cell r="C187" t="str">
            <v>Piso 4 - PL-5</v>
          </cell>
          <cell r="D187" t="str">
            <v>PL-5</v>
          </cell>
          <cell r="E187" t="str">
            <v>Piso 4</v>
          </cell>
          <cell r="F187">
            <v>1.59</v>
          </cell>
          <cell r="G187">
            <v>11.2</v>
          </cell>
          <cell r="H187">
            <v>8</v>
          </cell>
          <cell r="I187">
            <v>0.625</v>
          </cell>
          <cell r="J187">
            <v>54</v>
          </cell>
          <cell r="K187">
            <v>0.375</v>
          </cell>
          <cell r="N187">
            <v>0.17499999999999999</v>
          </cell>
          <cell r="O187">
            <v>13.8</v>
          </cell>
          <cell r="P187">
            <v>0.375</v>
          </cell>
        </row>
        <row r="188">
          <cell r="C188" t="str">
            <v>Piso 5 - PL-5</v>
          </cell>
          <cell r="D188" t="str">
            <v>PL-5</v>
          </cell>
          <cell r="E188" t="str">
            <v>Piso 5</v>
          </cell>
          <cell r="F188">
            <v>1.59</v>
          </cell>
          <cell r="G188">
            <v>11.2</v>
          </cell>
          <cell r="H188">
            <v>8</v>
          </cell>
          <cell r="I188">
            <v>0.625</v>
          </cell>
          <cell r="J188">
            <v>54</v>
          </cell>
          <cell r="K188">
            <v>0.375</v>
          </cell>
          <cell r="N188">
            <v>0.17499999999999999</v>
          </cell>
          <cell r="O188">
            <v>13.8</v>
          </cell>
          <cell r="P188">
            <v>0.375</v>
          </cell>
        </row>
        <row r="189">
          <cell r="C189" t="str">
            <v>Piso 6 - PL-5</v>
          </cell>
          <cell r="D189" t="str">
            <v>PL-5</v>
          </cell>
          <cell r="E189" t="str">
            <v>Piso 6</v>
          </cell>
          <cell r="F189">
            <v>1.59</v>
          </cell>
          <cell r="G189">
            <v>11.2</v>
          </cell>
          <cell r="H189">
            <v>8</v>
          </cell>
          <cell r="I189">
            <v>0.625</v>
          </cell>
          <cell r="J189">
            <v>54</v>
          </cell>
          <cell r="K189">
            <v>0.375</v>
          </cell>
          <cell r="N189">
            <v>0.17499999999999999</v>
          </cell>
          <cell r="O189">
            <v>13.8</v>
          </cell>
          <cell r="P189">
            <v>0.375</v>
          </cell>
        </row>
        <row r="190">
          <cell r="C190" t="str">
            <v>Piso 7 - PL-5</v>
          </cell>
          <cell r="D190" t="str">
            <v>PL-5</v>
          </cell>
          <cell r="E190" t="str">
            <v>Piso 7</v>
          </cell>
          <cell r="F190">
            <v>1.325</v>
          </cell>
          <cell r="G190">
            <v>11.1</v>
          </cell>
          <cell r="H190">
            <v>8</v>
          </cell>
          <cell r="I190">
            <v>0.625</v>
          </cell>
          <cell r="J190">
            <v>54</v>
          </cell>
          <cell r="K190">
            <v>0.375</v>
          </cell>
          <cell r="N190">
            <v>0.17499999999999999</v>
          </cell>
          <cell r="O190">
            <v>13.4</v>
          </cell>
          <cell r="P190">
            <v>0.375</v>
          </cell>
        </row>
        <row r="191">
          <cell r="C191" t="str">
            <v>Piso 8 - PL-5</v>
          </cell>
          <cell r="D191" t="str">
            <v>PL-5</v>
          </cell>
          <cell r="E191" t="str">
            <v>Piso 8</v>
          </cell>
          <cell r="F191">
            <v>1.325</v>
          </cell>
          <cell r="G191">
            <v>11.1</v>
          </cell>
          <cell r="H191">
            <v>8</v>
          </cell>
          <cell r="I191">
            <v>0.625</v>
          </cell>
          <cell r="J191">
            <v>54</v>
          </cell>
          <cell r="K191">
            <v>0.375</v>
          </cell>
          <cell r="N191">
            <v>0.17499999999999999</v>
          </cell>
          <cell r="O191">
            <v>13.4</v>
          </cell>
          <cell r="P191">
            <v>0.375</v>
          </cell>
        </row>
        <row r="192">
          <cell r="C192" t="str">
            <v>Piso 9 - PL-5</v>
          </cell>
          <cell r="D192" t="str">
            <v>PL-5</v>
          </cell>
          <cell r="E192" t="str">
            <v>Piso 9</v>
          </cell>
          <cell r="F192">
            <v>1.325</v>
          </cell>
          <cell r="G192">
            <v>11.1</v>
          </cell>
          <cell r="H192">
            <v>8</v>
          </cell>
          <cell r="I192">
            <v>0.5</v>
          </cell>
          <cell r="J192">
            <v>26</v>
          </cell>
          <cell r="K192">
            <v>0.375</v>
          </cell>
          <cell r="N192">
            <v>0.35</v>
          </cell>
          <cell r="O192">
            <v>13.4</v>
          </cell>
          <cell r="P192">
            <v>0.375</v>
          </cell>
        </row>
        <row r="193">
          <cell r="C193" t="str">
            <v>Piso 10 - PL-5</v>
          </cell>
          <cell r="D193" t="str">
            <v>PL-5</v>
          </cell>
          <cell r="E193" t="str">
            <v>Piso 10</v>
          </cell>
          <cell r="F193">
            <v>1.325</v>
          </cell>
          <cell r="G193">
            <v>11.1</v>
          </cell>
          <cell r="H193">
            <v>8</v>
          </cell>
          <cell r="I193">
            <v>0.5</v>
          </cell>
          <cell r="J193">
            <v>26</v>
          </cell>
          <cell r="K193">
            <v>0.375</v>
          </cell>
          <cell r="N193">
            <v>0.35</v>
          </cell>
          <cell r="O193">
            <v>13.4</v>
          </cell>
          <cell r="P193">
            <v>0.375</v>
          </cell>
        </row>
        <row r="194">
          <cell r="C194" t="str">
            <v>Piso 11 - PL-5</v>
          </cell>
          <cell r="D194" t="str">
            <v>PL-5</v>
          </cell>
          <cell r="E194" t="str">
            <v>Piso 11</v>
          </cell>
          <cell r="F194">
            <v>1.325</v>
          </cell>
          <cell r="G194">
            <v>11.1</v>
          </cell>
          <cell r="H194">
            <v>8</v>
          </cell>
          <cell r="I194">
            <v>0.5</v>
          </cell>
          <cell r="J194">
            <v>26</v>
          </cell>
          <cell r="K194">
            <v>0.375</v>
          </cell>
          <cell r="N194">
            <v>0.35</v>
          </cell>
          <cell r="O194">
            <v>13.4</v>
          </cell>
          <cell r="P194">
            <v>0.375</v>
          </cell>
        </row>
        <row r="195">
          <cell r="C195" t="str">
            <v>Piso 12 - PL-5</v>
          </cell>
          <cell r="D195" t="str">
            <v>PL-5</v>
          </cell>
          <cell r="E195" t="str">
            <v>Piso 12</v>
          </cell>
          <cell r="F195">
            <v>1.325</v>
          </cell>
          <cell r="G195">
            <v>11.1</v>
          </cell>
          <cell r="H195">
            <v>8</v>
          </cell>
          <cell r="I195">
            <v>0.5</v>
          </cell>
          <cell r="J195">
            <v>26</v>
          </cell>
          <cell r="K195">
            <v>0.375</v>
          </cell>
          <cell r="N195">
            <v>0.35</v>
          </cell>
          <cell r="O195">
            <v>13.4</v>
          </cell>
          <cell r="P195">
            <v>0.375</v>
          </cell>
        </row>
        <row r="196">
          <cell r="C196" t="str">
            <v>Sot 4 - PL-6</v>
          </cell>
          <cell r="D196" t="str">
            <v>PL-6</v>
          </cell>
          <cell r="E196" t="str">
            <v>Sot 4</v>
          </cell>
          <cell r="F196">
            <v>0.68989999999999996</v>
          </cell>
          <cell r="G196">
            <v>5.1993</v>
          </cell>
          <cell r="H196">
            <v>8</v>
          </cell>
          <cell r="I196">
            <v>0.625</v>
          </cell>
          <cell r="J196">
            <v>36</v>
          </cell>
          <cell r="K196">
            <v>0.375</v>
          </cell>
          <cell r="N196">
            <v>0.2</v>
          </cell>
          <cell r="O196">
            <v>7.8</v>
          </cell>
          <cell r="P196">
            <v>0.375</v>
          </cell>
        </row>
        <row r="197">
          <cell r="C197" t="str">
            <v>Sot 3 - PL-6</v>
          </cell>
          <cell r="D197" t="str">
            <v>PL-6</v>
          </cell>
          <cell r="E197" t="str">
            <v>Sot 3</v>
          </cell>
          <cell r="F197">
            <v>0.68989999999999996</v>
          </cell>
          <cell r="G197">
            <v>5.1993</v>
          </cell>
          <cell r="H197">
            <v>8</v>
          </cell>
          <cell r="I197">
            <v>0.625</v>
          </cell>
          <cell r="J197">
            <v>18</v>
          </cell>
          <cell r="K197">
            <v>0.375</v>
          </cell>
          <cell r="N197">
            <v>0.2</v>
          </cell>
          <cell r="O197">
            <v>7.8</v>
          </cell>
          <cell r="P197">
            <v>0.375</v>
          </cell>
        </row>
        <row r="198">
          <cell r="C198" t="str">
            <v>Sot 2 - PL-6</v>
          </cell>
          <cell r="D198" t="str">
            <v>PL-6</v>
          </cell>
          <cell r="E198" t="str">
            <v>Sot 2</v>
          </cell>
          <cell r="F198">
            <v>0.68989999999999996</v>
          </cell>
          <cell r="G198">
            <v>5.1993</v>
          </cell>
          <cell r="H198">
            <v>8</v>
          </cell>
          <cell r="I198">
            <v>0.625</v>
          </cell>
          <cell r="J198">
            <v>18</v>
          </cell>
          <cell r="K198">
            <v>0.375</v>
          </cell>
          <cell r="N198">
            <v>0.2</v>
          </cell>
          <cell r="O198">
            <v>7.8</v>
          </cell>
          <cell r="P198">
            <v>0.375</v>
          </cell>
        </row>
        <row r="199">
          <cell r="C199" t="str">
            <v>Sot 1 - PL-6</v>
          </cell>
          <cell r="D199" t="str">
            <v>PL-6</v>
          </cell>
          <cell r="E199" t="str">
            <v>Sot 1</v>
          </cell>
          <cell r="F199">
            <v>0.68989999999999996</v>
          </cell>
          <cell r="G199">
            <v>5.1993</v>
          </cell>
          <cell r="H199">
            <v>8</v>
          </cell>
          <cell r="I199">
            <v>0.625</v>
          </cell>
          <cell r="J199">
            <v>18</v>
          </cell>
          <cell r="K199">
            <v>0.375</v>
          </cell>
          <cell r="N199">
            <v>0.2</v>
          </cell>
          <cell r="O199">
            <v>7.8</v>
          </cell>
          <cell r="P199">
            <v>0.375</v>
          </cell>
        </row>
        <row r="200">
          <cell r="C200" t="str">
            <v>Piso 1 - PL-6</v>
          </cell>
          <cell r="D200" t="str">
            <v>PL-6</v>
          </cell>
          <cell r="E200" t="str">
            <v>Piso 1</v>
          </cell>
          <cell r="F200">
            <v>0.68989999999999996</v>
          </cell>
          <cell r="G200">
            <v>5.1993</v>
          </cell>
          <cell r="H200">
            <v>8</v>
          </cell>
          <cell r="I200">
            <v>0.625</v>
          </cell>
          <cell r="J200">
            <v>20</v>
          </cell>
          <cell r="K200">
            <v>0.375</v>
          </cell>
          <cell r="N200">
            <v>0.17499999999999999</v>
          </cell>
          <cell r="O200">
            <v>7.8</v>
          </cell>
          <cell r="P200">
            <v>0.375</v>
          </cell>
        </row>
        <row r="201">
          <cell r="C201" t="str">
            <v>Piso 2 - PL-6</v>
          </cell>
          <cell r="D201" t="str">
            <v>PL-6</v>
          </cell>
          <cell r="E201" t="str">
            <v>Piso 2</v>
          </cell>
          <cell r="F201">
            <v>0.68989999999999996</v>
          </cell>
          <cell r="G201">
            <v>5.1993</v>
          </cell>
          <cell r="H201">
            <v>8</v>
          </cell>
          <cell r="I201">
            <v>0.625</v>
          </cell>
          <cell r="J201">
            <v>20</v>
          </cell>
          <cell r="K201">
            <v>0.375</v>
          </cell>
          <cell r="N201">
            <v>0.17499999999999999</v>
          </cell>
          <cell r="O201">
            <v>7.8</v>
          </cell>
          <cell r="P201">
            <v>0.375</v>
          </cell>
        </row>
        <row r="202">
          <cell r="C202" t="str">
            <v>Piso 3 - PL-6</v>
          </cell>
          <cell r="D202" t="str">
            <v>PL-6</v>
          </cell>
          <cell r="E202" t="str">
            <v>Piso 3</v>
          </cell>
          <cell r="F202">
            <v>0.68989999999999996</v>
          </cell>
          <cell r="G202">
            <v>5.1993</v>
          </cell>
          <cell r="H202">
            <v>8</v>
          </cell>
          <cell r="I202">
            <v>0.625</v>
          </cell>
          <cell r="J202">
            <v>20</v>
          </cell>
          <cell r="K202">
            <v>0.375</v>
          </cell>
          <cell r="N202">
            <v>0.17499999999999999</v>
          </cell>
          <cell r="O202">
            <v>7.8</v>
          </cell>
          <cell r="P202">
            <v>0.375</v>
          </cell>
        </row>
        <row r="203">
          <cell r="C203" t="str">
            <v>Piso 4 - PL-6</v>
          </cell>
          <cell r="D203" t="str">
            <v>PL-6</v>
          </cell>
          <cell r="E203" t="str">
            <v>Piso 4</v>
          </cell>
          <cell r="F203">
            <v>0.68989999999999996</v>
          </cell>
          <cell r="G203">
            <v>5.1993</v>
          </cell>
          <cell r="H203">
            <v>8</v>
          </cell>
          <cell r="I203">
            <v>0.625</v>
          </cell>
          <cell r="J203">
            <v>20</v>
          </cell>
          <cell r="K203">
            <v>0.375</v>
          </cell>
          <cell r="N203">
            <v>0.17499999999999999</v>
          </cell>
          <cell r="O203">
            <v>7.8</v>
          </cell>
          <cell r="P203">
            <v>0.375</v>
          </cell>
        </row>
        <row r="204">
          <cell r="C204" t="str">
            <v>Piso 5 - PL-6</v>
          </cell>
          <cell r="D204" t="str">
            <v>PL-6</v>
          </cell>
          <cell r="E204" t="str">
            <v>Piso 5</v>
          </cell>
          <cell r="F204">
            <v>0.68989999999999996</v>
          </cell>
          <cell r="G204">
            <v>5.1993</v>
          </cell>
          <cell r="H204">
            <v>8</v>
          </cell>
          <cell r="I204">
            <v>0.625</v>
          </cell>
          <cell r="J204">
            <v>12</v>
          </cell>
          <cell r="K204">
            <v>0.375</v>
          </cell>
          <cell r="N204">
            <v>0.27500000000000002</v>
          </cell>
          <cell r="O204">
            <v>7.8</v>
          </cell>
          <cell r="P204">
            <v>0.375</v>
          </cell>
        </row>
        <row r="205">
          <cell r="C205" t="str">
            <v>Piso 6 - PL-6</v>
          </cell>
          <cell r="D205" t="str">
            <v>PL-6</v>
          </cell>
          <cell r="E205" t="str">
            <v>Piso 6</v>
          </cell>
          <cell r="F205">
            <v>0.68989999999999996</v>
          </cell>
          <cell r="G205">
            <v>5.1993</v>
          </cell>
          <cell r="H205">
            <v>8</v>
          </cell>
          <cell r="I205">
            <v>0.625</v>
          </cell>
          <cell r="J205">
            <v>12</v>
          </cell>
          <cell r="K205">
            <v>0.375</v>
          </cell>
          <cell r="N205">
            <v>0.27500000000000002</v>
          </cell>
          <cell r="O205">
            <v>7.8</v>
          </cell>
          <cell r="P205">
            <v>0.375</v>
          </cell>
        </row>
        <row r="206">
          <cell r="C206" t="str">
            <v>Piso 7 - PL-6</v>
          </cell>
          <cell r="D206" t="str">
            <v>PL-6</v>
          </cell>
          <cell r="E206" t="str">
            <v>Piso 7</v>
          </cell>
          <cell r="F206">
            <v>0.57489999999999997</v>
          </cell>
          <cell r="G206">
            <v>5.0993000000000004</v>
          </cell>
          <cell r="H206">
            <v>8</v>
          </cell>
          <cell r="I206">
            <v>0.625</v>
          </cell>
          <cell r="J206">
            <v>12</v>
          </cell>
          <cell r="K206">
            <v>0.375</v>
          </cell>
          <cell r="N206">
            <v>0.27500000000000002</v>
          </cell>
          <cell r="O206">
            <v>7.3999999999999995</v>
          </cell>
          <cell r="P206">
            <v>0.375</v>
          </cell>
        </row>
        <row r="207">
          <cell r="C207" t="str">
            <v>Piso 8 - PL-6</v>
          </cell>
          <cell r="D207" t="str">
            <v>PL-6</v>
          </cell>
          <cell r="E207" t="str">
            <v>Piso 8</v>
          </cell>
          <cell r="F207">
            <v>0.57489999999999997</v>
          </cell>
          <cell r="G207">
            <v>5.0993000000000004</v>
          </cell>
          <cell r="H207">
            <v>8</v>
          </cell>
          <cell r="I207">
            <v>0.625</v>
          </cell>
          <cell r="J207">
            <v>12</v>
          </cell>
          <cell r="K207">
            <v>0.375</v>
          </cell>
          <cell r="N207">
            <v>0.27500000000000002</v>
          </cell>
          <cell r="O207">
            <v>7.3999999999999995</v>
          </cell>
          <cell r="P207">
            <v>0.375</v>
          </cell>
        </row>
        <row r="208">
          <cell r="C208" t="str">
            <v>Piso 9 - PL-6</v>
          </cell>
          <cell r="D208" t="str">
            <v>PL-6</v>
          </cell>
          <cell r="E208" t="str">
            <v>Piso 9</v>
          </cell>
          <cell r="F208">
            <v>0.57489999999999997</v>
          </cell>
          <cell r="G208">
            <v>5.0993000000000004</v>
          </cell>
          <cell r="H208">
            <v>8</v>
          </cell>
          <cell r="I208">
            <v>0.5</v>
          </cell>
          <cell r="J208">
            <v>12</v>
          </cell>
          <cell r="K208">
            <v>0.375</v>
          </cell>
          <cell r="N208">
            <v>0.27500000000000002</v>
          </cell>
          <cell r="O208">
            <v>7.3999999999999995</v>
          </cell>
          <cell r="P208">
            <v>0.375</v>
          </cell>
        </row>
        <row r="209">
          <cell r="C209" t="str">
            <v>Piso 10 - PL-6</v>
          </cell>
          <cell r="D209" t="str">
            <v>PL-6</v>
          </cell>
          <cell r="E209" t="str">
            <v>Piso 10</v>
          </cell>
          <cell r="F209">
            <v>0.57489999999999997</v>
          </cell>
          <cell r="G209">
            <v>5.0993000000000004</v>
          </cell>
          <cell r="H209">
            <v>8</v>
          </cell>
          <cell r="I209">
            <v>0.5</v>
          </cell>
          <cell r="J209">
            <v>12</v>
          </cell>
          <cell r="K209">
            <v>0.375</v>
          </cell>
          <cell r="N209">
            <v>0.27500000000000002</v>
          </cell>
          <cell r="O209">
            <v>7.3999999999999995</v>
          </cell>
          <cell r="P209">
            <v>0.375</v>
          </cell>
        </row>
        <row r="210">
          <cell r="C210" t="str">
            <v>Piso 11 - PL-6</v>
          </cell>
          <cell r="D210" t="str">
            <v>PL-6</v>
          </cell>
          <cell r="E210" t="str">
            <v>Piso 11</v>
          </cell>
          <cell r="F210">
            <v>0.57489999999999997</v>
          </cell>
          <cell r="G210">
            <v>5.0993000000000004</v>
          </cell>
          <cell r="H210">
            <v>8</v>
          </cell>
          <cell r="I210">
            <v>0.5</v>
          </cell>
          <cell r="J210">
            <v>12</v>
          </cell>
          <cell r="K210">
            <v>0.375</v>
          </cell>
          <cell r="N210">
            <v>0.27500000000000002</v>
          </cell>
          <cell r="O210">
            <v>7.3999999999999995</v>
          </cell>
          <cell r="P210">
            <v>0.375</v>
          </cell>
        </row>
        <row r="211">
          <cell r="C211" t="str">
            <v>Piso 12 - PL-6</v>
          </cell>
          <cell r="D211" t="str">
            <v>PL-6</v>
          </cell>
          <cell r="E211" t="str">
            <v>Piso 12</v>
          </cell>
          <cell r="F211">
            <v>0.57489999999999997</v>
          </cell>
          <cell r="G211">
            <v>5.0993000000000004</v>
          </cell>
          <cell r="H211">
            <v>8</v>
          </cell>
          <cell r="I211">
            <v>0.5</v>
          </cell>
          <cell r="J211">
            <v>12</v>
          </cell>
          <cell r="K211">
            <v>0.375</v>
          </cell>
          <cell r="N211">
            <v>0.27500000000000002</v>
          </cell>
          <cell r="O211">
            <v>7.3999999999999995</v>
          </cell>
          <cell r="P211">
            <v>0.375</v>
          </cell>
        </row>
        <row r="212">
          <cell r="C212" t="str">
            <v>Sot 4 - PL-7</v>
          </cell>
          <cell r="D212" t="str">
            <v>PL-7</v>
          </cell>
          <cell r="E212" t="str">
            <v>Sot 4</v>
          </cell>
          <cell r="F212">
            <v>1.5</v>
          </cell>
          <cell r="G212">
            <v>10.6</v>
          </cell>
          <cell r="H212">
            <v>16</v>
          </cell>
          <cell r="I212">
            <v>1</v>
          </cell>
          <cell r="J212">
            <v>88</v>
          </cell>
          <cell r="K212">
            <v>0.375</v>
          </cell>
          <cell r="N212">
            <v>0.2</v>
          </cell>
          <cell r="O212">
            <v>13.6</v>
          </cell>
          <cell r="P212">
            <v>0.375</v>
          </cell>
        </row>
        <row r="213">
          <cell r="C213" t="str">
            <v>Sot 3 - PL-7</v>
          </cell>
          <cell r="D213" t="str">
            <v>PL-7</v>
          </cell>
          <cell r="E213" t="str">
            <v>Sot 3</v>
          </cell>
          <cell r="F213">
            <v>1.5</v>
          </cell>
          <cell r="G213">
            <v>10.6</v>
          </cell>
          <cell r="H213">
            <v>16</v>
          </cell>
          <cell r="I213">
            <v>1</v>
          </cell>
          <cell r="J213">
            <v>44</v>
          </cell>
          <cell r="K213">
            <v>0.375</v>
          </cell>
          <cell r="N213">
            <v>0.2</v>
          </cell>
          <cell r="O213">
            <v>13.6</v>
          </cell>
          <cell r="P213">
            <v>0.375</v>
          </cell>
        </row>
        <row r="214">
          <cell r="C214" t="str">
            <v>Sot 2 - PL-7</v>
          </cell>
          <cell r="D214" t="str">
            <v>PL-7</v>
          </cell>
          <cell r="E214" t="str">
            <v>Sot 2</v>
          </cell>
          <cell r="F214">
            <v>1.5</v>
          </cell>
          <cell r="G214">
            <v>10.6</v>
          </cell>
          <cell r="H214">
            <v>16</v>
          </cell>
          <cell r="I214">
            <v>1</v>
          </cell>
          <cell r="J214">
            <v>44</v>
          </cell>
          <cell r="K214">
            <v>0.375</v>
          </cell>
          <cell r="N214">
            <v>0.2</v>
          </cell>
          <cell r="O214">
            <v>13.6</v>
          </cell>
          <cell r="P214">
            <v>0.375</v>
          </cell>
        </row>
        <row r="215">
          <cell r="C215" t="str">
            <v>Sot 1 - PL-7</v>
          </cell>
          <cell r="D215" t="str">
            <v>PL-7</v>
          </cell>
          <cell r="E215" t="str">
            <v>Sot 1</v>
          </cell>
          <cell r="F215">
            <v>1.5</v>
          </cell>
          <cell r="G215">
            <v>10.6</v>
          </cell>
          <cell r="H215">
            <v>16</v>
          </cell>
          <cell r="I215">
            <v>1</v>
          </cell>
          <cell r="J215">
            <v>44</v>
          </cell>
          <cell r="K215">
            <v>0.375</v>
          </cell>
          <cell r="N215">
            <v>0.2</v>
          </cell>
          <cell r="O215">
            <v>13.6</v>
          </cell>
          <cell r="P215">
            <v>0.375</v>
          </cell>
        </row>
        <row r="216">
          <cell r="C216" t="str">
            <v>Piso 1 - PL-7</v>
          </cell>
          <cell r="D216" t="str">
            <v>PL-7</v>
          </cell>
          <cell r="E216" t="str">
            <v>Piso 1</v>
          </cell>
          <cell r="F216">
            <v>1.5</v>
          </cell>
          <cell r="G216">
            <v>10.6</v>
          </cell>
          <cell r="H216">
            <v>16</v>
          </cell>
          <cell r="I216">
            <v>1</v>
          </cell>
          <cell r="J216">
            <v>48</v>
          </cell>
          <cell r="K216">
            <v>0.375</v>
          </cell>
          <cell r="N216">
            <v>0.17499999999999999</v>
          </cell>
          <cell r="O216">
            <v>13.6</v>
          </cell>
          <cell r="P216">
            <v>0.375</v>
          </cell>
        </row>
        <row r="217">
          <cell r="C217" t="str">
            <v>Piso 2 - PL-7</v>
          </cell>
          <cell r="D217" t="str">
            <v>PL-7</v>
          </cell>
          <cell r="E217" t="str">
            <v>Piso 2</v>
          </cell>
          <cell r="F217">
            <v>1.5</v>
          </cell>
          <cell r="G217">
            <v>10.6</v>
          </cell>
          <cell r="H217">
            <v>16</v>
          </cell>
          <cell r="I217">
            <v>1</v>
          </cell>
          <cell r="J217">
            <v>48</v>
          </cell>
          <cell r="K217">
            <v>0.375</v>
          </cell>
          <cell r="N217">
            <v>0.17499999999999999</v>
          </cell>
          <cell r="O217">
            <v>13.6</v>
          </cell>
          <cell r="P217">
            <v>0.375</v>
          </cell>
        </row>
        <row r="218">
          <cell r="C218" t="str">
            <v>Piso 3 - PL-7</v>
          </cell>
          <cell r="D218" t="str">
            <v>PL-7</v>
          </cell>
          <cell r="E218" t="str">
            <v>Piso 3</v>
          </cell>
          <cell r="F218">
            <v>1.5</v>
          </cell>
          <cell r="G218">
            <v>10.6</v>
          </cell>
          <cell r="H218">
            <v>16</v>
          </cell>
          <cell r="I218">
            <v>1</v>
          </cell>
          <cell r="J218">
            <v>48</v>
          </cell>
          <cell r="K218">
            <v>0.375</v>
          </cell>
          <cell r="N218">
            <v>0.17499999999999999</v>
          </cell>
          <cell r="O218">
            <v>13.6</v>
          </cell>
          <cell r="P218">
            <v>0.375</v>
          </cell>
        </row>
        <row r="219">
          <cell r="C219" t="str">
            <v>Piso 4 - PL-7</v>
          </cell>
          <cell r="D219" t="str">
            <v>PL-7</v>
          </cell>
          <cell r="E219" t="str">
            <v>Piso 4</v>
          </cell>
          <cell r="F219">
            <v>1.5</v>
          </cell>
          <cell r="G219">
            <v>10.6</v>
          </cell>
          <cell r="H219">
            <v>16</v>
          </cell>
          <cell r="I219">
            <v>1</v>
          </cell>
          <cell r="J219">
            <v>2</v>
          </cell>
          <cell r="K219">
            <v>0.75</v>
          </cell>
          <cell r="L219">
            <v>48</v>
          </cell>
          <cell r="M219">
            <v>0.375</v>
          </cell>
          <cell r="N219">
            <v>0.17499999999999999</v>
          </cell>
          <cell r="O219">
            <v>13.6</v>
          </cell>
          <cell r="P219">
            <v>0.375</v>
          </cell>
        </row>
        <row r="220">
          <cell r="C220" t="str">
            <v>Piso 5 - PL-7</v>
          </cell>
          <cell r="D220" t="str">
            <v>PL-7</v>
          </cell>
          <cell r="E220" t="str">
            <v>Piso 5</v>
          </cell>
          <cell r="F220">
            <v>1.5</v>
          </cell>
          <cell r="G220">
            <v>10.6</v>
          </cell>
          <cell r="H220">
            <v>8</v>
          </cell>
          <cell r="I220">
            <v>1</v>
          </cell>
          <cell r="J220">
            <v>4</v>
          </cell>
          <cell r="K220">
            <v>0.75</v>
          </cell>
          <cell r="L220">
            <v>38</v>
          </cell>
          <cell r="M220">
            <v>0.375</v>
          </cell>
          <cell r="N220">
            <v>0.22500000000000001</v>
          </cell>
          <cell r="O220">
            <v>13.2</v>
          </cell>
          <cell r="P220">
            <v>0.375</v>
          </cell>
        </row>
        <row r="221">
          <cell r="C221" t="str">
            <v>Piso 6 - PL-7</v>
          </cell>
          <cell r="D221" t="str">
            <v>PL-7</v>
          </cell>
          <cell r="E221" t="str">
            <v>Piso 6</v>
          </cell>
          <cell r="F221">
            <v>1.5</v>
          </cell>
          <cell r="G221">
            <v>10.6</v>
          </cell>
          <cell r="H221">
            <v>8</v>
          </cell>
          <cell r="I221">
            <v>1</v>
          </cell>
          <cell r="J221">
            <v>4</v>
          </cell>
          <cell r="K221">
            <v>0.75</v>
          </cell>
          <cell r="L221">
            <v>38</v>
          </cell>
          <cell r="M221">
            <v>0.375</v>
          </cell>
          <cell r="N221">
            <v>0.22500000000000001</v>
          </cell>
          <cell r="O221">
            <v>13.2</v>
          </cell>
          <cell r="P221">
            <v>0.375</v>
          </cell>
        </row>
        <row r="222">
          <cell r="C222" t="str">
            <v>Piso 7 - PL-7</v>
          </cell>
          <cell r="D222" t="str">
            <v>PL-7</v>
          </cell>
          <cell r="E222" t="str">
            <v>Piso 7</v>
          </cell>
          <cell r="F222">
            <v>1.25</v>
          </cell>
          <cell r="G222">
            <v>10.5</v>
          </cell>
          <cell r="H222">
            <v>8</v>
          </cell>
          <cell r="I222">
            <v>1</v>
          </cell>
          <cell r="J222">
            <v>4</v>
          </cell>
          <cell r="K222">
            <v>0.75</v>
          </cell>
          <cell r="L222">
            <v>38</v>
          </cell>
          <cell r="M222">
            <v>0.375</v>
          </cell>
          <cell r="N222">
            <v>0.22500000000000001</v>
          </cell>
          <cell r="O222">
            <v>12.8</v>
          </cell>
          <cell r="P222">
            <v>0.375</v>
          </cell>
        </row>
        <row r="223">
          <cell r="C223" t="str">
            <v>Piso 8 - PL-7</v>
          </cell>
          <cell r="D223" t="str">
            <v>PL-7</v>
          </cell>
          <cell r="E223" t="str">
            <v>Piso 8</v>
          </cell>
          <cell r="F223">
            <v>1.25</v>
          </cell>
          <cell r="G223">
            <v>10.5</v>
          </cell>
          <cell r="H223">
            <v>8</v>
          </cell>
          <cell r="I223">
            <v>1</v>
          </cell>
          <cell r="J223">
            <v>4</v>
          </cell>
          <cell r="K223">
            <v>0.75</v>
          </cell>
          <cell r="L223">
            <v>38</v>
          </cell>
          <cell r="M223">
            <v>0.375</v>
          </cell>
          <cell r="N223">
            <v>0.22500000000000001</v>
          </cell>
          <cell r="O223">
            <v>12.8</v>
          </cell>
          <cell r="P223">
            <v>0.375</v>
          </cell>
        </row>
        <row r="224">
          <cell r="C224" t="str">
            <v>Piso 9 - PL-7</v>
          </cell>
          <cell r="D224" t="str">
            <v>PL-7</v>
          </cell>
          <cell r="E224" t="str">
            <v>Piso 9</v>
          </cell>
          <cell r="F224">
            <v>1.25</v>
          </cell>
          <cell r="G224">
            <v>10.5</v>
          </cell>
          <cell r="H224">
            <v>8</v>
          </cell>
          <cell r="I224">
            <v>0.75</v>
          </cell>
          <cell r="J224">
            <v>28</v>
          </cell>
          <cell r="K224">
            <v>0.375</v>
          </cell>
          <cell r="N224">
            <v>0.3</v>
          </cell>
          <cell r="O224">
            <v>12.8</v>
          </cell>
          <cell r="P224">
            <v>0.375</v>
          </cell>
        </row>
        <row r="225">
          <cell r="C225" t="str">
            <v>Piso 10 - PL-7</v>
          </cell>
          <cell r="D225" t="str">
            <v>PL-7</v>
          </cell>
          <cell r="E225" t="str">
            <v>Piso 10</v>
          </cell>
          <cell r="F225">
            <v>1.25</v>
          </cell>
          <cell r="G225">
            <v>10.5</v>
          </cell>
          <cell r="H225">
            <v>8</v>
          </cell>
          <cell r="I225">
            <v>0.75</v>
          </cell>
          <cell r="J225">
            <v>28</v>
          </cell>
          <cell r="K225">
            <v>0.375</v>
          </cell>
          <cell r="N225">
            <v>0.3</v>
          </cell>
          <cell r="O225">
            <v>12.8</v>
          </cell>
          <cell r="P225">
            <v>0.375</v>
          </cell>
        </row>
        <row r="226">
          <cell r="C226" t="str">
            <v>Piso 11 - PL-7</v>
          </cell>
          <cell r="D226" t="str">
            <v>PL-7</v>
          </cell>
          <cell r="E226" t="str">
            <v>Piso 11</v>
          </cell>
          <cell r="F226">
            <v>1.25</v>
          </cell>
          <cell r="G226">
            <v>10.5</v>
          </cell>
          <cell r="H226">
            <v>8</v>
          </cell>
          <cell r="I226">
            <v>0.75</v>
          </cell>
          <cell r="J226">
            <v>28</v>
          </cell>
          <cell r="K226">
            <v>0.375</v>
          </cell>
          <cell r="N226">
            <v>0.3</v>
          </cell>
          <cell r="O226">
            <v>12.8</v>
          </cell>
          <cell r="P226">
            <v>0.375</v>
          </cell>
        </row>
        <row r="227">
          <cell r="C227" t="str">
            <v>Piso 12 - PL-7</v>
          </cell>
          <cell r="D227" t="str">
            <v>PL-7</v>
          </cell>
          <cell r="E227" t="str">
            <v>Piso 12</v>
          </cell>
          <cell r="F227">
            <v>1.25</v>
          </cell>
          <cell r="G227">
            <v>10.5</v>
          </cell>
          <cell r="H227">
            <v>8</v>
          </cell>
          <cell r="I227">
            <v>0.75</v>
          </cell>
          <cell r="J227">
            <v>28</v>
          </cell>
          <cell r="K227">
            <v>0.375</v>
          </cell>
          <cell r="N227">
            <v>0.3</v>
          </cell>
          <cell r="O227">
            <v>12.8</v>
          </cell>
          <cell r="P227">
            <v>0.375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 Vale"/>
      <sheetName val="Original"/>
      <sheetName val="Corregido"/>
      <sheetName val="Correccion Final"/>
      <sheetName val="Tablas"/>
      <sheetName val="Flota"/>
      <sheetName val="No_Vale"/>
      <sheetName val="Correccion_Final"/>
      <sheetName val="(8) HH OPERADORES"/>
      <sheetName val="Hoja4"/>
      <sheetName val="DIRECTORIO"/>
      <sheetName val="Fab. 15"/>
      <sheetName val="Cover"/>
      <sheetName val="No_Vale1"/>
      <sheetName val="Correccion_Final1"/>
      <sheetName val="(8)_HH_OPERADORES"/>
      <sheetName val="DATOS GENERALES"/>
      <sheetName val="RES"/>
      <sheetName val="1700"/>
      <sheetName val="#¡REF"/>
    </sheetNames>
    <sheetDataSet>
      <sheetData sheetId="0" refreshError="1"/>
      <sheetData sheetId="1" refreshError="1">
        <row r="4">
          <cell r="A4">
            <v>1</v>
          </cell>
          <cell r="B4" t="str">
            <v>Frente No Aplica</v>
          </cell>
          <cell r="D4">
            <v>-222.39</v>
          </cell>
          <cell r="E4">
            <v>1301271.04</v>
          </cell>
          <cell r="F4">
            <v>103625.68</v>
          </cell>
          <cell r="G4">
            <v>639052.57999999996</v>
          </cell>
          <cell r="H4">
            <v>2043726.9100000001</v>
          </cell>
        </row>
        <row r="6">
          <cell r="B6" t="str">
            <v>TOTAL No Aplica</v>
          </cell>
          <cell r="C6">
            <v>0</v>
          </cell>
          <cell r="D6">
            <v>-222.39</v>
          </cell>
          <cell r="E6">
            <v>1301271.04</v>
          </cell>
          <cell r="F6">
            <v>103625.68</v>
          </cell>
          <cell r="G6">
            <v>639052.57999999996</v>
          </cell>
          <cell r="H6">
            <v>2043726.9100000001</v>
          </cell>
        </row>
        <row r="9">
          <cell r="B9" t="str">
            <v>Frente Preliminares y Provisionales</v>
          </cell>
        </row>
        <row r="10">
          <cell r="A10">
            <v>101</v>
          </cell>
          <cell r="B10" t="str">
            <v xml:space="preserve">Movilización y desmovilización </v>
          </cell>
          <cell r="D10">
            <v>3448.3</v>
          </cell>
          <cell r="E10">
            <v>93393.56</v>
          </cell>
          <cell r="F10">
            <v>595483.09</v>
          </cell>
          <cell r="G10">
            <v>39542.870000000003</v>
          </cell>
          <cell r="H10">
            <v>731867.82</v>
          </cell>
        </row>
        <row r="11">
          <cell r="A11">
            <v>102</v>
          </cell>
          <cell r="B11" t="str">
            <v>Campamentos</v>
          </cell>
          <cell r="C11">
            <v>158047.14000000001</v>
          </cell>
          <cell r="D11">
            <v>478422.7</v>
          </cell>
          <cell r="E11">
            <v>95927.12</v>
          </cell>
          <cell r="F11">
            <v>603839.02</v>
          </cell>
          <cell r="G11">
            <v>1389.15</v>
          </cell>
          <cell r="H11">
            <v>1337625.1299999999</v>
          </cell>
        </row>
        <row r="12">
          <cell r="A12">
            <v>103</v>
          </cell>
          <cell r="B12" t="str">
            <v>Medio ambiente</v>
          </cell>
          <cell r="C12">
            <v>11351.41</v>
          </cell>
          <cell r="D12">
            <v>18545.82</v>
          </cell>
          <cell r="E12">
            <v>24334.11</v>
          </cell>
          <cell r="H12">
            <v>54231.34</v>
          </cell>
        </row>
        <row r="13">
          <cell r="A13">
            <v>104</v>
          </cell>
          <cell r="B13" t="str">
            <v>Caminos y facilidades temporales</v>
          </cell>
          <cell r="C13">
            <v>35628.080000000002</v>
          </cell>
          <cell r="E13">
            <v>344368.75</v>
          </cell>
          <cell r="F13">
            <v>2006.11</v>
          </cell>
          <cell r="H13">
            <v>382002.94</v>
          </cell>
        </row>
        <row r="14">
          <cell r="A14">
            <v>201</v>
          </cell>
          <cell r="B14" t="str">
            <v>Botadero</v>
          </cell>
          <cell r="C14">
            <v>12621.36</v>
          </cell>
          <cell r="E14">
            <v>284602.65000000002</v>
          </cell>
          <cell r="H14">
            <v>297224.01</v>
          </cell>
        </row>
        <row r="15">
          <cell r="A15">
            <v>202</v>
          </cell>
          <cell r="B15" t="str">
            <v>Excavación topsoil/insuitable</v>
          </cell>
          <cell r="C15">
            <v>26337.69</v>
          </cell>
          <cell r="E15">
            <v>714728.11</v>
          </cell>
          <cell r="H15">
            <v>741065.79999999993</v>
          </cell>
        </row>
        <row r="16">
          <cell r="A16">
            <v>203</v>
          </cell>
          <cell r="B16" t="str">
            <v>Excavacion ripiable</v>
          </cell>
          <cell r="C16">
            <v>1779.02</v>
          </cell>
          <cell r="E16">
            <v>191537.01</v>
          </cell>
          <cell r="H16">
            <v>193316.03</v>
          </cell>
        </row>
        <row r="17">
          <cell r="A17">
            <v>204</v>
          </cell>
          <cell r="B17" t="str">
            <v>Perforacion y voladura de roca</v>
          </cell>
          <cell r="C17">
            <v>7873.38</v>
          </cell>
          <cell r="E17">
            <v>517750.63</v>
          </cell>
          <cell r="H17">
            <v>525624.01</v>
          </cell>
        </row>
        <row r="18">
          <cell r="A18">
            <v>205</v>
          </cell>
          <cell r="B18" t="str">
            <v>Remocion de material de voladura</v>
          </cell>
          <cell r="C18">
            <v>233.85</v>
          </cell>
          <cell r="D18">
            <v>126.39</v>
          </cell>
          <cell r="E18">
            <v>905712.89</v>
          </cell>
          <cell r="H18">
            <v>906073.13</v>
          </cell>
        </row>
        <row r="19">
          <cell r="A19">
            <v>206</v>
          </cell>
          <cell r="B19" t="str">
            <v>Rellenos masivos</v>
          </cell>
          <cell r="C19">
            <v>319.16000000000003</v>
          </cell>
          <cell r="E19">
            <v>216196.25</v>
          </cell>
          <cell r="H19">
            <v>216515.41</v>
          </cell>
        </row>
        <row r="20">
          <cell r="A20">
            <v>207</v>
          </cell>
          <cell r="B20" t="str">
            <v xml:space="preserve">Rellenos granulares </v>
          </cell>
          <cell r="E20">
            <v>1369.83</v>
          </cell>
          <cell r="H20">
            <v>1369.83</v>
          </cell>
        </row>
        <row r="21">
          <cell r="A21">
            <v>208</v>
          </cell>
          <cell r="B21" t="str">
            <v>Transporte en general</v>
          </cell>
          <cell r="C21">
            <v>31600.53</v>
          </cell>
          <cell r="E21">
            <v>1240920.25</v>
          </cell>
          <cell r="H21">
            <v>1272520.78</v>
          </cell>
        </row>
        <row r="22">
          <cell r="A22">
            <v>209</v>
          </cell>
          <cell r="B22" t="str">
            <v>Otros trabajos de movimientos de tierra</v>
          </cell>
          <cell r="C22">
            <v>324.39</v>
          </cell>
          <cell r="E22">
            <v>18351.490000000002</v>
          </cell>
          <cell r="H22">
            <v>18675.88</v>
          </cell>
        </row>
        <row r="23">
          <cell r="A23">
            <v>9502</v>
          </cell>
          <cell r="B23" t="str">
            <v>CEQ</v>
          </cell>
          <cell r="C23">
            <v>642.91</v>
          </cell>
          <cell r="H23">
            <v>642.91</v>
          </cell>
        </row>
        <row r="24">
          <cell r="A24">
            <v>9504</v>
          </cell>
          <cell r="B24" t="str">
            <v>Cementos Pacasmayo</v>
          </cell>
          <cell r="E24">
            <v>18685.5</v>
          </cell>
        </row>
        <row r="25">
          <cell r="A25">
            <v>9513</v>
          </cell>
          <cell r="B25" t="str">
            <v>Mitsui</v>
          </cell>
          <cell r="E25">
            <v>1557.09</v>
          </cell>
        </row>
        <row r="26">
          <cell r="A26">
            <v>9518</v>
          </cell>
          <cell r="B26" t="str">
            <v xml:space="preserve">Rentaequip </v>
          </cell>
          <cell r="E26">
            <v>1841.83</v>
          </cell>
          <cell r="H26">
            <v>1841.83</v>
          </cell>
        </row>
        <row r="27">
          <cell r="A27">
            <v>9531</v>
          </cell>
          <cell r="B27" t="str">
            <v>Crushing &amp; Screening</v>
          </cell>
          <cell r="E27">
            <v>20429.38</v>
          </cell>
        </row>
        <row r="28">
          <cell r="A28">
            <v>9536</v>
          </cell>
          <cell r="B28" t="str">
            <v>Contrato C-201</v>
          </cell>
          <cell r="E28">
            <v>13527.59</v>
          </cell>
        </row>
        <row r="29">
          <cell r="A29">
            <v>9905</v>
          </cell>
          <cell r="B29" t="str">
            <v>Sueldos personal PdR y GA</v>
          </cell>
          <cell r="D29">
            <v>205.85</v>
          </cell>
          <cell r="H29">
            <v>205.85</v>
          </cell>
        </row>
        <row r="30">
          <cell r="A30">
            <v>9906</v>
          </cell>
          <cell r="B30" t="str">
            <v>Sueldos de operadores de equipo de apoyo</v>
          </cell>
          <cell r="C30">
            <v>537.84</v>
          </cell>
          <cell r="H30">
            <v>537.84</v>
          </cell>
        </row>
        <row r="31">
          <cell r="A31">
            <v>9907</v>
          </cell>
          <cell r="B31" t="str">
            <v>Equipos para transporte de personal y de apoyo</v>
          </cell>
          <cell r="E31">
            <v>642923.77</v>
          </cell>
          <cell r="H31">
            <v>642923.77</v>
          </cell>
        </row>
        <row r="32">
          <cell r="A32">
            <v>9911</v>
          </cell>
          <cell r="B32" t="str">
            <v>Alimentación y viáticos de personal staff</v>
          </cell>
          <cell r="G32">
            <v>10.5</v>
          </cell>
          <cell r="H32">
            <v>10.5</v>
          </cell>
        </row>
        <row r="33">
          <cell r="A33">
            <v>9912</v>
          </cell>
          <cell r="B33" t="str">
            <v xml:space="preserve">Campamento personal staff y oficina </v>
          </cell>
          <cell r="E33">
            <v>61597</v>
          </cell>
          <cell r="H33">
            <v>61597</v>
          </cell>
        </row>
        <row r="34">
          <cell r="B34" t="str">
            <v>TOTAL Preliminares y Provisionales</v>
          </cell>
          <cell r="C34">
            <v>287296.76</v>
          </cell>
          <cell r="D34">
            <v>500749.06</v>
          </cell>
          <cell r="E34">
            <v>5409754.8100000005</v>
          </cell>
          <cell r="F34">
            <v>1201328.22</v>
          </cell>
          <cell r="G34">
            <v>40942.520000000004</v>
          </cell>
          <cell r="H34">
            <v>7440071.3700000001</v>
          </cell>
        </row>
        <row r="36">
          <cell r="B36" t="str">
            <v xml:space="preserve">Frente Movimiento de tierras masivo </v>
          </cell>
        </row>
        <row r="37">
          <cell r="A37">
            <v>102</v>
          </cell>
          <cell r="B37" t="str">
            <v>Campamentos</v>
          </cell>
          <cell r="C37">
            <v>91.61</v>
          </cell>
          <cell r="E37">
            <v>306.37</v>
          </cell>
          <cell r="H37">
            <v>397.98</v>
          </cell>
        </row>
        <row r="38">
          <cell r="A38">
            <v>103</v>
          </cell>
          <cell r="B38" t="str">
            <v>Medio ambiente</v>
          </cell>
          <cell r="C38">
            <v>71.27</v>
          </cell>
          <cell r="E38">
            <v>1259.47</v>
          </cell>
          <cell r="H38">
            <v>1330.74</v>
          </cell>
        </row>
        <row r="39">
          <cell r="A39">
            <v>104</v>
          </cell>
          <cell r="B39" t="str">
            <v>Caminos y facilidades temporales</v>
          </cell>
          <cell r="C39">
            <v>297.05</v>
          </cell>
          <cell r="E39">
            <v>8146.06</v>
          </cell>
          <cell r="H39">
            <v>8443.11</v>
          </cell>
        </row>
        <row r="40">
          <cell r="A40">
            <v>201</v>
          </cell>
          <cell r="B40" t="str">
            <v>Botadero</v>
          </cell>
          <cell r="C40">
            <v>39016.370000000003</v>
          </cell>
          <cell r="E40">
            <v>9452.4500000000007</v>
          </cell>
          <cell r="F40">
            <v>13061.7</v>
          </cell>
          <cell r="H40">
            <v>61530.520000000004</v>
          </cell>
        </row>
        <row r="41">
          <cell r="A41">
            <v>202</v>
          </cell>
          <cell r="B41" t="str">
            <v>Excavación topsoil/unsuitable</v>
          </cell>
          <cell r="C41">
            <v>32003.73</v>
          </cell>
          <cell r="D41">
            <v>73937.289999999994</v>
          </cell>
          <cell r="E41">
            <v>19920.25</v>
          </cell>
          <cell r="F41">
            <v>62275.6</v>
          </cell>
          <cell r="H41">
            <v>188136.87</v>
          </cell>
        </row>
        <row r="42">
          <cell r="A42">
            <v>203</v>
          </cell>
          <cell r="B42" t="str">
            <v>Excavacion ripiable</v>
          </cell>
          <cell r="C42">
            <v>4556.79</v>
          </cell>
          <cell r="D42">
            <v>395.01</v>
          </cell>
          <cell r="F42">
            <v>30774.94</v>
          </cell>
          <cell r="H42">
            <v>35726.74</v>
          </cell>
        </row>
        <row r="43">
          <cell r="A43">
            <v>204</v>
          </cell>
          <cell r="B43" t="str">
            <v xml:space="preserve">Perforacion y voladura de roca </v>
          </cell>
          <cell r="C43">
            <v>134309.62</v>
          </cell>
          <cell r="D43">
            <v>588163.23</v>
          </cell>
          <cell r="E43">
            <v>131314.29999999999</v>
          </cell>
          <cell r="F43">
            <v>521456.79</v>
          </cell>
          <cell r="H43">
            <v>1375243.94</v>
          </cell>
        </row>
        <row r="44">
          <cell r="A44">
            <v>205</v>
          </cell>
          <cell r="B44" t="str">
            <v xml:space="preserve">Remocion de material de voladura </v>
          </cell>
          <cell r="C44">
            <v>104812.07</v>
          </cell>
          <cell r="D44">
            <v>50264.36</v>
          </cell>
          <cell r="E44">
            <v>24635.67</v>
          </cell>
          <cell r="F44">
            <v>13380.18</v>
          </cell>
          <cell r="H44">
            <v>193092.27999999997</v>
          </cell>
        </row>
        <row r="45">
          <cell r="A45">
            <v>206</v>
          </cell>
          <cell r="B45" t="str">
            <v xml:space="preserve">Rellenos masivos </v>
          </cell>
          <cell r="C45">
            <v>71173.039999999994</v>
          </cell>
          <cell r="D45">
            <v>251.03</v>
          </cell>
          <cell r="E45">
            <v>47535.839999999997</v>
          </cell>
          <cell r="H45">
            <v>118959.90999999999</v>
          </cell>
        </row>
        <row r="46">
          <cell r="A46">
            <v>207</v>
          </cell>
          <cell r="B46" t="str">
            <v xml:space="preserve">Rellenos granulares </v>
          </cell>
          <cell r="C46">
            <v>755.86</v>
          </cell>
          <cell r="H46">
            <v>755.86</v>
          </cell>
        </row>
        <row r="47">
          <cell r="A47">
            <v>208</v>
          </cell>
          <cell r="B47" t="str">
            <v>Transporte en general</v>
          </cell>
          <cell r="C47">
            <v>330091.17</v>
          </cell>
          <cell r="D47">
            <v>219301.73</v>
          </cell>
          <cell r="E47">
            <v>214455.06</v>
          </cell>
          <cell r="F47">
            <v>335567.11</v>
          </cell>
          <cell r="H47">
            <v>1099415.0699999998</v>
          </cell>
        </row>
        <row r="48">
          <cell r="A48">
            <v>209</v>
          </cell>
          <cell r="B48" t="str">
            <v>Otros trabajos de movimientos de tierra</v>
          </cell>
          <cell r="C48">
            <v>7735.77</v>
          </cell>
          <cell r="D48">
            <v>67394.570000000007</v>
          </cell>
          <cell r="E48">
            <v>854.54</v>
          </cell>
          <cell r="H48">
            <v>75984.88</v>
          </cell>
        </row>
        <row r="49">
          <cell r="B49" t="str">
            <v xml:space="preserve">TOTAL Movimiento de tierras masivo </v>
          </cell>
          <cell r="C49">
            <v>724914.35</v>
          </cell>
          <cell r="D49">
            <v>999707.22</v>
          </cell>
          <cell r="E49">
            <v>457880.00999999995</v>
          </cell>
          <cell r="F49">
            <v>976516.32000000007</v>
          </cell>
          <cell r="G49">
            <v>0</v>
          </cell>
          <cell r="H49">
            <v>3159017.8999999994</v>
          </cell>
        </row>
        <row r="51">
          <cell r="B51" t="str">
            <v xml:space="preserve">Frente obra c-201 </v>
          </cell>
        </row>
        <row r="52">
          <cell r="A52">
            <v>102</v>
          </cell>
          <cell r="B52" t="str">
            <v xml:space="preserve">Campamentos </v>
          </cell>
          <cell r="D52">
            <v>439.04</v>
          </cell>
          <cell r="H52">
            <v>439.04</v>
          </cell>
        </row>
        <row r="53">
          <cell r="A53">
            <v>9536</v>
          </cell>
          <cell r="B53" t="str">
            <v xml:space="preserve">Contrato c-201 </v>
          </cell>
          <cell r="C53">
            <v>17488.68</v>
          </cell>
          <cell r="D53">
            <v>692.5</v>
          </cell>
          <cell r="F53">
            <v>26888.74</v>
          </cell>
          <cell r="G53">
            <v>3641.04</v>
          </cell>
          <cell r="H53">
            <v>48710.96</v>
          </cell>
        </row>
        <row r="54">
          <cell r="A54">
            <v>9599</v>
          </cell>
          <cell r="B54" t="str">
            <v xml:space="preserve">Articulos de seguridad y proteccion </v>
          </cell>
          <cell r="E54">
            <v>397.25</v>
          </cell>
          <cell r="H54">
            <v>397.25</v>
          </cell>
        </row>
        <row r="55">
          <cell r="A55">
            <v>9911</v>
          </cell>
          <cell r="B55" t="str">
            <v>Alimentación y viaticos de personal Staff</v>
          </cell>
          <cell r="E55">
            <v>14.29</v>
          </cell>
        </row>
        <row r="56">
          <cell r="A56">
            <v>9916</v>
          </cell>
          <cell r="B56" t="str">
            <v xml:space="preserve">Economato </v>
          </cell>
          <cell r="G56">
            <v>120</v>
          </cell>
          <cell r="H56">
            <v>120</v>
          </cell>
        </row>
        <row r="57">
          <cell r="B57" t="str">
            <v>TOTAL</v>
          </cell>
          <cell r="C57">
            <v>17488.68</v>
          </cell>
          <cell r="D57">
            <v>1131.54</v>
          </cell>
          <cell r="E57">
            <v>411.54</v>
          </cell>
          <cell r="F57">
            <v>26888.74</v>
          </cell>
          <cell r="G57">
            <v>3761.04</v>
          </cell>
          <cell r="H57">
            <v>49681.54</v>
          </cell>
        </row>
        <row r="59">
          <cell r="B59" t="str">
            <v xml:space="preserve">Frente partidas intermedias </v>
          </cell>
        </row>
        <row r="60">
          <cell r="A60">
            <v>101</v>
          </cell>
          <cell r="B60" t="str">
            <v xml:space="preserve">Movilización y desmovilización </v>
          </cell>
          <cell r="D60">
            <v>3.81</v>
          </cell>
          <cell r="H60">
            <v>3.81</v>
          </cell>
        </row>
        <row r="61">
          <cell r="A61">
            <v>103</v>
          </cell>
          <cell r="B61" t="str">
            <v xml:space="preserve">Medio ambiente </v>
          </cell>
          <cell r="D61">
            <v>189.4</v>
          </cell>
          <cell r="H61">
            <v>189.4</v>
          </cell>
        </row>
        <row r="62">
          <cell r="A62">
            <v>204</v>
          </cell>
          <cell r="B62" t="str">
            <v xml:space="preserve">Perforacion y voladura de roca </v>
          </cell>
          <cell r="D62">
            <v>63.19</v>
          </cell>
          <cell r="H62">
            <v>63.19</v>
          </cell>
        </row>
        <row r="63">
          <cell r="A63">
            <v>9501</v>
          </cell>
          <cell r="B63" t="str">
            <v xml:space="preserve">Tl jesus ravines </v>
          </cell>
          <cell r="D63">
            <v>3865.17</v>
          </cell>
          <cell r="E63">
            <v>17374.25</v>
          </cell>
          <cell r="G63">
            <v>273.11</v>
          </cell>
          <cell r="H63">
            <v>21512.53</v>
          </cell>
        </row>
        <row r="64">
          <cell r="A64">
            <v>9502</v>
          </cell>
          <cell r="B64" t="str">
            <v>CEQ</v>
          </cell>
          <cell r="C64">
            <v>63251.55</v>
          </cell>
          <cell r="D64">
            <v>128066.02</v>
          </cell>
          <cell r="E64">
            <v>456808.83</v>
          </cell>
          <cell r="F64">
            <v>9317.35</v>
          </cell>
          <cell r="G64">
            <v>542.85</v>
          </cell>
          <cell r="H64">
            <v>657986.6</v>
          </cell>
        </row>
        <row r="65">
          <cell r="A65">
            <v>9503</v>
          </cell>
          <cell r="B65" t="str">
            <v>Antria</v>
          </cell>
          <cell r="C65">
            <v>36129.65</v>
          </cell>
          <cell r="D65">
            <v>106747.8</v>
          </cell>
          <cell r="E65">
            <v>69511.45</v>
          </cell>
          <cell r="F65">
            <v>4075</v>
          </cell>
          <cell r="H65">
            <v>216463.90000000002</v>
          </cell>
        </row>
        <row r="66">
          <cell r="A66">
            <v>9504</v>
          </cell>
          <cell r="B66" t="str">
            <v>Cementos pacasmayo</v>
          </cell>
          <cell r="C66">
            <v>13776.46</v>
          </cell>
          <cell r="D66">
            <v>2745.86</v>
          </cell>
          <cell r="E66">
            <v>9668.27</v>
          </cell>
          <cell r="F66">
            <v>2303</v>
          </cell>
          <cell r="H66">
            <v>28493.59</v>
          </cell>
        </row>
        <row r="67">
          <cell r="A67">
            <v>9505</v>
          </cell>
          <cell r="B67" t="str">
            <v>Cospana</v>
          </cell>
          <cell r="C67">
            <v>8.83</v>
          </cell>
          <cell r="D67">
            <v>545.85</v>
          </cell>
          <cell r="E67">
            <v>6499.03</v>
          </cell>
          <cell r="H67">
            <v>7053.71</v>
          </cell>
        </row>
        <row r="68">
          <cell r="A68">
            <v>9506</v>
          </cell>
          <cell r="B68" t="str">
            <v>Crossland</v>
          </cell>
          <cell r="D68">
            <v>1595.18</v>
          </cell>
          <cell r="E68">
            <v>14695.37</v>
          </cell>
          <cell r="H68">
            <v>16290.550000000001</v>
          </cell>
        </row>
        <row r="69">
          <cell r="A69">
            <v>9507</v>
          </cell>
          <cell r="B69" t="str">
            <v>Divemotors</v>
          </cell>
          <cell r="C69">
            <v>420.07</v>
          </cell>
          <cell r="D69">
            <v>11238.51</v>
          </cell>
          <cell r="E69">
            <v>122657.5</v>
          </cell>
          <cell r="H69">
            <v>134316.07999999999</v>
          </cell>
        </row>
        <row r="70">
          <cell r="A70">
            <v>9508</v>
          </cell>
          <cell r="B70" t="str">
            <v>sodexho</v>
          </cell>
          <cell r="D70">
            <v>401.09</v>
          </cell>
          <cell r="E70">
            <v>769.11</v>
          </cell>
          <cell r="H70">
            <v>1170.2</v>
          </cell>
        </row>
        <row r="71">
          <cell r="A71">
            <v>9509</v>
          </cell>
          <cell r="B71" t="str">
            <v>ferreyros</v>
          </cell>
          <cell r="C71">
            <v>639.03</v>
          </cell>
          <cell r="D71">
            <v>21204.75</v>
          </cell>
          <cell r="E71">
            <v>130305.49</v>
          </cell>
          <cell r="H71">
            <v>152149.27000000002</v>
          </cell>
        </row>
        <row r="72">
          <cell r="A72">
            <v>9510</v>
          </cell>
          <cell r="B72" t="str">
            <v>GMI</v>
          </cell>
          <cell r="D72">
            <v>1591.81</v>
          </cell>
          <cell r="E72">
            <v>2009.37</v>
          </cell>
          <cell r="F72">
            <v>-2759.94</v>
          </cell>
          <cell r="H72">
            <v>841.23999999999978</v>
          </cell>
        </row>
        <row r="73">
          <cell r="A73">
            <v>9511</v>
          </cell>
          <cell r="B73" t="str">
            <v xml:space="preserve">Juan Chumbiauca </v>
          </cell>
          <cell r="C73">
            <v>15463.31</v>
          </cell>
          <cell r="D73">
            <v>346.25</v>
          </cell>
          <cell r="H73">
            <v>15809.56</v>
          </cell>
        </row>
        <row r="74">
          <cell r="A74">
            <v>9512</v>
          </cell>
          <cell r="B74" t="str">
            <v>Minera Nevada</v>
          </cell>
          <cell r="C74">
            <v>583.64</v>
          </cell>
          <cell r="D74">
            <v>1870.29</v>
          </cell>
          <cell r="E74">
            <v>7896.22</v>
          </cell>
          <cell r="H74">
            <v>10350.15</v>
          </cell>
        </row>
        <row r="75">
          <cell r="A75">
            <v>9513</v>
          </cell>
          <cell r="B75" t="str">
            <v>Mitsui</v>
          </cell>
          <cell r="C75">
            <v>252.58</v>
          </cell>
          <cell r="D75">
            <v>13035.24</v>
          </cell>
          <cell r="E75">
            <v>59547</v>
          </cell>
          <cell r="H75">
            <v>72834.820000000007</v>
          </cell>
        </row>
        <row r="76">
          <cell r="A76">
            <v>9514</v>
          </cell>
          <cell r="B76" t="str">
            <v>Movilineas</v>
          </cell>
          <cell r="D76">
            <v>1228.3499999999999</v>
          </cell>
          <cell r="E76">
            <v>12690.13</v>
          </cell>
          <cell r="H76">
            <v>13918.48</v>
          </cell>
        </row>
        <row r="77">
          <cell r="A77">
            <v>9515</v>
          </cell>
          <cell r="B77" t="str">
            <v xml:space="preserve">MyM consultores </v>
          </cell>
          <cell r="C77">
            <v>603.14</v>
          </cell>
          <cell r="D77">
            <v>2334.37</v>
          </cell>
          <cell r="E77">
            <v>1278.49</v>
          </cell>
          <cell r="G77">
            <v>620</v>
          </cell>
          <cell r="H77">
            <v>4836</v>
          </cell>
        </row>
        <row r="78">
          <cell r="A78">
            <v>9516</v>
          </cell>
          <cell r="B78" t="str">
            <v>Nexcom</v>
          </cell>
          <cell r="D78">
            <v>1073.81</v>
          </cell>
          <cell r="H78">
            <v>1073.81</v>
          </cell>
        </row>
        <row r="79">
          <cell r="A79">
            <v>9517</v>
          </cell>
          <cell r="B79" t="str">
            <v xml:space="preserve">Nicotracto </v>
          </cell>
          <cell r="C79">
            <v>60.7</v>
          </cell>
          <cell r="D79">
            <v>22242.9</v>
          </cell>
          <cell r="E79">
            <v>174266.54</v>
          </cell>
          <cell r="H79">
            <v>196570.14</v>
          </cell>
        </row>
        <row r="80">
          <cell r="A80">
            <v>9518</v>
          </cell>
          <cell r="B80" t="str">
            <v xml:space="preserve">Rentaequip </v>
          </cell>
          <cell r="C80">
            <v>351.8</v>
          </cell>
          <cell r="D80">
            <v>5781.8</v>
          </cell>
          <cell r="E80">
            <v>46063.88</v>
          </cell>
          <cell r="H80">
            <v>52197.479999999996</v>
          </cell>
        </row>
        <row r="81">
          <cell r="A81">
            <v>9519</v>
          </cell>
          <cell r="B81" t="str">
            <v xml:space="preserve">Rentando </v>
          </cell>
          <cell r="C81">
            <v>635.04</v>
          </cell>
          <cell r="D81">
            <v>22752.080000000002</v>
          </cell>
          <cell r="E81">
            <v>106263.11</v>
          </cell>
          <cell r="H81">
            <v>129650.23000000001</v>
          </cell>
        </row>
        <row r="82">
          <cell r="A82">
            <v>9520</v>
          </cell>
          <cell r="B82" t="str">
            <v>Scania</v>
          </cell>
          <cell r="C82">
            <v>752.25</v>
          </cell>
          <cell r="D82">
            <v>13481.99</v>
          </cell>
          <cell r="E82">
            <v>117605.28</v>
          </cell>
          <cell r="H82">
            <v>131839.51999999999</v>
          </cell>
        </row>
        <row r="83">
          <cell r="A83">
            <v>9521</v>
          </cell>
          <cell r="B83" t="str">
            <v xml:space="preserve">Translei </v>
          </cell>
          <cell r="C83">
            <v>123.92</v>
          </cell>
          <cell r="D83">
            <v>7569.67</v>
          </cell>
          <cell r="E83">
            <v>75705.3</v>
          </cell>
          <cell r="H83">
            <v>83398.89</v>
          </cell>
        </row>
        <row r="84">
          <cell r="A84">
            <v>9522</v>
          </cell>
          <cell r="B84" t="str">
            <v xml:space="preserve">Ratcom sac </v>
          </cell>
          <cell r="C84">
            <v>29.22</v>
          </cell>
          <cell r="D84">
            <v>2079.08</v>
          </cell>
          <cell r="E84">
            <v>6765.89</v>
          </cell>
          <cell r="H84">
            <v>8874.19</v>
          </cell>
        </row>
        <row r="85">
          <cell r="A85">
            <v>9523</v>
          </cell>
          <cell r="B85" t="str">
            <v>Triny</v>
          </cell>
          <cell r="D85">
            <v>23.66</v>
          </cell>
          <cell r="E85">
            <v>910.14</v>
          </cell>
          <cell r="H85">
            <v>933.8</v>
          </cell>
        </row>
        <row r="86">
          <cell r="A86">
            <v>9524</v>
          </cell>
          <cell r="B86" t="str">
            <v xml:space="preserve">Vivargo </v>
          </cell>
          <cell r="C86">
            <v>100.71</v>
          </cell>
          <cell r="D86">
            <v>2246.34</v>
          </cell>
          <cell r="E86">
            <v>6605.84</v>
          </cell>
          <cell r="H86">
            <v>8952.89</v>
          </cell>
        </row>
        <row r="87">
          <cell r="A87">
            <v>9525</v>
          </cell>
          <cell r="B87" t="str">
            <v>MNO SRL</v>
          </cell>
          <cell r="C87">
            <v>4.41</v>
          </cell>
          <cell r="D87">
            <v>593.20000000000005</v>
          </cell>
          <cell r="E87">
            <v>99.02</v>
          </cell>
          <cell r="H87">
            <v>696.63</v>
          </cell>
        </row>
        <row r="88">
          <cell r="A88">
            <v>9526</v>
          </cell>
          <cell r="B88" t="str">
            <v>Servicios generales Deyssy</v>
          </cell>
          <cell r="D88">
            <v>224.46</v>
          </cell>
          <cell r="E88">
            <v>2928.56</v>
          </cell>
          <cell r="H88">
            <v>3153.02</v>
          </cell>
        </row>
        <row r="89">
          <cell r="A89">
            <v>9527</v>
          </cell>
          <cell r="B89" t="str">
            <v>GyR SAC</v>
          </cell>
          <cell r="D89">
            <v>325.91000000000003</v>
          </cell>
          <cell r="E89">
            <v>2167.56</v>
          </cell>
          <cell r="H89">
            <v>2493.4699999999998</v>
          </cell>
        </row>
        <row r="90">
          <cell r="A90">
            <v>9528</v>
          </cell>
          <cell r="B90" t="str">
            <v>Transportes Huascaran</v>
          </cell>
          <cell r="E90">
            <v>771.89</v>
          </cell>
          <cell r="H90">
            <v>771.89</v>
          </cell>
        </row>
        <row r="91">
          <cell r="A91">
            <v>9529</v>
          </cell>
          <cell r="B91" t="str">
            <v>Difema</v>
          </cell>
          <cell r="D91">
            <v>2753.13</v>
          </cell>
          <cell r="E91">
            <v>15916.06</v>
          </cell>
          <cell r="G91">
            <v>84.41</v>
          </cell>
          <cell r="H91">
            <v>18753.599999999999</v>
          </cell>
        </row>
        <row r="92">
          <cell r="A92">
            <v>9530</v>
          </cell>
          <cell r="B92" t="str">
            <v>J y R Contratistas Generales</v>
          </cell>
          <cell r="D92">
            <v>760.23</v>
          </cell>
          <cell r="E92">
            <v>1124</v>
          </cell>
          <cell r="H92">
            <v>1884.23</v>
          </cell>
        </row>
        <row r="93">
          <cell r="A93">
            <v>9531</v>
          </cell>
          <cell r="B93" t="str">
            <v>Crushing &amp; Screening</v>
          </cell>
          <cell r="C93">
            <v>1590</v>
          </cell>
          <cell r="E93">
            <v>56.22</v>
          </cell>
          <cell r="H93">
            <v>1646.22</v>
          </cell>
        </row>
        <row r="94">
          <cell r="A94">
            <v>9533</v>
          </cell>
          <cell r="B94" t="str">
            <v>Tourino Tours</v>
          </cell>
          <cell r="D94">
            <v>180.56</v>
          </cell>
          <cell r="E94">
            <v>1366.8</v>
          </cell>
          <cell r="H94">
            <v>1547.36</v>
          </cell>
        </row>
        <row r="95">
          <cell r="A95">
            <v>9534</v>
          </cell>
          <cell r="B95" t="str">
            <v>Pevoex</v>
          </cell>
          <cell r="D95">
            <v>13803.21</v>
          </cell>
          <cell r="E95">
            <v>2405.9499999999998</v>
          </cell>
          <cell r="H95">
            <v>16209.16</v>
          </cell>
        </row>
        <row r="96">
          <cell r="A96">
            <v>9535</v>
          </cell>
          <cell r="B96" t="str">
            <v>Scott</v>
          </cell>
          <cell r="D96">
            <v>41.39</v>
          </cell>
          <cell r="H96">
            <v>41.39</v>
          </cell>
        </row>
        <row r="97">
          <cell r="A97">
            <v>9536</v>
          </cell>
          <cell r="B97" t="str">
            <v>Contrato C-201</v>
          </cell>
          <cell r="C97">
            <v>4238.51</v>
          </cell>
          <cell r="D97">
            <v>4754.6499999999996</v>
          </cell>
          <cell r="H97">
            <v>8993.16</v>
          </cell>
        </row>
        <row r="98">
          <cell r="A98">
            <v>9537</v>
          </cell>
          <cell r="B98" t="str">
            <v>JJC</v>
          </cell>
          <cell r="D98">
            <v>36841.870000000003</v>
          </cell>
          <cell r="E98">
            <v>288.60000000000002</v>
          </cell>
          <cell r="H98">
            <v>37130.47</v>
          </cell>
        </row>
        <row r="99">
          <cell r="A99">
            <v>9539</v>
          </cell>
          <cell r="B99" t="str">
            <v>Rivera Diesel</v>
          </cell>
          <cell r="E99">
            <v>597.36</v>
          </cell>
          <cell r="H99">
            <v>597.36</v>
          </cell>
        </row>
        <row r="100">
          <cell r="A100">
            <v>9599</v>
          </cell>
          <cell r="B100" t="str">
            <v>Articulos de seguridad y proteccion</v>
          </cell>
          <cell r="D100">
            <v>177464.95</v>
          </cell>
          <cell r="E100">
            <v>2619.83</v>
          </cell>
          <cell r="H100">
            <v>180084.78</v>
          </cell>
        </row>
        <row r="101">
          <cell r="A101">
            <v>9903</v>
          </cell>
          <cell r="B101" t="str">
            <v>Sueldos y personal administrativo</v>
          </cell>
          <cell r="G101">
            <v>10</v>
          </cell>
          <cell r="H101">
            <v>10</v>
          </cell>
        </row>
        <row r="102">
          <cell r="A102">
            <v>9907</v>
          </cell>
          <cell r="B102" t="str">
            <v>Equipos para transporte de personal</v>
          </cell>
          <cell r="D102">
            <v>430.2</v>
          </cell>
          <cell r="E102">
            <v>1971.24</v>
          </cell>
          <cell r="H102">
            <v>2401.44</v>
          </cell>
        </row>
        <row r="103">
          <cell r="A103">
            <v>9909</v>
          </cell>
          <cell r="B103" t="str">
            <v>Topografía</v>
          </cell>
          <cell r="D103">
            <v>300.61</v>
          </cell>
          <cell r="H103">
            <v>300.61</v>
          </cell>
        </row>
        <row r="104">
          <cell r="A104">
            <v>9911</v>
          </cell>
          <cell r="B104" t="str">
            <v>Alimentación y viáticos de personal Staff</v>
          </cell>
          <cell r="G104">
            <v>52.94</v>
          </cell>
          <cell r="H104">
            <v>52.94</v>
          </cell>
        </row>
        <row r="105">
          <cell r="A105">
            <v>9917</v>
          </cell>
          <cell r="B105" t="str">
            <v>Gastos Soporte Oficina Principal</v>
          </cell>
          <cell r="D105">
            <v>1.32</v>
          </cell>
          <cell r="H105">
            <v>1.32</v>
          </cell>
        </row>
        <row r="106">
          <cell r="B106" t="str">
            <v>TOTAL Partidas Intermedias</v>
          </cell>
          <cell r="C106">
            <v>139014.82000000004</v>
          </cell>
          <cell r="D106">
            <v>612799.96</v>
          </cell>
          <cell r="E106">
            <v>1478209.5800000003</v>
          </cell>
          <cell r="F106">
            <v>12935.41</v>
          </cell>
          <cell r="G106">
            <v>1583.3100000000002</v>
          </cell>
          <cell r="H106">
            <v>2244543.0799999991</v>
          </cell>
        </row>
        <row r="109">
          <cell r="B109" t="str">
            <v>Frente Gastos Generales</v>
          </cell>
        </row>
        <row r="110">
          <cell r="A110">
            <v>1</v>
          </cell>
          <cell r="B110" t="str">
            <v>No aplica</v>
          </cell>
          <cell r="D110">
            <v>241.17</v>
          </cell>
          <cell r="G110">
            <v>383.64</v>
          </cell>
          <cell r="H110">
            <v>624.80999999999995</v>
          </cell>
        </row>
        <row r="111">
          <cell r="A111">
            <v>101</v>
          </cell>
          <cell r="B111" t="str">
            <v>Movilización y desmovilización</v>
          </cell>
          <cell r="G111">
            <v>1492.75</v>
          </cell>
          <cell r="H111">
            <v>1492.75</v>
          </cell>
        </row>
        <row r="112">
          <cell r="A112">
            <v>102</v>
          </cell>
          <cell r="B112" t="str">
            <v>Campamentos</v>
          </cell>
          <cell r="D112">
            <v>18438.150000000001</v>
          </cell>
          <cell r="H112">
            <v>18438.150000000001</v>
          </cell>
        </row>
        <row r="113">
          <cell r="A113">
            <v>206</v>
          </cell>
          <cell r="B113" t="str">
            <v>Rellenos masivos</v>
          </cell>
          <cell r="G113">
            <v>5.88</v>
          </cell>
          <cell r="H113">
            <v>5.88</v>
          </cell>
        </row>
        <row r="114">
          <cell r="A114">
            <v>208</v>
          </cell>
          <cell r="B114" t="str">
            <v>Transporte en general</v>
          </cell>
          <cell r="G114">
            <v>197.5</v>
          </cell>
          <cell r="H114">
            <v>197.5</v>
          </cell>
        </row>
        <row r="115">
          <cell r="A115">
            <v>9502</v>
          </cell>
          <cell r="B115" t="str">
            <v>CEQ</v>
          </cell>
          <cell r="G115">
            <v>1570.05</v>
          </cell>
          <cell r="H115">
            <v>1570.05</v>
          </cell>
        </row>
        <row r="116">
          <cell r="A116">
            <v>9508</v>
          </cell>
          <cell r="B116" t="str">
            <v xml:space="preserve">Sodexho </v>
          </cell>
          <cell r="C116">
            <v>1388</v>
          </cell>
          <cell r="H116">
            <v>1388</v>
          </cell>
        </row>
        <row r="117">
          <cell r="A117">
            <v>9901</v>
          </cell>
          <cell r="B117" t="str">
            <v>Sueldos personal dirección</v>
          </cell>
          <cell r="G117">
            <v>644296.97</v>
          </cell>
          <cell r="H117">
            <v>644296.97</v>
          </cell>
        </row>
        <row r="118">
          <cell r="A118">
            <v>9902</v>
          </cell>
          <cell r="B118" t="str">
            <v xml:space="preserve">Sueldos personal administrativo </v>
          </cell>
          <cell r="C118">
            <v>646.33000000000004</v>
          </cell>
          <cell r="D118">
            <v>109.24</v>
          </cell>
          <cell r="H118">
            <v>755.57</v>
          </cell>
        </row>
        <row r="119">
          <cell r="A119">
            <v>9903</v>
          </cell>
          <cell r="B119" t="str">
            <v>Sueldos personal apoyo administrativo</v>
          </cell>
          <cell r="C119">
            <v>3629.27</v>
          </cell>
          <cell r="G119">
            <v>1213.68</v>
          </cell>
          <cell r="H119">
            <v>4842.95</v>
          </cell>
        </row>
        <row r="120">
          <cell r="A120">
            <v>9904</v>
          </cell>
          <cell r="B120" t="str">
            <v xml:space="preserve">Sueldos personal apoyo campo </v>
          </cell>
          <cell r="C120">
            <v>84517.81</v>
          </cell>
          <cell r="D120">
            <v>112.53</v>
          </cell>
          <cell r="G120">
            <v>117045.99</v>
          </cell>
          <cell r="H120">
            <v>201676.33000000002</v>
          </cell>
        </row>
        <row r="121">
          <cell r="A121">
            <v>9905</v>
          </cell>
          <cell r="B121" t="str">
            <v>Sueldos personal PdR y GA</v>
          </cell>
          <cell r="C121">
            <v>1926.97</v>
          </cell>
          <cell r="D121">
            <v>48620.54</v>
          </cell>
          <cell r="E121">
            <v>573.24</v>
          </cell>
          <cell r="G121">
            <v>2905.61</v>
          </cell>
          <cell r="H121">
            <v>54026.36</v>
          </cell>
        </row>
        <row r="122">
          <cell r="A122">
            <v>9906</v>
          </cell>
          <cell r="B122" t="str">
            <v>Sueldos de operadores de equipo de apoyo</v>
          </cell>
          <cell r="C122">
            <v>17148.53</v>
          </cell>
          <cell r="G122">
            <v>2106.15</v>
          </cell>
          <cell r="H122">
            <v>19254.68</v>
          </cell>
        </row>
        <row r="123">
          <cell r="A123">
            <v>9907</v>
          </cell>
          <cell r="B123" t="str">
            <v>Equipos para transporte de persona</v>
          </cell>
          <cell r="C123">
            <v>4436.25</v>
          </cell>
          <cell r="D123">
            <v>13011</v>
          </cell>
          <cell r="E123">
            <v>65615.8</v>
          </cell>
          <cell r="F123">
            <v>91939.22</v>
          </cell>
          <cell r="G123">
            <v>83315.509999999995</v>
          </cell>
          <cell r="H123">
            <v>258317.78000000003</v>
          </cell>
        </row>
        <row r="124">
          <cell r="A124">
            <v>9908</v>
          </cell>
          <cell r="B124" t="str">
            <v>Equipos menores</v>
          </cell>
          <cell r="D124">
            <v>4426.01</v>
          </cell>
          <cell r="E124">
            <v>127216.06</v>
          </cell>
          <cell r="G124">
            <v>16638.849999999999</v>
          </cell>
          <cell r="H124">
            <v>148280.92000000001</v>
          </cell>
        </row>
        <row r="125">
          <cell r="A125">
            <v>9909</v>
          </cell>
          <cell r="B125" t="str">
            <v xml:space="preserve">Topografía </v>
          </cell>
          <cell r="C125">
            <v>14705.05</v>
          </cell>
          <cell r="D125">
            <v>3930.81</v>
          </cell>
          <cell r="F125">
            <v>278049.7</v>
          </cell>
          <cell r="H125">
            <v>296685.56</v>
          </cell>
        </row>
        <row r="126">
          <cell r="A126">
            <v>9910</v>
          </cell>
          <cell r="B126" t="str">
            <v>Control de calidad</v>
          </cell>
          <cell r="F126">
            <v>90737.31</v>
          </cell>
          <cell r="H126">
            <v>90737.31</v>
          </cell>
        </row>
        <row r="127">
          <cell r="A127">
            <v>9911</v>
          </cell>
          <cell r="B127" t="str">
            <v>Alimentación y viáticos de personal staff</v>
          </cell>
          <cell r="C127">
            <v>76122</v>
          </cell>
          <cell r="D127">
            <v>2244.8000000000002</v>
          </cell>
          <cell r="E127">
            <v>14.29</v>
          </cell>
          <cell r="F127">
            <v>12399.12</v>
          </cell>
          <cell r="G127">
            <v>55178.54</v>
          </cell>
          <cell r="H127">
            <v>145958.75</v>
          </cell>
        </row>
        <row r="128">
          <cell r="A128">
            <v>9912</v>
          </cell>
          <cell r="B128" t="str">
            <v>Campamento personal staff y oficina</v>
          </cell>
          <cell r="D128">
            <v>42694.38</v>
          </cell>
          <cell r="E128">
            <v>53469.35</v>
          </cell>
          <cell r="F128">
            <v>4146.8999999999996</v>
          </cell>
          <cell r="G128">
            <v>46532.3</v>
          </cell>
          <cell r="H128">
            <v>146842.93</v>
          </cell>
        </row>
        <row r="129">
          <cell r="A129">
            <v>9913</v>
          </cell>
          <cell r="B129" t="str">
            <v>Servicios</v>
          </cell>
          <cell r="D129">
            <v>33646</v>
          </cell>
          <cell r="E129">
            <v>704.03</v>
          </cell>
          <cell r="F129">
            <v>272880.05</v>
          </cell>
          <cell r="G129">
            <v>58081.27</v>
          </cell>
          <cell r="H129">
            <v>365311.35</v>
          </cell>
        </row>
        <row r="130">
          <cell r="A130">
            <v>9914</v>
          </cell>
          <cell r="B130" t="str">
            <v>Exámenes médicos staff</v>
          </cell>
          <cell r="D130">
            <v>257.56</v>
          </cell>
          <cell r="G130">
            <v>31021.53</v>
          </cell>
          <cell r="H130">
            <v>31279.09</v>
          </cell>
        </row>
        <row r="131">
          <cell r="A131">
            <v>9915</v>
          </cell>
          <cell r="B131" t="str">
            <v>Seguros / cartas fianzas / gastos financieros</v>
          </cell>
          <cell r="G131">
            <v>10042.540000000001</v>
          </cell>
          <cell r="H131">
            <v>10042.540000000001</v>
          </cell>
        </row>
        <row r="132">
          <cell r="A132">
            <v>9916</v>
          </cell>
          <cell r="B132" t="str">
            <v>Economato</v>
          </cell>
          <cell r="D132">
            <v>21120.5</v>
          </cell>
          <cell r="G132">
            <v>20584.080000000002</v>
          </cell>
          <cell r="H132">
            <v>41704.58</v>
          </cell>
        </row>
        <row r="133">
          <cell r="A133">
            <v>9917</v>
          </cell>
          <cell r="B133" t="str">
            <v>Gastos de soporte de oficina principal</v>
          </cell>
          <cell r="G133">
            <v>68372.41</v>
          </cell>
          <cell r="H133">
            <v>68372.41</v>
          </cell>
        </row>
        <row r="134">
          <cell r="A134">
            <v>9918</v>
          </cell>
          <cell r="B134" t="str">
            <v>Licencias y trámites municipales</v>
          </cell>
          <cell r="G134">
            <v>6705.38</v>
          </cell>
          <cell r="H134">
            <v>6705.38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pto"/>
      <sheetName val="Ppto Contractual"/>
      <sheetName val="Summary Rev01"/>
      <sheetName val="Ppto Rev01"/>
      <sheetName val="Ppto con Detalle"/>
      <sheetName val="Parciales"/>
      <sheetName val="Analisis P.U."/>
      <sheetName val="Costos Unitarios"/>
      <sheetName val="Partidas de Control"/>
      <sheetName val="Indicador"/>
      <sheetName val="LLuvias"/>
      <sheetName val="DATOS"/>
      <sheetName val="3W AS BUILT (REAL)"/>
      <sheetName val="Summary_Ppto"/>
      <sheetName val="Ppto_Contractual"/>
      <sheetName val="Summary_Rev01"/>
      <sheetName val="Ppto_Rev01"/>
      <sheetName val="Ppto_con_Detalle"/>
      <sheetName val="Analisis_P_U_"/>
      <sheetName val="Costos_Unitarios"/>
      <sheetName val="Partidas_de_Control"/>
      <sheetName val="3W_AS_BUILT_(REAL)"/>
      <sheetName val="Basis"/>
      <sheetName val="Original"/>
      <sheetName val="desb"/>
      <sheetName val="Summary_Ppto1"/>
      <sheetName val="Ppto_Contractual1"/>
      <sheetName val="Summary_Rev011"/>
      <sheetName val="Ppto_Rev011"/>
      <sheetName val="Ppto_con_Detalle1"/>
      <sheetName val="Analisis_P_U_1"/>
      <sheetName val="Costos_Unitarios1"/>
      <sheetName val="Partidas_de_Control1"/>
      <sheetName val="3W_AS_BUILT_(REAL)1"/>
      <sheetName val="PPTO x PC"/>
      <sheetName val="IP"/>
      <sheetName val="IP_MANO_DE_OBRA_STEP_04B"/>
      <sheetName val="LISTADO DE MINAS"/>
      <sheetName val="Datos-No imprimir"/>
      <sheetName val="Hoja1"/>
      <sheetName val="Summary_Ppto2"/>
      <sheetName val="Ppto_Contractual2"/>
      <sheetName val="Summary_Rev012"/>
      <sheetName val="Ppto_Rev012"/>
      <sheetName val="Ppto_con_Detalle2"/>
      <sheetName val="Analisis_P_U_2"/>
      <sheetName val="Costos_Unitarios2"/>
      <sheetName val="Partidas_de_Control2"/>
      <sheetName val="3W_AS_BUILT_(REAL)2"/>
      <sheetName val="Summary_Ppto3"/>
      <sheetName val="Ppto_Contractual3"/>
      <sheetName val="Summary_Rev013"/>
      <sheetName val="Ppto_Rev013"/>
      <sheetName val="Ppto_con_Detalle3"/>
      <sheetName val="Analisis_P_U_3"/>
      <sheetName val="Costos_Unitarios3"/>
      <sheetName val="Partidas_de_Control3"/>
      <sheetName val="3W_AS_BUILT_(REAL)3"/>
      <sheetName val="Datos-No_imprimir"/>
      <sheetName val="Comparativa"/>
      <sheetName val="(8) HH OPERADORES"/>
      <sheetName val="Precios"/>
      <sheetName val="Hoja2"/>
      <sheetName val="RESUMEN"/>
      <sheetName val="bech_lab"/>
      <sheetName val="f-05"/>
      <sheetName val="SH A 9 y 10"/>
      <sheetName val="sup.egr"/>
      <sheetName val="Sheet1"/>
      <sheetName val="Prime"/>
      <sheetName val="INST"/>
      <sheetName val="Quantity"/>
      <sheetName val="Summary_Ppto5"/>
      <sheetName val="Ppto_Contractual5"/>
      <sheetName val="Summary_Rev015"/>
      <sheetName val="Ppto_Rev015"/>
      <sheetName val="Ppto_con_Detalle5"/>
      <sheetName val="Analisis_P_U_5"/>
      <sheetName val="Costos_Unitarios5"/>
      <sheetName val="Partidas_de_Control5"/>
      <sheetName val="Summary_Ppto4"/>
      <sheetName val="Ppto_Contractual4"/>
      <sheetName val="Summary_Rev014"/>
      <sheetName val="Ppto_Rev014"/>
      <sheetName val="Ppto_con_Detalle4"/>
      <sheetName val="Analisis_P_U_4"/>
      <sheetName val="Costos_Unitarios4"/>
      <sheetName val="Partidas_de_Control4"/>
      <sheetName val="Summary_Ppto6"/>
      <sheetName val="Ppto_Contractual6"/>
      <sheetName val="Summary_Rev016"/>
      <sheetName val="Ppto_Rev016"/>
      <sheetName val="Ppto_con_Detalle6"/>
      <sheetName val="Analisis_P_U_6"/>
      <sheetName val="Costos_Unitarios6"/>
      <sheetName val="Partidas_de_Control6"/>
      <sheetName val="Summary_Ppto7"/>
      <sheetName val="Ppto_Contractual7"/>
      <sheetName val="Summary_Rev017"/>
      <sheetName val="Ppto_Rev017"/>
      <sheetName val="Ppto_con_Detalle7"/>
      <sheetName val="Analisis_P_U_7"/>
      <sheetName val="Costos_Unitarios7"/>
      <sheetName val="Partidas_de_Control7"/>
      <sheetName val="Summary_Ppto8"/>
      <sheetName val="Ppto_Contractual8"/>
      <sheetName val="Summary_Rev018"/>
      <sheetName val="Ppto_Rev018"/>
      <sheetName val="Ppto_con_Detalle8"/>
      <sheetName val="Analisis_P_U_8"/>
      <sheetName val="Costos_Unitarios8"/>
      <sheetName val="Partidas_de_Control8"/>
      <sheetName val="Summary_Ppto9"/>
      <sheetName val="Ppto_Contractual9"/>
      <sheetName val="Summary_Rev019"/>
      <sheetName val="Ppto_Rev019"/>
      <sheetName val="Ppto_con_Detalle9"/>
      <sheetName val="Analisis_P_U_9"/>
      <sheetName val="Costos_Unitarios9"/>
      <sheetName val="Partidas_de_Control9"/>
      <sheetName val="Summary_Ppto10"/>
      <sheetName val="Ppto_Contractual10"/>
      <sheetName val="Summary_Rev0110"/>
      <sheetName val="Ppto_Rev0110"/>
      <sheetName val="Ppto_con_Detalle10"/>
      <sheetName val="Analisis_P_U_10"/>
      <sheetName val="Costos_Unitarios10"/>
      <sheetName val="Partidas_de_Control10"/>
      <sheetName val="Summary_Ppto11"/>
      <sheetName val="Ppto_Contractual11"/>
      <sheetName val="Summary_Rev0111"/>
      <sheetName val="Ppto_Rev0111"/>
      <sheetName val="Ppto_con_Detalle11"/>
      <sheetName val="Analisis_P_U_11"/>
      <sheetName val="Costos_Unitarios11"/>
      <sheetName val="Partidas_de_Control11"/>
      <sheetName val="3W_AS_BUILT_(REAL)4"/>
      <sheetName val="Datos-No_imprimir1"/>
      <sheetName val="LISTADO_DE_MINAS"/>
      <sheetName val="PPTO_x_PC"/>
      <sheetName val="(8)_HH_OPERADORES"/>
    </sheetNames>
    <sheetDataSet>
      <sheetData sheetId="0">
        <row r="39">
          <cell r="A39" t="str">
            <v>2.0.1</v>
          </cell>
        </row>
      </sheetData>
      <sheetData sheetId="1">
        <row r="39">
          <cell r="A39" t="str">
            <v>2.0.1</v>
          </cell>
        </row>
      </sheetData>
      <sheetData sheetId="2">
        <row r="39">
          <cell r="A39" t="str">
            <v>2.0.1</v>
          </cell>
        </row>
      </sheetData>
      <sheetData sheetId="3">
        <row r="39">
          <cell r="A39" t="str">
            <v>2.0.1</v>
          </cell>
        </row>
      </sheetData>
      <sheetData sheetId="4" refreshError="1">
        <row r="6">
          <cell r="D6">
            <v>0</v>
          </cell>
        </row>
        <row r="39">
          <cell r="A39" t="str">
            <v>2.0.1</v>
          </cell>
          <cell r="B39" t="str">
            <v>Maintain Temporary Erosion, Sediment and Storm Water Control for Construction</v>
          </cell>
          <cell r="C39" t="str">
            <v xml:space="preserve">LS </v>
          </cell>
          <cell r="D39">
            <v>1</v>
          </cell>
          <cell r="F39">
            <v>20074.005127392029</v>
          </cell>
          <cell r="G39">
            <v>69048.7376367369</v>
          </cell>
          <cell r="H39">
            <v>83053.332213852991</v>
          </cell>
          <cell r="I39">
            <v>4500.0011494103883</v>
          </cell>
          <cell r="J39">
            <v>0</v>
          </cell>
          <cell r="L39">
            <v>156602.07</v>
          </cell>
          <cell r="M39">
            <v>156602.07</v>
          </cell>
        </row>
        <row r="40">
          <cell r="A40" t="str">
            <v>M01</v>
          </cell>
          <cell r="B40" t="str">
            <v>Implementación del PMA</v>
          </cell>
          <cell r="C40" t="str">
            <v>mes</v>
          </cell>
          <cell r="D40">
            <v>1</v>
          </cell>
          <cell r="E40">
            <v>1.0000002554245306</v>
          </cell>
          <cell r="F40">
            <v>6250</v>
          </cell>
          <cell r="G40">
            <v>21532.5</v>
          </cell>
          <cell r="H40">
            <v>39853.5</v>
          </cell>
          <cell r="I40">
            <v>4500</v>
          </cell>
          <cell r="J40">
            <v>0</v>
          </cell>
          <cell r="K40">
            <v>65886</v>
          </cell>
          <cell r="L40">
            <v>65886.016828900625</v>
          </cell>
          <cell r="M40">
            <v>65886.016828900625</v>
          </cell>
        </row>
        <row r="41">
          <cell r="A41" t="str">
            <v>M02</v>
          </cell>
          <cell r="B41" t="str">
            <v>Mantenimiento de erosión, sedimentación en tiempo de sequía</v>
          </cell>
          <cell r="C41" t="str">
            <v>mes</v>
          </cell>
          <cell r="D41">
            <v>5.4</v>
          </cell>
          <cell r="E41">
            <v>1.0000002554245306</v>
          </cell>
          <cell r="F41">
            <v>2560</v>
          </cell>
          <cell r="G41">
            <v>8799.2999999999993</v>
          </cell>
          <cell r="H41">
            <v>7999.9650000000001</v>
          </cell>
          <cell r="I41">
            <v>0</v>
          </cell>
          <cell r="J41">
            <v>0</v>
          </cell>
          <cell r="K41">
            <v>16799.264999999999</v>
          </cell>
          <cell r="L41">
            <v>16799.269290944376</v>
          </cell>
          <cell r="M41">
            <v>90716.054171099633</v>
          </cell>
        </row>
        <row r="42">
          <cell r="A42" t="str">
            <v>2.0.2</v>
          </cell>
          <cell r="B42" t="str">
            <v>Maintain Topsoil and Unsuitable Stockpiles</v>
          </cell>
          <cell r="C42" t="str">
            <v xml:space="preserve">LS </v>
          </cell>
          <cell r="D42">
            <v>1</v>
          </cell>
          <cell r="F42">
            <v>3520.216960036732</v>
          </cell>
          <cell r="G42">
            <v>15807.559250443268</v>
          </cell>
          <cell r="H42">
            <v>103120.68867271335</v>
          </cell>
          <cell r="I42">
            <v>0</v>
          </cell>
          <cell r="J42">
            <v>0</v>
          </cell>
          <cell r="L42">
            <v>118928.25</v>
          </cell>
          <cell r="M42">
            <v>118928.25</v>
          </cell>
        </row>
        <row r="43">
          <cell r="A43" t="str">
            <v>M03</v>
          </cell>
          <cell r="B43" t="str">
            <v>Mantenimiento de botadero de Unsuitable</v>
          </cell>
          <cell r="C43" t="str">
            <v>m3</v>
          </cell>
          <cell r="D43">
            <v>157088.7892917</v>
          </cell>
          <cell r="E43">
            <v>0.6</v>
          </cell>
          <cell r="F43">
            <v>2.7500000000000004E-2</v>
          </cell>
          <cell r="G43">
            <v>0.11835</v>
          </cell>
          <cell r="H43">
            <v>0.71490949999999998</v>
          </cell>
          <cell r="I43">
            <v>0</v>
          </cell>
          <cell r="J43">
            <v>0</v>
          </cell>
          <cell r="K43">
            <v>0.83325949999999993</v>
          </cell>
          <cell r="L43">
            <v>0.49995569999999995</v>
          </cell>
          <cell r="M43">
            <v>78537.435612484376</v>
          </cell>
        </row>
        <row r="44">
          <cell r="A44" t="str">
            <v>M04</v>
          </cell>
          <cell r="B44" t="str">
            <v>Maintain and Reclaim Topsoil Stockpile During Construction</v>
          </cell>
          <cell r="C44" t="str">
            <v>m3</v>
          </cell>
          <cell r="D44">
            <v>157088.7892917</v>
          </cell>
          <cell r="E44">
            <v>0.4</v>
          </cell>
          <cell r="F44">
            <v>1.4772727272727272E-2</v>
          </cell>
          <cell r="G44">
            <v>7.4045454545454997E-2</v>
          </cell>
          <cell r="H44">
            <v>0.568756818181819</v>
          </cell>
          <cell r="I44">
            <v>0</v>
          </cell>
          <cell r="J44">
            <v>0</v>
          </cell>
          <cell r="K44">
            <v>0.64280227272727397</v>
          </cell>
          <cell r="L44">
            <v>0.25712090909090962</v>
          </cell>
          <cell r="M44">
            <v>40390.812310672249</v>
          </cell>
        </row>
        <row r="45">
          <cell r="A45" t="str">
            <v>2.01</v>
          </cell>
          <cell r="B45" t="str">
            <v>HAUL ROAD - PRIMARY CRUSHER TO TRUCK SHOP</v>
          </cell>
        </row>
        <row r="46">
          <cell r="A46" t="str">
            <v>2.01.a</v>
          </cell>
          <cell r="B46" t="str">
            <v>Clear and Grub</v>
          </cell>
          <cell r="C46" t="str">
            <v xml:space="preserve">Ls </v>
          </cell>
          <cell r="D46">
            <v>0</v>
          </cell>
        </row>
        <row r="47">
          <cell r="A47" t="str">
            <v>2.01.b</v>
          </cell>
          <cell r="B47" t="str">
            <v>Cut unsuitable soil to waste (includes organic soil)</v>
          </cell>
          <cell r="C47" t="str">
            <v>m3</v>
          </cell>
          <cell r="D47">
            <v>4400</v>
          </cell>
          <cell r="F47">
            <v>351.3855311355311</v>
          </cell>
          <cell r="G47">
            <v>0.41669120879120874</v>
          </cell>
          <cell r="H47">
            <v>2.8034478388278381</v>
          </cell>
          <cell r="I47">
            <v>0</v>
          </cell>
          <cell r="J47">
            <v>0</v>
          </cell>
          <cell r="L47">
            <v>3.22</v>
          </cell>
          <cell r="M47">
            <v>14168</v>
          </cell>
        </row>
        <row r="48">
          <cell r="A48" t="str">
            <v>A01</v>
          </cell>
          <cell r="B48" t="str">
            <v>Excavación de Topsoil y Unsuitable (e&gt;1m)</v>
          </cell>
          <cell r="C48" t="str">
            <v>m3</v>
          </cell>
          <cell r="D48">
            <v>4400</v>
          </cell>
          <cell r="E48">
            <v>1</v>
          </cell>
          <cell r="F48">
            <v>1.7142857142857144E-2</v>
          </cell>
          <cell r="G48">
            <v>8.5542857142857004E-2</v>
          </cell>
          <cell r="H48">
            <v>0.81924857142857199</v>
          </cell>
          <cell r="I48">
            <v>0</v>
          </cell>
          <cell r="J48">
            <v>0</v>
          </cell>
          <cell r="K48">
            <v>0.90479142857142902</v>
          </cell>
          <cell r="L48">
            <v>0.90479142857142902</v>
          </cell>
          <cell r="M48">
            <v>3981.0822857142875</v>
          </cell>
        </row>
        <row r="49">
          <cell r="A49" t="str">
            <v>A02</v>
          </cell>
          <cell r="B49" t="str">
            <v>Excavación de Topsoil y Unsuitable (e&lt;1m)</v>
          </cell>
          <cell r="C49" t="str">
            <v>m3</v>
          </cell>
          <cell r="D49">
            <v>0</v>
          </cell>
          <cell r="F49">
            <v>1.4285714285714285E-2</v>
          </cell>
          <cell r="G49">
            <v>6.9214285714286006E-2</v>
          </cell>
          <cell r="H49">
            <v>0.57488928571428499</v>
          </cell>
          <cell r="I49">
            <v>0</v>
          </cell>
          <cell r="J49">
            <v>0</v>
          </cell>
          <cell r="K49">
            <v>0.644103571428571</v>
          </cell>
          <cell r="L49">
            <v>0</v>
          </cell>
          <cell r="M49">
            <v>0</v>
          </cell>
        </row>
        <row r="50">
          <cell r="A50" t="str">
            <v>A03</v>
          </cell>
          <cell r="B50" t="str">
            <v>Carguío de Topsoil &amp; Unsuitable con excavadora</v>
          </cell>
          <cell r="C50" t="str">
            <v>m3</v>
          </cell>
          <cell r="D50">
            <v>4400</v>
          </cell>
          <cell r="E50">
            <v>1</v>
          </cell>
          <cell r="F50">
            <v>1.3461538461538462E-2</v>
          </cell>
          <cell r="G50">
            <v>7.1076923076922996E-2</v>
          </cell>
          <cell r="H50">
            <v>0.70142307692307704</v>
          </cell>
          <cell r="I50">
            <v>0</v>
          </cell>
          <cell r="J50">
            <v>0</v>
          </cell>
          <cell r="K50">
            <v>0.77250000000000008</v>
          </cell>
          <cell r="L50">
            <v>0.77250000000000008</v>
          </cell>
          <cell r="M50">
            <v>3399.0000000000005</v>
          </cell>
        </row>
        <row r="51">
          <cell r="A51" t="str">
            <v>A04</v>
          </cell>
          <cell r="B51" t="str">
            <v>Acarreo d&lt;1km (sin esponj)</v>
          </cell>
          <cell r="C51" t="str">
            <v>m3</v>
          </cell>
          <cell r="D51">
            <v>4400</v>
          </cell>
          <cell r="E51">
            <v>1.5</v>
          </cell>
          <cell r="F51">
            <v>1.9444444444444441E-2</v>
          </cell>
          <cell r="G51">
            <v>0.102666666666667</v>
          </cell>
          <cell r="H51">
            <v>0.50555555555555498</v>
          </cell>
          <cell r="I51">
            <v>0</v>
          </cell>
          <cell r="J51">
            <v>0</v>
          </cell>
          <cell r="K51">
            <v>0.608222222222222</v>
          </cell>
          <cell r="L51">
            <v>0.912333333333333</v>
          </cell>
          <cell r="M51">
            <v>4014.2666666666651</v>
          </cell>
        </row>
        <row r="52">
          <cell r="A52" t="str">
            <v>A05</v>
          </cell>
          <cell r="B52" t="str">
            <v>Sobreacarreo (d&gt;1km) (sin esponj)</v>
          </cell>
          <cell r="C52" t="str">
            <v>m3-km</v>
          </cell>
          <cell r="D52">
            <v>6600</v>
          </cell>
          <cell r="E52">
            <v>1.5</v>
          </cell>
          <cell r="F52">
            <v>8.9285714285714263E-3</v>
          </cell>
          <cell r="G52">
            <v>4.7142857142857E-2</v>
          </cell>
          <cell r="H52">
            <v>0.23308571428571401</v>
          </cell>
          <cell r="I52">
            <v>0</v>
          </cell>
          <cell r="J52">
            <v>0</v>
          </cell>
          <cell r="K52">
            <v>0.28022857142857105</v>
          </cell>
          <cell r="L52">
            <v>0.42034285714285657</v>
          </cell>
          <cell r="M52">
            <v>2774.2628571428536</v>
          </cell>
        </row>
        <row r="53">
          <cell r="A53" t="str">
            <v>2.01.c</v>
          </cell>
          <cell r="B53" t="str">
            <v>Cut and Fill Soil or Ripable Rock, within sub-Item work zone</v>
          </cell>
          <cell r="C53" t="str">
            <v>m3</v>
          </cell>
          <cell r="D53">
            <v>18000</v>
          </cell>
          <cell r="F53">
            <v>1712.625</v>
          </cell>
          <cell r="G53">
            <v>0.48207906249999999</v>
          </cell>
          <cell r="H53">
            <v>3.8518712197916707</v>
          </cell>
          <cell r="I53">
            <v>0</v>
          </cell>
          <cell r="J53">
            <v>0</v>
          </cell>
          <cell r="L53">
            <v>4.33</v>
          </cell>
          <cell r="M53">
            <v>77940</v>
          </cell>
        </row>
        <row r="54">
          <cell r="A54" t="str">
            <v>A06</v>
          </cell>
          <cell r="B54" t="str">
            <v>Excavación de roca ripeable</v>
          </cell>
          <cell r="C54" t="str">
            <v>m3</v>
          </cell>
          <cell r="D54">
            <v>18000</v>
          </cell>
          <cell r="E54">
            <v>1.1499999999999999</v>
          </cell>
          <cell r="F54">
            <v>3.3333333333333333E-2</v>
          </cell>
          <cell r="G54">
            <v>0.16439999999999999</v>
          </cell>
          <cell r="H54">
            <v>1.5519306666666701</v>
          </cell>
          <cell r="I54">
            <v>0</v>
          </cell>
          <cell r="J54">
            <v>0</v>
          </cell>
          <cell r="K54">
            <v>1.7163306666666702</v>
          </cell>
          <cell r="L54">
            <v>1.9737802666666706</v>
          </cell>
          <cell r="M54">
            <v>35528.044800000069</v>
          </cell>
        </row>
        <row r="55">
          <cell r="A55" t="str">
            <v>A07</v>
          </cell>
          <cell r="B55" t="str">
            <v>Empuje de material d&lt;60m</v>
          </cell>
          <cell r="C55" t="str">
            <v>m3</v>
          </cell>
          <cell r="D55">
            <v>18000</v>
          </cell>
          <cell r="E55">
            <v>1.145</v>
          </cell>
          <cell r="F55">
            <v>1.2500000000000001E-2</v>
          </cell>
          <cell r="G55">
            <v>6.0562499999999998E-2</v>
          </cell>
          <cell r="H55">
            <v>0.50302812500000005</v>
          </cell>
          <cell r="I55">
            <v>0</v>
          </cell>
          <cell r="J55">
            <v>0</v>
          </cell>
          <cell r="K55">
            <v>0.56359062500000001</v>
          </cell>
          <cell r="L55">
            <v>0.64531126562500007</v>
          </cell>
          <cell r="M55">
            <v>11615.602781250001</v>
          </cell>
        </row>
        <row r="56">
          <cell r="A56" t="str">
            <v>A08</v>
          </cell>
          <cell r="B56" t="str">
            <v>Relleno masivo compactado</v>
          </cell>
          <cell r="C56" t="str">
            <v>m3</v>
          </cell>
          <cell r="D56">
            <v>18000</v>
          </cell>
          <cell r="E56">
            <v>1</v>
          </cell>
          <cell r="F56">
            <v>4.2499999999999996E-2</v>
          </cell>
          <cell r="G56">
            <v>0.22367500000000001</v>
          </cell>
          <cell r="H56">
            <v>1.49118375</v>
          </cell>
          <cell r="I56">
            <v>0</v>
          </cell>
          <cell r="J56">
            <v>0</v>
          </cell>
          <cell r="K56">
            <v>1.7148587500000001</v>
          </cell>
          <cell r="L56">
            <v>1.7148587500000001</v>
          </cell>
          <cell r="M56">
            <v>30867.4575</v>
          </cell>
        </row>
        <row r="57">
          <cell r="A57" t="str">
            <v>2.01.d</v>
          </cell>
          <cell r="B57" t="str">
            <v xml:space="preserve">Cut and Dispose Soil or Ripable Rock to Waste Rock Disposal Site </v>
          </cell>
          <cell r="C57" t="str">
            <v>m3</v>
          </cell>
          <cell r="D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</v>
          </cell>
          <cell r="M57">
            <v>0</v>
          </cell>
        </row>
        <row r="58">
          <cell r="A58" t="str">
            <v>A06</v>
          </cell>
          <cell r="B58" t="str">
            <v>Excavación de roca ripeable</v>
          </cell>
          <cell r="C58" t="str">
            <v>m3</v>
          </cell>
          <cell r="D58">
            <v>0</v>
          </cell>
          <cell r="F58">
            <v>3.3333333333333333E-2</v>
          </cell>
          <cell r="G58">
            <v>0.16439999999999999</v>
          </cell>
          <cell r="H58">
            <v>1.5519306666666701</v>
          </cell>
          <cell r="I58">
            <v>0</v>
          </cell>
          <cell r="J58">
            <v>0</v>
          </cell>
          <cell r="K58">
            <v>1.7163306666666702</v>
          </cell>
          <cell r="L58">
            <v>0</v>
          </cell>
          <cell r="M58">
            <v>0</v>
          </cell>
        </row>
        <row r="59">
          <cell r="A59" t="str">
            <v>A09</v>
          </cell>
          <cell r="B59" t="str">
            <v>Carguío de material común &amp; roca ripeable con excavadora</v>
          </cell>
          <cell r="C59" t="str">
            <v>m3</v>
          </cell>
          <cell r="D59">
            <v>0</v>
          </cell>
          <cell r="F59">
            <v>8.0000000000000002E-3</v>
          </cell>
          <cell r="G59">
            <v>4.224E-2</v>
          </cell>
          <cell r="H59">
            <v>0.57259199999999999</v>
          </cell>
          <cell r="I59">
            <v>0</v>
          </cell>
          <cell r="J59">
            <v>0</v>
          </cell>
          <cell r="K59">
            <v>0.61483199999999993</v>
          </cell>
          <cell r="L59">
            <v>0</v>
          </cell>
          <cell r="M59">
            <v>0</v>
          </cell>
        </row>
        <row r="60">
          <cell r="A60" t="str">
            <v>A10</v>
          </cell>
          <cell r="B60" t="str">
            <v>Extendido de roca en botadero</v>
          </cell>
          <cell r="C60" t="str">
            <v>m3</v>
          </cell>
          <cell r="D60">
            <v>0</v>
          </cell>
          <cell r="F60">
            <v>3.5714285714285713E-3</v>
          </cell>
          <cell r="G60">
            <v>1.8857142857142999E-2</v>
          </cell>
          <cell r="H60">
            <v>0.14619285714285699</v>
          </cell>
          <cell r="I60">
            <v>0</v>
          </cell>
          <cell r="J60">
            <v>0</v>
          </cell>
          <cell r="K60">
            <v>0.16504999999999997</v>
          </cell>
          <cell r="L60">
            <v>0</v>
          </cell>
          <cell r="M60">
            <v>0</v>
          </cell>
        </row>
        <row r="61">
          <cell r="A61" t="str">
            <v>A04</v>
          </cell>
          <cell r="B61" t="str">
            <v>Acarreo d&lt;1km (sin esponj)</v>
          </cell>
          <cell r="C61" t="str">
            <v>m3</v>
          </cell>
          <cell r="D61">
            <v>0</v>
          </cell>
          <cell r="F61">
            <v>1.9444444444444441E-2</v>
          </cell>
          <cell r="G61">
            <v>0.102666666666667</v>
          </cell>
          <cell r="H61">
            <v>0.50555555555555498</v>
          </cell>
          <cell r="I61">
            <v>0</v>
          </cell>
          <cell r="J61">
            <v>0</v>
          </cell>
          <cell r="K61">
            <v>0.608222222222222</v>
          </cell>
          <cell r="L61">
            <v>0</v>
          </cell>
          <cell r="M61">
            <v>0</v>
          </cell>
        </row>
        <row r="62">
          <cell r="A62" t="str">
            <v>A05</v>
          </cell>
          <cell r="B62" t="str">
            <v>Sobreacarreo (d&gt;1km) (sin esponj)</v>
          </cell>
          <cell r="C62" t="str">
            <v>m3-km</v>
          </cell>
          <cell r="D62">
            <v>0</v>
          </cell>
          <cell r="F62">
            <v>8.9285714285714263E-3</v>
          </cell>
          <cell r="G62">
            <v>4.7142857142857E-2</v>
          </cell>
          <cell r="H62">
            <v>0.23308571428571401</v>
          </cell>
          <cell r="I62">
            <v>0</v>
          </cell>
          <cell r="J62">
            <v>0</v>
          </cell>
          <cell r="K62">
            <v>0.28022857142857105</v>
          </cell>
          <cell r="L62">
            <v>0</v>
          </cell>
          <cell r="M62">
            <v>0</v>
          </cell>
        </row>
        <row r="63">
          <cell r="A63" t="str">
            <v>2.01.e</v>
          </cell>
          <cell r="B63" t="str">
            <v>Drill and blast bulk rock (without limit on thickness, broken to fine or coarse fragments as required depending on end-use. Applies to locations other than trenches and ditches).</v>
          </cell>
          <cell r="C63" t="str">
            <v>m3</v>
          </cell>
          <cell r="D63">
            <v>204000</v>
          </cell>
          <cell r="F63">
            <v>15643.390144927538</v>
          </cell>
          <cell r="G63">
            <v>0</v>
          </cell>
          <cell r="H63">
            <v>0</v>
          </cell>
          <cell r="I63">
            <v>0</v>
          </cell>
          <cell r="J63">
            <v>2.8088940000000004</v>
          </cell>
          <cell r="L63">
            <v>2.81</v>
          </cell>
          <cell r="M63">
            <v>573240</v>
          </cell>
        </row>
        <row r="64">
          <cell r="A64" t="str">
            <v>A11</v>
          </cell>
          <cell r="B64" t="str">
            <v>Perforación y voladura masiva (material fino)</v>
          </cell>
          <cell r="C64" t="str">
            <v>m3</v>
          </cell>
          <cell r="D64">
            <v>204000</v>
          </cell>
          <cell r="E64">
            <v>0.28930000000000006</v>
          </cell>
          <cell r="F64">
            <v>7.4718196457326899E-2</v>
          </cell>
          <cell r="G64">
            <v>0</v>
          </cell>
          <cell r="H64">
            <v>0</v>
          </cell>
          <cell r="I64">
            <v>0</v>
          </cell>
          <cell r="J64">
            <v>2.78</v>
          </cell>
          <cell r="K64">
            <v>2.78</v>
          </cell>
          <cell r="L64">
            <v>0.80425400000000014</v>
          </cell>
          <cell r="M64">
            <v>164067.81600000002</v>
          </cell>
        </row>
        <row r="65">
          <cell r="A65" t="str">
            <v>A12</v>
          </cell>
          <cell r="B65" t="str">
            <v>Perforación y voladura masiva (material grueso)</v>
          </cell>
          <cell r="C65" t="str">
            <v>m3</v>
          </cell>
          <cell r="D65">
            <v>204000</v>
          </cell>
          <cell r="E65">
            <v>0.73699999999999999</v>
          </cell>
          <cell r="F65">
            <v>7.4718196457326899E-2</v>
          </cell>
          <cell r="G65">
            <v>0</v>
          </cell>
          <cell r="H65">
            <v>0</v>
          </cell>
          <cell r="I65">
            <v>0</v>
          </cell>
          <cell r="J65">
            <v>2.72</v>
          </cell>
          <cell r="K65">
            <v>2.72</v>
          </cell>
          <cell r="L65">
            <v>2.0046400000000002</v>
          </cell>
          <cell r="M65">
            <v>408946.56000000006</v>
          </cell>
        </row>
        <row r="66">
          <cell r="A66" t="str">
            <v>2.01.f</v>
          </cell>
          <cell r="B66" t="str">
            <v xml:space="preserve">Excavate and Fill (fine blasted) broken rock  </v>
          </cell>
          <cell r="C66" t="str">
            <v>m3</v>
          </cell>
          <cell r="D66">
            <v>57000</v>
          </cell>
          <cell r="F66">
            <v>4853.55</v>
          </cell>
          <cell r="G66">
            <v>0.43414225000000006</v>
          </cell>
          <cell r="H66">
            <v>3.3577295125000002</v>
          </cell>
          <cell r="I66">
            <v>0</v>
          </cell>
          <cell r="J66">
            <v>0</v>
          </cell>
          <cell r="L66">
            <v>3.79</v>
          </cell>
          <cell r="M66">
            <v>216030</v>
          </cell>
        </row>
        <row r="67">
          <cell r="A67" t="str">
            <v>A13</v>
          </cell>
          <cell r="B67" t="str">
            <v>Remoción de Material fino volado</v>
          </cell>
          <cell r="C67" t="str">
            <v>m3</v>
          </cell>
          <cell r="D67">
            <v>57000</v>
          </cell>
          <cell r="E67">
            <v>1.1000000000000001</v>
          </cell>
          <cell r="F67">
            <v>2.4E-2</v>
          </cell>
          <cell r="G67">
            <v>0.11976000000000001</v>
          </cell>
          <cell r="H67">
            <v>1.1023720000000001</v>
          </cell>
          <cell r="I67">
            <v>0</v>
          </cell>
          <cell r="J67">
            <v>0</v>
          </cell>
          <cell r="K67">
            <v>1.2221320000000002</v>
          </cell>
          <cell r="L67">
            <v>1.3443452000000002</v>
          </cell>
          <cell r="M67">
            <v>76627.676400000011</v>
          </cell>
        </row>
        <row r="68">
          <cell r="A68" t="str">
            <v>A07</v>
          </cell>
          <cell r="B68" t="str">
            <v>Empuje de material d&lt;60m</v>
          </cell>
          <cell r="C68" t="str">
            <v>m3</v>
          </cell>
          <cell r="D68">
            <v>57000</v>
          </cell>
          <cell r="E68">
            <v>1.3</v>
          </cell>
          <cell r="F68">
            <v>1.2500000000000001E-2</v>
          </cell>
          <cell r="G68">
            <v>6.0562499999999998E-2</v>
          </cell>
          <cell r="H68">
            <v>0.50302812500000005</v>
          </cell>
          <cell r="I68">
            <v>0</v>
          </cell>
          <cell r="J68">
            <v>0</v>
          </cell>
          <cell r="K68">
            <v>0.56359062500000001</v>
          </cell>
          <cell r="L68">
            <v>0.73266781250000002</v>
          </cell>
          <cell r="M68">
            <v>41762.065312500003</v>
          </cell>
        </row>
        <row r="69">
          <cell r="A69" t="str">
            <v>A08</v>
          </cell>
          <cell r="B69" t="str">
            <v>Relleno masivo compactado</v>
          </cell>
          <cell r="C69" t="str">
            <v>m3</v>
          </cell>
          <cell r="D69">
            <v>57000</v>
          </cell>
          <cell r="E69">
            <v>1</v>
          </cell>
          <cell r="F69">
            <v>4.2499999999999996E-2</v>
          </cell>
          <cell r="G69">
            <v>0.22367500000000001</v>
          </cell>
          <cell r="H69">
            <v>1.49118375</v>
          </cell>
          <cell r="I69">
            <v>0</v>
          </cell>
          <cell r="J69">
            <v>0</v>
          </cell>
          <cell r="K69">
            <v>1.7148587500000001</v>
          </cell>
          <cell r="L69">
            <v>1.7148587500000001</v>
          </cell>
          <cell r="M69">
            <v>97746.94875000001</v>
          </cell>
        </row>
        <row r="70">
          <cell r="A70" t="str">
            <v>2.01.g</v>
          </cell>
          <cell r="B70" t="str">
            <v xml:space="preserve">Excavate (fine or coarse blasted) broken rock to Waste Rock Surplus Stockpile </v>
          </cell>
          <cell r="C70" t="str">
            <v>m3</v>
          </cell>
          <cell r="D70">
            <v>160000</v>
          </cell>
          <cell r="F70">
            <v>13238.459536820192</v>
          </cell>
          <cell r="G70">
            <v>0.42961916471506656</v>
          </cell>
          <cell r="H70">
            <v>3.0487144327348448</v>
          </cell>
          <cell r="I70">
            <v>0</v>
          </cell>
          <cell r="J70">
            <v>0</v>
          </cell>
          <cell r="L70">
            <v>3.48</v>
          </cell>
          <cell r="M70">
            <v>556800</v>
          </cell>
        </row>
        <row r="71">
          <cell r="A71" t="str">
            <v>A14</v>
          </cell>
          <cell r="B71" t="str">
            <v>Remoción de Material grueso volado</v>
          </cell>
          <cell r="C71" t="str">
            <v>m3</v>
          </cell>
          <cell r="D71">
            <v>160000</v>
          </cell>
          <cell r="E71">
            <v>1</v>
          </cell>
          <cell r="F71">
            <v>2.5000000000000001E-2</v>
          </cell>
          <cell r="G71">
            <v>0.12475</v>
          </cell>
          <cell r="H71">
            <v>1.11859166666667</v>
          </cell>
          <cell r="I71">
            <v>0</v>
          </cell>
          <cell r="J71">
            <v>0</v>
          </cell>
          <cell r="K71">
            <v>1.2433416666666699</v>
          </cell>
          <cell r="L71">
            <v>1.2433416666666699</v>
          </cell>
          <cell r="M71">
            <v>198934.66666666718</v>
          </cell>
        </row>
        <row r="72">
          <cell r="A72" t="str">
            <v>A43</v>
          </cell>
          <cell r="B72" t="str">
            <v>Carguío de roca volada con excavadora</v>
          </cell>
          <cell r="C72" t="str">
            <v>m3</v>
          </cell>
          <cell r="D72">
            <v>160000</v>
          </cell>
          <cell r="E72">
            <v>1</v>
          </cell>
          <cell r="F72">
            <v>8.1967213114754103E-3</v>
          </cell>
          <cell r="G72">
            <v>4.3278688524589999E-2</v>
          </cell>
          <cell r="H72">
            <v>0.58667213114754102</v>
          </cell>
          <cell r="I72">
            <v>0</v>
          </cell>
          <cell r="J72">
            <v>0</v>
          </cell>
          <cell r="K72">
            <v>0.62995081967213107</v>
          </cell>
          <cell r="L72">
            <v>0.62995081967213107</v>
          </cell>
          <cell r="M72">
            <v>100792.13114754097</v>
          </cell>
        </row>
        <row r="73">
          <cell r="A73" t="str">
            <v>A10</v>
          </cell>
          <cell r="B73" t="str">
            <v>Extendido de roca en botadero</v>
          </cell>
          <cell r="C73" t="str">
            <v>m3</v>
          </cell>
          <cell r="D73">
            <v>160000</v>
          </cell>
          <cell r="E73">
            <v>1</v>
          </cell>
          <cell r="F73">
            <v>3.5714285714285713E-3</v>
          </cell>
          <cell r="G73">
            <v>1.8857142857142999E-2</v>
          </cell>
          <cell r="H73">
            <v>0.14619285714285699</v>
          </cell>
          <cell r="I73">
            <v>0</v>
          </cell>
          <cell r="J73">
            <v>0</v>
          </cell>
          <cell r="K73">
            <v>0.16504999999999997</v>
          </cell>
          <cell r="L73">
            <v>0.16504999999999997</v>
          </cell>
          <cell r="M73">
            <v>26407.999999999996</v>
          </cell>
        </row>
        <row r="74">
          <cell r="A74" t="str">
            <v>A04</v>
          </cell>
          <cell r="B74" t="str">
            <v>Acarreo d&lt;1km (sin esponj)</v>
          </cell>
          <cell r="C74" t="str">
            <v>m3</v>
          </cell>
          <cell r="D74">
            <v>160000</v>
          </cell>
          <cell r="E74">
            <v>1.4</v>
          </cell>
          <cell r="F74">
            <v>1.9444444444444441E-2</v>
          </cell>
          <cell r="G74">
            <v>0.102666666666667</v>
          </cell>
          <cell r="H74">
            <v>0.50555555555555498</v>
          </cell>
          <cell r="I74">
            <v>0</v>
          </cell>
          <cell r="J74">
            <v>0</v>
          </cell>
          <cell r="K74">
            <v>0.608222222222222</v>
          </cell>
          <cell r="L74">
            <v>0.85151111111111077</v>
          </cell>
          <cell r="M74">
            <v>136241.77777777772</v>
          </cell>
        </row>
        <row r="75">
          <cell r="A75" t="str">
            <v>A05</v>
          </cell>
          <cell r="B75" t="str">
            <v>Sobreacarreo (d&gt;1km) (sin esponj)</v>
          </cell>
          <cell r="C75" t="str">
            <v>m3-km</v>
          </cell>
          <cell r="D75">
            <v>240000</v>
          </cell>
          <cell r="E75">
            <v>1.4</v>
          </cell>
          <cell r="F75">
            <v>8.9285714285714263E-3</v>
          </cell>
          <cell r="G75">
            <v>4.7142857142857E-2</v>
          </cell>
          <cell r="H75">
            <v>0.23308571428571401</v>
          </cell>
          <cell r="I75">
            <v>0</v>
          </cell>
          <cell r="J75">
            <v>0</v>
          </cell>
          <cell r="K75">
            <v>0.28022857142857105</v>
          </cell>
          <cell r="L75">
            <v>0.39231999999999945</v>
          </cell>
          <cell r="M75">
            <v>94156.799999999872</v>
          </cell>
        </row>
        <row r="76">
          <cell r="A76" t="str">
            <v>2.01.h</v>
          </cell>
          <cell r="B76" t="str">
            <v>Supply and Install Granular A Surfacing to roads/yards</v>
          </cell>
          <cell r="C76" t="str">
            <v>m3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A77" t="str">
            <v>A15</v>
          </cell>
          <cell r="B77" t="str">
            <v>Suministro de material granular A</v>
          </cell>
          <cell r="C77" t="str">
            <v>m3</v>
          </cell>
          <cell r="F77">
            <v>0</v>
          </cell>
          <cell r="G77">
            <v>0</v>
          </cell>
          <cell r="H77">
            <v>0</v>
          </cell>
          <cell r="I77">
            <v>2.85</v>
          </cell>
          <cell r="J77">
            <v>0</v>
          </cell>
          <cell r="K77">
            <v>2.85</v>
          </cell>
          <cell r="L77">
            <v>0</v>
          </cell>
          <cell r="M77">
            <v>0</v>
          </cell>
        </row>
        <row r="78">
          <cell r="A78" t="str">
            <v>A16</v>
          </cell>
          <cell r="B78" t="str">
            <v>Colocación y compactación Mat Granular A</v>
          </cell>
          <cell r="C78" t="str">
            <v>m3</v>
          </cell>
          <cell r="F78">
            <v>0.37805555555555553</v>
          </cell>
          <cell r="G78">
            <v>1.4478</v>
          </cell>
          <cell r="H78">
            <v>3.0801342222222199</v>
          </cell>
          <cell r="I78">
            <v>0</v>
          </cell>
          <cell r="J78">
            <v>0</v>
          </cell>
          <cell r="K78">
            <v>4.5279342222222194</v>
          </cell>
          <cell r="L78">
            <v>0</v>
          </cell>
          <cell r="M78">
            <v>0</v>
          </cell>
        </row>
        <row r="79">
          <cell r="A79" t="str">
            <v>A04</v>
          </cell>
          <cell r="B79" t="str">
            <v>Acarreo d&lt;1km (sin esponj)</v>
          </cell>
          <cell r="C79" t="str">
            <v>m3</v>
          </cell>
          <cell r="F79">
            <v>1.9444444444444441E-2</v>
          </cell>
          <cell r="G79">
            <v>0.102666666666667</v>
          </cell>
          <cell r="H79">
            <v>0.50555555555555498</v>
          </cell>
          <cell r="I79">
            <v>0</v>
          </cell>
          <cell r="J79">
            <v>0</v>
          </cell>
          <cell r="K79">
            <v>0.608222222222222</v>
          </cell>
          <cell r="L79">
            <v>0</v>
          </cell>
          <cell r="M79">
            <v>0</v>
          </cell>
        </row>
        <row r="80">
          <cell r="A80" t="str">
            <v>A05</v>
          </cell>
          <cell r="B80" t="str">
            <v>Sobreacarreo (d&gt;1km) (sin esponj)</v>
          </cell>
          <cell r="C80" t="str">
            <v>m3-km</v>
          </cell>
          <cell r="F80">
            <v>8.9285714285714263E-3</v>
          </cell>
          <cell r="G80">
            <v>4.7142857142857E-2</v>
          </cell>
          <cell r="H80">
            <v>0.23308571428571401</v>
          </cell>
          <cell r="I80">
            <v>0</v>
          </cell>
          <cell r="J80">
            <v>0</v>
          </cell>
          <cell r="K80">
            <v>0.28022857142857105</v>
          </cell>
          <cell r="L80">
            <v>0</v>
          </cell>
          <cell r="M80">
            <v>0</v>
          </cell>
        </row>
        <row r="81">
          <cell r="A81" t="str">
            <v>2.01.i</v>
          </cell>
          <cell r="B81" t="str">
            <v>Supply and Install Granular C Surfacing to roads/yards</v>
          </cell>
          <cell r="C81" t="str">
            <v>m3</v>
          </cell>
          <cell r="D81">
            <v>6600</v>
          </cell>
          <cell r="F81">
            <v>1139.9404761904759</v>
          </cell>
          <cell r="G81">
            <v>0.8964166666666652</v>
          </cell>
          <cell r="H81">
            <v>4.289546031746033</v>
          </cell>
          <cell r="I81">
            <v>5.4325000000000001</v>
          </cell>
          <cell r="J81">
            <v>0</v>
          </cell>
          <cell r="L81">
            <v>10.62</v>
          </cell>
          <cell r="M81">
            <v>70092</v>
          </cell>
        </row>
        <row r="82">
          <cell r="A82" t="str">
            <v>A17</v>
          </cell>
          <cell r="B82" t="str">
            <v>Suministro de material granular C</v>
          </cell>
          <cell r="C82" t="str">
            <v>m3</v>
          </cell>
          <cell r="D82">
            <v>6600</v>
          </cell>
          <cell r="E82">
            <v>1.25</v>
          </cell>
          <cell r="F82">
            <v>0</v>
          </cell>
          <cell r="G82">
            <v>0</v>
          </cell>
          <cell r="H82">
            <v>0</v>
          </cell>
          <cell r="I82">
            <v>2.85</v>
          </cell>
          <cell r="J82">
            <v>0</v>
          </cell>
          <cell r="K82">
            <v>2.85</v>
          </cell>
          <cell r="L82">
            <v>3.5625</v>
          </cell>
          <cell r="M82">
            <v>23512.5</v>
          </cell>
        </row>
        <row r="83">
          <cell r="A83" t="str">
            <v>A18</v>
          </cell>
          <cell r="B83" t="str">
            <v>Colocación y compactación Mat Granular C</v>
          </cell>
          <cell r="C83" t="str">
            <v>m3</v>
          </cell>
          <cell r="D83">
            <v>6600</v>
          </cell>
          <cell r="E83">
            <v>1</v>
          </cell>
          <cell r="F83">
            <v>8.9285714285714274E-2</v>
          </cell>
          <cell r="G83">
            <v>0.45589285714285699</v>
          </cell>
          <cell r="H83">
            <v>2.1146428571428602</v>
          </cell>
          <cell r="I83">
            <v>0</v>
          </cell>
          <cell r="J83">
            <v>0</v>
          </cell>
          <cell r="K83">
            <v>2.5705357142857173</v>
          </cell>
          <cell r="L83">
            <v>2.5705357142857173</v>
          </cell>
          <cell r="M83">
            <v>16965.535714285736</v>
          </cell>
        </row>
        <row r="84">
          <cell r="A84" t="str">
            <v>A42</v>
          </cell>
          <cell r="B84" t="str">
            <v>Aplicación de Cloruro de Calcio</v>
          </cell>
          <cell r="C84" t="str">
            <v>m2</v>
          </cell>
          <cell r="D84">
            <v>16500</v>
          </cell>
          <cell r="E84">
            <v>1</v>
          </cell>
          <cell r="F84">
            <v>2.2222222222222222E-3</v>
          </cell>
          <cell r="G84">
            <v>1.1733333333333E-2</v>
          </cell>
          <cell r="H84">
            <v>5.7777777777777997E-2</v>
          </cell>
          <cell r="I84">
            <v>0.748</v>
          </cell>
          <cell r="J84">
            <v>0</v>
          </cell>
          <cell r="K84">
            <v>0.81751111111111108</v>
          </cell>
          <cell r="L84">
            <v>0.81751111111111108</v>
          </cell>
          <cell r="M84">
            <v>13488.933333333332</v>
          </cell>
        </row>
        <row r="85">
          <cell r="A85" t="str">
            <v>A04</v>
          </cell>
          <cell r="B85" t="str">
            <v>Acarreo d&lt;1km (sin esponj)</v>
          </cell>
          <cell r="C85" t="str">
            <v>m3</v>
          </cell>
          <cell r="D85">
            <v>6600</v>
          </cell>
          <cell r="E85">
            <v>1.25</v>
          </cell>
          <cell r="F85">
            <v>1.9444444444444441E-2</v>
          </cell>
          <cell r="G85">
            <v>0.102666666666667</v>
          </cell>
          <cell r="H85">
            <v>0.50555555555555498</v>
          </cell>
          <cell r="I85">
            <v>0</v>
          </cell>
          <cell r="J85">
            <v>0</v>
          </cell>
          <cell r="K85">
            <v>0.608222222222222</v>
          </cell>
          <cell r="L85">
            <v>0.7602777777777775</v>
          </cell>
          <cell r="M85">
            <v>5017.8333333333312</v>
          </cell>
        </row>
        <row r="86">
          <cell r="A86" t="str">
            <v>A05</v>
          </cell>
          <cell r="B86" t="str">
            <v>Sobreacarreo (d&gt;1km) (sin esponj)</v>
          </cell>
          <cell r="C86" t="str">
            <v>m3-km</v>
          </cell>
          <cell r="D86">
            <v>31680</v>
          </cell>
          <cell r="E86">
            <v>1.25</v>
          </cell>
          <cell r="F86">
            <v>8.9285714285714263E-3</v>
          </cell>
          <cell r="G86">
            <v>4.7142857142857E-2</v>
          </cell>
          <cell r="H86">
            <v>0.23308571428571401</v>
          </cell>
          <cell r="I86">
            <v>0</v>
          </cell>
          <cell r="J86">
            <v>0</v>
          </cell>
          <cell r="K86">
            <v>0.28022857142857105</v>
          </cell>
          <cell r="L86">
            <v>0.35028571428571381</v>
          </cell>
          <cell r="M86">
            <v>11097.051428571414</v>
          </cell>
        </row>
        <row r="87">
          <cell r="A87" t="str">
            <v>2.01.j</v>
          </cell>
          <cell r="B87" t="str">
            <v>Supply and Install Riprap-Geotextile-Bedding to ditches and slopes, including rock/earth excavation and shaping of the site</v>
          </cell>
          <cell r="C87" t="str">
            <v>Ls</v>
          </cell>
          <cell r="D87">
            <v>1</v>
          </cell>
          <cell r="F87">
            <v>38.724341325280449</v>
          </cell>
          <cell r="G87">
            <v>125.07925376198112</v>
          </cell>
          <cell r="H87">
            <v>78.420243120274066</v>
          </cell>
          <cell r="I87">
            <v>52.028855350000001</v>
          </cell>
          <cell r="J87">
            <v>15.626450700000001</v>
          </cell>
          <cell r="L87">
            <v>271.14999999999998</v>
          </cell>
          <cell r="M87">
            <v>271.14999999999998</v>
          </cell>
        </row>
        <row r="88">
          <cell r="A88" t="str">
            <v>A19</v>
          </cell>
          <cell r="B88" t="str">
            <v>Rip rap</v>
          </cell>
          <cell r="C88" t="str">
            <v>m3</v>
          </cell>
          <cell r="D88">
            <v>5.7</v>
          </cell>
          <cell r="E88">
            <v>1.07843</v>
          </cell>
          <cell r="F88">
            <v>2.7285714285714286</v>
          </cell>
          <cell r="G88">
            <v>8.8182857142857092</v>
          </cell>
          <cell r="H88">
            <v>4.8350057142857139</v>
          </cell>
          <cell r="I88">
            <v>2.85</v>
          </cell>
          <cell r="J88">
            <v>0</v>
          </cell>
          <cell r="K88">
            <v>16.503291428571423</v>
          </cell>
          <cell r="L88">
            <v>17.79764457531428</v>
          </cell>
          <cell r="M88">
            <v>101.44657407929139</v>
          </cell>
        </row>
        <row r="89">
          <cell r="A89" t="str">
            <v>A20</v>
          </cell>
          <cell r="B89" t="str">
            <v>Geotextil 400g/m2 Non Woven</v>
          </cell>
          <cell r="C89" t="str">
            <v>m2</v>
          </cell>
          <cell r="D89">
            <v>40</v>
          </cell>
          <cell r="E89">
            <v>1.07843</v>
          </cell>
          <cell r="F89">
            <v>0.37356321839080464</v>
          </cell>
          <cell r="G89">
            <v>1.1715517241379301</v>
          </cell>
          <cell r="H89">
            <v>0.445182471264368</v>
          </cell>
          <cell r="I89">
            <v>0.8</v>
          </cell>
          <cell r="J89">
            <v>0</v>
          </cell>
          <cell r="K89">
            <v>2.4167341954022983</v>
          </cell>
          <cell r="L89">
            <v>2.6062786583477004</v>
          </cell>
          <cell r="M89">
            <v>104.25114633390803</v>
          </cell>
        </row>
        <row r="90">
          <cell r="A90" t="str">
            <v>A21</v>
          </cell>
          <cell r="B90" t="str">
            <v>Excavación y perfilado de zanjas</v>
          </cell>
          <cell r="C90" t="str">
            <v>m3</v>
          </cell>
          <cell r="D90">
            <v>4.2</v>
          </cell>
          <cell r="E90">
            <v>1.07843</v>
          </cell>
          <cell r="F90">
            <v>1.2887346226726417</v>
          </cell>
          <cell r="G90">
            <v>4.4896263901299003</v>
          </cell>
          <cell r="H90">
            <v>6.5119556758310146</v>
          </cell>
          <cell r="I90">
            <v>0</v>
          </cell>
          <cell r="J90">
            <v>3.45</v>
          </cell>
          <cell r="K90">
            <v>14.451582065960915</v>
          </cell>
          <cell r="L90">
            <v>15.58501964739423</v>
          </cell>
          <cell r="M90">
            <v>65.457082519055774</v>
          </cell>
        </row>
        <row r="91">
          <cell r="A91" t="str">
            <v>2.01.k</v>
          </cell>
          <cell r="B91" t="str">
            <v>Supply and Install Gabions-Geotextile-Bedding-Concrete Facing, complete including rock/earth excavation shaping &amp; backfill of the site</v>
          </cell>
          <cell r="C91" t="str">
            <v>Ls</v>
          </cell>
          <cell r="D91">
            <v>1</v>
          </cell>
          <cell r="F91">
            <v>40.254871875955551</v>
          </cell>
          <cell r="G91">
            <v>140.18147349408471</v>
          </cell>
          <cell r="H91">
            <v>107.79996710168291</v>
          </cell>
          <cell r="I91">
            <v>151.04673539889885</v>
          </cell>
          <cell r="J91">
            <v>39.671968260822631</v>
          </cell>
          <cell r="L91">
            <v>438.7</v>
          </cell>
          <cell r="M91">
            <v>438.7</v>
          </cell>
        </row>
        <row r="92">
          <cell r="A92" t="str">
            <v>A22</v>
          </cell>
          <cell r="B92" t="str">
            <v>Supply and Install Granular A Surfacing to roads/yards</v>
          </cell>
          <cell r="C92" t="str">
            <v>m3</v>
          </cell>
          <cell r="F92">
            <v>0.47959325396825392</v>
          </cell>
          <cell r="G92">
            <v>1.9839190476190467</v>
          </cell>
          <cell r="H92">
            <v>5.7282700952380896</v>
          </cell>
          <cell r="I92">
            <v>3.5625</v>
          </cell>
          <cell r="J92">
            <v>0</v>
          </cell>
          <cell r="K92">
            <v>11.274689142857136</v>
          </cell>
          <cell r="L92">
            <v>0</v>
          </cell>
          <cell r="M92">
            <v>0</v>
          </cell>
        </row>
        <row r="93">
          <cell r="A93" t="str">
            <v>A23</v>
          </cell>
          <cell r="B93" t="str">
            <v>Revestimiento de Concreto (f'c=300 kg/cm2)</v>
          </cell>
          <cell r="C93" t="str">
            <v>m3</v>
          </cell>
          <cell r="D93">
            <v>1.4</v>
          </cell>
          <cell r="E93">
            <v>0.9472093274317176</v>
          </cell>
          <cell r="F93">
            <v>14.282608695652174</v>
          </cell>
          <cell r="G93">
            <v>49.431086956521703</v>
          </cell>
          <cell r="H93">
            <v>4.9527137681159399</v>
          </cell>
          <cell r="I93">
            <v>60</v>
          </cell>
          <cell r="J93">
            <v>0</v>
          </cell>
          <cell r="K93">
            <v>114.38380072463765</v>
          </cell>
          <cell r="L93">
            <v>108.34540295346764</v>
          </cell>
          <cell r="M93">
            <v>151.68356413485469</v>
          </cell>
        </row>
        <row r="94">
          <cell r="A94" t="str">
            <v>A24</v>
          </cell>
          <cell r="B94" t="str">
            <v>Gavión</v>
          </cell>
          <cell r="C94" t="str">
            <v>m3</v>
          </cell>
          <cell r="D94">
            <v>3.9</v>
          </cell>
          <cell r="E94">
            <v>0.9472093274317176</v>
          </cell>
          <cell r="F94">
            <v>1.7583333333333333</v>
          </cell>
          <cell r="G94">
            <v>6.2273333333333296</v>
          </cell>
          <cell r="H94">
            <v>7.133083333333337</v>
          </cell>
          <cell r="I94">
            <v>19.350000000000001</v>
          </cell>
          <cell r="J94">
            <v>0</v>
          </cell>
          <cell r="K94">
            <v>32.710416666666674</v>
          </cell>
          <cell r="L94">
            <v>30.983611770844586</v>
          </cell>
          <cell r="M94">
            <v>120.83608590629389</v>
          </cell>
        </row>
        <row r="95">
          <cell r="A95" t="str">
            <v>A21</v>
          </cell>
          <cell r="B95" t="str">
            <v>Excavación y perfilado de zanjas</v>
          </cell>
          <cell r="C95" t="str">
            <v>m3</v>
          </cell>
          <cell r="D95">
            <v>12.14</v>
          </cell>
          <cell r="E95">
            <v>0.9472093274317176</v>
          </cell>
          <cell r="F95">
            <v>1.2887346226726417</v>
          </cell>
          <cell r="G95">
            <v>4.4896263901299003</v>
          </cell>
          <cell r="H95">
            <v>6.5119556758310146</v>
          </cell>
          <cell r="I95">
            <v>0</v>
          </cell>
          <cell r="J95">
            <v>3.45</v>
          </cell>
          <cell r="K95">
            <v>14.451582065960915</v>
          </cell>
          <cell r="L95">
            <v>13.688673329023111</v>
          </cell>
          <cell r="M95">
            <v>166.18049421434057</v>
          </cell>
        </row>
        <row r="96">
          <cell r="A96" t="str">
            <v>2.01.l</v>
          </cell>
          <cell r="B96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96" t="str">
            <v>Ls</v>
          </cell>
          <cell r="D96">
            <v>1</v>
          </cell>
          <cell r="F96">
            <v>3113.6649322757103</v>
          </cell>
          <cell r="G96">
            <v>11371.976336740698</v>
          </cell>
          <cell r="H96">
            <v>27161.733249866025</v>
          </cell>
          <cell r="I96">
            <v>25825.073437416038</v>
          </cell>
          <cell r="J96">
            <v>6718.8985179296005</v>
          </cell>
          <cell r="L96">
            <v>71077.679999999993</v>
          </cell>
          <cell r="M96">
            <v>71077.679999999993</v>
          </cell>
        </row>
        <row r="97">
          <cell r="A97" t="str">
            <v>A25</v>
          </cell>
          <cell r="B97" t="str">
            <v>Suministro y colocación de Grating</v>
          </cell>
          <cell r="C97" t="str">
            <v>m2</v>
          </cell>
          <cell r="F97">
            <v>1.75</v>
          </cell>
          <cell r="G97">
            <v>6.1725000000000003</v>
          </cell>
          <cell r="H97">
            <v>0.144125</v>
          </cell>
          <cell r="I97">
            <v>225</v>
          </cell>
          <cell r="J97">
            <v>0</v>
          </cell>
          <cell r="K97">
            <v>231.31662500000002</v>
          </cell>
          <cell r="L97">
            <v>0</v>
          </cell>
          <cell r="M97">
            <v>0</v>
          </cell>
        </row>
        <row r="98">
          <cell r="A98" t="str">
            <v>A26</v>
          </cell>
          <cell r="B98" t="str">
            <v>Suministro y colocación de Tapa metálica</v>
          </cell>
          <cell r="C98" t="str">
            <v>m2</v>
          </cell>
          <cell r="F98">
            <v>1.75</v>
          </cell>
          <cell r="G98">
            <v>6.1725000000000003</v>
          </cell>
          <cell r="H98">
            <v>0.144125</v>
          </cell>
          <cell r="I98">
            <v>300</v>
          </cell>
          <cell r="J98">
            <v>0</v>
          </cell>
          <cell r="K98">
            <v>306.31662499999999</v>
          </cell>
          <cell r="L98">
            <v>0</v>
          </cell>
          <cell r="M98">
            <v>0</v>
          </cell>
        </row>
        <row r="99">
          <cell r="A99" t="str">
            <v>A27</v>
          </cell>
          <cell r="B99" t="str">
            <v>Relleno estructural</v>
          </cell>
          <cell r="C99" t="str">
            <v>m3</v>
          </cell>
          <cell r="D99">
            <v>316</v>
          </cell>
          <cell r="E99">
            <v>1.0584276178212981</v>
          </cell>
          <cell r="F99">
            <v>1.2875000000000001</v>
          </cell>
          <cell r="G99">
            <v>4.2321666666666697</v>
          </cell>
          <cell r="H99">
            <v>6.8350416666666636</v>
          </cell>
          <cell r="I99">
            <v>0</v>
          </cell>
          <cell r="J99">
            <v>0</v>
          </cell>
          <cell r="K99">
            <v>11.067208333333333</v>
          </cell>
          <cell r="L99">
            <v>11.713838952182019</v>
          </cell>
          <cell r="M99">
            <v>3701.5731088895182</v>
          </cell>
        </row>
        <row r="100">
          <cell r="A100" t="str">
            <v>A28</v>
          </cell>
          <cell r="B100" t="str">
            <v>Bermas de Seguridad</v>
          </cell>
          <cell r="C100" t="str">
            <v>m3</v>
          </cell>
          <cell r="D100">
            <v>4906</v>
          </cell>
          <cell r="E100">
            <v>1.0584276178212981</v>
          </cell>
          <cell r="F100">
            <v>0.1</v>
          </cell>
          <cell r="G100">
            <v>0.499</v>
          </cell>
          <cell r="H100">
            <v>3.5649500000000001</v>
          </cell>
          <cell r="I100">
            <v>2.85</v>
          </cell>
          <cell r="J100">
            <v>0</v>
          </cell>
          <cell r="K100">
            <v>6.9139499999999998</v>
          </cell>
          <cell r="L100">
            <v>7.3179156282355642</v>
          </cell>
          <cell r="M100">
            <v>35901.694072123675</v>
          </cell>
        </row>
        <row r="101">
          <cell r="A101" t="str">
            <v>A29</v>
          </cell>
          <cell r="B101" t="str">
            <v>Relleno localizado con Granular B</v>
          </cell>
          <cell r="C101" t="str">
            <v>m3</v>
          </cell>
          <cell r="D101">
            <v>18.3</v>
          </cell>
          <cell r="E101">
            <v>1.0584276178212981</v>
          </cell>
          <cell r="F101">
            <v>1.3416666666666666</v>
          </cell>
          <cell r="G101">
            <v>4.5181666666666702</v>
          </cell>
          <cell r="H101">
            <v>8.3767083333333332</v>
          </cell>
          <cell r="I101">
            <v>3.1349999999999998</v>
          </cell>
          <cell r="J101">
            <v>0</v>
          </cell>
          <cell r="K101">
            <v>16.029875000000004</v>
          </cell>
          <cell r="L101">
            <v>16.966462410223187</v>
          </cell>
          <cell r="M101">
            <v>310.48626210708431</v>
          </cell>
        </row>
        <row r="102">
          <cell r="A102" t="str">
            <v>A30</v>
          </cell>
          <cell r="B102" t="str">
            <v>Concreto reforzado</v>
          </cell>
          <cell r="C102" t="str">
            <v>m3</v>
          </cell>
          <cell r="F102">
            <v>16.2</v>
          </cell>
          <cell r="G102">
            <v>56.207999999999998</v>
          </cell>
          <cell r="H102">
            <v>3.9517333333333298</v>
          </cell>
          <cell r="I102">
            <v>116.16</v>
          </cell>
          <cell r="J102">
            <v>0</v>
          </cell>
          <cell r="K102">
            <v>176.31973333333332</v>
          </cell>
          <cell r="L102">
            <v>0</v>
          </cell>
          <cell r="M102">
            <v>0</v>
          </cell>
        </row>
        <row r="103">
          <cell r="A103" t="str">
            <v>A31</v>
          </cell>
          <cell r="B103" t="str">
            <v>Alcantarillas 800mm</v>
          </cell>
          <cell r="C103" t="str">
            <v>ml</v>
          </cell>
          <cell r="D103">
            <v>26</v>
          </cell>
          <cell r="E103">
            <v>1.0584276178212981</v>
          </cell>
          <cell r="F103">
            <v>8</v>
          </cell>
          <cell r="G103">
            <v>25.88</v>
          </cell>
          <cell r="H103">
            <v>1.294</v>
          </cell>
          <cell r="I103">
            <v>60</v>
          </cell>
          <cell r="J103">
            <v>0</v>
          </cell>
          <cell r="K103">
            <v>87.173999999999992</v>
          </cell>
          <cell r="L103">
            <v>92.26736915595383</v>
          </cell>
          <cell r="M103">
            <v>2398.9515980547994</v>
          </cell>
        </row>
        <row r="104">
          <cell r="A104" t="str">
            <v>A32</v>
          </cell>
          <cell r="B104" t="str">
            <v>Alcantarillas 600mm</v>
          </cell>
          <cell r="C104" t="str">
            <v>ml</v>
          </cell>
          <cell r="D104">
            <v>176</v>
          </cell>
          <cell r="E104">
            <v>1.0584276178212981</v>
          </cell>
          <cell r="F104">
            <v>6.666666666666667</v>
          </cell>
          <cell r="G104">
            <v>21.566666666666698</v>
          </cell>
          <cell r="H104">
            <v>1.07833333333333</v>
          </cell>
          <cell r="I104">
            <v>50</v>
          </cell>
          <cell r="J104">
            <v>0</v>
          </cell>
          <cell r="K104">
            <v>72.645000000000024</v>
          </cell>
          <cell r="L104">
            <v>76.889474296628222</v>
          </cell>
          <cell r="M104">
            <v>13532.547476206568</v>
          </cell>
        </row>
        <row r="105">
          <cell r="A105" t="str">
            <v>A33</v>
          </cell>
          <cell r="B105" t="str">
            <v>Alcantarillas 1350mm</v>
          </cell>
          <cell r="C105" t="str">
            <v>ml</v>
          </cell>
          <cell r="F105">
            <v>12.5</v>
          </cell>
          <cell r="G105">
            <v>39.924999999999997</v>
          </cell>
          <cell r="H105">
            <v>1.9962500000000001</v>
          </cell>
          <cell r="I105">
            <v>160</v>
          </cell>
          <cell r="J105">
            <v>0</v>
          </cell>
          <cell r="K105">
            <v>201.92125000000001</v>
          </cell>
          <cell r="L105">
            <v>0</v>
          </cell>
          <cell r="M105">
            <v>0</v>
          </cell>
        </row>
        <row r="106">
          <cell r="A106" t="str">
            <v>A34</v>
          </cell>
          <cell r="B106" t="str">
            <v>Alcantarillas 1000mm</v>
          </cell>
          <cell r="C106" t="str">
            <v>ml</v>
          </cell>
          <cell r="F106">
            <v>8.8888888888888893</v>
          </cell>
          <cell r="G106">
            <v>28.755555555555599</v>
          </cell>
          <cell r="H106">
            <v>1.43777777777778</v>
          </cell>
          <cell r="I106">
            <v>78</v>
          </cell>
          <cell r="J106">
            <v>0</v>
          </cell>
          <cell r="K106">
            <v>108.19333333333338</v>
          </cell>
          <cell r="L106">
            <v>0</v>
          </cell>
          <cell r="M106">
            <v>0</v>
          </cell>
        </row>
        <row r="107">
          <cell r="A107" t="str">
            <v>A35</v>
          </cell>
          <cell r="B107" t="str">
            <v>Alcantarillas 1600mm</v>
          </cell>
          <cell r="C107" t="str">
            <v>ml</v>
          </cell>
          <cell r="F107">
            <v>12.5</v>
          </cell>
          <cell r="G107">
            <v>39.924999999999997</v>
          </cell>
          <cell r="H107">
            <v>1.9962500000000001</v>
          </cell>
          <cell r="I107">
            <v>215</v>
          </cell>
          <cell r="J107">
            <v>0</v>
          </cell>
          <cell r="K107">
            <v>256.92124999999999</v>
          </cell>
          <cell r="L107">
            <v>0</v>
          </cell>
          <cell r="M107">
            <v>0</v>
          </cell>
        </row>
        <row r="108">
          <cell r="A108" t="str">
            <v>A36</v>
          </cell>
          <cell r="B108" t="str">
            <v>Tubería para buzón CMP 2000mm Diam</v>
          </cell>
          <cell r="C108" t="str">
            <v>ml</v>
          </cell>
          <cell r="F108">
            <v>20</v>
          </cell>
          <cell r="G108">
            <v>63.3333333333333</v>
          </cell>
          <cell r="H108">
            <v>3.1666666666666701</v>
          </cell>
          <cell r="I108">
            <v>335</v>
          </cell>
          <cell r="J108">
            <v>0</v>
          </cell>
          <cell r="K108">
            <v>401.5</v>
          </cell>
          <cell r="L108">
            <v>0</v>
          </cell>
          <cell r="M108">
            <v>0</v>
          </cell>
        </row>
        <row r="109">
          <cell r="A109" t="str">
            <v>A37</v>
          </cell>
          <cell r="B109" t="str">
            <v>Alcantarillas 300mm</v>
          </cell>
          <cell r="C109" t="str">
            <v>ml</v>
          </cell>
          <cell r="F109">
            <v>6.666666666666667</v>
          </cell>
          <cell r="G109">
            <v>21.566666666666698</v>
          </cell>
          <cell r="H109">
            <v>1.07833333333333</v>
          </cell>
          <cell r="I109">
            <v>26</v>
          </cell>
          <cell r="J109">
            <v>0</v>
          </cell>
          <cell r="K109">
            <v>48.645000000000032</v>
          </cell>
          <cell r="L109">
            <v>0</v>
          </cell>
          <cell r="M109">
            <v>0</v>
          </cell>
        </row>
        <row r="110">
          <cell r="A110" t="str">
            <v>A20</v>
          </cell>
          <cell r="B110" t="str">
            <v>Geotextil 400g/m2 Non Woven</v>
          </cell>
          <cell r="C110" t="str">
            <v>m2</v>
          </cell>
          <cell r="F110">
            <v>0.37356321839080464</v>
          </cell>
          <cell r="G110">
            <v>1.1715517241379301</v>
          </cell>
          <cell r="H110">
            <v>0.445182471264368</v>
          </cell>
          <cell r="I110">
            <v>0.8</v>
          </cell>
          <cell r="J110">
            <v>0</v>
          </cell>
          <cell r="K110">
            <v>2.4167341954022983</v>
          </cell>
          <cell r="L110">
            <v>0</v>
          </cell>
          <cell r="M110">
            <v>0</v>
          </cell>
        </row>
        <row r="111">
          <cell r="A111" t="str">
            <v>A38</v>
          </cell>
          <cell r="B111" t="str">
            <v>Excavación y eliminación de material para cunetas en roca</v>
          </cell>
          <cell r="C111" t="str">
            <v>m3</v>
          </cell>
          <cell r="D111">
            <v>432</v>
          </cell>
          <cell r="E111">
            <v>1.0584276178212981</v>
          </cell>
          <cell r="F111">
            <v>0.28461538461538466</v>
          </cell>
          <cell r="G111">
            <v>1.41576923076923</v>
          </cell>
          <cell r="H111">
            <v>7.0169423076923119</v>
          </cell>
          <cell r="I111">
            <v>0</v>
          </cell>
          <cell r="J111">
            <v>11.5</v>
          </cell>
          <cell r="K111">
            <v>19.932711538461543</v>
          </cell>
          <cell r="L111">
            <v>21.097332390372955</v>
          </cell>
          <cell r="M111">
            <v>9114.0475926411164</v>
          </cell>
        </row>
        <row r="112">
          <cell r="A112" t="str">
            <v>A39</v>
          </cell>
          <cell r="B112" t="str">
            <v>Excavación y eliminación de material para cunetas en suelo común</v>
          </cell>
          <cell r="C112" t="str">
            <v>m3</v>
          </cell>
          <cell r="F112">
            <v>0.1957264957264957</v>
          </cell>
          <cell r="G112">
            <v>0.98510256410256403</v>
          </cell>
          <cell r="H112">
            <v>4.9954089743589778</v>
          </cell>
          <cell r="I112">
            <v>0</v>
          </cell>
          <cell r="J112">
            <v>0</v>
          </cell>
          <cell r="K112">
            <v>5.9805115384615419</v>
          </cell>
          <cell r="L112">
            <v>0</v>
          </cell>
          <cell r="M112">
            <v>0</v>
          </cell>
        </row>
        <row r="113">
          <cell r="A113" t="str">
            <v>A21</v>
          </cell>
          <cell r="B113" t="str">
            <v>Excavación y perfilado de zanjas</v>
          </cell>
          <cell r="C113" t="str">
            <v>m3</v>
          </cell>
          <cell r="D113">
            <v>400</v>
          </cell>
          <cell r="E113">
            <v>1.0584276178212981</v>
          </cell>
          <cell r="F113">
            <v>1.2887346226726417</v>
          </cell>
          <cell r="G113">
            <v>4.4896263901299003</v>
          </cell>
          <cell r="H113">
            <v>6.5119556758310146</v>
          </cell>
          <cell r="I113">
            <v>0</v>
          </cell>
          <cell r="J113">
            <v>3.45</v>
          </cell>
          <cell r="K113">
            <v>14.451582065960915</v>
          </cell>
          <cell r="L113">
            <v>15.295953579824005</v>
          </cell>
          <cell r="M113">
            <v>6118.3814319296016</v>
          </cell>
        </row>
        <row r="114">
          <cell r="A114" t="str">
            <v>2.02</v>
          </cell>
          <cell r="B114" t="str">
            <v>PROCESS PLANT FRESH FIREWATER TANK ACCESS ROAD</v>
          </cell>
        </row>
        <row r="115">
          <cell r="A115" t="str">
            <v>2.02.a</v>
          </cell>
          <cell r="B115" t="str">
            <v>Clear and Grub</v>
          </cell>
          <cell r="C115" t="str">
            <v>Ls</v>
          </cell>
        </row>
        <row r="116">
          <cell r="A116" t="str">
            <v>2.02.b</v>
          </cell>
          <cell r="B116" t="str">
            <v>Cut unsuitable soil to waste (includes organic soil)</v>
          </cell>
          <cell r="C116" t="str">
            <v>m3</v>
          </cell>
          <cell r="D116">
            <v>2600</v>
          </cell>
          <cell r="F116">
            <v>201.83217261904761</v>
          </cell>
          <cell r="G116">
            <v>0.40490313736263733</v>
          </cell>
          <cell r="H116">
            <v>2.7451647559706949</v>
          </cell>
          <cell r="I116">
            <v>0</v>
          </cell>
          <cell r="J116">
            <v>0</v>
          </cell>
          <cell r="L116">
            <v>3.15</v>
          </cell>
          <cell r="M116">
            <v>8190</v>
          </cell>
        </row>
        <row r="117">
          <cell r="A117" t="str">
            <v>A01</v>
          </cell>
          <cell r="B117" t="str">
            <v>Excavación de Topsoil y Unsuitable (e&gt;1m)</v>
          </cell>
          <cell r="C117" t="str">
            <v>m3</v>
          </cell>
          <cell r="D117">
            <v>2600</v>
          </cell>
          <cell r="E117">
            <v>1</v>
          </cell>
          <cell r="F117">
            <v>1.7142857142857144E-2</v>
          </cell>
          <cell r="G117">
            <v>8.5542857142857004E-2</v>
          </cell>
          <cell r="H117">
            <v>0.81924857142857199</v>
          </cell>
          <cell r="I117">
            <v>0</v>
          </cell>
          <cell r="J117">
            <v>0</v>
          </cell>
          <cell r="K117">
            <v>0.90479142857142902</v>
          </cell>
          <cell r="L117">
            <v>0.90479142857142902</v>
          </cell>
          <cell r="M117">
            <v>2352.4577142857156</v>
          </cell>
        </row>
        <row r="118">
          <cell r="A118" t="str">
            <v>A02</v>
          </cell>
          <cell r="B118" t="str">
            <v>Excavación de Topsoil y Unsuitable (e&lt;1m)</v>
          </cell>
          <cell r="C118" t="str">
            <v>m3</v>
          </cell>
          <cell r="F118">
            <v>1.4285714285714285E-2</v>
          </cell>
          <cell r="G118">
            <v>6.9214285714286006E-2</v>
          </cell>
          <cell r="H118">
            <v>0.57488928571428499</v>
          </cell>
          <cell r="I118">
            <v>0</v>
          </cell>
          <cell r="J118">
            <v>0</v>
          </cell>
          <cell r="K118">
            <v>0.644103571428571</v>
          </cell>
          <cell r="L118">
            <v>0</v>
          </cell>
          <cell r="M118">
            <v>0</v>
          </cell>
        </row>
        <row r="119">
          <cell r="A119" t="str">
            <v>A03</v>
          </cell>
          <cell r="B119" t="str">
            <v>Carguío de Topsoil &amp; Unsuitable con excavadora</v>
          </cell>
          <cell r="C119" t="str">
            <v>m3</v>
          </cell>
          <cell r="D119">
            <v>2600</v>
          </cell>
          <cell r="E119">
            <v>1</v>
          </cell>
          <cell r="F119">
            <v>1.3461538461538462E-2</v>
          </cell>
          <cell r="G119">
            <v>7.1076923076922996E-2</v>
          </cell>
          <cell r="H119">
            <v>0.70142307692307704</v>
          </cell>
          <cell r="I119">
            <v>0</v>
          </cell>
          <cell r="J119">
            <v>0</v>
          </cell>
          <cell r="K119">
            <v>0.77250000000000008</v>
          </cell>
          <cell r="L119">
            <v>0.77250000000000008</v>
          </cell>
          <cell r="M119">
            <v>2008.5000000000002</v>
          </cell>
        </row>
        <row r="120">
          <cell r="A120" t="str">
            <v>A04</v>
          </cell>
          <cell r="B120" t="str">
            <v>Acarreo d&lt;1km (sin esponj)</v>
          </cell>
          <cell r="C120" t="str">
            <v>m3</v>
          </cell>
          <cell r="D120">
            <v>2600</v>
          </cell>
          <cell r="E120">
            <v>1.5</v>
          </cell>
          <cell r="F120">
            <v>1.9444444444444441E-2</v>
          </cell>
          <cell r="G120">
            <v>0.102666666666667</v>
          </cell>
          <cell r="H120">
            <v>0.50555555555555498</v>
          </cell>
          <cell r="I120">
            <v>0</v>
          </cell>
          <cell r="J120">
            <v>0</v>
          </cell>
          <cell r="K120">
            <v>0.608222222222222</v>
          </cell>
          <cell r="L120">
            <v>0.912333333333333</v>
          </cell>
          <cell r="M120">
            <v>2372.0666666666657</v>
          </cell>
        </row>
        <row r="121">
          <cell r="A121" t="str">
            <v>A05</v>
          </cell>
          <cell r="B121" t="str">
            <v>Sobreacarreo (d&gt;1km) (sin esponj)</v>
          </cell>
          <cell r="C121" t="str">
            <v>m3-km</v>
          </cell>
          <cell r="D121">
            <v>3466.58</v>
          </cell>
          <cell r="E121">
            <v>1.5</v>
          </cell>
          <cell r="F121">
            <v>8.9285714285714263E-3</v>
          </cell>
          <cell r="G121">
            <v>4.7142857142857E-2</v>
          </cell>
          <cell r="H121">
            <v>0.23308571428571401</v>
          </cell>
          <cell r="I121">
            <v>0</v>
          </cell>
          <cell r="J121">
            <v>0</v>
          </cell>
          <cell r="K121">
            <v>0.28022857142857105</v>
          </cell>
          <cell r="L121">
            <v>0.42034285714285657</v>
          </cell>
          <cell r="M121">
            <v>1457.1521417142837</v>
          </cell>
        </row>
        <row r="122">
          <cell r="A122" t="str">
            <v>2.02.c</v>
          </cell>
          <cell r="B122" t="str">
            <v>Cut and Fill Soil or Ripable Rock, within sub-Item work zone</v>
          </cell>
          <cell r="C122" t="str">
            <v>m3</v>
          </cell>
          <cell r="D122">
            <v>2800</v>
          </cell>
          <cell r="F122">
            <v>272.35833333333335</v>
          </cell>
          <cell r="G122">
            <v>0.4925051875</v>
          </cell>
          <cell r="H122">
            <v>3.9468595060416711</v>
          </cell>
          <cell r="I122">
            <v>0</v>
          </cell>
          <cell r="J122">
            <v>0</v>
          </cell>
          <cell r="L122">
            <v>4.4400000000000004</v>
          </cell>
          <cell r="M122">
            <v>12432</v>
          </cell>
        </row>
        <row r="123">
          <cell r="A123" t="str">
            <v>A06</v>
          </cell>
          <cell r="B123" t="str">
            <v>Excavación de roca ripeable</v>
          </cell>
          <cell r="D123">
            <v>2800</v>
          </cell>
          <cell r="E123">
            <v>1.1950000000000001</v>
          </cell>
          <cell r="F123">
            <v>3.3333333333333333E-2</v>
          </cell>
          <cell r="G123">
            <v>0.16439999999999999</v>
          </cell>
          <cell r="H123">
            <v>1.5519306666666701</v>
          </cell>
          <cell r="I123">
            <v>0</v>
          </cell>
          <cell r="J123">
            <v>0</v>
          </cell>
          <cell r="K123">
            <v>1.7163306666666702</v>
          </cell>
          <cell r="L123">
            <v>2.0510151466666708</v>
          </cell>
          <cell r="M123">
            <v>5742.842410666678</v>
          </cell>
        </row>
        <row r="124">
          <cell r="A124" t="str">
            <v>A07</v>
          </cell>
          <cell r="B124" t="str">
            <v>Empuje de material d&lt;60m</v>
          </cell>
          <cell r="D124">
            <v>2800</v>
          </cell>
          <cell r="E124">
            <v>1.1950000000000001</v>
          </cell>
          <cell r="F124">
            <v>1.2500000000000001E-2</v>
          </cell>
          <cell r="G124">
            <v>6.0562499999999998E-2</v>
          </cell>
          <cell r="H124">
            <v>0.50302812500000005</v>
          </cell>
          <cell r="I124">
            <v>0</v>
          </cell>
          <cell r="J124">
            <v>0</v>
          </cell>
          <cell r="K124">
            <v>0.56359062500000001</v>
          </cell>
          <cell r="L124">
            <v>0.67349079687500002</v>
          </cell>
          <cell r="M124">
            <v>1885.77423125</v>
          </cell>
        </row>
        <row r="125">
          <cell r="A125" t="str">
            <v>A08</v>
          </cell>
          <cell r="B125" t="str">
            <v>Relleno masivo compactado</v>
          </cell>
          <cell r="D125">
            <v>2800</v>
          </cell>
          <cell r="E125">
            <v>1</v>
          </cell>
          <cell r="F125">
            <v>4.2499999999999996E-2</v>
          </cell>
          <cell r="G125">
            <v>0.22367500000000001</v>
          </cell>
          <cell r="H125">
            <v>1.49118375</v>
          </cell>
          <cell r="I125">
            <v>0</v>
          </cell>
          <cell r="J125">
            <v>0</v>
          </cell>
          <cell r="K125">
            <v>1.7148587500000001</v>
          </cell>
          <cell r="L125">
            <v>1.7148587500000001</v>
          </cell>
          <cell r="M125">
            <v>4801.6045000000004</v>
          </cell>
        </row>
        <row r="126">
          <cell r="A126" t="str">
            <v>2.02.d</v>
          </cell>
          <cell r="B126" t="str">
            <v xml:space="preserve">Cut and Fill Soil or Ripable Rock to Other sub-Item work zone </v>
          </cell>
          <cell r="C126" t="str">
            <v>m3</v>
          </cell>
          <cell r="D126">
            <v>2100</v>
          </cell>
          <cell r="F126">
            <v>267.31833333333333</v>
          </cell>
          <cell r="G126">
            <v>0.65745516666666726</v>
          </cell>
          <cell r="H126">
            <v>4.9908585605555587</v>
          </cell>
          <cell r="I126">
            <v>0</v>
          </cell>
          <cell r="J126">
            <v>0</v>
          </cell>
          <cell r="L126">
            <v>5.65</v>
          </cell>
          <cell r="M126">
            <v>11865</v>
          </cell>
        </row>
        <row r="127">
          <cell r="A127" t="str">
            <v>A06</v>
          </cell>
          <cell r="B127" t="str">
            <v>Excavación de roca ripeable</v>
          </cell>
          <cell r="C127" t="str">
            <v>m3</v>
          </cell>
          <cell r="D127">
            <v>2100</v>
          </cell>
          <cell r="E127">
            <v>1.1950000000000001</v>
          </cell>
          <cell r="F127">
            <v>3.3333333333333333E-2</v>
          </cell>
          <cell r="G127">
            <v>0.16439999999999999</v>
          </cell>
          <cell r="H127">
            <v>1.5519306666666701</v>
          </cell>
          <cell r="I127">
            <v>0</v>
          </cell>
          <cell r="J127">
            <v>0</v>
          </cell>
          <cell r="K127">
            <v>1.7163306666666702</v>
          </cell>
          <cell r="L127">
            <v>2.0510151466666708</v>
          </cell>
          <cell r="M127">
            <v>4307.1318080000092</v>
          </cell>
        </row>
        <row r="128">
          <cell r="A128" t="str">
            <v>A09</v>
          </cell>
          <cell r="B128" t="str">
            <v>Carguío de material común &amp; roca ripeable con excavadora</v>
          </cell>
          <cell r="C128" t="str">
            <v>m3</v>
          </cell>
          <cell r="D128">
            <v>2100</v>
          </cell>
          <cell r="E128">
            <v>1.2</v>
          </cell>
          <cell r="F128">
            <v>8.0000000000000002E-3</v>
          </cell>
          <cell r="G128">
            <v>4.224E-2</v>
          </cell>
          <cell r="H128">
            <v>0.57259199999999999</v>
          </cell>
          <cell r="I128">
            <v>0</v>
          </cell>
          <cell r="J128">
            <v>0</v>
          </cell>
          <cell r="K128">
            <v>0.61483199999999993</v>
          </cell>
          <cell r="L128">
            <v>0.73779839999999985</v>
          </cell>
          <cell r="M128">
            <v>1549.3766399999997</v>
          </cell>
        </row>
        <row r="129">
          <cell r="A129" t="str">
            <v>A08</v>
          </cell>
          <cell r="B129" t="str">
            <v>Relleno masivo compactado</v>
          </cell>
          <cell r="C129" t="str">
            <v>m3</v>
          </cell>
          <cell r="D129">
            <v>2100</v>
          </cell>
          <cell r="E129">
            <v>1.1000000000000001</v>
          </cell>
          <cell r="F129">
            <v>4.2499999999999996E-2</v>
          </cell>
          <cell r="G129">
            <v>0.22367500000000001</v>
          </cell>
          <cell r="H129">
            <v>1.49118375</v>
          </cell>
          <cell r="I129">
            <v>0</v>
          </cell>
          <cell r="J129">
            <v>0</v>
          </cell>
          <cell r="K129">
            <v>1.7148587500000001</v>
          </cell>
          <cell r="L129">
            <v>1.8863446250000002</v>
          </cell>
          <cell r="M129">
            <v>3961.3237125000005</v>
          </cell>
        </row>
        <row r="130">
          <cell r="A130" t="str">
            <v>A04</v>
          </cell>
          <cell r="B130" t="str">
            <v>Acarreo d&lt;1km (sin esponj)</v>
          </cell>
          <cell r="C130" t="str">
            <v>m3</v>
          </cell>
          <cell r="D130">
            <v>2100</v>
          </cell>
          <cell r="E130">
            <v>1.6</v>
          </cell>
          <cell r="F130">
            <v>1.9444444444444441E-2</v>
          </cell>
          <cell r="G130">
            <v>0.102666666666667</v>
          </cell>
          <cell r="H130">
            <v>0.50555555555555498</v>
          </cell>
          <cell r="I130">
            <v>0</v>
          </cell>
          <cell r="J130">
            <v>0</v>
          </cell>
          <cell r="K130">
            <v>0.608222222222222</v>
          </cell>
          <cell r="L130">
            <v>0.97315555555555522</v>
          </cell>
          <cell r="M130">
            <v>2043.6266666666659</v>
          </cell>
        </row>
        <row r="131">
          <cell r="A131" t="str">
            <v>A05</v>
          </cell>
          <cell r="B131" t="str">
            <v>Sobreacarreo (d&gt;1km) (sin esponj)</v>
          </cell>
          <cell r="C131" t="str">
            <v>m3-km</v>
          </cell>
          <cell r="F131">
            <v>8.9285714285714263E-3</v>
          </cell>
          <cell r="G131">
            <v>4.7142857142857E-2</v>
          </cell>
          <cell r="H131">
            <v>0.23308571428571401</v>
          </cell>
          <cell r="I131">
            <v>0</v>
          </cell>
          <cell r="J131">
            <v>0</v>
          </cell>
          <cell r="K131">
            <v>0.28022857142857105</v>
          </cell>
          <cell r="L131">
            <v>0</v>
          </cell>
          <cell r="M131">
            <v>0</v>
          </cell>
        </row>
        <row r="132">
          <cell r="A132" t="str">
            <v>2.02.e</v>
          </cell>
          <cell r="B132" t="str">
            <v>Drill and blast bulk rock (without limit on thickness, broken to fine or coarse fragments as required depending on end-use. Applies to locations other than trenches and ditches).</v>
          </cell>
          <cell r="C132" t="str">
            <v>m3</v>
          </cell>
          <cell r="D132">
            <v>200</v>
          </cell>
          <cell r="F132">
            <v>18.231239935587762</v>
          </cell>
          <cell r="G132">
            <v>0</v>
          </cell>
          <cell r="H132">
            <v>0</v>
          </cell>
          <cell r="I132">
            <v>0</v>
          </cell>
          <cell r="J132">
            <v>3.3424</v>
          </cell>
          <cell r="L132">
            <v>3.34</v>
          </cell>
          <cell r="M132">
            <v>668</v>
          </cell>
        </row>
        <row r="133">
          <cell r="A133" t="str">
            <v>A11</v>
          </cell>
          <cell r="B133" t="str">
            <v>Perforación y voladura masiva (material fino)</v>
          </cell>
          <cell r="C133" t="str">
            <v>m3</v>
          </cell>
          <cell r="D133">
            <v>200</v>
          </cell>
          <cell r="E133">
            <v>0.4</v>
          </cell>
          <cell r="F133">
            <v>7.4718196457326899E-2</v>
          </cell>
          <cell r="G133">
            <v>0</v>
          </cell>
          <cell r="H133">
            <v>0</v>
          </cell>
          <cell r="I133">
            <v>0</v>
          </cell>
          <cell r="J133">
            <v>2.78</v>
          </cell>
          <cell r="K133">
            <v>2.78</v>
          </cell>
          <cell r="L133">
            <v>1.1119999999999999</v>
          </cell>
          <cell r="M133">
            <v>222.39999999999998</v>
          </cell>
        </row>
        <row r="134">
          <cell r="A134" t="str">
            <v>A12</v>
          </cell>
          <cell r="B134" t="str">
            <v>Perforación y voladura masiva (material grueso)</v>
          </cell>
          <cell r="C134" t="str">
            <v>m3</v>
          </cell>
          <cell r="D134">
            <v>200</v>
          </cell>
          <cell r="E134">
            <v>0.82</v>
          </cell>
          <cell r="F134">
            <v>7.4718196457326899E-2</v>
          </cell>
          <cell r="G134">
            <v>0</v>
          </cell>
          <cell r="H134">
            <v>0</v>
          </cell>
          <cell r="I134">
            <v>0</v>
          </cell>
          <cell r="J134">
            <v>2.72</v>
          </cell>
          <cell r="K134">
            <v>2.72</v>
          </cell>
          <cell r="L134">
            <v>2.2303999999999999</v>
          </cell>
          <cell r="M134">
            <v>446.08</v>
          </cell>
        </row>
        <row r="135">
          <cell r="A135" t="str">
            <v>2.02.f</v>
          </cell>
          <cell r="B135" t="str">
            <v xml:space="preserve">Excavate and Fill (fine blasted) broken rock </v>
          </cell>
          <cell r="C135" t="str">
            <v>m3</v>
          </cell>
          <cell r="D135">
            <v>250</v>
          </cell>
          <cell r="F135">
            <v>22.03125</v>
          </cell>
          <cell r="G135">
            <v>0.44907812499999999</v>
          </cell>
          <cell r="H135">
            <v>3.4979339062500001</v>
          </cell>
          <cell r="I135">
            <v>0</v>
          </cell>
          <cell r="J135">
            <v>0</v>
          </cell>
          <cell r="L135">
            <v>3.95</v>
          </cell>
          <cell r="M135">
            <v>987.5</v>
          </cell>
        </row>
        <row r="136">
          <cell r="A136" t="str">
            <v>A13</v>
          </cell>
          <cell r="B136" t="str">
            <v>Remoción de Material fino volado</v>
          </cell>
          <cell r="C136" t="str">
            <v>m3</v>
          </cell>
          <cell r="D136">
            <v>250</v>
          </cell>
          <cell r="E136">
            <v>1.25</v>
          </cell>
          <cell r="F136">
            <v>2.4E-2</v>
          </cell>
          <cell r="G136">
            <v>0.11976000000000001</v>
          </cell>
          <cell r="H136">
            <v>1.1023720000000001</v>
          </cell>
          <cell r="I136">
            <v>0</v>
          </cell>
          <cell r="J136">
            <v>0</v>
          </cell>
          <cell r="K136">
            <v>1.2221320000000002</v>
          </cell>
          <cell r="L136">
            <v>1.5276650000000003</v>
          </cell>
          <cell r="M136">
            <v>381.91625000000005</v>
          </cell>
        </row>
        <row r="137">
          <cell r="A137" t="str">
            <v>A07</v>
          </cell>
          <cell r="B137" t="str">
            <v>Empuje de material d&lt;60m</v>
          </cell>
          <cell r="C137" t="str">
            <v>m3</v>
          </cell>
          <cell r="D137">
            <v>250</v>
          </cell>
          <cell r="E137">
            <v>1.25</v>
          </cell>
          <cell r="F137">
            <v>1.2500000000000001E-2</v>
          </cell>
          <cell r="G137">
            <v>6.0562499999999998E-2</v>
          </cell>
          <cell r="H137">
            <v>0.50302812500000005</v>
          </cell>
          <cell r="I137">
            <v>0</v>
          </cell>
          <cell r="J137">
            <v>0</v>
          </cell>
          <cell r="K137">
            <v>0.56359062500000001</v>
          </cell>
          <cell r="L137">
            <v>0.70448828124999996</v>
          </cell>
          <cell r="M137">
            <v>176.1220703125</v>
          </cell>
        </row>
        <row r="138">
          <cell r="A138" t="str">
            <v>A08</v>
          </cell>
          <cell r="B138" t="str">
            <v>Relleno masivo compactado</v>
          </cell>
          <cell r="C138" t="str">
            <v>m3</v>
          </cell>
          <cell r="D138">
            <v>250</v>
          </cell>
          <cell r="E138">
            <v>1</v>
          </cell>
          <cell r="F138">
            <v>4.2499999999999996E-2</v>
          </cell>
          <cell r="G138">
            <v>0.22367500000000001</v>
          </cell>
          <cell r="H138">
            <v>1.49118375</v>
          </cell>
          <cell r="I138">
            <v>0</v>
          </cell>
          <cell r="J138">
            <v>0</v>
          </cell>
          <cell r="K138">
            <v>1.7148587500000001</v>
          </cell>
          <cell r="L138">
            <v>1.7148587500000001</v>
          </cell>
          <cell r="M138">
            <v>428.71468750000003</v>
          </cell>
        </row>
        <row r="139">
          <cell r="A139" t="str">
            <v>2.02.g</v>
          </cell>
          <cell r="B139" t="str">
            <v xml:space="preserve">Excavate (fine or coarse blasted) broken rock to surplus stockpile </v>
          </cell>
          <cell r="C139" t="str">
            <v>m3</v>
          </cell>
          <cell r="D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L139">
            <v>0</v>
          </cell>
          <cell r="M139">
            <v>0</v>
          </cell>
        </row>
        <row r="140">
          <cell r="A140" t="str">
            <v>A14</v>
          </cell>
          <cell r="B140" t="str">
            <v>Remoción de Material grueso volado</v>
          </cell>
          <cell r="C140" t="str">
            <v>m3</v>
          </cell>
          <cell r="D140">
            <v>0</v>
          </cell>
          <cell r="F140">
            <v>2.5000000000000001E-2</v>
          </cell>
          <cell r="G140">
            <v>0.12475</v>
          </cell>
          <cell r="H140">
            <v>1.11859166666667</v>
          </cell>
          <cell r="I140">
            <v>0</v>
          </cell>
          <cell r="J140">
            <v>0</v>
          </cell>
          <cell r="K140">
            <v>1.2433416666666699</v>
          </cell>
          <cell r="L140">
            <v>0</v>
          </cell>
          <cell r="M140">
            <v>0</v>
          </cell>
        </row>
        <row r="141">
          <cell r="A141" t="str">
            <v>A43</v>
          </cell>
          <cell r="B141" t="str">
            <v>Carguío de roca volada con excavadora</v>
          </cell>
          <cell r="C141" t="str">
            <v>m3</v>
          </cell>
          <cell r="D141">
            <v>0</v>
          </cell>
          <cell r="F141">
            <v>8.1967213114754103E-3</v>
          </cell>
          <cell r="G141">
            <v>4.3278688524589999E-2</v>
          </cell>
          <cell r="H141">
            <v>0.58667213114754102</v>
          </cell>
          <cell r="I141">
            <v>0</v>
          </cell>
          <cell r="J141">
            <v>0</v>
          </cell>
          <cell r="K141">
            <v>0.62995081967213107</v>
          </cell>
          <cell r="L141">
            <v>0</v>
          </cell>
          <cell r="M141">
            <v>0</v>
          </cell>
        </row>
        <row r="142">
          <cell r="A142" t="str">
            <v>A10</v>
          </cell>
          <cell r="B142" t="str">
            <v>Extendido de roca en botadero</v>
          </cell>
          <cell r="C142" t="str">
            <v>m3</v>
          </cell>
          <cell r="D142">
            <v>0</v>
          </cell>
          <cell r="F142">
            <v>3.5714285714285713E-3</v>
          </cell>
          <cell r="G142">
            <v>1.8857142857142999E-2</v>
          </cell>
          <cell r="H142">
            <v>0.14619285714285699</v>
          </cell>
          <cell r="I142">
            <v>0</v>
          </cell>
          <cell r="J142">
            <v>0</v>
          </cell>
          <cell r="K142">
            <v>0.16504999999999997</v>
          </cell>
          <cell r="L142">
            <v>0</v>
          </cell>
          <cell r="M142">
            <v>0</v>
          </cell>
        </row>
        <row r="143">
          <cell r="A143" t="str">
            <v>A04</v>
          </cell>
          <cell r="B143" t="str">
            <v>Acarreo d&lt;1km (sin esponj)</v>
          </cell>
          <cell r="C143" t="str">
            <v>m3</v>
          </cell>
          <cell r="D143">
            <v>0</v>
          </cell>
          <cell r="F143">
            <v>1.9444444444444441E-2</v>
          </cell>
          <cell r="G143">
            <v>0.102666666666667</v>
          </cell>
          <cell r="H143">
            <v>0.50555555555555498</v>
          </cell>
          <cell r="I143">
            <v>0</v>
          </cell>
          <cell r="J143">
            <v>0</v>
          </cell>
          <cell r="K143">
            <v>0.608222222222222</v>
          </cell>
          <cell r="L143">
            <v>0</v>
          </cell>
          <cell r="M143">
            <v>0</v>
          </cell>
        </row>
        <row r="144">
          <cell r="A144" t="str">
            <v>A05</v>
          </cell>
          <cell r="B144" t="str">
            <v>Sobreacarreo (d&gt;1km) (sin esponj)</v>
          </cell>
          <cell r="C144" t="str">
            <v>m3-km</v>
          </cell>
          <cell r="D144">
            <v>0</v>
          </cell>
          <cell r="F144">
            <v>8.9285714285714263E-3</v>
          </cell>
          <cell r="G144">
            <v>4.7142857142857E-2</v>
          </cell>
          <cell r="H144">
            <v>0.23308571428571401</v>
          </cell>
          <cell r="I144">
            <v>0</v>
          </cell>
          <cell r="J144">
            <v>0</v>
          </cell>
          <cell r="K144">
            <v>0.28022857142857105</v>
          </cell>
          <cell r="L144">
            <v>0</v>
          </cell>
          <cell r="M144">
            <v>0</v>
          </cell>
        </row>
        <row r="145">
          <cell r="A145" t="str">
            <v>2.02.h</v>
          </cell>
          <cell r="B145" t="str">
            <v>Supply and Install Backfill Granular A to roads/yards</v>
          </cell>
          <cell r="C145" t="str">
            <v>m3</v>
          </cell>
          <cell r="D145">
            <v>680</v>
          </cell>
          <cell r="F145">
            <v>326.12341269841266</v>
          </cell>
          <cell r="G145">
            <v>1.9839190476190467</v>
          </cell>
          <cell r="H145">
            <v>5.7282700952380896</v>
          </cell>
          <cell r="I145">
            <v>3.5625</v>
          </cell>
          <cell r="J145">
            <v>0</v>
          </cell>
          <cell r="K145">
            <v>11.274689142857136</v>
          </cell>
          <cell r="L145">
            <v>11.27</v>
          </cell>
          <cell r="M145">
            <v>7663.6</v>
          </cell>
        </row>
        <row r="146">
          <cell r="A146" t="str">
            <v>A15</v>
          </cell>
          <cell r="B146" t="str">
            <v>Suministro de material granular A</v>
          </cell>
          <cell r="C146" t="str">
            <v>m3</v>
          </cell>
          <cell r="D146">
            <v>680</v>
          </cell>
          <cell r="E146">
            <v>1.25</v>
          </cell>
          <cell r="F146">
            <v>0</v>
          </cell>
          <cell r="G146">
            <v>0</v>
          </cell>
          <cell r="H146">
            <v>0</v>
          </cell>
          <cell r="I146">
            <v>2.85</v>
          </cell>
          <cell r="J146">
            <v>0</v>
          </cell>
          <cell r="K146">
            <v>2.85</v>
          </cell>
          <cell r="L146">
            <v>3.5625</v>
          </cell>
          <cell r="M146">
            <v>2422.5</v>
          </cell>
        </row>
        <row r="147">
          <cell r="A147" t="str">
            <v>A16</v>
          </cell>
          <cell r="B147" t="str">
            <v>Colocación y compactación Mat Granular A</v>
          </cell>
          <cell r="C147" t="str">
            <v>m3</v>
          </cell>
          <cell r="D147">
            <v>680</v>
          </cell>
          <cell r="E147">
            <v>1</v>
          </cell>
          <cell r="F147">
            <v>0.37805555555555553</v>
          </cell>
          <cell r="G147">
            <v>1.4478</v>
          </cell>
          <cell r="H147">
            <v>3.0801342222222199</v>
          </cell>
          <cell r="I147">
            <v>0</v>
          </cell>
          <cell r="J147">
            <v>0</v>
          </cell>
          <cell r="K147">
            <v>4.5279342222222194</v>
          </cell>
          <cell r="L147">
            <v>4.5279342222222194</v>
          </cell>
          <cell r="M147">
            <v>3078.9952711111091</v>
          </cell>
        </row>
        <row r="148">
          <cell r="A148" t="str">
            <v>A04</v>
          </cell>
          <cell r="B148" t="str">
            <v>Acarreo d&lt;1km (sin esponj)</v>
          </cell>
          <cell r="C148" t="str">
            <v>m3</v>
          </cell>
          <cell r="D148">
            <v>680</v>
          </cell>
          <cell r="E148">
            <v>1.25</v>
          </cell>
          <cell r="F148">
            <v>1.9444444444444441E-2</v>
          </cell>
          <cell r="G148">
            <v>0.102666666666667</v>
          </cell>
          <cell r="H148">
            <v>0.50555555555555498</v>
          </cell>
          <cell r="I148">
            <v>0</v>
          </cell>
          <cell r="J148">
            <v>0</v>
          </cell>
          <cell r="K148">
            <v>0.608222222222222</v>
          </cell>
          <cell r="L148">
            <v>0.7602777777777775</v>
          </cell>
          <cell r="M148">
            <v>516.98888888888871</v>
          </cell>
        </row>
        <row r="149">
          <cell r="A149" t="str">
            <v>A05</v>
          </cell>
          <cell r="B149" t="str">
            <v>Sobreacarreo (d&gt;1km) (sin esponj)</v>
          </cell>
          <cell r="C149" t="str">
            <v>m3-km</v>
          </cell>
          <cell r="D149">
            <v>4705.6000000000004</v>
          </cell>
          <cell r="E149">
            <v>1.25</v>
          </cell>
          <cell r="F149">
            <v>8.9285714285714263E-3</v>
          </cell>
          <cell r="G149">
            <v>4.7142857142857E-2</v>
          </cell>
          <cell r="H149">
            <v>0.23308571428571401</v>
          </cell>
          <cell r="I149">
            <v>0</v>
          </cell>
          <cell r="J149">
            <v>0</v>
          </cell>
          <cell r="K149">
            <v>0.28022857142857105</v>
          </cell>
          <cell r="L149">
            <v>0.35028571428571381</v>
          </cell>
          <cell r="M149">
            <v>1648.304457142855</v>
          </cell>
        </row>
        <row r="150">
          <cell r="A150" t="str">
            <v>2.02.i</v>
          </cell>
          <cell r="B150" t="str">
            <v>Supply and Install Backfill Granular B to roads/yards</v>
          </cell>
          <cell r="C150" t="str">
            <v>m3</v>
          </cell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 t="str">
            <v>A40</v>
          </cell>
          <cell r="B151" t="str">
            <v>Suministro de material granular B</v>
          </cell>
          <cell r="C151" t="str">
            <v>m3</v>
          </cell>
          <cell r="F151">
            <v>0</v>
          </cell>
          <cell r="G151">
            <v>0</v>
          </cell>
          <cell r="H151">
            <v>0</v>
          </cell>
          <cell r="I151">
            <v>2.85</v>
          </cell>
          <cell r="J151">
            <v>0</v>
          </cell>
          <cell r="K151">
            <v>2.85</v>
          </cell>
          <cell r="L151">
            <v>0</v>
          </cell>
          <cell r="M151">
            <v>0</v>
          </cell>
        </row>
        <row r="152">
          <cell r="A152" t="str">
            <v>A41</v>
          </cell>
          <cell r="B152" t="str">
            <v>Colocación y compactación Mat Granular B</v>
          </cell>
          <cell r="C152" t="str">
            <v>m3</v>
          </cell>
          <cell r="F152">
            <v>0.10416666666666666</v>
          </cell>
          <cell r="G152">
            <v>0.53187499999999999</v>
          </cell>
          <cell r="H152">
            <v>2.3804166666666702</v>
          </cell>
          <cell r="I152">
            <v>0</v>
          </cell>
          <cell r="J152">
            <v>0</v>
          </cell>
          <cell r="K152">
            <v>2.9122916666666701</v>
          </cell>
          <cell r="L152">
            <v>0</v>
          </cell>
          <cell r="M152">
            <v>0</v>
          </cell>
        </row>
        <row r="153">
          <cell r="A153" t="str">
            <v>A04</v>
          </cell>
          <cell r="B153" t="str">
            <v>Acarreo d&lt;1km (sin esponj)</v>
          </cell>
          <cell r="C153" t="str">
            <v>m3</v>
          </cell>
          <cell r="F153">
            <v>1.9444444444444441E-2</v>
          </cell>
          <cell r="G153">
            <v>0.102666666666667</v>
          </cell>
          <cell r="H153">
            <v>0.50555555555555498</v>
          </cell>
          <cell r="I153">
            <v>0</v>
          </cell>
          <cell r="J153">
            <v>0</v>
          </cell>
          <cell r="K153">
            <v>0.608222222222222</v>
          </cell>
          <cell r="L153">
            <v>0</v>
          </cell>
          <cell r="M153">
            <v>0</v>
          </cell>
        </row>
        <row r="154">
          <cell r="A154" t="str">
            <v>A05</v>
          </cell>
          <cell r="B154" t="str">
            <v>Sobreacarreo (d&gt;1km) (sin esponj)</v>
          </cell>
          <cell r="C154" t="str">
            <v>m3-km</v>
          </cell>
          <cell r="F154">
            <v>8.9285714285714263E-3</v>
          </cell>
          <cell r="G154">
            <v>4.7142857142857E-2</v>
          </cell>
          <cell r="H154">
            <v>0.23308571428571401</v>
          </cell>
          <cell r="I154">
            <v>0</v>
          </cell>
          <cell r="J154">
            <v>0</v>
          </cell>
          <cell r="K154">
            <v>0.28022857142857105</v>
          </cell>
          <cell r="L154">
            <v>0</v>
          </cell>
          <cell r="M154">
            <v>0</v>
          </cell>
        </row>
        <row r="155">
          <cell r="A155" t="str">
            <v>2.02.j</v>
          </cell>
          <cell r="B155" t="str">
            <v>Supply and Install Riprap-Geotextile-Bedding to ditches and slopes, including rock/earth excavation and shaping of the site</v>
          </cell>
          <cell r="C155" t="str">
            <v>Ls</v>
          </cell>
          <cell r="D155">
            <v>1</v>
          </cell>
          <cell r="F155">
            <v>149.32706008719728</v>
          </cell>
          <cell r="G155">
            <v>492.47833023339314</v>
          </cell>
          <cell r="H155">
            <v>407.64451363583487</v>
          </cell>
          <cell r="I155">
            <v>130.14058610853729</v>
          </cell>
          <cell r="J155">
            <v>126.93437619229304</v>
          </cell>
          <cell r="L155">
            <v>1157.2</v>
          </cell>
          <cell r="M155">
            <v>1157.2</v>
          </cell>
        </row>
        <row r="156">
          <cell r="A156" t="str">
            <v>A19</v>
          </cell>
          <cell r="B156" t="str">
            <v>Rip rap</v>
          </cell>
          <cell r="C156" t="str">
            <v>m3</v>
          </cell>
          <cell r="D156">
            <v>28</v>
          </cell>
          <cell r="E156">
            <v>1.0512163659817229</v>
          </cell>
          <cell r="F156">
            <v>2.7285714285714286</v>
          </cell>
          <cell r="G156">
            <v>8.8182857142857092</v>
          </cell>
          <cell r="H156">
            <v>4.8350057142857139</v>
          </cell>
          <cell r="I156">
            <v>2.85</v>
          </cell>
          <cell r="J156">
            <v>0</v>
          </cell>
          <cell r="K156">
            <v>16.503291428571423</v>
          </cell>
          <cell r="L156">
            <v>17.348530042280167</v>
          </cell>
          <cell r="M156">
            <v>485.75884118384465</v>
          </cell>
        </row>
        <row r="157">
          <cell r="A157" t="str">
            <v>A20</v>
          </cell>
          <cell r="B157" t="str">
            <v>Geotextil 400g/m2 Non Woven</v>
          </cell>
          <cell r="C157" t="str">
            <v>m2</v>
          </cell>
          <cell r="D157">
            <v>55</v>
          </cell>
          <cell r="E157">
            <v>1.0512163659817229</v>
          </cell>
          <cell r="F157">
            <v>0.37356321839080464</v>
          </cell>
          <cell r="G157">
            <v>1.1715517241379301</v>
          </cell>
          <cell r="H157">
            <v>0.445182471264368</v>
          </cell>
          <cell r="I157">
            <v>0.8</v>
          </cell>
          <cell r="J157">
            <v>0</v>
          </cell>
          <cell r="K157">
            <v>2.4167341954022983</v>
          </cell>
          <cell r="L157">
            <v>2.540510538434567</v>
          </cell>
          <cell r="M157">
            <v>139.72807961390117</v>
          </cell>
        </row>
        <row r="158">
          <cell r="A158" t="str">
            <v>A21</v>
          </cell>
          <cell r="B158" t="str">
            <v>Excavación y perfilado de zanjas</v>
          </cell>
          <cell r="C158" t="str">
            <v>m3</v>
          </cell>
          <cell r="D158">
            <v>35</v>
          </cell>
          <cell r="E158">
            <v>1.0512163659817229</v>
          </cell>
          <cell r="F158">
            <v>1.2887346226726417</v>
          </cell>
          <cell r="G158">
            <v>4.4896263901299003</v>
          </cell>
          <cell r="H158">
            <v>6.5119556758310146</v>
          </cell>
          <cell r="I158">
            <v>0</v>
          </cell>
          <cell r="J158">
            <v>3.45</v>
          </cell>
          <cell r="K158">
            <v>14.451582065960915</v>
          </cell>
          <cell r="L158">
            <v>15.191739582066072</v>
          </cell>
          <cell r="M158">
            <v>531.71088537231253</v>
          </cell>
        </row>
        <row r="159">
          <cell r="A159" t="str">
            <v>2.02.k</v>
          </cell>
          <cell r="B159" t="str">
            <v>Supply and Install Gabions-Geotextile-Bedding-Concrete Facing, complete including rock/earth excavation shaping &amp; backfill of the site</v>
          </cell>
          <cell r="C159" t="str">
            <v>Ls</v>
          </cell>
          <cell r="D159">
            <v>1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L159">
            <v>0</v>
          </cell>
          <cell r="M159">
            <v>0</v>
          </cell>
        </row>
        <row r="160">
          <cell r="A160" t="str">
            <v>A22</v>
          </cell>
          <cell r="B160" t="str">
            <v>Supply and Install Granular A Surfacing to roads/yards</v>
          </cell>
          <cell r="C160" t="str">
            <v>m3</v>
          </cell>
          <cell r="F160">
            <v>0.47959325396825392</v>
          </cell>
          <cell r="G160">
            <v>1.9839190476190467</v>
          </cell>
          <cell r="H160">
            <v>5.7282700952380896</v>
          </cell>
          <cell r="I160">
            <v>3.5625</v>
          </cell>
          <cell r="J160">
            <v>0</v>
          </cell>
          <cell r="K160">
            <v>11.274689142857136</v>
          </cell>
          <cell r="L160">
            <v>0</v>
          </cell>
          <cell r="M160">
            <v>0</v>
          </cell>
        </row>
        <row r="161">
          <cell r="A161" t="str">
            <v>A23</v>
          </cell>
          <cell r="B161" t="str">
            <v>Concrete Lining</v>
          </cell>
          <cell r="C161" t="str">
            <v>m3</v>
          </cell>
          <cell r="F161">
            <v>14.282608695652174</v>
          </cell>
          <cell r="G161">
            <v>49.431086956521703</v>
          </cell>
          <cell r="H161">
            <v>4.9527137681159399</v>
          </cell>
          <cell r="I161">
            <v>60</v>
          </cell>
          <cell r="J161">
            <v>0</v>
          </cell>
          <cell r="K161">
            <v>114.38380072463765</v>
          </cell>
          <cell r="L161">
            <v>0</v>
          </cell>
          <cell r="M161">
            <v>0</v>
          </cell>
        </row>
        <row r="162">
          <cell r="A162" t="str">
            <v>A24</v>
          </cell>
          <cell r="B162" t="str">
            <v>Gavión</v>
          </cell>
          <cell r="C162" t="str">
            <v>m3</v>
          </cell>
          <cell r="F162">
            <v>1.7583333333333333</v>
          </cell>
          <cell r="G162">
            <v>6.2273333333333296</v>
          </cell>
          <cell r="H162">
            <v>7.133083333333337</v>
          </cell>
          <cell r="I162">
            <v>19.350000000000001</v>
          </cell>
          <cell r="J162">
            <v>0</v>
          </cell>
          <cell r="K162">
            <v>32.710416666666674</v>
          </cell>
          <cell r="L162">
            <v>0</v>
          </cell>
          <cell r="M162">
            <v>0</v>
          </cell>
        </row>
        <row r="163">
          <cell r="A163" t="str">
            <v>A21</v>
          </cell>
          <cell r="B163" t="str">
            <v>Excavación y perfilado de zanjas</v>
          </cell>
          <cell r="C163" t="str">
            <v>m3</v>
          </cell>
          <cell r="F163">
            <v>1.2887346226726417</v>
          </cell>
          <cell r="G163">
            <v>4.4896263901299003</v>
          </cell>
          <cell r="H163">
            <v>6.5119556758310146</v>
          </cell>
          <cell r="I163">
            <v>0</v>
          </cell>
          <cell r="J163">
            <v>3.45</v>
          </cell>
          <cell r="K163">
            <v>14.451582065960915</v>
          </cell>
          <cell r="L163">
            <v>0</v>
          </cell>
          <cell r="M163">
            <v>0</v>
          </cell>
        </row>
        <row r="164">
          <cell r="A164" t="str">
            <v>2.02.l</v>
          </cell>
          <cell r="B164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64" t="str">
            <v>Ls</v>
          </cell>
          <cell r="D164">
            <v>1</v>
          </cell>
          <cell r="F164">
            <v>1088.5886208388081</v>
          </cell>
          <cell r="G164">
            <v>3863.3583835050472</v>
          </cell>
          <cell r="H164">
            <v>7109.3179736312131</v>
          </cell>
          <cell r="I164">
            <v>5889.5895437761674</v>
          </cell>
          <cell r="J164">
            <v>1070.5322230290296</v>
          </cell>
          <cell r="L164">
            <v>17932.8</v>
          </cell>
          <cell r="M164">
            <v>17932.8</v>
          </cell>
        </row>
        <row r="165">
          <cell r="A165" t="str">
            <v>A25</v>
          </cell>
          <cell r="B165" t="str">
            <v>Suministro y colocación de Grating</v>
          </cell>
          <cell r="C165" t="str">
            <v>m2</v>
          </cell>
          <cell r="F165">
            <v>1.75</v>
          </cell>
          <cell r="G165">
            <v>6.1725000000000003</v>
          </cell>
          <cell r="H165">
            <v>0.144125</v>
          </cell>
          <cell r="I165">
            <v>225</v>
          </cell>
          <cell r="J165">
            <v>0</v>
          </cell>
          <cell r="K165">
            <v>231.31662500000002</v>
          </cell>
          <cell r="L165">
            <v>0</v>
          </cell>
          <cell r="M165">
            <v>0</v>
          </cell>
        </row>
        <row r="166">
          <cell r="A166" t="str">
            <v>A26</v>
          </cell>
          <cell r="B166" t="str">
            <v>Suministro y colocación de Tapa metálica</v>
          </cell>
          <cell r="C166" t="str">
            <v>m2</v>
          </cell>
          <cell r="F166">
            <v>1.75</v>
          </cell>
          <cell r="G166">
            <v>6.1725000000000003</v>
          </cell>
          <cell r="H166">
            <v>0.144125</v>
          </cell>
          <cell r="I166">
            <v>300</v>
          </cell>
          <cell r="J166">
            <v>0</v>
          </cell>
          <cell r="K166">
            <v>306.31662499999999</v>
          </cell>
          <cell r="L166">
            <v>0</v>
          </cell>
          <cell r="M166">
            <v>0</v>
          </cell>
        </row>
        <row r="167">
          <cell r="A167" t="str">
            <v>A27</v>
          </cell>
          <cell r="B167" t="str">
            <v>Relleno estructural</v>
          </cell>
          <cell r="C167" t="str">
            <v>m3</v>
          </cell>
          <cell r="D167">
            <v>55</v>
          </cell>
          <cell r="E167">
            <v>1.1082114110031362</v>
          </cell>
          <cell r="F167">
            <v>1.2875000000000001</v>
          </cell>
          <cell r="G167">
            <v>4.2321666666666697</v>
          </cell>
          <cell r="H167">
            <v>6.8350416666666636</v>
          </cell>
          <cell r="I167">
            <v>0</v>
          </cell>
          <cell r="J167">
            <v>0</v>
          </cell>
          <cell r="K167">
            <v>11.067208333333333</v>
          </cell>
          <cell r="L167">
            <v>12.264806562949001</v>
          </cell>
          <cell r="M167">
            <v>674.56436096219511</v>
          </cell>
        </row>
        <row r="168">
          <cell r="A168" t="str">
            <v>A28</v>
          </cell>
          <cell r="B168" t="str">
            <v>Bermas de Seguridad</v>
          </cell>
          <cell r="C168" t="str">
            <v>m3</v>
          </cell>
          <cell r="D168">
            <v>660</v>
          </cell>
          <cell r="E168">
            <v>1.1082114110031362</v>
          </cell>
          <cell r="F168">
            <v>0.1</v>
          </cell>
          <cell r="G168">
            <v>0.499</v>
          </cell>
          <cell r="H168">
            <v>3.5649500000000001</v>
          </cell>
          <cell r="I168">
            <v>2.85</v>
          </cell>
          <cell r="J168">
            <v>0</v>
          </cell>
          <cell r="K168">
            <v>6.9139499999999998</v>
          </cell>
          <cell r="L168">
            <v>7.6621182851051337</v>
          </cell>
          <cell r="M168">
            <v>5056.9980681693878</v>
          </cell>
        </row>
        <row r="169">
          <cell r="A169" t="str">
            <v>A44</v>
          </cell>
          <cell r="B169" t="str">
            <v>Relleno localizado con Granular A</v>
          </cell>
          <cell r="C169" t="str">
            <v>m3</v>
          </cell>
          <cell r="D169">
            <v>100</v>
          </cell>
          <cell r="E169">
            <v>1.1082114110031362</v>
          </cell>
          <cell r="F169">
            <v>1.3416666666666666</v>
          </cell>
          <cell r="G169">
            <v>4.5181666666666702</v>
          </cell>
          <cell r="H169">
            <v>8.3767083333333332</v>
          </cell>
          <cell r="I169">
            <v>3.1349999999999998</v>
          </cell>
          <cell r="J169">
            <v>0</v>
          </cell>
          <cell r="K169">
            <v>16.029875000000004</v>
          </cell>
          <cell r="L169">
            <v>17.764490391953903</v>
          </cell>
          <cell r="M169">
            <v>1776.4490391953902</v>
          </cell>
        </row>
        <row r="170">
          <cell r="A170" t="str">
            <v>A30</v>
          </cell>
          <cell r="B170" t="str">
            <v>Concreto reforzado</v>
          </cell>
          <cell r="C170" t="str">
            <v>m3</v>
          </cell>
          <cell r="F170">
            <v>16.2</v>
          </cell>
          <cell r="G170">
            <v>56.207999999999998</v>
          </cell>
          <cell r="H170">
            <v>3.9517333333333298</v>
          </cell>
          <cell r="I170">
            <v>116.16</v>
          </cell>
          <cell r="J170">
            <v>0</v>
          </cell>
          <cell r="K170">
            <v>176.31973333333332</v>
          </cell>
          <cell r="L170">
            <v>0</v>
          </cell>
          <cell r="M170">
            <v>0</v>
          </cell>
        </row>
        <row r="171">
          <cell r="A171" t="str">
            <v>A31</v>
          </cell>
          <cell r="B171" t="str">
            <v>Alcantarillas 800mm</v>
          </cell>
          <cell r="C171" t="str">
            <v>ml</v>
          </cell>
          <cell r="D171">
            <v>52</v>
          </cell>
          <cell r="E171">
            <v>1.1082114110031362</v>
          </cell>
          <cell r="F171">
            <v>8</v>
          </cell>
          <cell r="G171">
            <v>25.88</v>
          </cell>
          <cell r="H171">
            <v>1.294</v>
          </cell>
          <cell r="I171">
            <v>60</v>
          </cell>
          <cell r="J171">
            <v>0</v>
          </cell>
          <cell r="K171">
            <v>87.173999999999992</v>
          </cell>
          <cell r="L171">
            <v>96.607221542787386</v>
          </cell>
          <cell r="M171">
            <v>5023.5755202249438</v>
          </cell>
        </row>
        <row r="172">
          <cell r="A172" t="str">
            <v>A32</v>
          </cell>
          <cell r="B172" t="str">
            <v>Alcantarillas 600mm</v>
          </cell>
          <cell r="C172" t="str">
            <v>ml</v>
          </cell>
          <cell r="F172">
            <v>6.666666666666667</v>
          </cell>
          <cell r="G172">
            <v>21.566666666666698</v>
          </cell>
          <cell r="H172">
            <v>1.07833333333333</v>
          </cell>
          <cell r="I172">
            <v>50</v>
          </cell>
          <cell r="J172">
            <v>0</v>
          </cell>
          <cell r="K172">
            <v>72.645000000000024</v>
          </cell>
          <cell r="L172">
            <v>0</v>
          </cell>
          <cell r="M172">
            <v>0</v>
          </cell>
        </row>
        <row r="173">
          <cell r="A173" t="str">
            <v>A33</v>
          </cell>
          <cell r="B173" t="str">
            <v>Alcantarillas 1350mm</v>
          </cell>
          <cell r="C173" t="str">
            <v>ml</v>
          </cell>
          <cell r="F173">
            <v>12.5</v>
          </cell>
          <cell r="G173">
            <v>39.924999999999997</v>
          </cell>
          <cell r="H173">
            <v>1.9962500000000001</v>
          </cell>
          <cell r="I173">
            <v>160</v>
          </cell>
          <cell r="J173">
            <v>0</v>
          </cell>
          <cell r="K173">
            <v>201.92125000000001</v>
          </cell>
          <cell r="L173">
            <v>0</v>
          </cell>
          <cell r="M173">
            <v>0</v>
          </cell>
        </row>
        <row r="174">
          <cell r="A174" t="str">
            <v>A34</v>
          </cell>
          <cell r="B174" t="str">
            <v>Alcantarillas 1000mm</v>
          </cell>
          <cell r="C174" t="str">
            <v>ml</v>
          </cell>
          <cell r="F174">
            <v>8.8888888888888893</v>
          </cell>
          <cell r="G174">
            <v>28.755555555555599</v>
          </cell>
          <cell r="H174">
            <v>1.43777777777778</v>
          </cell>
          <cell r="I174">
            <v>78</v>
          </cell>
          <cell r="J174">
            <v>0</v>
          </cell>
          <cell r="K174">
            <v>108.19333333333338</v>
          </cell>
          <cell r="L174">
            <v>0</v>
          </cell>
          <cell r="M174">
            <v>0</v>
          </cell>
        </row>
        <row r="175">
          <cell r="A175" t="str">
            <v>A35</v>
          </cell>
          <cell r="B175" t="str">
            <v>Alcantarillas 1600mm</v>
          </cell>
          <cell r="C175" t="str">
            <v>ml</v>
          </cell>
          <cell r="F175">
            <v>12.5</v>
          </cell>
          <cell r="G175">
            <v>39.924999999999997</v>
          </cell>
          <cell r="H175">
            <v>1.9962500000000001</v>
          </cell>
          <cell r="I175">
            <v>215</v>
          </cell>
          <cell r="J175">
            <v>0</v>
          </cell>
          <cell r="K175">
            <v>256.92124999999999</v>
          </cell>
          <cell r="L175">
            <v>0</v>
          </cell>
          <cell r="M175">
            <v>0</v>
          </cell>
        </row>
        <row r="176">
          <cell r="A176" t="str">
            <v>A36</v>
          </cell>
          <cell r="B176" t="str">
            <v>Tubería para buzón CMP 2000mm Diam</v>
          </cell>
          <cell r="C176" t="str">
            <v>ml</v>
          </cell>
          <cell r="F176">
            <v>20</v>
          </cell>
          <cell r="G176">
            <v>63.3333333333333</v>
          </cell>
          <cell r="H176">
            <v>3.1666666666666701</v>
          </cell>
          <cell r="I176">
            <v>335</v>
          </cell>
          <cell r="J176">
            <v>0</v>
          </cell>
          <cell r="K176">
            <v>401.5</v>
          </cell>
          <cell r="L176">
            <v>0</v>
          </cell>
          <cell r="M176">
            <v>0</v>
          </cell>
        </row>
        <row r="177">
          <cell r="A177" t="str">
            <v>A37</v>
          </cell>
          <cell r="B177" t="str">
            <v>Alcantarillas 300mm</v>
          </cell>
          <cell r="C177" t="str">
            <v>ml</v>
          </cell>
          <cell r="F177">
            <v>6.666666666666667</v>
          </cell>
          <cell r="G177">
            <v>21.566666666666698</v>
          </cell>
          <cell r="H177">
            <v>1.07833333333333</v>
          </cell>
          <cell r="I177">
            <v>26</v>
          </cell>
          <cell r="J177">
            <v>0</v>
          </cell>
          <cell r="K177">
            <v>48.645000000000032</v>
          </cell>
          <cell r="L177">
            <v>0</v>
          </cell>
          <cell r="M177">
            <v>0</v>
          </cell>
        </row>
        <row r="178">
          <cell r="A178" t="str">
            <v>A20</v>
          </cell>
          <cell r="B178" t="str">
            <v>Geotextil 400g/m2 Non Woven</v>
          </cell>
          <cell r="C178" t="str">
            <v>m2</v>
          </cell>
          <cell r="F178">
            <v>0.37356321839080464</v>
          </cell>
          <cell r="G178">
            <v>1.1715517241379301</v>
          </cell>
          <cell r="H178">
            <v>0.445182471264368</v>
          </cell>
          <cell r="I178">
            <v>0.8</v>
          </cell>
          <cell r="J178">
            <v>0</v>
          </cell>
          <cell r="K178">
            <v>2.4167341954022983</v>
          </cell>
          <cell r="L178">
            <v>0</v>
          </cell>
          <cell r="M178">
            <v>0</v>
          </cell>
        </row>
        <row r="179">
          <cell r="A179" t="str">
            <v>A38</v>
          </cell>
          <cell r="B179" t="str">
            <v>Excavación y eliminación de material para cunetas en roca</v>
          </cell>
          <cell r="C179" t="str">
            <v>m3</v>
          </cell>
          <cell r="D179">
            <v>30</v>
          </cell>
          <cell r="E179">
            <v>1.1082114110031362</v>
          </cell>
          <cell r="F179">
            <v>0.28461538461538466</v>
          </cell>
          <cell r="G179">
            <v>1.41576923076923</v>
          </cell>
          <cell r="H179">
            <v>7.0169423076923119</v>
          </cell>
          <cell r="I179">
            <v>0</v>
          </cell>
          <cell r="J179">
            <v>11.5</v>
          </cell>
          <cell r="K179">
            <v>19.932711538461543</v>
          </cell>
          <cell r="L179">
            <v>22.089658379156962</v>
          </cell>
          <cell r="M179">
            <v>662.68975137470886</v>
          </cell>
        </row>
        <row r="180">
          <cell r="A180" t="str">
            <v>A39</v>
          </cell>
          <cell r="B180" t="str">
            <v>Excavación y eliminación de material para cunetas en suelo común</v>
          </cell>
          <cell r="C180" t="str">
            <v>m3</v>
          </cell>
          <cell r="D180">
            <v>280</v>
          </cell>
          <cell r="E180">
            <v>1.1082114110031362</v>
          </cell>
          <cell r="F180">
            <v>0.1957264957264957</v>
          </cell>
          <cell r="G180">
            <v>0.98510256410256403</v>
          </cell>
          <cell r="H180">
            <v>4.9954089743589778</v>
          </cell>
          <cell r="I180">
            <v>0</v>
          </cell>
          <cell r="J180">
            <v>0</v>
          </cell>
          <cell r="K180">
            <v>5.9805115384615419</v>
          </cell>
          <cell r="L180">
            <v>6.6276711305590021</v>
          </cell>
          <cell r="M180">
            <v>1855.7479165565205</v>
          </cell>
        </row>
        <row r="181">
          <cell r="A181" t="str">
            <v>A21</v>
          </cell>
          <cell r="B181" t="str">
            <v>Excavación y perfilado de zanjas</v>
          </cell>
          <cell r="C181" t="str">
            <v>m3</v>
          </cell>
          <cell r="D181">
            <v>180</v>
          </cell>
          <cell r="E181">
            <v>1.1082114110031362</v>
          </cell>
          <cell r="F181">
            <v>1.2887346226726417</v>
          </cell>
          <cell r="G181">
            <v>4.4896263901299003</v>
          </cell>
          <cell r="H181">
            <v>6.5119556758310146</v>
          </cell>
          <cell r="I181">
            <v>0</v>
          </cell>
          <cell r="J181">
            <v>3.45</v>
          </cell>
          <cell r="K181">
            <v>14.451582065960915</v>
          </cell>
          <cell r="L181">
            <v>16.015408152546165</v>
          </cell>
          <cell r="M181">
            <v>2882.7734674583098</v>
          </cell>
        </row>
        <row r="182">
          <cell r="A182" t="str">
            <v>2.03</v>
          </cell>
          <cell r="B182" t="str">
            <v>ACCESS ROADS TO PROCESS PLANT</v>
          </cell>
        </row>
        <row r="183">
          <cell r="A183" t="str">
            <v>2.03.a</v>
          </cell>
          <cell r="B183" t="str">
            <v>Clear and Grub</v>
          </cell>
          <cell r="C183" t="str">
            <v>Ls</v>
          </cell>
        </row>
        <row r="184">
          <cell r="A184" t="str">
            <v>2.03.b</v>
          </cell>
          <cell r="B184" t="str">
            <v>Cut unsuitable soil to waste (includes organic soil)</v>
          </cell>
          <cell r="C184" t="str">
            <v>m3</v>
          </cell>
          <cell r="D184">
            <v>2600</v>
          </cell>
          <cell r="F184">
            <v>152.43333333333331</v>
          </cell>
          <cell r="G184">
            <v>0.30408835164835207</v>
          </cell>
          <cell r="H184">
            <v>2.1812612673992668</v>
          </cell>
          <cell r="I184">
            <v>0</v>
          </cell>
          <cell r="J184">
            <v>0</v>
          </cell>
          <cell r="L184">
            <v>2.4900000000000002</v>
          </cell>
          <cell r="M184">
            <v>6474</v>
          </cell>
        </row>
        <row r="185">
          <cell r="A185" t="str">
            <v>A01</v>
          </cell>
          <cell r="B185" t="str">
            <v>Excavación de Topsoil y Unsuitable (e&gt;1m)</v>
          </cell>
          <cell r="C185" t="str">
            <v>m3</v>
          </cell>
          <cell r="D185">
            <v>1560</v>
          </cell>
          <cell r="E185">
            <v>1</v>
          </cell>
          <cell r="F185">
            <v>1.7142857142857144E-2</v>
          </cell>
          <cell r="G185">
            <v>8.5542857142857004E-2</v>
          </cell>
          <cell r="H185">
            <v>0.81924857142857199</v>
          </cell>
          <cell r="I185">
            <v>0</v>
          </cell>
          <cell r="J185">
            <v>0</v>
          </cell>
          <cell r="K185">
            <v>0.90479142857142902</v>
          </cell>
          <cell r="L185">
            <v>0.90479142857142902</v>
          </cell>
          <cell r="M185">
            <v>1411.4746285714293</v>
          </cell>
        </row>
        <row r="186">
          <cell r="A186" t="str">
            <v>A02</v>
          </cell>
          <cell r="B186" t="str">
            <v>Excavación de Topsoil y Unsuitable (e&lt;1m)</v>
          </cell>
          <cell r="C186" t="str">
            <v>m3</v>
          </cell>
          <cell r="D186">
            <v>1040</v>
          </cell>
          <cell r="E186">
            <v>1</v>
          </cell>
          <cell r="F186">
            <v>1.4285714285714285E-2</v>
          </cell>
          <cell r="G186">
            <v>6.9214285714286006E-2</v>
          </cell>
          <cell r="H186">
            <v>0.57488928571428499</v>
          </cell>
          <cell r="I186">
            <v>0</v>
          </cell>
          <cell r="J186">
            <v>0</v>
          </cell>
          <cell r="K186">
            <v>0.644103571428571</v>
          </cell>
          <cell r="L186">
            <v>0.644103571428571</v>
          </cell>
          <cell r="M186">
            <v>669.86771428571387</v>
          </cell>
        </row>
        <row r="187">
          <cell r="A187" t="str">
            <v>A03</v>
          </cell>
          <cell r="B187" t="str">
            <v>Carguío de Topsoil &amp; Unsuitable con excavadora</v>
          </cell>
          <cell r="C187" t="str">
            <v>m3</v>
          </cell>
          <cell r="D187">
            <v>2600</v>
          </cell>
          <cell r="E187">
            <v>1</v>
          </cell>
          <cell r="F187">
            <v>1.3461538461538462E-2</v>
          </cell>
          <cell r="G187">
            <v>7.1076923076922996E-2</v>
          </cell>
          <cell r="H187">
            <v>0.70142307692307704</v>
          </cell>
          <cell r="I187">
            <v>0</v>
          </cell>
          <cell r="J187">
            <v>0</v>
          </cell>
          <cell r="K187">
            <v>0.77250000000000008</v>
          </cell>
          <cell r="L187">
            <v>0.77250000000000008</v>
          </cell>
          <cell r="M187">
            <v>2008.5000000000002</v>
          </cell>
        </row>
        <row r="188">
          <cell r="A188" t="str">
            <v>A04</v>
          </cell>
          <cell r="B188" t="str">
            <v>Acarreo d&lt;1km (sin esponj)</v>
          </cell>
          <cell r="C188" t="str">
            <v>m3</v>
          </cell>
          <cell r="D188">
            <v>2600</v>
          </cell>
          <cell r="E188">
            <v>1.5</v>
          </cell>
          <cell r="F188">
            <v>1.9444444444444441E-2</v>
          </cell>
          <cell r="G188">
            <v>0.102666666666667</v>
          </cell>
          <cell r="H188">
            <v>0.50555555555555498</v>
          </cell>
          <cell r="I188">
            <v>0</v>
          </cell>
          <cell r="J188">
            <v>0</v>
          </cell>
          <cell r="K188">
            <v>0.608222222222222</v>
          </cell>
          <cell r="L188">
            <v>0.912333333333333</v>
          </cell>
          <cell r="M188">
            <v>2372.0666666666657</v>
          </cell>
        </row>
        <row r="189">
          <cell r="A189" t="str">
            <v>A05</v>
          </cell>
          <cell r="B189" t="str">
            <v>Sobreacarreo (d&gt;1km) (sin esponj)</v>
          </cell>
          <cell r="C189" t="str">
            <v>m3-km</v>
          </cell>
          <cell r="F189">
            <v>8.9285714285714263E-3</v>
          </cell>
          <cell r="G189">
            <v>4.7142857142857E-2</v>
          </cell>
          <cell r="H189">
            <v>0.23308571428571401</v>
          </cell>
          <cell r="I189">
            <v>0</v>
          </cell>
          <cell r="J189">
            <v>0</v>
          </cell>
          <cell r="K189">
            <v>0.28022857142857105</v>
          </cell>
          <cell r="L189">
            <v>0</v>
          </cell>
          <cell r="M189">
            <v>0</v>
          </cell>
        </row>
        <row r="190">
          <cell r="A190" t="str">
            <v>2.03.c</v>
          </cell>
          <cell r="B190" t="str">
            <v>Cut and Fill Soil or Ripable Rock, within sub-Item work zone</v>
          </cell>
          <cell r="C190" t="str">
            <v>m3</v>
          </cell>
          <cell r="D190">
            <v>3800</v>
          </cell>
          <cell r="F190">
            <v>369.86666666666667</v>
          </cell>
          <cell r="G190">
            <v>0.49280799999999997</v>
          </cell>
          <cell r="H190">
            <v>3.949374646666671</v>
          </cell>
          <cell r="I190">
            <v>0</v>
          </cell>
          <cell r="J190">
            <v>0</v>
          </cell>
          <cell r="L190">
            <v>4.4400000000000004</v>
          </cell>
          <cell r="M190">
            <v>16872</v>
          </cell>
        </row>
        <row r="191">
          <cell r="A191" t="str">
            <v>A06</v>
          </cell>
          <cell r="B191" t="str">
            <v>Excavación de roca ripeable</v>
          </cell>
          <cell r="D191">
            <v>3800</v>
          </cell>
          <cell r="E191">
            <v>1.1950000000000001</v>
          </cell>
          <cell r="F191">
            <v>3.3333333333333333E-2</v>
          </cell>
          <cell r="G191">
            <v>0.16439999999999999</v>
          </cell>
          <cell r="H191">
            <v>1.5519306666666701</v>
          </cell>
          <cell r="I191">
            <v>0</v>
          </cell>
          <cell r="J191">
            <v>0</v>
          </cell>
          <cell r="K191">
            <v>1.7163306666666702</v>
          </cell>
          <cell r="L191">
            <v>2.0510151466666708</v>
          </cell>
          <cell r="M191">
            <v>7793.8575573333492</v>
          </cell>
        </row>
        <row r="192">
          <cell r="A192" t="str">
            <v>A07</v>
          </cell>
          <cell r="B192" t="str">
            <v>Empuje de material d&lt;60m</v>
          </cell>
          <cell r="D192">
            <v>3800</v>
          </cell>
          <cell r="E192">
            <v>1.2</v>
          </cell>
          <cell r="F192">
            <v>1.2500000000000001E-2</v>
          </cell>
          <cell r="G192">
            <v>6.0562499999999998E-2</v>
          </cell>
          <cell r="H192">
            <v>0.50302812500000005</v>
          </cell>
          <cell r="I192">
            <v>0</v>
          </cell>
          <cell r="J192">
            <v>0</v>
          </cell>
          <cell r="K192">
            <v>0.56359062500000001</v>
          </cell>
          <cell r="L192">
            <v>0.67630875000000001</v>
          </cell>
          <cell r="M192">
            <v>2569.97325</v>
          </cell>
        </row>
        <row r="193">
          <cell r="A193" t="str">
            <v>A08</v>
          </cell>
          <cell r="B193" t="str">
            <v>Relleno masivo compactado</v>
          </cell>
          <cell r="D193">
            <v>3800</v>
          </cell>
          <cell r="E193">
            <v>1</v>
          </cell>
          <cell r="F193">
            <v>4.2499999999999996E-2</v>
          </cell>
          <cell r="G193">
            <v>0.22367500000000001</v>
          </cell>
          <cell r="H193">
            <v>1.49118375</v>
          </cell>
          <cell r="I193">
            <v>0</v>
          </cell>
          <cell r="J193">
            <v>0</v>
          </cell>
          <cell r="K193">
            <v>1.7148587500000001</v>
          </cell>
          <cell r="L193">
            <v>1.7148587500000001</v>
          </cell>
          <cell r="M193">
            <v>6516.4632500000007</v>
          </cell>
        </row>
        <row r="194">
          <cell r="A194" t="str">
            <v>2.03.d</v>
          </cell>
          <cell r="B194" t="str">
            <v xml:space="preserve">Cut and Fill Soil or Ripable Rock to Other sub-Item work zone </v>
          </cell>
          <cell r="C194" t="str">
            <v>m3</v>
          </cell>
          <cell r="D194">
            <v>1300</v>
          </cell>
          <cell r="F194">
            <v>165.48277777777776</v>
          </cell>
          <cell r="G194">
            <v>0.65745516666666726</v>
          </cell>
          <cell r="H194">
            <v>4.9908585605555595</v>
          </cell>
          <cell r="I194">
            <v>0</v>
          </cell>
          <cell r="J194">
            <v>0</v>
          </cell>
          <cell r="L194">
            <v>5.65</v>
          </cell>
          <cell r="M194">
            <v>7345</v>
          </cell>
        </row>
        <row r="195">
          <cell r="A195" t="str">
            <v>A06</v>
          </cell>
          <cell r="B195" t="str">
            <v>Excavación de roca ripeable</v>
          </cell>
          <cell r="C195" t="str">
            <v>m3</v>
          </cell>
          <cell r="D195">
            <v>1300</v>
          </cell>
          <cell r="E195">
            <v>1.1950000000000001</v>
          </cell>
          <cell r="F195">
            <v>3.3333333333333333E-2</v>
          </cell>
          <cell r="G195">
            <v>0.16439999999999999</v>
          </cell>
          <cell r="H195">
            <v>1.5519306666666701</v>
          </cell>
          <cell r="I195">
            <v>0</v>
          </cell>
          <cell r="J195">
            <v>0</v>
          </cell>
          <cell r="K195">
            <v>1.7163306666666702</v>
          </cell>
          <cell r="L195">
            <v>2.0510151466666708</v>
          </cell>
          <cell r="M195">
            <v>2666.3196906666722</v>
          </cell>
        </row>
        <row r="196">
          <cell r="A196" t="str">
            <v>A09</v>
          </cell>
          <cell r="B196" t="str">
            <v>Carguío de material común &amp; roca ripeable con excavadora</v>
          </cell>
          <cell r="C196" t="str">
            <v>m3</v>
          </cell>
          <cell r="D196">
            <v>1300</v>
          </cell>
          <cell r="E196">
            <v>1.2</v>
          </cell>
          <cell r="F196">
            <v>8.0000000000000002E-3</v>
          </cell>
          <cell r="G196">
            <v>4.224E-2</v>
          </cell>
          <cell r="H196">
            <v>0.57259199999999999</v>
          </cell>
          <cell r="I196">
            <v>0</v>
          </cell>
          <cell r="J196">
            <v>0</v>
          </cell>
          <cell r="K196">
            <v>0.61483199999999993</v>
          </cell>
          <cell r="L196">
            <v>0.73779839999999985</v>
          </cell>
          <cell r="M196">
            <v>959.13791999999978</v>
          </cell>
        </row>
        <row r="197">
          <cell r="A197" t="str">
            <v>A08</v>
          </cell>
          <cell r="B197" t="str">
            <v>Relleno masivo compactado</v>
          </cell>
          <cell r="C197" t="str">
            <v>m3</v>
          </cell>
          <cell r="D197">
            <v>1300</v>
          </cell>
          <cell r="E197">
            <v>1.1000000000000001</v>
          </cell>
          <cell r="F197">
            <v>4.2499999999999996E-2</v>
          </cell>
          <cell r="G197">
            <v>0.22367500000000001</v>
          </cell>
          <cell r="H197">
            <v>1.49118375</v>
          </cell>
          <cell r="I197">
            <v>0</v>
          </cell>
          <cell r="J197">
            <v>0</v>
          </cell>
          <cell r="K197">
            <v>1.7148587500000001</v>
          </cell>
          <cell r="L197">
            <v>1.8863446250000002</v>
          </cell>
          <cell r="M197">
            <v>2452.2480125000002</v>
          </cell>
        </row>
        <row r="198">
          <cell r="A198" t="str">
            <v>A04</v>
          </cell>
          <cell r="B198" t="str">
            <v>Acarreo d&lt;1km (sin esponj)</v>
          </cell>
          <cell r="C198" t="str">
            <v>m3</v>
          </cell>
          <cell r="D198">
            <v>1300</v>
          </cell>
          <cell r="E198">
            <v>1.6</v>
          </cell>
          <cell r="F198">
            <v>1.9444444444444441E-2</v>
          </cell>
          <cell r="G198">
            <v>0.102666666666667</v>
          </cell>
          <cell r="H198">
            <v>0.50555555555555498</v>
          </cell>
          <cell r="I198">
            <v>0</v>
          </cell>
          <cell r="J198">
            <v>0</v>
          </cell>
          <cell r="K198">
            <v>0.608222222222222</v>
          </cell>
          <cell r="L198">
            <v>0.97315555555555522</v>
          </cell>
          <cell r="M198">
            <v>1265.1022222222218</v>
          </cell>
        </row>
        <row r="199">
          <cell r="A199" t="str">
            <v>A05</v>
          </cell>
          <cell r="B199" t="str">
            <v>Sobreacarreo (d&gt;1km) (sin esponj)</v>
          </cell>
          <cell r="C199" t="str">
            <v>m3-km</v>
          </cell>
          <cell r="F199">
            <v>8.9285714285714263E-3</v>
          </cell>
          <cell r="G199">
            <v>4.7142857142857E-2</v>
          </cell>
          <cell r="H199">
            <v>0.23308571428571401</v>
          </cell>
          <cell r="I199">
            <v>0</v>
          </cell>
          <cell r="J199">
            <v>0</v>
          </cell>
          <cell r="K199">
            <v>0.28022857142857105</v>
          </cell>
          <cell r="L199">
            <v>0</v>
          </cell>
          <cell r="M199">
            <v>0</v>
          </cell>
        </row>
        <row r="200">
          <cell r="A200" t="str">
            <v>2.03.e</v>
          </cell>
          <cell r="B200" t="str">
            <v>Drill and blast bulk rock (without limit on thickness, broken to fine or coarse fragments as required depending on end-use. Applies to locations other than trenches and ditches).</v>
          </cell>
          <cell r="C200" t="str">
            <v>m3</v>
          </cell>
          <cell r="D200">
            <v>9400</v>
          </cell>
          <cell r="F200">
            <v>709.73977971014506</v>
          </cell>
          <cell r="G200">
            <v>0</v>
          </cell>
          <cell r="H200">
            <v>0</v>
          </cell>
          <cell r="I200">
            <v>0</v>
          </cell>
          <cell r="J200">
            <v>2.7650256000000004</v>
          </cell>
          <cell r="L200">
            <v>2.77</v>
          </cell>
          <cell r="M200">
            <v>26038</v>
          </cell>
        </row>
        <row r="201">
          <cell r="A201" t="str">
            <v>A11</v>
          </cell>
          <cell r="B201" t="str">
            <v>Perforación y voladura masiva (material fino)</v>
          </cell>
          <cell r="C201" t="str">
            <v>m3</v>
          </cell>
          <cell r="D201">
            <v>9400</v>
          </cell>
          <cell r="E201">
            <v>0.27352000000000004</v>
          </cell>
          <cell r="F201">
            <v>7.4718196457326899E-2</v>
          </cell>
          <cell r="G201">
            <v>0</v>
          </cell>
          <cell r="H201">
            <v>0</v>
          </cell>
          <cell r="I201">
            <v>0</v>
          </cell>
          <cell r="J201">
            <v>2.78</v>
          </cell>
          <cell r="K201">
            <v>2.78</v>
          </cell>
          <cell r="L201">
            <v>0.76038560000000011</v>
          </cell>
          <cell r="M201">
            <v>7147.6246400000009</v>
          </cell>
        </row>
        <row r="202">
          <cell r="A202" t="str">
            <v>A12</v>
          </cell>
          <cell r="B202" t="str">
            <v>Perforación y voladura masiva (material grueso)</v>
          </cell>
          <cell r="C202" t="str">
            <v>m3</v>
          </cell>
          <cell r="D202">
            <v>9400</v>
          </cell>
          <cell r="E202">
            <v>0.73699999999999999</v>
          </cell>
          <cell r="F202">
            <v>7.4718196457326899E-2</v>
          </cell>
          <cell r="G202">
            <v>0</v>
          </cell>
          <cell r="H202">
            <v>0</v>
          </cell>
          <cell r="I202">
            <v>0</v>
          </cell>
          <cell r="J202">
            <v>2.72</v>
          </cell>
          <cell r="K202">
            <v>2.72</v>
          </cell>
          <cell r="L202">
            <v>2.0046400000000002</v>
          </cell>
          <cell r="M202">
            <v>18843.616000000002</v>
          </cell>
        </row>
        <row r="203">
          <cell r="A203" t="str">
            <v>2.03.f</v>
          </cell>
          <cell r="B203" t="str">
            <v xml:space="preserve">Excavate and Fill (fine blasted) broken rock </v>
          </cell>
          <cell r="C203" t="str">
            <v>m3</v>
          </cell>
          <cell r="D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L203">
            <v>0</v>
          </cell>
          <cell r="M203">
            <v>0</v>
          </cell>
        </row>
        <row r="204">
          <cell r="A204" t="str">
            <v>A13</v>
          </cell>
          <cell r="B204" t="str">
            <v>Remoción de Material fino volado</v>
          </cell>
          <cell r="C204" t="str">
            <v>m3</v>
          </cell>
          <cell r="D204">
            <v>0</v>
          </cell>
          <cell r="F204">
            <v>2.4E-2</v>
          </cell>
          <cell r="G204">
            <v>0.11976000000000001</v>
          </cell>
          <cell r="H204">
            <v>1.1023720000000001</v>
          </cell>
          <cell r="I204">
            <v>0</v>
          </cell>
          <cell r="J204">
            <v>0</v>
          </cell>
          <cell r="K204">
            <v>1.2221320000000002</v>
          </cell>
          <cell r="L204">
            <v>0</v>
          </cell>
          <cell r="M204">
            <v>0</v>
          </cell>
        </row>
        <row r="205">
          <cell r="A205" t="str">
            <v>A07</v>
          </cell>
          <cell r="B205" t="str">
            <v>Empuje de material d&lt;60m</v>
          </cell>
          <cell r="C205" t="str">
            <v>m3</v>
          </cell>
          <cell r="D205">
            <v>0</v>
          </cell>
          <cell r="F205">
            <v>1.2500000000000001E-2</v>
          </cell>
          <cell r="G205">
            <v>6.0562499999999998E-2</v>
          </cell>
          <cell r="H205">
            <v>0.50302812500000005</v>
          </cell>
          <cell r="I205">
            <v>0</v>
          </cell>
          <cell r="J205">
            <v>0</v>
          </cell>
          <cell r="K205">
            <v>0.56359062500000001</v>
          </cell>
          <cell r="L205">
            <v>0</v>
          </cell>
          <cell r="M205">
            <v>0</v>
          </cell>
        </row>
        <row r="206">
          <cell r="A206" t="str">
            <v>A08</v>
          </cell>
          <cell r="B206" t="str">
            <v>Relleno masivo compactado</v>
          </cell>
          <cell r="C206" t="str">
            <v>m3</v>
          </cell>
          <cell r="D206">
            <v>0</v>
          </cell>
          <cell r="F206">
            <v>4.2499999999999996E-2</v>
          </cell>
          <cell r="G206">
            <v>0.22367500000000001</v>
          </cell>
          <cell r="H206">
            <v>1.49118375</v>
          </cell>
          <cell r="I206">
            <v>0</v>
          </cell>
          <cell r="J206">
            <v>0</v>
          </cell>
          <cell r="K206">
            <v>1.7148587500000001</v>
          </cell>
          <cell r="L206">
            <v>0</v>
          </cell>
          <cell r="M206">
            <v>0</v>
          </cell>
        </row>
        <row r="207">
          <cell r="A207" t="str">
            <v>2.03.g</v>
          </cell>
          <cell r="B207" t="str">
            <v>Excavate (fine or coarse blasted) broken rock to Other sub-Item work zone within 1000m</v>
          </cell>
          <cell r="C207" t="str">
            <v>m3</v>
          </cell>
          <cell r="D207">
            <v>9400</v>
          </cell>
          <cell r="F207">
            <v>567.93806921675764</v>
          </cell>
          <cell r="G207">
            <v>0.31176202185792379</v>
          </cell>
          <cell r="H207">
            <v>2.4130415755919876</v>
          </cell>
          <cell r="I207">
            <v>0</v>
          </cell>
          <cell r="J207">
            <v>0</v>
          </cell>
          <cell r="L207">
            <v>2.72</v>
          </cell>
          <cell r="M207">
            <v>25568</v>
          </cell>
        </row>
        <row r="208">
          <cell r="A208" t="str">
            <v>A14</v>
          </cell>
          <cell r="B208" t="str">
            <v>Remoción de Material grueso volado</v>
          </cell>
          <cell r="C208" t="str">
            <v>m3</v>
          </cell>
          <cell r="D208">
            <v>9400</v>
          </cell>
          <cell r="E208">
            <v>1</v>
          </cell>
          <cell r="F208">
            <v>2.5000000000000001E-2</v>
          </cell>
          <cell r="G208">
            <v>0.12475</v>
          </cell>
          <cell r="H208">
            <v>1.11859166666667</v>
          </cell>
          <cell r="I208">
            <v>0</v>
          </cell>
          <cell r="J208">
            <v>0</v>
          </cell>
          <cell r="K208">
            <v>1.2433416666666699</v>
          </cell>
          <cell r="L208">
            <v>1.2433416666666699</v>
          </cell>
          <cell r="M208">
            <v>11687.411666666698</v>
          </cell>
        </row>
        <row r="209">
          <cell r="A209" t="str">
            <v>A43</v>
          </cell>
          <cell r="B209" t="str">
            <v>Carguío de roca volada con excavadora</v>
          </cell>
          <cell r="C209" t="str">
            <v>m3</v>
          </cell>
          <cell r="D209">
            <v>9400</v>
          </cell>
          <cell r="E209">
            <v>1</v>
          </cell>
          <cell r="F209">
            <v>8.1967213114754103E-3</v>
          </cell>
          <cell r="G209">
            <v>4.3278688524589999E-2</v>
          </cell>
          <cell r="H209">
            <v>0.58667213114754102</v>
          </cell>
          <cell r="I209">
            <v>0</v>
          </cell>
          <cell r="J209">
            <v>0</v>
          </cell>
          <cell r="K209">
            <v>0.62995081967213107</v>
          </cell>
          <cell r="L209">
            <v>0.62995081967213107</v>
          </cell>
          <cell r="M209">
            <v>5921.5377049180324</v>
          </cell>
        </row>
        <row r="210">
          <cell r="A210" t="str">
            <v>A04</v>
          </cell>
          <cell r="B210" t="str">
            <v>Acarreo d&lt;1km (sin esponj)</v>
          </cell>
          <cell r="C210" t="str">
            <v>m3</v>
          </cell>
          <cell r="D210">
            <v>9400</v>
          </cell>
          <cell r="E210">
            <v>1.4</v>
          </cell>
          <cell r="F210">
            <v>1.9444444444444441E-2</v>
          </cell>
          <cell r="G210">
            <v>0.102666666666667</v>
          </cell>
          <cell r="H210">
            <v>0.50555555555555498</v>
          </cell>
          <cell r="I210">
            <v>0</v>
          </cell>
          <cell r="J210">
            <v>0</v>
          </cell>
          <cell r="K210">
            <v>0.608222222222222</v>
          </cell>
          <cell r="L210">
            <v>0.85151111111111077</v>
          </cell>
          <cell r="M210">
            <v>8004.2044444444409</v>
          </cell>
        </row>
        <row r="211">
          <cell r="A211" t="str">
            <v>A05</v>
          </cell>
          <cell r="B211" t="str">
            <v>Sobreacarreo (d&gt;1km) (sin esponj)</v>
          </cell>
          <cell r="C211" t="str">
            <v>m3-km</v>
          </cell>
          <cell r="D211">
            <v>9400</v>
          </cell>
          <cell r="F211">
            <v>8.9285714285714263E-3</v>
          </cell>
          <cell r="G211">
            <v>4.7142857142857E-2</v>
          </cell>
          <cell r="H211">
            <v>0.23308571428571401</v>
          </cell>
          <cell r="I211">
            <v>0</v>
          </cell>
          <cell r="J211">
            <v>0</v>
          </cell>
          <cell r="K211">
            <v>0.28022857142857105</v>
          </cell>
          <cell r="L211">
            <v>0</v>
          </cell>
          <cell r="M211">
            <v>0</v>
          </cell>
        </row>
        <row r="212">
          <cell r="A212" t="str">
            <v>2.03.h</v>
          </cell>
          <cell r="B212" t="str">
            <v>Supply and Install Backfill Granular A to roads/yards</v>
          </cell>
          <cell r="C212" t="str">
            <v>m3</v>
          </cell>
          <cell r="D212">
            <v>410</v>
          </cell>
          <cell r="F212">
            <v>189.22028769841268</v>
          </cell>
          <cell r="G212">
            <v>1.8884547619047611</v>
          </cell>
          <cell r="H212">
            <v>5.2562715238095192</v>
          </cell>
          <cell r="I212">
            <v>3.5625</v>
          </cell>
          <cell r="J212">
            <v>0</v>
          </cell>
          <cell r="K212">
            <v>10.707226285714281</v>
          </cell>
          <cell r="L212">
            <v>10.71</v>
          </cell>
          <cell r="M212">
            <v>4391.1000000000004</v>
          </cell>
        </row>
        <row r="213">
          <cell r="A213" t="str">
            <v>A15</v>
          </cell>
          <cell r="B213" t="str">
            <v>Suministro de material granular A</v>
          </cell>
          <cell r="C213" t="str">
            <v>m3</v>
          </cell>
          <cell r="D213">
            <v>410</v>
          </cell>
          <cell r="E213">
            <v>1.25</v>
          </cell>
          <cell r="F213">
            <v>0</v>
          </cell>
          <cell r="G213">
            <v>0</v>
          </cell>
          <cell r="H213">
            <v>0</v>
          </cell>
          <cell r="I213">
            <v>2.85</v>
          </cell>
          <cell r="J213">
            <v>0</v>
          </cell>
          <cell r="K213">
            <v>2.85</v>
          </cell>
          <cell r="L213">
            <v>3.5625</v>
          </cell>
          <cell r="M213">
            <v>1460.625</v>
          </cell>
        </row>
        <row r="214">
          <cell r="A214" t="str">
            <v>A16</v>
          </cell>
          <cell r="B214" t="str">
            <v>Colocación y compactación Mat Granular A</v>
          </cell>
          <cell r="C214" t="str">
            <v>m3</v>
          </cell>
          <cell r="D214">
            <v>410</v>
          </cell>
          <cell r="E214">
            <v>1</v>
          </cell>
          <cell r="F214">
            <v>0.37805555555555553</v>
          </cell>
          <cell r="G214">
            <v>1.4478</v>
          </cell>
          <cell r="H214">
            <v>3.0801342222222199</v>
          </cell>
          <cell r="I214">
            <v>0</v>
          </cell>
          <cell r="J214">
            <v>0</v>
          </cell>
          <cell r="K214">
            <v>4.5279342222222194</v>
          </cell>
          <cell r="L214">
            <v>4.5279342222222194</v>
          </cell>
          <cell r="M214">
            <v>1856.45303111111</v>
          </cell>
        </row>
        <row r="215">
          <cell r="A215" t="str">
            <v>A04</v>
          </cell>
          <cell r="B215" t="str">
            <v>Acarreo d&lt;1km (sin esponj)</v>
          </cell>
          <cell r="C215" t="str">
            <v>m3</v>
          </cell>
          <cell r="D215">
            <v>410</v>
          </cell>
          <cell r="E215">
            <v>1.25</v>
          </cell>
          <cell r="F215">
            <v>1.9444444444444441E-2</v>
          </cell>
          <cell r="G215">
            <v>0.102666666666667</v>
          </cell>
          <cell r="H215">
            <v>0.50555555555555498</v>
          </cell>
          <cell r="I215">
            <v>0</v>
          </cell>
          <cell r="J215">
            <v>0</v>
          </cell>
          <cell r="K215">
            <v>0.608222222222222</v>
          </cell>
          <cell r="L215">
            <v>0.7602777777777775</v>
          </cell>
          <cell r="M215">
            <v>311.71388888888879</v>
          </cell>
        </row>
        <row r="216">
          <cell r="A216" t="str">
            <v>A05</v>
          </cell>
          <cell r="B216" t="str">
            <v>Sobreacarreo (d&gt;1km) (sin esponj)</v>
          </cell>
          <cell r="C216" t="str">
            <v>m3-km</v>
          </cell>
          <cell r="D216">
            <v>2173</v>
          </cell>
          <cell r="E216">
            <v>1.25</v>
          </cell>
          <cell r="F216">
            <v>8.9285714285714263E-3</v>
          </cell>
          <cell r="G216">
            <v>4.7142857142857E-2</v>
          </cell>
          <cell r="H216">
            <v>0.23308571428571401</v>
          </cell>
          <cell r="I216">
            <v>0</v>
          </cell>
          <cell r="J216">
            <v>0</v>
          </cell>
          <cell r="K216">
            <v>0.28022857142857105</v>
          </cell>
          <cell r="L216">
            <v>0.35028571428571381</v>
          </cell>
          <cell r="M216">
            <v>761.17085714285611</v>
          </cell>
        </row>
        <row r="217">
          <cell r="A217" t="str">
            <v>2.03.i</v>
          </cell>
          <cell r="B217" t="str">
            <v>Supply and Install Backfill Granular B to roads/yards</v>
          </cell>
          <cell r="C217" t="str">
            <v>m3</v>
          </cell>
          <cell r="D217">
            <v>970</v>
          </cell>
          <cell r="F217">
            <v>181.99528769841265</v>
          </cell>
          <cell r="G217">
            <v>0.97252976190476126</v>
          </cell>
          <cell r="H217">
            <v>4.5565539682539695</v>
          </cell>
          <cell r="I217">
            <v>3.5625</v>
          </cell>
          <cell r="J217">
            <v>0</v>
          </cell>
          <cell r="K217">
            <v>9.0915837301587317</v>
          </cell>
          <cell r="L217">
            <v>9.09</v>
          </cell>
          <cell r="M217">
            <v>8817.2999999999993</v>
          </cell>
        </row>
        <row r="218">
          <cell r="A218" t="str">
            <v>A40</v>
          </cell>
          <cell r="B218" t="str">
            <v>Suministro de material granular B</v>
          </cell>
          <cell r="C218" t="str">
            <v>m3</v>
          </cell>
          <cell r="D218">
            <v>970</v>
          </cell>
          <cell r="E218">
            <v>1.25</v>
          </cell>
          <cell r="F218">
            <v>0</v>
          </cell>
          <cell r="G218">
            <v>0</v>
          </cell>
          <cell r="H218">
            <v>0</v>
          </cell>
          <cell r="I218">
            <v>2.85</v>
          </cell>
          <cell r="J218">
            <v>0</v>
          </cell>
          <cell r="K218">
            <v>2.85</v>
          </cell>
          <cell r="L218">
            <v>3.5625</v>
          </cell>
          <cell r="M218">
            <v>3455.625</v>
          </cell>
        </row>
        <row r="219">
          <cell r="A219" t="str">
            <v>A41</v>
          </cell>
          <cell r="B219" t="str">
            <v>Colocación y compactación Mat Granular B</v>
          </cell>
          <cell r="C219" t="str">
            <v>m3</v>
          </cell>
          <cell r="D219">
            <v>970</v>
          </cell>
          <cell r="E219">
            <v>1</v>
          </cell>
          <cell r="F219">
            <v>0.10416666666666666</v>
          </cell>
          <cell r="G219">
            <v>0.53187499999999999</v>
          </cell>
          <cell r="H219">
            <v>2.3804166666666702</v>
          </cell>
          <cell r="I219">
            <v>0</v>
          </cell>
          <cell r="J219">
            <v>0</v>
          </cell>
          <cell r="K219">
            <v>2.9122916666666701</v>
          </cell>
          <cell r="L219">
            <v>2.9122916666666701</v>
          </cell>
          <cell r="M219">
            <v>2824.9229166666701</v>
          </cell>
        </row>
        <row r="220">
          <cell r="A220" t="str">
            <v>A04</v>
          </cell>
          <cell r="B220" t="str">
            <v>Acarreo d&lt;1km (sin esponj)</v>
          </cell>
          <cell r="C220" t="str">
            <v>m3</v>
          </cell>
          <cell r="D220">
            <v>970</v>
          </cell>
          <cell r="E220">
            <v>1.25</v>
          </cell>
          <cell r="F220">
            <v>1.9444444444444441E-2</v>
          </cell>
          <cell r="G220">
            <v>0.102666666666667</v>
          </cell>
          <cell r="H220">
            <v>0.50555555555555498</v>
          </cell>
          <cell r="I220">
            <v>0</v>
          </cell>
          <cell r="J220">
            <v>0</v>
          </cell>
          <cell r="K220">
            <v>0.608222222222222</v>
          </cell>
          <cell r="L220">
            <v>0.7602777777777775</v>
          </cell>
          <cell r="M220">
            <v>737.46944444444421</v>
          </cell>
        </row>
        <row r="221">
          <cell r="A221" t="str">
            <v>A05</v>
          </cell>
          <cell r="B221" t="str">
            <v>Sobreacarreo (d&gt;1km) (sin esponj)</v>
          </cell>
          <cell r="C221" t="str">
            <v>m3-km</v>
          </cell>
          <cell r="D221">
            <v>5141</v>
          </cell>
          <cell r="E221">
            <v>1.25</v>
          </cell>
          <cell r="F221">
            <v>8.9285714285714263E-3</v>
          </cell>
          <cell r="G221">
            <v>4.7142857142857E-2</v>
          </cell>
          <cell r="H221">
            <v>0.23308571428571401</v>
          </cell>
          <cell r="I221">
            <v>0</v>
          </cell>
          <cell r="J221">
            <v>0</v>
          </cell>
          <cell r="K221">
            <v>0.28022857142857105</v>
          </cell>
          <cell r="L221">
            <v>0.35028571428571381</v>
          </cell>
          <cell r="M221">
            <v>1800.8188571428548</v>
          </cell>
        </row>
        <row r="222">
          <cell r="A222" t="str">
            <v>2.03.j</v>
          </cell>
          <cell r="B222" t="str">
            <v>Supply and Install Riprap-Geotextile-Bedding to ditches and slopes, including rock/earth excavation and shaping of the site</v>
          </cell>
          <cell r="C222" t="str">
            <v>Ls</v>
          </cell>
          <cell r="D222">
            <v>1</v>
          </cell>
          <cell r="F222">
            <v>548.01303522094668</v>
          </cell>
          <cell r="G222">
            <v>1819.691197917065</v>
          </cell>
          <cell r="H222">
            <v>1699.6240258393445</v>
          </cell>
          <cell r="I222">
            <v>471.32731536347359</v>
          </cell>
          <cell r="J222">
            <v>662.35406843339479</v>
          </cell>
          <cell r="L222">
            <v>4653</v>
          </cell>
          <cell r="M222">
            <v>4653</v>
          </cell>
        </row>
        <row r="223">
          <cell r="A223" t="str">
            <v>A19</v>
          </cell>
          <cell r="B223" t="str">
            <v>Rip rap</v>
          </cell>
          <cell r="C223" t="str">
            <v>m3</v>
          </cell>
          <cell r="D223">
            <v>54</v>
          </cell>
          <cell r="E223">
            <v>1.0665927027912958</v>
          </cell>
          <cell r="F223">
            <v>2.7285714285714286</v>
          </cell>
          <cell r="G223">
            <v>8.8182857142857092</v>
          </cell>
          <cell r="H223">
            <v>4.8350057142857139</v>
          </cell>
          <cell r="I223">
            <v>2.85</v>
          </cell>
          <cell r="J223">
            <v>0</v>
          </cell>
          <cell r="K223">
            <v>16.503291428571423</v>
          </cell>
          <cell r="L223">
            <v>17.602290209752418</v>
          </cell>
          <cell r="M223">
            <v>950.52367132663062</v>
          </cell>
        </row>
        <row r="224">
          <cell r="A224" t="str">
            <v>A20</v>
          </cell>
          <cell r="B224" t="str">
            <v>Geotextil 400g/m2 Non Woven</v>
          </cell>
          <cell r="C224" t="str">
            <v>m2</v>
          </cell>
          <cell r="D224">
            <v>360</v>
          </cell>
          <cell r="E224">
            <v>1.0665927027912958</v>
          </cell>
          <cell r="F224">
            <v>0.37356321839080464</v>
          </cell>
          <cell r="G224">
            <v>1.1715517241379301</v>
          </cell>
          <cell r="H224">
            <v>0.445182471264368</v>
          </cell>
          <cell r="I224">
            <v>0.8</v>
          </cell>
          <cell r="J224">
            <v>0</v>
          </cell>
          <cell r="K224">
            <v>2.4167341954022983</v>
          </cell>
          <cell r="L224">
            <v>2.5776710574022847</v>
          </cell>
          <cell r="M224">
            <v>927.96158066482246</v>
          </cell>
        </row>
        <row r="225">
          <cell r="A225" t="str">
            <v>A21</v>
          </cell>
          <cell r="B225" t="str">
            <v>Excavación y perfilado de zanjas</v>
          </cell>
          <cell r="C225" t="str">
            <v>m3</v>
          </cell>
          <cell r="D225">
            <v>180</v>
          </cell>
          <cell r="E225">
            <v>1.0665927027912958</v>
          </cell>
          <cell r="F225">
            <v>1.2887346226726417</v>
          </cell>
          <cell r="G225">
            <v>4.4896263901299003</v>
          </cell>
          <cell r="H225">
            <v>6.5119556758310146</v>
          </cell>
          <cell r="I225">
            <v>0</v>
          </cell>
          <cell r="J225">
            <v>3.45</v>
          </cell>
          <cell r="K225">
            <v>14.451582065960915</v>
          </cell>
          <cell r="L225">
            <v>15.413951975343471</v>
          </cell>
          <cell r="M225">
            <v>2774.5113555618245</v>
          </cell>
        </row>
        <row r="226">
          <cell r="A226" t="str">
            <v>2.03.k</v>
          </cell>
          <cell r="B226" t="str">
            <v>Supply and Install Gabions-Geotextile-Bedding-Concrete Facing, complete including rock/earth excavation shaping &amp; backfill of the site</v>
          </cell>
          <cell r="C226" t="str">
            <v>Ls</v>
          </cell>
          <cell r="D226">
            <v>1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L226">
            <v>0</v>
          </cell>
          <cell r="M226">
            <v>0</v>
          </cell>
        </row>
        <row r="227">
          <cell r="A227" t="str">
            <v>A22</v>
          </cell>
          <cell r="B227" t="str">
            <v>Supply and Install Granular A Surfacing to roads/yards</v>
          </cell>
          <cell r="C227" t="str">
            <v>m3</v>
          </cell>
          <cell r="F227">
            <v>0.47959325396825392</v>
          </cell>
          <cell r="G227">
            <v>1.9839190476190467</v>
          </cell>
          <cell r="H227">
            <v>5.7282700952380896</v>
          </cell>
          <cell r="I227">
            <v>3.5625</v>
          </cell>
          <cell r="J227">
            <v>0</v>
          </cell>
          <cell r="K227">
            <v>11.274689142857136</v>
          </cell>
          <cell r="L227">
            <v>0</v>
          </cell>
          <cell r="M227">
            <v>0</v>
          </cell>
        </row>
        <row r="228">
          <cell r="A228" t="str">
            <v>A23</v>
          </cell>
          <cell r="B228" t="str">
            <v>Concrete Lining</v>
          </cell>
          <cell r="C228" t="str">
            <v>m3</v>
          </cell>
          <cell r="F228">
            <v>14.282608695652174</v>
          </cell>
          <cell r="G228">
            <v>49.431086956521703</v>
          </cell>
          <cell r="H228">
            <v>4.9527137681159399</v>
          </cell>
          <cell r="I228">
            <v>60</v>
          </cell>
          <cell r="J228">
            <v>0</v>
          </cell>
          <cell r="K228">
            <v>114.38380072463765</v>
          </cell>
          <cell r="L228">
            <v>0</v>
          </cell>
          <cell r="M228">
            <v>0</v>
          </cell>
        </row>
        <row r="229">
          <cell r="A229" t="str">
            <v>A24</v>
          </cell>
          <cell r="B229" t="str">
            <v>Gavión</v>
          </cell>
          <cell r="C229" t="str">
            <v>m3</v>
          </cell>
          <cell r="F229">
            <v>1.7583333333333333</v>
          </cell>
          <cell r="G229">
            <v>6.2273333333333296</v>
          </cell>
          <cell r="H229">
            <v>7.133083333333337</v>
          </cell>
          <cell r="I229">
            <v>19.350000000000001</v>
          </cell>
          <cell r="J229">
            <v>0</v>
          </cell>
          <cell r="K229">
            <v>32.710416666666674</v>
          </cell>
          <cell r="L229">
            <v>0</v>
          </cell>
          <cell r="M229">
            <v>0</v>
          </cell>
        </row>
        <row r="230">
          <cell r="A230" t="str">
            <v>A21</v>
          </cell>
          <cell r="B230" t="str">
            <v>Excavación y perfilado de zanjas</v>
          </cell>
          <cell r="C230" t="str">
            <v>m3</v>
          </cell>
          <cell r="F230">
            <v>1.2887346226726417</v>
          </cell>
          <cell r="G230">
            <v>4.4896263901299003</v>
          </cell>
          <cell r="H230">
            <v>6.5119556758310146</v>
          </cell>
          <cell r="I230">
            <v>0</v>
          </cell>
          <cell r="J230">
            <v>3.45</v>
          </cell>
          <cell r="K230">
            <v>14.451582065960915</v>
          </cell>
          <cell r="L230">
            <v>0</v>
          </cell>
          <cell r="M230">
            <v>0</v>
          </cell>
        </row>
        <row r="231">
          <cell r="A231" t="str">
            <v>2.03.l</v>
          </cell>
          <cell r="B231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231" t="str">
            <v>Ls</v>
          </cell>
          <cell r="D231">
            <v>1</v>
          </cell>
          <cell r="F231">
            <v>482.3104209780472</v>
          </cell>
          <cell r="G231">
            <v>1743.270322300461</v>
          </cell>
          <cell r="H231">
            <v>3620.944928453684</v>
          </cell>
          <cell r="I231">
            <v>2102.1236708077913</v>
          </cell>
          <cell r="J231">
            <v>2132.6587397198218</v>
          </cell>
          <cell r="L231">
            <v>9599</v>
          </cell>
          <cell r="M231">
            <v>9599</v>
          </cell>
        </row>
        <row r="232">
          <cell r="A232" t="str">
            <v>A25</v>
          </cell>
          <cell r="B232" t="str">
            <v>Suministro y colocación de Grating</v>
          </cell>
          <cell r="C232" t="str">
            <v>m2</v>
          </cell>
          <cell r="F232">
            <v>1.75</v>
          </cell>
          <cell r="G232">
            <v>6.1725000000000003</v>
          </cell>
          <cell r="H232">
            <v>0.144125</v>
          </cell>
          <cell r="I232">
            <v>225</v>
          </cell>
          <cell r="J232">
            <v>0</v>
          </cell>
          <cell r="K232">
            <v>231.31662500000002</v>
          </cell>
          <cell r="L232">
            <v>0</v>
          </cell>
          <cell r="M232">
            <v>0</v>
          </cell>
        </row>
        <row r="233">
          <cell r="A233" t="str">
            <v>A26</v>
          </cell>
          <cell r="B233" t="str">
            <v>Suministro y colocación de Tapa metálica</v>
          </cell>
          <cell r="C233" t="str">
            <v>m2</v>
          </cell>
          <cell r="F233">
            <v>1.75</v>
          </cell>
          <cell r="G233">
            <v>6.1725000000000003</v>
          </cell>
          <cell r="H233">
            <v>0.144125</v>
          </cell>
          <cell r="I233">
            <v>300</v>
          </cell>
          <cell r="J233">
            <v>0</v>
          </cell>
          <cell r="K233">
            <v>306.31662499999999</v>
          </cell>
          <cell r="L233">
            <v>0</v>
          </cell>
          <cell r="M233">
            <v>0</v>
          </cell>
        </row>
        <row r="234">
          <cell r="A234" t="str">
            <v>A27</v>
          </cell>
          <cell r="B234" t="str">
            <v>Relleno estructural</v>
          </cell>
          <cell r="C234" t="str">
            <v>m3</v>
          </cell>
          <cell r="D234">
            <v>75</v>
          </cell>
          <cell r="E234">
            <v>1.0657964716240989</v>
          </cell>
          <cell r="F234">
            <v>1.2875000000000001</v>
          </cell>
          <cell r="G234">
            <v>4.2321666666666697</v>
          </cell>
          <cell r="H234">
            <v>6.8350416666666636</v>
          </cell>
          <cell r="I234">
            <v>0</v>
          </cell>
          <cell r="J234">
            <v>0</v>
          </cell>
          <cell r="K234">
            <v>11.067208333333333</v>
          </cell>
          <cell r="L234">
            <v>11.79539159239549</v>
          </cell>
          <cell r="M234">
            <v>884.65436942966176</v>
          </cell>
        </row>
        <row r="235">
          <cell r="A235" t="str">
            <v>A28</v>
          </cell>
          <cell r="B235" t="str">
            <v>Bermas de Seguridad</v>
          </cell>
          <cell r="C235" t="str">
            <v>m3</v>
          </cell>
          <cell r="D235">
            <v>260</v>
          </cell>
          <cell r="E235">
            <v>1.0657964716240989</v>
          </cell>
          <cell r="F235">
            <v>0.1</v>
          </cell>
          <cell r="G235">
            <v>0.499</v>
          </cell>
          <cell r="H235">
            <v>3.5649500000000001</v>
          </cell>
          <cell r="I235">
            <v>2.85</v>
          </cell>
          <cell r="J235">
            <v>0</v>
          </cell>
          <cell r="K235">
            <v>6.9139499999999998</v>
          </cell>
          <cell r="L235">
            <v>7.3688635149854385</v>
          </cell>
          <cell r="M235">
            <v>1915.904513896214</v>
          </cell>
        </row>
        <row r="236">
          <cell r="A236" t="str">
            <v>A29</v>
          </cell>
          <cell r="B236" t="str">
            <v>Relleno localizado con Granular A</v>
          </cell>
          <cell r="C236" t="str">
            <v>m3</v>
          </cell>
          <cell r="D236">
            <v>10</v>
          </cell>
          <cell r="E236">
            <v>1.0657964716240989</v>
          </cell>
          <cell r="F236">
            <v>1.3416666666666666</v>
          </cell>
          <cell r="G236">
            <v>4.5181666666666702</v>
          </cell>
          <cell r="H236">
            <v>8.3767083333333332</v>
          </cell>
          <cell r="I236">
            <v>3.1349999999999998</v>
          </cell>
          <cell r="J236">
            <v>0</v>
          </cell>
          <cell r="K236">
            <v>16.029875000000004</v>
          </cell>
          <cell r="L236">
            <v>17.084584215575354</v>
          </cell>
          <cell r="M236">
            <v>170.84584215575353</v>
          </cell>
        </row>
        <row r="237">
          <cell r="A237" t="str">
            <v>A30</v>
          </cell>
          <cell r="B237" t="str">
            <v>Concreto reforzado</v>
          </cell>
          <cell r="C237" t="str">
            <v>m3</v>
          </cell>
          <cell r="F237">
            <v>16.2</v>
          </cell>
          <cell r="G237">
            <v>56.207999999999998</v>
          </cell>
          <cell r="H237">
            <v>3.9517333333333298</v>
          </cell>
          <cell r="I237">
            <v>116.16</v>
          </cell>
          <cell r="J237">
            <v>0</v>
          </cell>
          <cell r="K237">
            <v>176.31973333333332</v>
          </cell>
          <cell r="L237">
            <v>0</v>
          </cell>
          <cell r="M237">
            <v>0</v>
          </cell>
        </row>
        <row r="238">
          <cell r="A238" t="str">
            <v>A31</v>
          </cell>
          <cell r="B238" t="str">
            <v>Alcantarillas 800mm</v>
          </cell>
          <cell r="C238" t="str">
            <v>ml</v>
          </cell>
          <cell r="D238">
            <v>20</v>
          </cell>
          <cell r="E238">
            <v>1.0657964716240989</v>
          </cell>
          <cell r="F238">
            <v>8</v>
          </cell>
          <cell r="G238">
            <v>25.88</v>
          </cell>
          <cell r="H238">
            <v>1.294</v>
          </cell>
          <cell r="I238">
            <v>60</v>
          </cell>
          <cell r="J238">
            <v>0</v>
          </cell>
          <cell r="K238">
            <v>87.173999999999992</v>
          </cell>
          <cell r="L238">
            <v>92.909741617359188</v>
          </cell>
          <cell r="M238">
            <v>1858.1948323471838</v>
          </cell>
        </row>
        <row r="239">
          <cell r="A239" t="str">
            <v>A32</v>
          </cell>
          <cell r="B239" t="str">
            <v>Alcantarillas 600mm</v>
          </cell>
          <cell r="C239" t="str">
            <v>ml</v>
          </cell>
          <cell r="F239">
            <v>6.666666666666667</v>
          </cell>
          <cell r="G239">
            <v>21.566666666666698</v>
          </cell>
          <cell r="H239">
            <v>1.07833333333333</v>
          </cell>
          <cell r="I239">
            <v>50</v>
          </cell>
          <cell r="J239">
            <v>0</v>
          </cell>
          <cell r="K239">
            <v>72.645000000000024</v>
          </cell>
          <cell r="L239">
            <v>0</v>
          </cell>
          <cell r="M239">
            <v>0</v>
          </cell>
        </row>
        <row r="240">
          <cell r="A240" t="str">
            <v>A33</v>
          </cell>
          <cell r="B240" t="str">
            <v>Alcantarillas 1350mm</v>
          </cell>
          <cell r="C240" t="str">
            <v>ml</v>
          </cell>
          <cell r="F240">
            <v>12.5</v>
          </cell>
          <cell r="G240">
            <v>39.924999999999997</v>
          </cell>
          <cell r="H240">
            <v>1.9962500000000001</v>
          </cell>
          <cell r="I240">
            <v>160</v>
          </cell>
          <cell r="J240">
            <v>0</v>
          </cell>
          <cell r="K240">
            <v>201.92125000000001</v>
          </cell>
          <cell r="L240">
            <v>0</v>
          </cell>
          <cell r="M240">
            <v>0</v>
          </cell>
        </row>
        <row r="241">
          <cell r="A241" t="str">
            <v>A34</v>
          </cell>
          <cell r="B241" t="str">
            <v>Alcantarillas 1000mm</v>
          </cell>
          <cell r="C241" t="str">
            <v>ml</v>
          </cell>
          <cell r="F241">
            <v>8.8888888888888893</v>
          </cell>
          <cell r="G241">
            <v>28.755555555555599</v>
          </cell>
          <cell r="H241">
            <v>1.43777777777778</v>
          </cell>
          <cell r="I241">
            <v>78</v>
          </cell>
          <cell r="J241">
            <v>0</v>
          </cell>
          <cell r="K241">
            <v>108.19333333333338</v>
          </cell>
          <cell r="L241">
            <v>0</v>
          </cell>
          <cell r="M241">
            <v>0</v>
          </cell>
        </row>
        <row r="242">
          <cell r="A242" t="str">
            <v>A35</v>
          </cell>
          <cell r="B242" t="str">
            <v>Alcantarillas 1600mm</v>
          </cell>
          <cell r="C242" t="str">
            <v>ml</v>
          </cell>
          <cell r="F242">
            <v>12.5</v>
          </cell>
          <cell r="G242">
            <v>39.924999999999997</v>
          </cell>
          <cell r="H242">
            <v>1.9962500000000001</v>
          </cell>
          <cell r="I242">
            <v>215</v>
          </cell>
          <cell r="J242">
            <v>0</v>
          </cell>
          <cell r="K242">
            <v>256.92124999999999</v>
          </cell>
          <cell r="L242">
            <v>0</v>
          </cell>
          <cell r="M242">
            <v>0</v>
          </cell>
        </row>
        <row r="243">
          <cell r="A243" t="str">
            <v>A36</v>
          </cell>
          <cell r="B243" t="str">
            <v>Tubería para buzón CMP 2000mm Diam</v>
          </cell>
          <cell r="C243" t="str">
            <v>ml</v>
          </cell>
          <cell r="F243">
            <v>20</v>
          </cell>
          <cell r="G243">
            <v>63.3333333333333</v>
          </cell>
          <cell r="H243">
            <v>3.1666666666666701</v>
          </cell>
          <cell r="I243">
            <v>335</v>
          </cell>
          <cell r="J243">
            <v>0</v>
          </cell>
          <cell r="K243">
            <v>401.5</v>
          </cell>
          <cell r="L243">
            <v>0</v>
          </cell>
          <cell r="M243">
            <v>0</v>
          </cell>
        </row>
        <row r="244">
          <cell r="A244" t="str">
            <v>A37</v>
          </cell>
          <cell r="B244" t="str">
            <v>Alcantarillas 300mm</v>
          </cell>
          <cell r="F244">
            <v>6.666666666666667</v>
          </cell>
          <cell r="G244">
            <v>21.566666666666698</v>
          </cell>
          <cell r="H244">
            <v>1.07833333333333</v>
          </cell>
          <cell r="I244">
            <v>26</v>
          </cell>
          <cell r="J244">
            <v>0</v>
          </cell>
          <cell r="K244">
            <v>48.645000000000032</v>
          </cell>
          <cell r="L244">
            <v>0</v>
          </cell>
          <cell r="M244">
            <v>0</v>
          </cell>
        </row>
        <row r="245">
          <cell r="A245" t="str">
            <v>A20</v>
          </cell>
          <cell r="B245" t="str">
            <v>Geotextil 400g/m2 Non Woven</v>
          </cell>
          <cell r="C245" t="str">
            <v>m2</v>
          </cell>
          <cell r="F245">
            <v>0.37356321839080464</v>
          </cell>
          <cell r="G245">
            <v>1.1715517241379301</v>
          </cell>
          <cell r="H245">
            <v>0.445182471264368</v>
          </cell>
          <cell r="I245">
            <v>0.8</v>
          </cell>
          <cell r="J245">
            <v>0</v>
          </cell>
          <cell r="K245">
            <v>2.4167341954022983</v>
          </cell>
          <cell r="L245">
            <v>0</v>
          </cell>
          <cell r="M245">
            <v>0</v>
          </cell>
        </row>
        <row r="246">
          <cell r="A246" t="str">
            <v>A38</v>
          </cell>
          <cell r="B246" t="str">
            <v>Excavación y eliminación de material para cunetas en roca</v>
          </cell>
          <cell r="C246" t="str">
            <v>m3</v>
          </cell>
          <cell r="D246">
            <v>150</v>
          </cell>
          <cell r="E246">
            <v>1.0657964716240989</v>
          </cell>
          <cell r="F246">
            <v>0.28461538461538466</v>
          </cell>
          <cell r="G246">
            <v>1.41576923076923</v>
          </cell>
          <cell r="H246">
            <v>7.0169423076923119</v>
          </cell>
          <cell r="I246">
            <v>0</v>
          </cell>
          <cell r="J246">
            <v>11.5</v>
          </cell>
          <cell r="K246">
            <v>19.932711538461543</v>
          </cell>
          <cell r="L246">
            <v>21.244213627593275</v>
          </cell>
          <cell r="M246">
            <v>3186.6320441389912</v>
          </cell>
        </row>
        <row r="247">
          <cell r="A247" t="str">
            <v>A39</v>
          </cell>
          <cell r="B247" t="str">
            <v>Excavación y eliminación de material para cunetas en suelo común</v>
          </cell>
          <cell r="C247" t="str">
            <v>m3</v>
          </cell>
          <cell r="D247">
            <v>55</v>
          </cell>
          <cell r="E247">
            <v>1.0657964716240989</v>
          </cell>
          <cell r="F247">
            <v>0.1957264957264957</v>
          </cell>
          <cell r="G247">
            <v>0.98510256410256403</v>
          </cell>
          <cell r="H247">
            <v>4.9954089743589778</v>
          </cell>
          <cell r="I247">
            <v>0</v>
          </cell>
          <cell r="J247">
            <v>0</v>
          </cell>
          <cell r="K247">
            <v>5.9805115384615419</v>
          </cell>
          <cell r="L247">
            <v>6.3740080961995229</v>
          </cell>
          <cell r="M247">
            <v>350.57044529097374</v>
          </cell>
        </row>
        <row r="248">
          <cell r="A248" t="str">
            <v>A21</v>
          </cell>
          <cell r="B248" t="str">
            <v>Excavación y perfilado de zanjas</v>
          </cell>
          <cell r="C248" t="str">
            <v>m3</v>
          </cell>
          <cell r="D248">
            <v>80</v>
          </cell>
          <cell r="E248">
            <v>1.0657964716240989</v>
          </cell>
          <cell r="F248">
            <v>1.2887346226726417</v>
          </cell>
          <cell r="G248">
            <v>4.4896263901299003</v>
          </cell>
          <cell r="H248">
            <v>6.5119556758310146</v>
          </cell>
          <cell r="I248">
            <v>0</v>
          </cell>
          <cell r="J248">
            <v>3.45</v>
          </cell>
          <cell r="K248">
            <v>14.451582065960915</v>
          </cell>
          <cell r="L248">
            <v>15.402445175287248</v>
          </cell>
          <cell r="M248">
            <v>1232.19561402298</v>
          </cell>
        </row>
        <row r="249">
          <cell r="A249" t="str">
            <v>2.04</v>
          </cell>
          <cell r="B249" t="str">
            <v>PROCESS PLANT DUST CONTROL WATER TANK ACCESS ROAD</v>
          </cell>
        </row>
        <row r="250">
          <cell r="A250" t="str">
            <v>2.04.a</v>
          </cell>
          <cell r="B250" t="str">
            <v>Clear and Grub</v>
          </cell>
          <cell r="C250" t="str">
            <v>Ls</v>
          </cell>
        </row>
        <row r="251">
          <cell r="A251" t="str">
            <v>2.04.b</v>
          </cell>
          <cell r="B251" t="str">
            <v>Cut unsuitable soil to waste (includes organic soil)</v>
          </cell>
          <cell r="C251" t="str">
            <v>m3</v>
          </cell>
          <cell r="D251">
            <v>500</v>
          </cell>
          <cell r="F251">
            <v>29.885531135531131</v>
          </cell>
          <cell r="G251">
            <v>0.31061978021978054</v>
          </cell>
          <cell r="H251">
            <v>2.2790049816849813</v>
          </cell>
          <cell r="I251">
            <v>0</v>
          </cell>
          <cell r="J251">
            <v>0</v>
          </cell>
          <cell r="L251">
            <v>2.59</v>
          </cell>
          <cell r="M251">
            <v>1295</v>
          </cell>
        </row>
        <row r="252">
          <cell r="A252" t="str">
            <v>A01</v>
          </cell>
          <cell r="B252" t="str">
            <v>Excavación de Topsoil y Unsuitable (e&gt;1m)</v>
          </cell>
          <cell r="C252" t="str">
            <v>m3</v>
          </cell>
          <cell r="D252">
            <v>500</v>
          </cell>
          <cell r="E252">
            <v>1</v>
          </cell>
          <cell r="F252">
            <v>1.7142857142857144E-2</v>
          </cell>
          <cell r="G252">
            <v>8.5542857142857004E-2</v>
          </cell>
          <cell r="H252">
            <v>0.81924857142857199</v>
          </cell>
          <cell r="I252">
            <v>0</v>
          </cell>
          <cell r="J252">
            <v>0</v>
          </cell>
          <cell r="K252">
            <v>0.90479142857142902</v>
          </cell>
          <cell r="L252">
            <v>0.90479142857142902</v>
          </cell>
          <cell r="M252">
            <v>452.39571428571452</v>
          </cell>
        </row>
        <row r="253">
          <cell r="A253" t="str">
            <v>A02</v>
          </cell>
          <cell r="B253" t="str">
            <v>Excavación de Topsoil y Unsuitable (e&lt;1m)</v>
          </cell>
          <cell r="C253" t="str">
            <v>m3</v>
          </cell>
          <cell r="D253">
            <v>0</v>
          </cell>
          <cell r="F253">
            <v>1.4285714285714285E-2</v>
          </cell>
          <cell r="G253">
            <v>6.9214285714286006E-2</v>
          </cell>
          <cell r="H253">
            <v>0.57488928571428499</v>
          </cell>
          <cell r="I253">
            <v>0</v>
          </cell>
          <cell r="J253">
            <v>0</v>
          </cell>
          <cell r="K253">
            <v>0.644103571428571</v>
          </cell>
          <cell r="L253">
            <v>0</v>
          </cell>
          <cell r="M253">
            <v>0</v>
          </cell>
        </row>
        <row r="254">
          <cell r="A254" t="str">
            <v>A03</v>
          </cell>
          <cell r="B254" t="str">
            <v>Carguío de Topsoil &amp; Unsuitable con excavadora</v>
          </cell>
          <cell r="C254" t="str">
            <v>m3</v>
          </cell>
          <cell r="D254">
            <v>500</v>
          </cell>
          <cell r="E254">
            <v>1</v>
          </cell>
          <cell r="F254">
            <v>1.3461538461538462E-2</v>
          </cell>
          <cell r="G254">
            <v>7.1076923076922996E-2</v>
          </cell>
          <cell r="H254">
            <v>0.70142307692307704</v>
          </cell>
          <cell r="I254">
            <v>0</v>
          </cell>
          <cell r="J254">
            <v>0</v>
          </cell>
          <cell r="K254">
            <v>0.77250000000000008</v>
          </cell>
          <cell r="L254">
            <v>0.77250000000000008</v>
          </cell>
          <cell r="M254">
            <v>386.25000000000006</v>
          </cell>
        </row>
        <row r="255">
          <cell r="A255" t="str">
            <v>A04</v>
          </cell>
          <cell r="B255" t="str">
            <v>Acarreo d&lt;1km (sin esponj)</v>
          </cell>
          <cell r="C255" t="str">
            <v>m3</v>
          </cell>
          <cell r="D255">
            <v>500</v>
          </cell>
          <cell r="E255">
            <v>1.5</v>
          </cell>
          <cell r="F255">
            <v>1.9444444444444441E-2</v>
          </cell>
          <cell r="G255">
            <v>0.102666666666667</v>
          </cell>
          <cell r="H255">
            <v>0.50555555555555498</v>
          </cell>
          <cell r="I255">
            <v>0</v>
          </cell>
          <cell r="J255">
            <v>0</v>
          </cell>
          <cell r="K255">
            <v>0.608222222222222</v>
          </cell>
          <cell r="L255">
            <v>0.912333333333333</v>
          </cell>
          <cell r="M255">
            <v>456.16666666666652</v>
          </cell>
        </row>
        <row r="256">
          <cell r="A256" t="str">
            <v>A05</v>
          </cell>
          <cell r="B256" t="str">
            <v>Sobreacarreo (d&gt;1km) (sin esponj)</v>
          </cell>
          <cell r="C256" t="str">
            <v>m3-km</v>
          </cell>
          <cell r="F256">
            <v>8.9285714285714263E-3</v>
          </cell>
          <cell r="G256">
            <v>4.7142857142857E-2</v>
          </cell>
          <cell r="H256">
            <v>0.23308571428571401</v>
          </cell>
          <cell r="I256">
            <v>0</v>
          </cell>
          <cell r="J256">
            <v>0</v>
          </cell>
          <cell r="K256">
            <v>0.28022857142857105</v>
          </cell>
          <cell r="L256">
            <v>0</v>
          </cell>
          <cell r="M256">
            <v>0</v>
          </cell>
        </row>
        <row r="257">
          <cell r="A257" t="str">
            <v>2.04.c</v>
          </cell>
          <cell r="B257" t="str">
            <v>Cut and Fill Soil or Ripable Rock, within sub-Item work zone</v>
          </cell>
          <cell r="C257" t="str">
            <v>m3</v>
          </cell>
          <cell r="D257">
            <v>300</v>
          </cell>
          <cell r="F257">
            <v>27.875</v>
          </cell>
          <cell r="G257">
            <v>0.47113375000000002</v>
          </cell>
          <cell r="H257">
            <v>3.7516384208333373</v>
          </cell>
          <cell r="I257">
            <v>0</v>
          </cell>
          <cell r="J257">
            <v>0</v>
          </cell>
          <cell r="L257">
            <v>4.22</v>
          </cell>
          <cell r="M257">
            <v>1266</v>
          </cell>
        </row>
        <row r="258">
          <cell r="A258" t="str">
            <v>A06</v>
          </cell>
          <cell r="B258" t="str">
            <v>Excavación de roca ripeable</v>
          </cell>
          <cell r="C258" t="str">
            <v>m3</v>
          </cell>
          <cell r="D258">
            <v>300</v>
          </cell>
          <cell r="E258">
            <v>1.1000000000000001</v>
          </cell>
          <cell r="F258">
            <v>3.3333333333333333E-2</v>
          </cell>
          <cell r="G258">
            <v>0.16439999999999999</v>
          </cell>
          <cell r="H258">
            <v>1.5519306666666701</v>
          </cell>
          <cell r="I258">
            <v>0</v>
          </cell>
          <cell r="J258">
            <v>0</v>
          </cell>
          <cell r="K258">
            <v>1.7163306666666702</v>
          </cell>
          <cell r="L258">
            <v>1.8879637333333374</v>
          </cell>
          <cell r="M258">
            <v>566.38912000000118</v>
          </cell>
        </row>
        <row r="259">
          <cell r="A259" t="str">
            <v>A07</v>
          </cell>
          <cell r="B259" t="str">
            <v>Empuje de material d&lt;60m</v>
          </cell>
          <cell r="C259" t="str">
            <v>m3</v>
          </cell>
          <cell r="D259">
            <v>300</v>
          </cell>
          <cell r="E259">
            <v>1.1000000000000001</v>
          </cell>
          <cell r="F259">
            <v>1.2500000000000001E-2</v>
          </cell>
          <cell r="G259">
            <v>6.0562499999999998E-2</v>
          </cell>
          <cell r="H259">
            <v>0.50302812500000005</v>
          </cell>
          <cell r="I259">
            <v>0</v>
          </cell>
          <cell r="J259">
            <v>0</v>
          </cell>
          <cell r="K259">
            <v>0.56359062500000001</v>
          </cell>
          <cell r="L259">
            <v>0.61994968750000001</v>
          </cell>
          <cell r="M259">
            <v>185.98490624999999</v>
          </cell>
        </row>
        <row r="260">
          <cell r="A260" t="str">
            <v>A08</v>
          </cell>
          <cell r="B260" t="str">
            <v>Relleno masivo compactado</v>
          </cell>
          <cell r="C260" t="str">
            <v>m3</v>
          </cell>
          <cell r="D260">
            <v>300</v>
          </cell>
          <cell r="E260">
            <v>1</v>
          </cell>
          <cell r="F260">
            <v>4.2499999999999996E-2</v>
          </cell>
          <cell r="G260">
            <v>0.22367500000000001</v>
          </cell>
          <cell r="H260">
            <v>1.49118375</v>
          </cell>
          <cell r="I260">
            <v>0</v>
          </cell>
          <cell r="J260">
            <v>0</v>
          </cell>
          <cell r="K260">
            <v>1.7148587500000001</v>
          </cell>
          <cell r="L260">
            <v>1.7148587500000001</v>
          </cell>
          <cell r="M260">
            <v>514.45762500000001</v>
          </cell>
        </row>
        <row r="261">
          <cell r="A261" t="str">
            <v>2.04.d</v>
          </cell>
          <cell r="B261" t="str">
            <v xml:space="preserve">Cut and Fill Soil or Ripable Rock to Other sub-Item work zone </v>
          </cell>
          <cell r="C261" t="str">
            <v>m3</v>
          </cell>
          <cell r="D261">
            <v>600</v>
          </cell>
          <cell r="F261">
            <v>76.376666666666665</v>
          </cell>
          <cell r="G261">
            <v>0.65745516666666726</v>
          </cell>
          <cell r="H261">
            <v>4.9908585605555587</v>
          </cell>
          <cell r="I261">
            <v>0</v>
          </cell>
          <cell r="J261">
            <v>0</v>
          </cell>
          <cell r="L261">
            <v>5.65</v>
          </cell>
          <cell r="M261">
            <v>3390</v>
          </cell>
        </row>
        <row r="262">
          <cell r="A262" t="str">
            <v>A06</v>
          </cell>
          <cell r="B262" t="str">
            <v>Excavación de roca ripeable</v>
          </cell>
          <cell r="C262" t="str">
            <v>m3</v>
          </cell>
          <cell r="D262">
            <v>600</v>
          </cell>
          <cell r="E262">
            <v>1.1950000000000001</v>
          </cell>
          <cell r="F262">
            <v>3.3333333333333333E-2</v>
          </cell>
          <cell r="G262">
            <v>0.16439999999999999</v>
          </cell>
          <cell r="H262">
            <v>1.5519306666666701</v>
          </cell>
          <cell r="I262">
            <v>0</v>
          </cell>
          <cell r="J262">
            <v>0</v>
          </cell>
          <cell r="K262">
            <v>1.7163306666666702</v>
          </cell>
          <cell r="L262">
            <v>2.0510151466666708</v>
          </cell>
          <cell r="M262">
            <v>1230.6090880000024</v>
          </cell>
        </row>
        <row r="263">
          <cell r="A263" t="str">
            <v>A09</v>
          </cell>
          <cell r="B263" t="str">
            <v>Carguío de material común &amp; roca ripeable con excavadora</v>
          </cell>
          <cell r="C263" t="str">
            <v>m3</v>
          </cell>
          <cell r="D263">
            <v>600</v>
          </cell>
          <cell r="E263">
            <v>1.2</v>
          </cell>
          <cell r="F263">
            <v>8.0000000000000002E-3</v>
          </cell>
          <cell r="G263">
            <v>4.224E-2</v>
          </cell>
          <cell r="H263">
            <v>0.57259199999999999</v>
          </cell>
          <cell r="I263">
            <v>0</v>
          </cell>
          <cell r="J263">
            <v>0</v>
          </cell>
          <cell r="K263">
            <v>0.61483199999999993</v>
          </cell>
          <cell r="L263">
            <v>0.73779839999999985</v>
          </cell>
          <cell r="M263">
            <v>442.67903999999993</v>
          </cell>
        </row>
        <row r="264">
          <cell r="A264" t="str">
            <v>A08</v>
          </cell>
          <cell r="B264" t="str">
            <v>Relleno masivo compactado</v>
          </cell>
          <cell r="C264" t="str">
            <v>m3</v>
          </cell>
          <cell r="D264">
            <v>600</v>
          </cell>
          <cell r="E264">
            <v>1.1000000000000001</v>
          </cell>
          <cell r="F264">
            <v>4.2499999999999996E-2</v>
          </cell>
          <cell r="G264">
            <v>0.22367500000000001</v>
          </cell>
          <cell r="H264">
            <v>1.49118375</v>
          </cell>
          <cell r="I264">
            <v>0</v>
          </cell>
          <cell r="J264">
            <v>0</v>
          </cell>
          <cell r="K264">
            <v>1.7148587500000001</v>
          </cell>
          <cell r="L264">
            <v>1.8863446250000002</v>
          </cell>
          <cell r="M264">
            <v>1131.8067750000002</v>
          </cell>
        </row>
        <row r="265">
          <cell r="A265" t="str">
            <v>A04</v>
          </cell>
          <cell r="B265" t="str">
            <v>Acarreo d&lt;1km (sin esponj)</v>
          </cell>
          <cell r="C265" t="str">
            <v>m3</v>
          </cell>
          <cell r="D265">
            <v>600</v>
          </cell>
          <cell r="E265">
            <v>1.6</v>
          </cell>
          <cell r="F265">
            <v>1.9444444444444441E-2</v>
          </cell>
          <cell r="G265">
            <v>0.102666666666667</v>
          </cell>
          <cell r="H265">
            <v>0.50555555555555498</v>
          </cell>
          <cell r="I265">
            <v>0</v>
          </cell>
          <cell r="J265">
            <v>0</v>
          </cell>
          <cell r="K265">
            <v>0.608222222222222</v>
          </cell>
          <cell r="L265">
            <v>0.97315555555555522</v>
          </cell>
          <cell r="M265">
            <v>583.89333333333309</v>
          </cell>
        </row>
        <row r="266">
          <cell r="A266" t="str">
            <v>A05</v>
          </cell>
          <cell r="B266" t="str">
            <v>Sobreacarreo (d&gt;1km) (sin esponj)</v>
          </cell>
          <cell r="C266" t="str">
            <v>m3-km</v>
          </cell>
          <cell r="F266">
            <v>8.9285714285714263E-3</v>
          </cell>
          <cell r="G266">
            <v>4.7142857142857E-2</v>
          </cell>
          <cell r="H266">
            <v>0.23308571428571401</v>
          </cell>
          <cell r="I266">
            <v>0</v>
          </cell>
          <cell r="J266">
            <v>0</v>
          </cell>
          <cell r="K266">
            <v>0.28022857142857105</v>
          </cell>
          <cell r="L266">
            <v>0</v>
          </cell>
          <cell r="M266">
            <v>0</v>
          </cell>
        </row>
        <row r="267">
          <cell r="A267" t="str">
            <v>2.04.e</v>
          </cell>
          <cell r="B267" t="str">
            <v>Drill and blast bulk rock (without limit on thickness, to fine or coarse fragments as required depending on end-use. Applies to locations other than trenches and ditches).</v>
          </cell>
          <cell r="C267" t="str">
            <v>m3</v>
          </cell>
          <cell r="D267">
            <v>200</v>
          </cell>
          <cell r="F267">
            <v>17.932367149758456</v>
          </cell>
          <cell r="G267">
            <v>0</v>
          </cell>
          <cell r="H267">
            <v>0</v>
          </cell>
          <cell r="I267">
            <v>0</v>
          </cell>
          <cell r="J267">
            <v>3.2820000000000005</v>
          </cell>
          <cell r="L267">
            <v>3.28</v>
          </cell>
          <cell r="M267">
            <v>656</v>
          </cell>
        </row>
        <row r="268">
          <cell r="A268" t="str">
            <v>A11</v>
          </cell>
          <cell r="B268" t="str">
            <v>Perforación y voladura masiva (material fino)</v>
          </cell>
          <cell r="C268" t="str">
            <v>m3</v>
          </cell>
          <cell r="D268">
            <v>200</v>
          </cell>
          <cell r="E268">
            <v>0.3</v>
          </cell>
          <cell r="F268">
            <v>7.4718196457326899E-2</v>
          </cell>
          <cell r="G268">
            <v>0</v>
          </cell>
          <cell r="H268">
            <v>0</v>
          </cell>
          <cell r="I268">
            <v>0</v>
          </cell>
          <cell r="J268">
            <v>2.78</v>
          </cell>
          <cell r="K268">
            <v>2.78</v>
          </cell>
          <cell r="L268">
            <v>0.83399999999999996</v>
          </cell>
          <cell r="M268">
            <v>166.79999999999998</v>
          </cell>
        </row>
        <row r="269">
          <cell r="A269" t="str">
            <v>A12</v>
          </cell>
          <cell r="B269" t="str">
            <v>Perforación y voladura masiva (material grueso)</v>
          </cell>
          <cell r="C269" t="str">
            <v>m3</v>
          </cell>
          <cell r="D269">
            <v>200</v>
          </cell>
          <cell r="E269">
            <v>0.9</v>
          </cell>
          <cell r="F269">
            <v>7.4718196457326899E-2</v>
          </cell>
          <cell r="G269">
            <v>0</v>
          </cell>
          <cell r="H269">
            <v>0</v>
          </cell>
          <cell r="I269">
            <v>0</v>
          </cell>
          <cell r="J269">
            <v>2.72</v>
          </cell>
          <cell r="K269">
            <v>2.72</v>
          </cell>
          <cell r="L269">
            <v>2.4480000000000004</v>
          </cell>
          <cell r="M269">
            <v>489.60000000000008</v>
          </cell>
        </row>
        <row r="270">
          <cell r="A270" t="str">
            <v>2.04.f</v>
          </cell>
          <cell r="B270" t="str">
            <v xml:space="preserve">Excavate and Fill (fine blasted) broken rock  </v>
          </cell>
          <cell r="C270" t="str">
            <v>m3</v>
          </cell>
          <cell r="D270">
            <v>50</v>
          </cell>
          <cell r="F270">
            <v>4.2572999999999999</v>
          </cell>
          <cell r="G270">
            <v>0.43448479000000001</v>
          </cell>
          <cell r="H270">
            <v>3.3717705755000003</v>
          </cell>
          <cell r="I270">
            <v>0</v>
          </cell>
          <cell r="J270">
            <v>0</v>
          </cell>
          <cell r="L270">
            <v>3.81</v>
          </cell>
          <cell r="M270">
            <v>190.5</v>
          </cell>
        </row>
        <row r="271">
          <cell r="A271" t="str">
            <v>A13</v>
          </cell>
          <cell r="B271" t="str">
            <v>Remoción de Material fino volado</v>
          </cell>
          <cell r="C271" t="str">
            <v>m3</v>
          </cell>
          <cell r="D271">
            <v>50</v>
          </cell>
          <cell r="E271">
            <v>1.204</v>
          </cell>
          <cell r="F271">
            <v>2.4E-2</v>
          </cell>
          <cell r="G271">
            <v>0.11976000000000001</v>
          </cell>
          <cell r="H271">
            <v>1.1023720000000001</v>
          </cell>
          <cell r="I271">
            <v>0</v>
          </cell>
          <cell r="J271">
            <v>0</v>
          </cell>
          <cell r="K271">
            <v>1.2221320000000002</v>
          </cell>
          <cell r="L271">
            <v>1.4714469280000002</v>
          </cell>
          <cell r="M271">
            <v>73.572346400000015</v>
          </cell>
        </row>
        <row r="272">
          <cell r="A272" t="str">
            <v>A07</v>
          </cell>
          <cell r="B272" t="str">
            <v>Empuje de material d&lt;60m</v>
          </cell>
          <cell r="C272" t="str">
            <v>m3</v>
          </cell>
          <cell r="D272">
            <v>50</v>
          </cell>
          <cell r="E272">
            <v>1.1000000000000001</v>
          </cell>
          <cell r="F272">
            <v>1.2500000000000001E-2</v>
          </cell>
          <cell r="G272">
            <v>6.0562499999999998E-2</v>
          </cell>
          <cell r="H272">
            <v>0.50302812500000005</v>
          </cell>
          <cell r="I272">
            <v>0</v>
          </cell>
          <cell r="J272">
            <v>0</v>
          </cell>
          <cell r="K272">
            <v>0.56359062500000001</v>
          </cell>
          <cell r="L272">
            <v>0.61994968750000001</v>
          </cell>
          <cell r="M272">
            <v>30.997484374999999</v>
          </cell>
        </row>
        <row r="273">
          <cell r="A273" t="str">
            <v>A08</v>
          </cell>
          <cell r="B273" t="str">
            <v>Relleno masivo compactado</v>
          </cell>
          <cell r="C273" t="str">
            <v>m3</v>
          </cell>
          <cell r="D273">
            <v>50</v>
          </cell>
          <cell r="E273">
            <v>1</v>
          </cell>
          <cell r="F273">
            <v>4.2499999999999996E-2</v>
          </cell>
          <cell r="G273">
            <v>0.22367500000000001</v>
          </cell>
          <cell r="H273">
            <v>1.49118375</v>
          </cell>
          <cell r="I273">
            <v>0</v>
          </cell>
          <cell r="J273">
            <v>0</v>
          </cell>
          <cell r="K273">
            <v>1.7148587500000001</v>
          </cell>
          <cell r="L273">
            <v>1.7148587500000001</v>
          </cell>
          <cell r="M273">
            <v>85.742937500000011</v>
          </cell>
        </row>
        <row r="274">
          <cell r="A274" t="str">
            <v>2.04.g</v>
          </cell>
          <cell r="B274" t="str">
            <v>Excavate (fine or coarse blasted) broken rock to Other sub-Item work zone, within 1000m</v>
          </cell>
          <cell r="C274" t="str">
            <v>m3</v>
          </cell>
          <cell r="D274">
            <v>200</v>
          </cell>
          <cell r="F274">
            <v>13.058287795992713</v>
          </cell>
          <cell r="G274">
            <v>0.33748879781420799</v>
          </cell>
          <cell r="H274">
            <v>2.5845533424408043</v>
          </cell>
          <cell r="I274">
            <v>0</v>
          </cell>
          <cell r="J274">
            <v>0</v>
          </cell>
          <cell r="L274">
            <v>2.92</v>
          </cell>
          <cell r="M274">
            <v>584</v>
          </cell>
        </row>
        <row r="275">
          <cell r="A275" t="str">
            <v>A14</v>
          </cell>
          <cell r="B275" t="str">
            <v>Remoción de Material grueso volado</v>
          </cell>
          <cell r="C275" t="str">
            <v>m3</v>
          </cell>
          <cell r="D275">
            <v>200</v>
          </cell>
          <cell r="E275">
            <v>1</v>
          </cell>
          <cell r="F275">
            <v>2.5000000000000001E-2</v>
          </cell>
          <cell r="G275">
            <v>0.12475</v>
          </cell>
          <cell r="H275">
            <v>1.11859166666667</v>
          </cell>
          <cell r="I275">
            <v>0</v>
          </cell>
          <cell r="J275">
            <v>0</v>
          </cell>
          <cell r="K275">
            <v>1.2433416666666699</v>
          </cell>
          <cell r="L275">
            <v>1.2433416666666699</v>
          </cell>
          <cell r="M275">
            <v>248.66833333333398</v>
          </cell>
        </row>
        <row r="276">
          <cell r="A276" t="str">
            <v>A43</v>
          </cell>
          <cell r="B276" t="str">
            <v>Carguío de roca volada con excavadora</v>
          </cell>
          <cell r="C276" t="str">
            <v>m3</v>
          </cell>
          <cell r="D276">
            <v>200</v>
          </cell>
          <cell r="E276">
            <v>1.1200000000000001</v>
          </cell>
          <cell r="F276">
            <v>8.1967213114754103E-3</v>
          </cell>
          <cell r="G276">
            <v>4.3278688524589999E-2</v>
          </cell>
          <cell r="H276">
            <v>0.58667213114754102</v>
          </cell>
          <cell r="I276">
            <v>0</v>
          </cell>
          <cell r="J276">
            <v>0</v>
          </cell>
          <cell r="K276">
            <v>0.62995081967213107</v>
          </cell>
          <cell r="L276">
            <v>0.70554491803278685</v>
          </cell>
          <cell r="M276">
            <v>141.10898360655736</v>
          </cell>
        </row>
        <row r="277">
          <cell r="A277" t="str">
            <v>A04</v>
          </cell>
          <cell r="B277" t="str">
            <v>Acarreo d&lt;1km (sin esponj)</v>
          </cell>
          <cell r="C277" t="str">
            <v>m3</v>
          </cell>
          <cell r="D277">
            <v>200</v>
          </cell>
          <cell r="E277">
            <v>1.6</v>
          </cell>
          <cell r="F277">
            <v>1.9444444444444441E-2</v>
          </cell>
          <cell r="G277">
            <v>0.102666666666667</v>
          </cell>
          <cell r="H277">
            <v>0.50555555555555498</v>
          </cell>
          <cell r="I277">
            <v>0</v>
          </cell>
          <cell r="J277">
            <v>0</v>
          </cell>
          <cell r="K277">
            <v>0.608222222222222</v>
          </cell>
          <cell r="L277">
            <v>0.97315555555555522</v>
          </cell>
          <cell r="M277">
            <v>194.63111111111104</v>
          </cell>
        </row>
        <row r="278">
          <cell r="A278" t="str">
            <v>A05</v>
          </cell>
          <cell r="B278" t="str">
            <v>Sobreacarreo (d&gt;1km) (sin esponj)</v>
          </cell>
          <cell r="C278" t="str">
            <v>m3-km</v>
          </cell>
          <cell r="F278">
            <v>8.9285714285714263E-3</v>
          </cell>
          <cell r="G278">
            <v>4.7142857142857E-2</v>
          </cell>
          <cell r="H278">
            <v>0.23308571428571401</v>
          </cell>
          <cell r="I278">
            <v>0</v>
          </cell>
          <cell r="J278">
            <v>0</v>
          </cell>
          <cell r="K278">
            <v>0.28022857142857105</v>
          </cell>
          <cell r="L278">
            <v>0</v>
          </cell>
          <cell r="M278">
            <v>0</v>
          </cell>
        </row>
        <row r="279">
          <cell r="A279" t="str">
            <v>2.04.h</v>
          </cell>
          <cell r="B279" t="str">
            <v>Supply and Install Backfill Granular A to roads/yards</v>
          </cell>
          <cell r="C279" t="str">
            <v>m3</v>
          </cell>
          <cell r="D279">
            <v>100</v>
          </cell>
          <cell r="F279">
            <v>46.262896825396822</v>
          </cell>
          <cell r="G279">
            <v>1.8943476190476185</v>
          </cell>
          <cell r="H279">
            <v>5.2854072380952335</v>
          </cell>
          <cell r="I279">
            <v>3.5625</v>
          </cell>
          <cell r="J279">
            <v>0</v>
          </cell>
          <cell r="K279">
            <v>10.74225485714285</v>
          </cell>
          <cell r="L279">
            <v>10.74</v>
          </cell>
          <cell r="M279">
            <v>1074</v>
          </cell>
        </row>
        <row r="280">
          <cell r="A280" t="str">
            <v>A15</v>
          </cell>
          <cell r="B280" t="str">
            <v>Suministro de material granular A</v>
          </cell>
          <cell r="C280" t="str">
            <v>m3</v>
          </cell>
          <cell r="D280">
            <v>100</v>
          </cell>
          <cell r="E280">
            <v>1.25</v>
          </cell>
          <cell r="F280">
            <v>0</v>
          </cell>
          <cell r="G280">
            <v>0</v>
          </cell>
          <cell r="H280">
            <v>0</v>
          </cell>
          <cell r="I280">
            <v>2.85</v>
          </cell>
          <cell r="J280">
            <v>0</v>
          </cell>
          <cell r="K280">
            <v>2.85</v>
          </cell>
          <cell r="L280">
            <v>3.5625</v>
          </cell>
          <cell r="M280">
            <v>356.25</v>
          </cell>
        </row>
        <row r="281">
          <cell r="A281" t="str">
            <v>A16</v>
          </cell>
          <cell r="B281" t="str">
            <v>Colocación y compactación Mat Granular A</v>
          </cell>
          <cell r="C281" t="str">
            <v>m3</v>
          </cell>
          <cell r="D281">
            <v>100</v>
          </cell>
          <cell r="E281">
            <v>1</v>
          </cell>
          <cell r="F281">
            <v>0.37805555555555553</v>
          </cell>
          <cell r="G281">
            <v>1.4478</v>
          </cell>
          <cell r="H281">
            <v>3.0801342222222199</v>
          </cell>
          <cell r="I281">
            <v>0</v>
          </cell>
          <cell r="J281">
            <v>0</v>
          </cell>
          <cell r="K281">
            <v>4.5279342222222194</v>
          </cell>
          <cell r="L281">
            <v>4.5279342222222194</v>
          </cell>
          <cell r="M281">
            <v>452.79342222222192</v>
          </cell>
        </row>
        <row r="282">
          <cell r="A282" t="str">
            <v>A04</v>
          </cell>
          <cell r="B282" t="str">
            <v>Acarreo d&lt;1km (sin esponj)</v>
          </cell>
          <cell r="C282" t="str">
            <v>m3</v>
          </cell>
          <cell r="D282">
            <v>100</v>
          </cell>
          <cell r="E282">
            <v>1.25</v>
          </cell>
          <cell r="F282">
            <v>1.9444444444444441E-2</v>
          </cell>
          <cell r="G282">
            <v>0.102666666666667</v>
          </cell>
          <cell r="H282">
            <v>0.50555555555555498</v>
          </cell>
          <cell r="I282">
            <v>0</v>
          </cell>
          <cell r="J282">
            <v>0</v>
          </cell>
          <cell r="K282">
            <v>0.608222222222222</v>
          </cell>
          <cell r="L282">
            <v>0.7602777777777775</v>
          </cell>
          <cell r="M282">
            <v>76.027777777777743</v>
          </cell>
        </row>
        <row r="283">
          <cell r="A283" t="str">
            <v>A05</v>
          </cell>
          <cell r="B283" t="str">
            <v>Sobreacarreo (d&gt;1km) (sin esponj)</v>
          </cell>
          <cell r="C283" t="str">
            <v>m3-km</v>
          </cell>
          <cell r="D283">
            <v>540</v>
          </cell>
          <cell r="E283">
            <v>1.25</v>
          </cell>
          <cell r="F283">
            <v>8.9285714285714263E-3</v>
          </cell>
          <cell r="G283">
            <v>4.7142857142857E-2</v>
          </cell>
          <cell r="H283">
            <v>0.23308571428571401</v>
          </cell>
          <cell r="I283">
            <v>0</v>
          </cell>
          <cell r="J283">
            <v>0</v>
          </cell>
          <cell r="K283">
            <v>0.28022857142857105</v>
          </cell>
          <cell r="L283">
            <v>0.35028571428571381</v>
          </cell>
          <cell r="M283">
            <v>189.15428571428546</v>
          </cell>
        </row>
        <row r="284">
          <cell r="A284" t="str">
            <v>2.04.i</v>
          </cell>
          <cell r="B284" t="str">
            <v>Supply and Install Backfill Granular B to roads/yards</v>
          </cell>
          <cell r="C284" t="str">
            <v>m3</v>
          </cell>
          <cell r="D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A285" t="str">
            <v>A40</v>
          </cell>
          <cell r="B285" t="str">
            <v>Suministro de material granular B</v>
          </cell>
          <cell r="C285" t="str">
            <v>m3</v>
          </cell>
          <cell r="F285">
            <v>0</v>
          </cell>
          <cell r="G285">
            <v>0</v>
          </cell>
          <cell r="H285">
            <v>0</v>
          </cell>
          <cell r="I285">
            <v>2.85</v>
          </cell>
          <cell r="J285">
            <v>0</v>
          </cell>
          <cell r="K285">
            <v>2.85</v>
          </cell>
          <cell r="L285">
            <v>0</v>
          </cell>
          <cell r="M285">
            <v>0</v>
          </cell>
        </row>
        <row r="286">
          <cell r="A286" t="str">
            <v>A41</v>
          </cell>
          <cell r="B286" t="str">
            <v>Colocación y compactación Mat Granular B</v>
          </cell>
          <cell r="C286" t="str">
            <v>m3</v>
          </cell>
          <cell r="F286">
            <v>0.10416666666666666</v>
          </cell>
          <cell r="G286">
            <v>0.53187499999999999</v>
          </cell>
          <cell r="H286">
            <v>2.3804166666666702</v>
          </cell>
          <cell r="I286">
            <v>0</v>
          </cell>
          <cell r="J286">
            <v>0</v>
          </cell>
          <cell r="K286">
            <v>2.9122916666666701</v>
          </cell>
          <cell r="L286">
            <v>0</v>
          </cell>
          <cell r="M286">
            <v>0</v>
          </cell>
        </row>
        <row r="287">
          <cell r="A287" t="str">
            <v>A04</v>
          </cell>
          <cell r="B287" t="str">
            <v>Acarreo d&lt;1km (sin esponj)</v>
          </cell>
          <cell r="C287" t="str">
            <v>m3</v>
          </cell>
          <cell r="F287">
            <v>1.9444444444444441E-2</v>
          </cell>
          <cell r="G287">
            <v>0.102666666666667</v>
          </cell>
          <cell r="H287">
            <v>0.50555555555555498</v>
          </cell>
          <cell r="I287">
            <v>0</v>
          </cell>
          <cell r="J287">
            <v>0</v>
          </cell>
          <cell r="K287">
            <v>0.608222222222222</v>
          </cell>
          <cell r="L287">
            <v>0</v>
          </cell>
          <cell r="M287">
            <v>0</v>
          </cell>
        </row>
        <row r="288">
          <cell r="A288" t="str">
            <v>A05</v>
          </cell>
          <cell r="B288" t="str">
            <v>Sobreacarreo (d&gt;1km) (sin esponj)</v>
          </cell>
          <cell r="C288" t="str">
            <v>m3-km</v>
          </cell>
          <cell r="F288">
            <v>8.9285714285714263E-3</v>
          </cell>
          <cell r="G288">
            <v>4.7142857142857E-2</v>
          </cell>
          <cell r="H288">
            <v>0.23308571428571401</v>
          </cell>
          <cell r="I288">
            <v>0</v>
          </cell>
          <cell r="J288">
            <v>0</v>
          </cell>
          <cell r="K288">
            <v>0.28022857142857105</v>
          </cell>
          <cell r="L288">
            <v>0</v>
          </cell>
          <cell r="M288">
            <v>0</v>
          </cell>
        </row>
        <row r="289">
          <cell r="A289" t="str">
            <v>2.04.j</v>
          </cell>
          <cell r="B289" t="str">
            <v>Supply and Install Riprap-Geotextile-Bedding to ditches and slopes, including rock/earth excavation and shaping of the site</v>
          </cell>
          <cell r="C289" t="str">
            <v>Ls</v>
          </cell>
          <cell r="D289">
            <v>1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L289">
            <v>0</v>
          </cell>
          <cell r="M289">
            <v>0</v>
          </cell>
        </row>
        <row r="290">
          <cell r="A290" t="str">
            <v>A19</v>
          </cell>
          <cell r="B290" t="str">
            <v>Rip rap</v>
          </cell>
          <cell r="C290" t="str">
            <v>m3</v>
          </cell>
          <cell r="F290">
            <v>2.7285714285714286</v>
          </cell>
          <cell r="G290">
            <v>8.8182857142857092</v>
          </cell>
          <cell r="H290">
            <v>4.8350057142857139</v>
          </cell>
          <cell r="I290">
            <v>2.85</v>
          </cell>
          <cell r="J290">
            <v>0</v>
          </cell>
          <cell r="K290">
            <v>16.503291428571423</v>
          </cell>
          <cell r="L290">
            <v>0</v>
          </cell>
          <cell r="M290">
            <v>0</v>
          </cell>
        </row>
        <row r="291">
          <cell r="A291" t="str">
            <v>A20</v>
          </cell>
          <cell r="B291" t="str">
            <v>Geotextil 400g/m2 Non Woven</v>
          </cell>
          <cell r="C291" t="str">
            <v>m2</v>
          </cell>
          <cell r="F291">
            <v>0.37356321839080464</v>
          </cell>
          <cell r="G291">
            <v>1.1715517241379301</v>
          </cell>
          <cell r="H291">
            <v>0.445182471264368</v>
          </cell>
          <cell r="I291">
            <v>0.8</v>
          </cell>
          <cell r="J291">
            <v>0</v>
          </cell>
          <cell r="K291">
            <v>2.4167341954022983</v>
          </cell>
          <cell r="L291">
            <v>0</v>
          </cell>
          <cell r="M291">
            <v>0</v>
          </cell>
        </row>
        <row r="292">
          <cell r="A292" t="str">
            <v>A21</v>
          </cell>
          <cell r="B292" t="str">
            <v>Excavación y perfilado de zanjas</v>
          </cell>
          <cell r="C292" t="str">
            <v>m3</v>
          </cell>
          <cell r="F292">
            <v>1.2887346226726417</v>
          </cell>
          <cell r="G292">
            <v>4.4896263901299003</v>
          </cell>
          <cell r="H292">
            <v>6.5119556758310146</v>
          </cell>
          <cell r="I292">
            <v>0</v>
          </cell>
          <cell r="J292">
            <v>3.45</v>
          </cell>
          <cell r="K292">
            <v>14.451582065960915</v>
          </cell>
          <cell r="L292">
            <v>0</v>
          </cell>
          <cell r="M292">
            <v>0</v>
          </cell>
        </row>
        <row r="293">
          <cell r="A293" t="str">
            <v>2.04.k</v>
          </cell>
          <cell r="B293" t="str">
            <v>Supply and Install Gabions-Geotextile-Bedding-Concrete Facing, complete including rock/earth excavation shaping &amp; backfill of the site</v>
          </cell>
          <cell r="C293" t="str">
            <v>Ls</v>
          </cell>
          <cell r="D293">
            <v>1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L293">
            <v>0</v>
          </cell>
          <cell r="M293">
            <v>0</v>
          </cell>
        </row>
        <row r="294">
          <cell r="A294" t="str">
            <v>A22</v>
          </cell>
          <cell r="B294" t="str">
            <v>Supply and Install Granular A Surfacing to roads/yards</v>
          </cell>
          <cell r="C294" t="str">
            <v>m3</v>
          </cell>
          <cell r="F294">
            <v>0.47959325396825392</v>
          </cell>
          <cell r="G294">
            <v>1.9839190476190467</v>
          </cell>
          <cell r="H294">
            <v>5.7282700952380896</v>
          </cell>
          <cell r="I294">
            <v>3.5625</v>
          </cell>
          <cell r="J294">
            <v>0</v>
          </cell>
          <cell r="K294">
            <v>11.274689142857136</v>
          </cell>
          <cell r="L294">
            <v>0</v>
          </cell>
          <cell r="M294">
            <v>0</v>
          </cell>
        </row>
        <row r="295">
          <cell r="A295" t="str">
            <v>A23</v>
          </cell>
          <cell r="B295" t="str">
            <v>Concrete Lining</v>
          </cell>
          <cell r="C295" t="str">
            <v>m3</v>
          </cell>
          <cell r="F295">
            <v>14.282608695652174</v>
          </cell>
          <cell r="G295">
            <v>49.431086956521703</v>
          </cell>
          <cell r="H295">
            <v>4.9527137681159399</v>
          </cell>
          <cell r="I295">
            <v>60</v>
          </cell>
          <cell r="J295">
            <v>0</v>
          </cell>
          <cell r="K295">
            <v>114.38380072463765</v>
          </cell>
          <cell r="L295">
            <v>0</v>
          </cell>
          <cell r="M295">
            <v>0</v>
          </cell>
        </row>
        <row r="296">
          <cell r="A296" t="str">
            <v>A24</v>
          </cell>
          <cell r="B296" t="str">
            <v>Gavión</v>
          </cell>
          <cell r="C296" t="str">
            <v>m3</v>
          </cell>
          <cell r="F296">
            <v>1.7583333333333333</v>
          </cell>
          <cell r="G296">
            <v>6.2273333333333296</v>
          </cell>
          <cell r="H296">
            <v>7.133083333333337</v>
          </cell>
          <cell r="I296">
            <v>19.350000000000001</v>
          </cell>
          <cell r="J296">
            <v>0</v>
          </cell>
          <cell r="K296">
            <v>32.710416666666674</v>
          </cell>
          <cell r="L296">
            <v>0</v>
          </cell>
          <cell r="M296">
            <v>0</v>
          </cell>
        </row>
        <row r="297">
          <cell r="A297" t="str">
            <v>A21</v>
          </cell>
          <cell r="B297" t="str">
            <v>Excavación y perfilado de zanjas</v>
          </cell>
          <cell r="C297" t="str">
            <v>m3</v>
          </cell>
          <cell r="F297">
            <v>1.2887346226726417</v>
          </cell>
          <cell r="G297">
            <v>4.4896263901299003</v>
          </cell>
          <cell r="H297">
            <v>6.5119556758310146</v>
          </cell>
          <cell r="I297">
            <v>0</v>
          </cell>
          <cell r="J297">
            <v>3.45</v>
          </cell>
          <cell r="K297">
            <v>14.451582065960915</v>
          </cell>
          <cell r="L297">
            <v>0</v>
          </cell>
          <cell r="M297">
            <v>0</v>
          </cell>
        </row>
        <row r="298">
          <cell r="A298" t="str">
            <v>2.04.l</v>
          </cell>
          <cell r="B298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298" t="str">
            <v>Ls</v>
          </cell>
          <cell r="D298">
            <v>1</v>
          </cell>
          <cell r="F298">
            <v>22.18126803338949</v>
          </cell>
          <cell r="G298">
            <v>110.86766108745857</v>
          </cell>
          <cell r="H298">
            <v>554.70737489882413</v>
          </cell>
          <cell r="I298">
            <v>0</v>
          </cell>
          <cell r="J298">
            <v>531.04797400223413</v>
          </cell>
          <cell r="L298">
            <v>1196.6199999999999</v>
          </cell>
          <cell r="M298">
            <v>1196.6199999999999</v>
          </cell>
        </row>
        <row r="299">
          <cell r="A299" t="str">
            <v>A25</v>
          </cell>
          <cell r="B299" t="str">
            <v>Suministro y colocación de Grating</v>
          </cell>
          <cell r="C299" t="str">
            <v>m2</v>
          </cell>
          <cell r="F299">
            <v>1.75</v>
          </cell>
          <cell r="G299">
            <v>6.1725000000000003</v>
          </cell>
          <cell r="H299">
            <v>0.144125</v>
          </cell>
          <cell r="I299">
            <v>225</v>
          </cell>
          <cell r="J299">
            <v>0</v>
          </cell>
          <cell r="K299">
            <v>231.31662500000002</v>
          </cell>
          <cell r="L299">
            <v>0</v>
          </cell>
          <cell r="M299">
            <v>0</v>
          </cell>
        </row>
        <row r="300">
          <cell r="A300" t="str">
            <v>A26</v>
          </cell>
          <cell r="B300" t="str">
            <v>Suministro y colocación de Tapa metálica</v>
          </cell>
          <cell r="C300" t="str">
            <v>m2</v>
          </cell>
          <cell r="F300">
            <v>1.75</v>
          </cell>
          <cell r="G300">
            <v>6.1725000000000003</v>
          </cell>
          <cell r="H300">
            <v>0.144125</v>
          </cell>
          <cell r="I300">
            <v>300</v>
          </cell>
          <cell r="J300">
            <v>0</v>
          </cell>
          <cell r="K300">
            <v>306.31662499999999</v>
          </cell>
          <cell r="L300">
            <v>0</v>
          </cell>
          <cell r="M300">
            <v>0</v>
          </cell>
        </row>
        <row r="301">
          <cell r="A301" t="str">
            <v>A27</v>
          </cell>
          <cell r="B301" t="str">
            <v>Relleno estructural</v>
          </cell>
          <cell r="C301" t="str">
            <v>m3</v>
          </cell>
          <cell r="F301">
            <v>1.2875000000000001</v>
          </cell>
          <cell r="G301">
            <v>4.2321666666666697</v>
          </cell>
          <cell r="H301">
            <v>6.8350416666666636</v>
          </cell>
          <cell r="I301">
            <v>0</v>
          </cell>
          <cell r="J301">
            <v>0</v>
          </cell>
          <cell r="K301">
            <v>11.067208333333333</v>
          </cell>
          <cell r="L301">
            <v>0</v>
          </cell>
          <cell r="M301">
            <v>0</v>
          </cell>
        </row>
        <row r="302">
          <cell r="A302" t="str">
            <v>A28</v>
          </cell>
          <cell r="B302" t="str">
            <v>Bermas de Seguridad</v>
          </cell>
          <cell r="C302" t="str">
            <v>m3</v>
          </cell>
          <cell r="F302">
            <v>0.1</v>
          </cell>
          <cell r="G302">
            <v>0.499</v>
          </cell>
          <cell r="H302">
            <v>3.5649500000000001</v>
          </cell>
          <cell r="I302">
            <v>2.85</v>
          </cell>
          <cell r="J302">
            <v>0</v>
          </cell>
          <cell r="K302">
            <v>6.9139499999999998</v>
          </cell>
          <cell r="L302">
            <v>0</v>
          </cell>
          <cell r="M302">
            <v>0</v>
          </cell>
        </row>
        <row r="303">
          <cell r="A303" t="str">
            <v>A29</v>
          </cell>
          <cell r="B303" t="str">
            <v>Supply and Install Backfill Granular B to roads/yards</v>
          </cell>
          <cell r="C303" t="str">
            <v>m3</v>
          </cell>
          <cell r="F303">
            <v>1.3416666666666666</v>
          </cell>
          <cell r="G303">
            <v>4.5181666666666702</v>
          </cell>
          <cell r="H303">
            <v>8.3767083333333332</v>
          </cell>
          <cell r="I303">
            <v>3.1349999999999998</v>
          </cell>
          <cell r="J303">
            <v>0</v>
          </cell>
          <cell r="K303">
            <v>16.029875000000004</v>
          </cell>
          <cell r="L303">
            <v>0</v>
          </cell>
          <cell r="M303">
            <v>0</v>
          </cell>
        </row>
        <row r="304">
          <cell r="A304" t="str">
            <v>A30</v>
          </cell>
          <cell r="B304" t="str">
            <v>Concreto reforzado</v>
          </cell>
          <cell r="C304" t="str">
            <v>m3</v>
          </cell>
          <cell r="F304">
            <v>16.2</v>
          </cell>
          <cell r="G304">
            <v>56.207999999999998</v>
          </cell>
          <cell r="H304">
            <v>3.9517333333333298</v>
          </cell>
          <cell r="I304">
            <v>116.16</v>
          </cell>
          <cell r="J304">
            <v>0</v>
          </cell>
          <cell r="K304">
            <v>176.31973333333332</v>
          </cell>
          <cell r="L304">
            <v>0</v>
          </cell>
          <cell r="M304">
            <v>0</v>
          </cell>
        </row>
        <row r="305">
          <cell r="A305" t="str">
            <v>A31</v>
          </cell>
          <cell r="B305" t="str">
            <v>Alcantarillas 800mm</v>
          </cell>
          <cell r="C305" t="str">
            <v>ml</v>
          </cell>
          <cell r="F305">
            <v>8</v>
          </cell>
          <cell r="G305">
            <v>25.88</v>
          </cell>
          <cell r="H305">
            <v>1.294</v>
          </cell>
          <cell r="I305">
            <v>60</v>
          </cell>
          <cell r="J305">
            <v>0</v>
          </cell>
          <cell r="K305">
            <v>87.173999999999992</v>
          </cell>
          <cell r="L305">
            <v>0</v>
          </cell>
          <cell r="M305">
            <v>0</v>
          </cell>
        </row>
        <row r="306">
          <cell r="A306" t="str">
            <v>A32</v>
          </cell>
          <cell r="B306" t="str">
            <v>Alcantarillas 600mm</v>
          </cell>
          <cell r="C306" t="str">
            <v>ml</v>
          </cell>
          <cell r="F306">
            <v>6.666666666666667</v>
          </cell>
          <cell r="G306">
            <v>21.566666666666698</v>
          </cell>
          <cell r="H306">
            <v>1.07833333333333</v>
          </cell>
          <cell r="I306">
            <v>50</v>
          </cell>
          <cell r="J306">
            <v>0</v>
          </cell>
          <cell r="K306">
            <v>72.645000000000024</v>
          </cell>
          <cell r="L306">
            <v>0</v>
          </cell>
          <cell r="M306">
            <v>0</v>
          </cell>
        </row>
        <row r="307">
          <cell r="A307" t="str">
            <v>A33</v>
          </cell>
          <cell r="B307" t="str">
            <v>Alcantarillas 1350mm</v>
          </cell>
          <cell r="C307" t="str">
            <v>ml</v>
          </cell>
          <cell r="F307">
            <v>12.5</v>
          </cell>
          <cell r="G307">
            <v>39.924999999999997</v>
          </cell>
          <cell r="H307">
            <v>1.9962500000000001</v>
          </cell>
          <cell r="I307">
            <v>160</v>
          </cell>
          <cell r="J307">
            <v>0</v>
          </cell>
          <cell r="K307">
            <v>201.92125000000001</v>
          </cell>
          <cell r="L307">
            <v>0</v>
          </cell>
          <cell r="M307">
            <v>0</v>
          </cell>
        </row>
        <row r="308">
          <cell r="A308" t="str">
            <v>A34</v>
          </cell>
          <cell r="B308" t="str">
            <v>Alcantarillas 1000mm</v>
          </cell>
          <cell r="C308" t="str">
            <v>ml</v>
          </cell>
          <cell r="F308">
            <v>8.8888888888888893</v>
          </cell>
          <cell r="G308">
            <v>28.755555555555599</v>
          </cell>
          <cell r="H308">
            <v>1.43777777777778</v>
          </cell>
          <cell r="I308">
            <v>78</v>
          </cell>
          <cell r="J308">
            <v>0</v>
          </cell>
          <cell r="K308">
            <v>108.19333333333338</v>
          </cell>
          <cell r="L308">
            <v>0</v>
          </cell>
          <cell r="M308">
            <v>0</v>
          </cell>
        </row>
        <row r="309">
          <cell r="A309" t="str">
            <v>A35</v>
          </cell>
          <cell r="B309" t="str">
            <v>Alcantarillas 1600mm</v>
          </cell>
          <cell r="C309" t="str">
            <v>ml</v>
          </cell>
          <cell r="F309">
            <v>12.5</v>
          </cell>
          <cell r="G309">
            <v>39.924999999999997</v>
          </cell>
          <cell r="H309">
            <v>1.9962500000000001</v>
          </cell>
          <cell r="I309">
            <v>215</v>
          </cell>
          <cell r="J309">
            <v>0</v>
          </cell>
          <cell r="K309">
            <v>256.92124999999999</v>
          </cell>
          <cell r="L309">
            <v>0</v>
          </cell>
          <cell r="M309">
            <v>0</v>
          </cell>
        </row>
        <row r="310">
          <cell r="A310" t="str">
            <v>A36</v>
          </cell>
          <cell r="B310" t="str">
            <v>Tubería para buzón CMP 2000mm Diam</v>
          </cell>
          <cell r="C310" t="str">
            <v>ml</v>
          </cell>
          <cell r="F310">
            <v>20</v>
          </cell>
          <cell r="G310">
            <v>63.3333333333333</v>
          </cell>
          <cell r="H310">
            <v>3.1666666666666701</v>
          </cell>
          <cell r="I310">
            <v>335</v>
          </cell>
          <cell r="J310">
            <v>0</v>
          </cell>
          <cell r="K310">
            <v>401.5</v>
          </cell>
          <cell r="L310">
            <v>0</v>
          </cell>
          <cell r="M310">
            <v>0</v>
          </cell>
        </row>
        <row r="311">
          <cell r="A311" t="str">
            <v>A37</v>
          </cell>
          <cell r="B311" t="str">
            <v>Alcantarillas 300mm</v>
          </cell>
          <cell r="F311">
            <v>6.666666666666667</v>
          </cell>
          <cell r="G311">
            <v>21.566666666666698</v>
          </cell>
          <cell r="H311">
            <v>1.07833333333333</v>
          </cell>
          <cell r="I311">
            <v>26</v>
          </cell>
          <cell r="J311">
            <v>0</v>
          </cell>
          <cell r="K311">
            <v>48.645000000000032</v>
          </cell>
          <cell r="L311">
            <v>0</v>
          </cell>
          <cell r="M311">
            <v>0</v>
          </cell>
        </row>
        <row r="312">
          <cell r="A312" t="str">
            <v>A20</v>
          </cell>
          <cell r="B312" t="str">
            <v>Geotextil 400g/m2 Non Woven</v>
          </cell>
          <cell r="C312" t="str">
            <v>m2</v>
          </cell>
          <cell r="F312">
            <v>0.37356321839080464</v>
          </cell>
          <cell r="G312">
            <v>1.1715517241379301</v>
          </cell>
          <cell r="H312">
            <v>0.445182471264368</v>
          </cell>
          <cell r="I312">
            <v>0.8</v>
          </cell>
          <cell r="J312">
            <v>0</v>
          </cell>
          <cell r="K312">
            <v>2.4167341954022983</v>
          </cell>
          <cell r="L312">
            <v>0</v>
          </cell>
          <cell r="M312">
            <v>0</v>
          </cell>
        </row>
        <row r="313">
          <cell r="A313" t="str">
            <v>A38</v>
          </cell>
          <cell r="B313" t="str">
            <v>Excavación y eliminación de material para cunetas en roca</v>
          </cell>
          <cell r="C313" t="str">
            <v>m3</v>
          </cell>
          <cell r="D313">
            <v>38</v>
          </cell>
          <cell r="E313">
            <v>1.2152127551538539</v>
          </cell>
          <cell r="F313">
            <v>0.28461538461538466</v>
          </cell>
          <cell r="G313">
            <v>1.41576923076923</v>
          </cell>
          <cell r="H313">
            <v>7.0169423076923119</v>
          </cell>
          <cell r="I313">
            <v>0</v>
          </cell>
          <cell r="J313">
            <v>11.5</v>
          </cell>
          <cell r="K313">
            <v>19.932711538461543</v>
          </cell>
          <cell r="L313">
            <v>24.222485306340864</v>
          </cell>
          <cell r="M313">
            <v>920.45444164095284</v>
          </cell>
        </row>
        <row r="314">
          <cell r="A314" t="str">
            <v>A39</v>
          </cell>
          <cell r="B314" t="str">
            <v>Excavación y eliminación de material para cunetas en suelo común</v>
          </cell>
          <cell r="C314" t="str">
            <v>m3</v>
          </cell>
          <cell r="D314">
            <v>38</v>
          </cell>
          <cell r="E314">
            <v>1.2152127551538539</v>
          </cell>
          <cell r="F314">
            <v>0.1957264957264957</v>
          </cell>
          <cell r="G314">
            <v>0.98510256410256403</v>
          </cell>
          <cell r="H314">
            <v>4.9954089743589778</v>
          </cell>
          <cell r="I314">
            <v>0</v>
          </cell>
          <cell r="J314">
            <v>0</v>
          </cell>
          <cell r="K314">
            <v>5.9805115384615419</v>
          </cell>
          <cell r="L314">
            <v>7.267593903883264</v>
          </cell>
          <cell r="M314">
            <v>276.16856834756402</v>
          </cell>
        </row>
        <row r="315">
          <cell r="A315" t="str">
            <v>A21</v>
          </cell>
          <cell r="B315" t="str">
            <v>Excavación y perfilado de zanjas</v>
          </cell>
          <cell r="C315" t="str">
            <v>m3</v>
          </cell>
          <cell r="F315">
            <v>1.2887346226726417</v>
          </cell>
          <cell r="G315">
            <v>4.4896263901299003</v>
          </cell>
          <cell r="H315">
            <v>6.5119556758310146</v>
          </cell>
          <cell r="I315">
            <v>0</v>
          </cell>
          <cell r="J315">
            <v>3.45</v>
          </cell>
          <cell r="K315">
            <v>14.451582065960915</v>
          </cell>
          <cell r="L315">
            <v>0</v>
          </cell>
          <cell r="M315">
            <v>0</v>
          </cell>
        </row>
        <row r="316">
          <cell r="A316" t="str">
            <v>2.05</v>
          </cell>
          <cell r="B316" t="str">
            <v>UNDERDRAIN SUMP ACCESS ROAD</v>
          </cell>
        </row>
        <row r="317">
          <cell r="A317" t="str">
            <v>2.05.a</v>
          </cell>
          <cell r="B317" t="str">
            <v>Clear and Grub</v>
          </cell>
          <cell r="C317" t="str">
            <v>Ls</v>
          </cell>
        </row>
        <row r="318">
          <cell r="A318" t="str">
            <v>2.05.b</v>
          </cell>
          <cell r="B318" t="str">
            <v>Cut unsuitable soil to waste (includes organic soil)</v>
          </cell>
          <cell r="C318" t="str">
            <v>m3</v>
          </cell>
          <cell r="D318">
            <v>2250</v>
          </cell>
          <cell r="F318">
            <v>176.6723901098901</v>
          </cell>
          <cell r="G318">
            <v>0.40961978021978018</v>
          </cell>
          <cell r="H318">
            <v>2.7684849816849812</v>
          </cell>
          <cell r="I318">
            <v>0</v>
          </cell>
          <cell r="J318">
            <v>0</v>
          </cell>
          <cell r="L318">
            <v>3.18</v>
          </cell>
          <cell r="M318">
            <v>7155</v>
          </cell>
        </row>
        <row r="319">
          <cell r="A319" t="str">
            <v>A01</v>
          </cell>
          <cell r="B319" t="str">
            <v>Excavación de Topsoil y Unsuitable (e&gt;1m)</v>
          </cell>
          <cell r="C319" t="str">
            <v>m3</v>
          </cell>
          <cell r="D319">
            <v>2250</v>
          </cell>
          <cell r="E319">
            <v>1</v>
          </cell>
          <cell r="F319">
            <v>1.7142857142857144E-2</v>
          </cell>
          <cell r="G319">
            <v>8.5542857142857004E-2</v>
          </cell>
          <cell r="H319">
            <v>0.81924857142857199</v>
          </cell>
          <cell r="I319">
            <v>0</v>
          </cell>
          <cell r="J319">
            <v>0</v>
          </cell>
          <cell r="K319">
            <v>0.90479142857142902</v>
          </cell>
          <cell r="L319">
            <v>0.90479142857142902</v>
          </cell>
          <cell r="M319">
            <v>2035.7807142857152</v>
          </cell>
        </row>
        <row r="320">
          <cell r="A320" t="str">
            <v>A02</v>
          </cell>
          <cell r="B320" t="str">
            <v>Excavación de Topsoil y Unsuitable (e&lt;1m)</v>
          </cell>
          <cell r="C320" t="str">
            <v>m3</v>
          </cell>
          <cell r="D320">
            <v>0</v>
          </cell>
          <cell r="E320">
            <v>1</v>
          </cell>
          <cell r="F320">
            <v>1.4285714285714285E-2</v>
          </cell>
          <cell r="G320">
            <v>6.9214285714286006E-2</v>
          </cell>
          <cell r="H320">
            <v>0.57488928571428499</v>
          </cell>
          <cell r="I320">
            <v>0</v>
          </cell>
          <cell r="J320">
            <v>0</v>
          </cell>
          <cell r="K320">
            <v>0.644103571428571</v>
          </cell>
          <cell r="L320">
            <v>0.644103571428571</v>
          </cell>
          <cell r="M320">
            <v>0</v>
          </cell>
        </row>
        <row r="321">
          <cell r="A321" t="str">
            <v>A03</v>
          </cell>
          <cell r="B321" t="str">
            <v>Carguío de Topsoil &amp; Unsuitable con excavadora</v>
          </cell>
          <cell r="C321" t="str">
            <v>m3</v>
          </cell>
          <cell r="D321">
            <v>2250</v>
          </cell>
          <cell r="E321">
            <v>1</v>
          </cell>
          <cell r="F321">
            <v>1.3461538461538462E-2</v>
          </cell>
          <cell r="G321">
            <v>7.1076923076922996E-2</v>
          </cell>
          <cell r="H321">
            <v>0.70142307692307704</v>
          </cell>
          <cell r="I321">
            <v>0</v>
          </cell>
          <cell r="J321">
            <v>0</v>
          </cell>
          <cell r="K321">
            <v>0.77250000000000008</v>
          </cell>
          <cell r="L321">
            <v>0.77250000000000008</v>
          </cell>
          <cell r="M321">
            <v>1738.1250000000002</v>
          </cell>
        </row>
        <row r="322">
          <cell r="A322" t="str">
            <v>A04</v>
          </cell>
          <cell r="B322" t="str">
            <v>Acarreo d&lt;1km (sin esponj)</v>
          </cell>
          <cell r="C322" t="str">
            <v>m3</v>
          </cell>
          <cell r="D322">
            <v>2250</v>
          </cell>
          <cell r="E322">
            <v>1.5</v>
          </cell>
          <cell r="F322">
            <v>1.9444444444444441E-2</v>
          </cell>
          <cell r="G322">
            <v>0.102666666666667</v>
          </cell>
          <cell r="H322">
            <v>0.50555555555555498</v>
          </cell>
          <cell r="I322">
            <v>0</v>
          </cell>
          <cell r="J322">
            <v>0</v>
          </cell>
          <cell r="K322">
            <v>0.608222222222222</v>
          </cell>
          <cell r="L322">
            <v>0.912333333333333</v>
          </cell>
          <cell r="M322">
            <v>2052.7499999999991</v>
          </cell>
        </row>
        <row r="323">
          <cell r="A323" t="str">
            <v>A05</v>
          </cell>
          <cell r="B323" t="str">
            <v>Sobreacarreo (d&gt;1km) (sin esponj)</v>
          </cell>
          <cell r="C323" t="str">
            <v>m3-km</v>
          </cell>
          <cell r="D323">
            <v>3150</v>
          </cell>
          <cell r="E323">
            <v>1.5</v>
          </cell>
          <cell r="F323">
            <v>8.9285714285714263E-3</v>
          </cell>
          <cell r="G323">
            <v>4.7142857142857E-2</v>
          </cell>
          <cell r="H323">
            <v>0.23308571428571401</v>
          </cell>
          <cell r="I323">
            <v>0</v>
          </cell>
          <cell r="J323">
            <v>0</v>
          </cell>
          <cell r="K323">
            <v>0.28022857142857105</v>
          </cell>
          <cell r="L323">
            <v>0.42034285714285657</v>
          </cell>
          <cell r="M323">
            <v>1324.0799999999981</v>
          </cell>
        </row>
        <row r="324">
          <cell r="A324" t="str">
            <v>2.05.c</v>
          </cell>
          <cell r="B324" t="str">
            <v>Cut and Fill Soil or Ripable Rock, within sub-Item work zone</v>
          </cell>
          <cell r="C324" t="str">
            <v>m3</v>
          </cell>
          <cell r="D324">
            <v>600</v>
          </cell>
          <cell r="F324">
            <v>55.75</v>
          </cell>
          <cell r="G324">
            <v>0.47113375000000002</v>
          </cell>
          <cell r="H324">
            <v>3.7516384208333373</v>
          </cell>
          <cell r="I324">
            <v>0</v>
          </cell>
          <cell r="J324">
            <v>0</v>
          </cell>
          <cell r="L324">
            <v>4.22</v>
          </cell>
          <cell r="M324">
            <v>2532</v>
          </cell>
        </row>
        <row r="325">
          <cell r="A325" t="str">
            <v>A06</v>
          </cell>
          <cell r="B325" t="str">
            <v>Excavación de roca ripeable</v>
          </cell>
          <cell r="C325" t="str">
            <v>m3</v>
          </cell>
          <cell r="D325">
            <v>600</v>
          </cell>
          <cell r="E325">
            <v>1.1000000000000001</v>
          </cell>
          <cell r="F325">
            <v>3.3333333333333333E-2</v>
          </cell>
          <cell r="G325">
            <v>0.16439999999999999</v>
          </cell>
          <cell r="H325">
            <v>1.5519306666666701</v>
          </cell>
          <cell r="I325">
            <v>0</v>
          </cell>
          <cell r="J325">
            <v>0</v>
          </cell>
          <cell r="K325">
            <v>1.7163306666666702</v>
          </cell>
          <cell r="L325">
            <v>1.8879637333333374</v>
          </cell>
          <cell r="M325">
            <v>1132.7782400000024</v>
          </cell>
        </row>
        <row r="326">
          <cell r="A326" t="str">
            <v>A07</v>
          </cell>
          <cell r="B326" t="str">
            <v>Empuje de material d&lt;60m</v>
          </cell>
          <cell r="C326" t="str">
            <v>m3</v>
          </cell>
          <cell r="D326">
            <v>600</v>
          </cell>
          <cell r="E326">
            <v>1.1000000000000001</v>
          </cell>
          <cell r="F326">
            <v>1.2500000000000001E-2</v>
          </cell>
          <cell r="G326">
            <v>6.0562499999999998E-2</v>
          </cell>
          <cell r="H326">
            <v>0.50302812500000005</v>
          </cell>
          <cell r="I326">
            <v>0</v>
          </cell>
          <cell r="J326">
            <v>0</v>
          </cell>
          <cell r="K326">
            <v>0.56359062500000001</v>
          </cell>
          <cell r="L326">
            <v>0.61994968750000001</v>
          </cell>
          <cell r="M326">
            <v>371.96981249999999</v>
          </cell>
        </row>
        <row r="327">
          <cell r="A327" t="str">
            <v>A08</v>
          </cell>
          <cell r="B327" t="str">
            <v>Relleno masivo compactado</v>
          </cell>
          <cell r="C327" t="str">
            <v>m3</v>
          </cell>
          <cell r="D327">
            <v>600</v>
          </cell>
          <cell r="E327">
            <v>1</v>
          </cell>
          <cell r="F327">
            <v>4.2499999999999996E-2</v>
          </cell>
          <cell r="G327">
            <v>0.22367500000000001</v>
          </cell>
          <cell r="H327">
            <v>1.49118375</v>
          </cell>
          <cell r="I327">
            <v>0</v>
          </cell>
          <cell r="J327">
            <v>0</v>
          </cell>
          <cell r="K327">
            <v>1.7148587500000001</v>
          </cell>
          <cell r="L327">
            <v>1.7148587500000001</v>
          </cell>
          <cell r="M327">
            <v>1028.91525</v>
          </cell>
        </row>
        <row r="328">
          <cell r="A328" t="str">
            <v>2.05.d</v>
          </cell>
          <cell r="B328" t="str">
            <v>Imported General Fill from General (Granular) Fill Borrow Source No. 3</v>
          </cell>
          <cell r="C328" t="str">
            <v>m3</v>
          </cell>
          <cell r="D328">
            <v>4100</v>
          </cell>
          <cell r="F328">
            <v>552.10404761904761</v>
          </cell>
          <cell r="G328">
            <v>0.69635728571428601</v>
          </cell>
          <cell r="H328">
            <v>5.1485728547619072</v>
          </cell>
          <cell r="I328">
            <v>0</v>
          </cell>
          <cell r="J328">
            <v>0</v>
          </cell>
          <cell r="L328">
            <v>5.84</v>
          </cell>
          <cell r="M328">
            <v>23944</v>
          </cell>
        </row>
        <row r="329">
          <cell r="A329" t="str">
            <v>A06</v>
          </cell>
          <cell r="B329" t="str">
            <v>Excavación de roca ripeable</v>
          </cell>
          <cell r="C329" t="str">
            <v>m3</v>
          </cell>
          <cell r="D329">
            <v>4100</v>
          </cell>
          <cell r="E329">
            <v>1.2</v>
          </cell>
          <cell r="F329">
            <v>3.3333333333333333E-2</v>
          </cell>
          <cell r="G329">
            <v>0.16439999999999999</v>
          </cell>
          <cell r="H329">
            <v>1.5519306666666701</v>
          </cell>
          <cell r="I329">
            <v>0</v>
          </cell>
          <cell r="J329">
            <v>0</v>
          </cell>
          <cell r="K329">
            <v>1.7163306666666702</v>
          </cell>
          <cell r="L329">
            <v>2.059596800000004</v>
          </cell>
          <cell r="M329">
            <v>8444.3468800000155</v>
          </cell>
        </row>
        <row r="330">
          <cell r="A330" t="str">
            <v>A08</v>
          </cell>
          <cell r="B330" t="str">
            <v>Relleno masivo compactado</v>
          </cell>
          <cell r="C330" t="str">
            <v>m3</v>
          </cell>
          <cell r="D330">
            <v>4100</v>
          </cell>
          <cell r="E330">
            <v>1</v>
          </cell>
          <cell r="F330">
            <v>4.2499999999999996E-2</v>
          </cell>
          <cell r="G330">
            <v>0.22367500000000001</v>
          </cell>
          <cell r="H330">
            <v>1.49118375</v>
          </cell>
          <cell r="I330">
            <v>0</v>
          </cell>
          <cell r="J330">
            <v>0</v>
          </cell>
          <cell r="K330">
            <v>1.7148587500000001</v>
          </cell>
          <cell r="L330">
            <v>1.7148587500000001</v>
          </cell>
          <cell r="M330">
            <v>7030.9208750000007</v>
          </cell>
        </row>
        <row r="331">
          <cell r="A331" t="str">
            <v>A09</v>
          </cell>
          <cell r="B331" t="str">
            <v>Carguío de material común &amp; roca ripeable con cargador</v>
          </cell>
          <cell r="C331" t="str">
            <v>m3</v>
          </cell>
          <cell r="D331">
            <v>4100</v>
          </cell>
          <cell r="E331">
            <v>1.2</v>
          </cell>
          <cell r="F331">
            <v>8.0000000000000002E-3</v>
          </cell>
          <cell r="G331">
            <v>4.224E-2</v>
          </cell>
          <cell r="H331">
            <v>0.57259199999999999</v>
          </cell>
          <cell r="I331">
            <v>0</v>
          </cell>
          <cell r="J331">
            <v>0</v>
          </cell>
          <cell r="K331">
            <v>0.61483199999999993</v>
          </cell>
          <cell r="L331">
            <v>0.73779839999999985</v>
          </cell>
          <cell r="M331">
            <v>3024.9734399999993</v>
          </cell>
        </row>
        <row r="332">
          <cell r="A332" t="str">
            <v>A04</v>
          </cell>
          <cell r="B332" t="str">
            <v>Acarreo d&lt;1km (sin esponj)</v>
          </cell>
          <cell r="C332" t="str">
            <v>m3</v>
          </cell>
          <cell r="D332">
            <v>4100</v>
          </cell>
          <cell r="E332">
            <v>1.5</v>
          </cell>
          <cell r="F332">
            <v>1.9444444444444441E-2</v>
          </cell>
          <cell r="G332">
            <v>0.102666666666667</v>
          </cell>
          <cell r="H332">
            <v>0.50555555555555498</v>
          </cell>
          <cell r="I332">
            <v>0</v>
          </cell>
          <cell r="J332">
            <v>0</v>
          </cell>
          <cell r="K332">
            <v>0.608222222222222</v>
          </cell>
          <cell r="L332">
            <v>0.912333333333333</v>
          </cell>
          <cell r="M332">
            <v>3740.5666666666652</v>
          </cell>
        </row>
        <row r="333">
          <cell r="A333" t="str">
            <v>A05</v>
          </cell>
          <cell r="B333" t="str">
            <v>Sobreacarreo (d&gt;1km) (sin esponj)</v>
          </cell>
          <cell r="C333" t="str">
            <v>m3-km</v>
          </cell>
          <cell r="D333">
            <v>4100</v>
          </cell>
          <cell r="E333">
            <v>1.5</v>
          </cell>
          <cell r="F333">
            <v>8.9285714285714263E-3</v>
          </cell>
          <cell r="G333">
            <v>4.7142857142857E-2</v>
          </cell>
          <cell r="H333">
            <v>0.23308571428571401</v>
          </cell>
          <cell r="I333">
            <v>0</v>
          </cell>
          <cell r="J333">
            <v>0</v>
          </cell>
          <cell r="K333">
            <v>0.28022857142857105</v>
          </cell>
          <cell r="L333">
            <v>0.42034285714285657</v>
          </cell>
          <cell r="M333">
            <v>1723.4057142857121</v>
          </cell>
        </row>
        <row r="334">
          <cell r="A334" t="str">
            <v>2.05.e</v>
          </cell>
          <cell r="B334" t="str">
            <v>Drill and blast bulk rock (without limit on thickness, to fine or coarse fragments as required depending on end-use. Applies to locations other than trenches and ditches).</v>
          </cell>
          <cell r="C334" t="str">
            <v>m3</v>
          </cell>
          <cell r="D334">
            <v>200</v>
          </cell>
          <cell r="F334">
            <v>17.992141706924318</v>
          </cell>
          <cell r="G334">
            <v>0</v>
          </cell>
          <cell r="H334">
            <v>0</v>
          </cell>
          <cell r="I334">
            <v>0</v>
          </cell>
          <cell r="J334">
            <v>3.29312</v>
          </cell>
          <cell r="L334">
            <v>3.29</v>
          </cell>
          <cell r="M334">
            <v>658</v>
          </cell>
        </row>
        <row r="335">
          <cell r="A335" t="str">
            <v>A11</v>
          </cell>
          <cell r="B335" t="str">
            <v>Perforación y voladura masiva (material fino)</v>
          </cell>
          <cell r="C335" t="str">
            <v>m3</v>
          </cell>
          <cell r="D335">
            <v>200</v>
          </cell>
          <cell r="E335">
            <v>0.30399999999999999</v>
          </cell>
          <cell r="F335">
            <v>7.4718196457326899E-2</v>
          </cell>
          <cell r="G335">
            <v>0</v>
          </cell>
          <cell r="H335">
            <v>0</v>
          </cell>
          <cell r="I335">
            <v>0</v>
          </cell>
          <cell r="J335">
            <v>2.78</v>
          </cell>
          <cell r="K335">
            <v>2.78</v>
          </cell>
          <cell r="L335">
            <v>0.84511999999999987</v>
          </cell>
          <cell r="M335">
            <v>169.02399999999997</v>
          </cell>
        </row>
        <row r="336">
          <cell r="A336" t="str">
            <v>A12</v>
          </cell>
          <cell r="B336" t="str">
            <v>Perforación y voladura masiva (material grueso)</v>
          </cell>
          <cell r="C336" t="str">
            <v>m3</v>
          </cell>
          <cell r="D336">
            <v>200</v>
          </cell>
          <cell r="E336">
            <v>0.9</v>
          </cell>
          <cell r="F336">
            <v>7.4718196457326899E-2</v>
          </cell>
          <cell r="G336">
            <v>0</v>
          </cell>
          <cell r="H336">
            <v>0</v>
          </cell>
          <cell r="I336">
            <v>0</v>
          </cell>
          <cell r="J336">
            <v>2.72</v>
          </cell>
          <cell r="K336">
            <v>2.72</v>
          </cell>
          <cell r="L336">
            <v>2.4480000000000004</v>
          </cell>
          <cell r="M336">
            <v>489.60000000000008</v>
          </cell>
        </row>
        <row r="337">
          <cell r="A337" t="str">
            <v>2.05.f</v>
          </cell>
          <cell r="B337" t="str">
            <v xml:space="preserve">Excavate and Fill (fine blasted) broken rock  </v>
          </cell>
          <cell r="C337" t="str">
            <v>m3</v>
          </cell>
          <cell r="D337">
            <v>200</v>
          </cell>
          <cell r="F337">
            <v>17.029199999999999</v>
          </cell>
          <cell r="G337">
            <v>0.43448479000000001</v>
          </cell>
          <cell r="H337">
            <v>3.3717705755000003</v>
          </cell>
          <cell r="I337">
            <v>0</v>
          </cell>
          <cell r="J337">
            <v>0</v>
          </cell>
          <cell r="L337">
            <v>3.81</v>
          </cell>
          <cell r="M337">
            <v>762</v>
          </cell>
        </row>
        <row r="338">
          <cell r="A338" t="str">
            <v>A13</v>
          </cell>
          <cell r="B338" t="str">
            <v>Remoción de Material fino volado</v>
          </cell>
          <cell r="C338" t="str">
            <v>m3</v>
          </cell>
          <cell r="D338">
            <v>200</v>
          </cell>
          <cell r="E338">
            <v>1.204</v>
          </cell>
          <cell r="F338">
            <v>2.4E-2</v>
          </cell>
          <cell r="G338">
            <v>0.11976000000000001</v>
          </cell>
          <cell r="H338">
            <v>1.1023720000000001</v>
          </cell>
          <cell r="I338">
            <v>0</v>
          </cell>
          <cell r="J338">
            <v>0</v>
          </cell>
          <cell r="K338">
            <v>1.2221320000000002</v>
          </cell>
          <cell r="L338">
            <v>1.4714469280000002</v>
          </cell>
          <cell r="M338">
            <v>294.28938560000006</v>
          </cell>
        </row>
        <row r="339">
          <cell r="A339" t="str">
            <v>A07</v>
          </cell>
          <cell r="B339" t="str">
            <v>Empuje de material d&lt;60m</v>
          </cell>
          <cell r="C339" t="str">
            <v>m3</v>
          </cell>
          <cell r="D339">
            <v>200</v>
          </cell>
          <cell r="E339">
            <v>1.1000000000000001</v>
          </cell>
          <cell r="F339">
            <v>1.2500000000000001E-2</v>
          </cell>
          <cell r="G339">
            <v>6.0562499999999998E-2</v>
          </cell>
          <cell r="H339">
            <v>0.50302812500000005</v>
          </cell>
          <cell r="I339">
            <v>0</v>
          </cell>
          <cell r="J339">
            <v>0</v>
          </cell>
          <cell r="K339">
            <v>0.56359062500000001</v>
          </cell>
          <cell r="L339">
            <v>0.61994968750000001</v>
          </cell>
          <cell r="M339">
            <v>123.9899375</v>
          </cell>
        </row>
        <row r="340">
          <cell r="A340" t="str">
            <v>A08</v>
          </cell>
          <cell r="B340" t="str">
            <v>Relleno masivo compactado</v>
          </cell>
          <cell r="C340" t="str">
            <v>m3</v>
          </cell>
          <cell r="D340">
            <v>200</v>
          </cell>
          <cell r="E340">
            <v>1</v>
          </cell>
          <cell r="F340">
            <v>4.2499999999999996E-2</v>
          </cell>
          <cell r="G340">
            <v>0.22367500000000001</v>
          </cell>
          <cell r="H340">
            <v>1.49118375</v>
          </cell>
          <cell r="I340">
            <v>0</v>
          </cell>
          <cell r="J340">
            <v>0</v>
          </cell>
          <cell r="K340">
            <v>1.7148587500000001</v>
          </cell>
          <cell r="L340">
            <v>1.7148587500000001</v>
          </cell>
          <cell r="M340">
            <v>342.97175000000004</v>
          </cell>
        </row>
        <row r="341">
          <cell r="A341" t="str">
            <v>2.05.g</v>
          </cell>
          <cell r="B341" t="str">
            <v>Excavate (fine or coarse blasted) broken rock to Other sub-Item work zone, within 1000m</v>
          </cell>
          <cell r="C341" t="str">
            <v>m3</v>
          </cell>
          <cell r="D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L341">
            <v>0</v>
          </cell>
          <cell r="M341">
            <v>0</v>
          </cell>
        </row>
        <row r="342">
          <cell r="A342" t="str">
            <v>A14</v>
          </cell>
          <cell r="B342" t="str">
            <v>Remoción de Material grueso volado</v>
          </cell>
          <cell r="C342" t="str">
            <v>m3</v>
          </cell>
          <cell r="D342">
            <v>0</v>
          </cell>
          <cell r="F342">
            <v>2.5000000000000001E-2</v>
          </cell>
          <cell r="G342">
            <v>0.12475</v>
          </cell>
          <cell r="H342">
            <v>1.11859166666667</v>
          </cell>
          <cell r="I342">
            <v>0</v>
          </cell>
          <cell r="J342">
            <v>0</v>
          </cell>
          <cell r="K342">
            <v>1.2433416666666699</v>
          </cell>
          <cell r="L342">
            <v>0</v>
          </cell>
          <cell r="M342">
            <v>0</v>
          </cell>
        </row>
        <row r="343">
          <cell r="A343" t="str">
            <v>A43</v>
          </cell>
          <cell r="B343" t="str">
            <v>Carguío de roca volada con excavadora</v>
          </cell>
          <cell r="C343" t="str">
            <v>m3</v>
          </cell>
          <cell r="D343">
            <v>0</v>
          </cell>
          <cell r="F343">
            <v>8.1967213114754103E-3</v>
          </cell>
          <cell r="G343">
            <v>4.3278688524589999E-2</v>
          </cell>
          <cell r="H343">
            <v>0.58667213114754102</v>
          </cell>
          <cell r="I343">
            <v>0</v>
          </cell>
          <cell r="J343">
            <v>0</v>
          </cell>
          <cell r="K343">
            <v>0.62995081967213107</v>
          </cell>
          <cell r="L343">
            <v>0</v>
          </cell>
          <cell r="M343">
            <v>0</v>
          </cell>
        </row>
        <row r="344">
          <cell r="A344" t="str">
            <v>A04</v>
          </cell>
          <cell r="B344" t="str">
            <v>Acarreo d&lt;1km (sin esponj)</v>
          </cell>
          <cell r="C344" t="str">
            <v>m3</v>
          </cell>
          <cell r="D344">
            <v>0</v>
          </cell>
          <cell r="F344">
            <v>1.9444444444444441E-2</v>
          </cell>
          <cell r="G344">
            <v>0.102666666666667</v>
          </cell>
          <cell r="H344">
            <v>0.50555555555555498</v>
          </cell>
          <cell r="I344">
            <v>0</v>
          </cell>
          <cell r="J344">
            <v>0</v>
          </cell>
          <cell r="K344">
            <v>0.608222222222222</v>
          </cell>
          <cell r="L344">
            <v>0</v>
          </cell>
          <cell r="M344">
            <v>0</v>
          </cell>
        </row>
        <row r="345">
          <cell r="A345" t="str">
            <v>A05</v>
          </cell>
          <cell r="B345" t="str">
            <v>Sobreacarreo (d&gt;1km) (sin esponj)</v>
          </cell>
          <cell r="C345" t="str">
            <v>m3-km</v>
          </cell>
          <cell r="D345">
            <v>0</v>
          </cell>
          <cell r="F345">
            <v>8.9285714285714263E-3</v>
          </cell>
          <cell r="G345">
            <v>4.7142857142857E-2</v>
          </cell>
          <cell r="H345">
            <v>0.23308571428571401</v>
          </cell>
          <cell r="I345">
            <v>0</v>
          </cell>
          <cell r="J345">
            <v>0</v>
          </cell>
          <cell r="K345">
            <v>0.28022857142857105</v>
          </cell>
          <cell r="L345">
            <v>0</v>
          </cell>
          <cell r="M345">
            <v>0</v>
          </cell>
        </row>
        <row r="346">
          <cell r="A346" t="str">
            <v>2.05.h</v>
          </cell>
          <cell r="B346" t="str">
            <v>Supply and Install Backfill Granular A to roads/yards</v>
          </cell>
          <cell r="C346" t="str">
            <v>m3</v>
          </cell>
          <cell r="D346">
            <v>370</v>
          </cell>
          <cell r="F346">
            <v>170.7597718253968</v>
          </cell>
          <cell r="G346">
            <v>1.8884547619047614</v>
          </cell>
          <cell r="H346">
            <v>5.2562715238095192</v>
          </cell>
          <cell r="I346">
            <v>3.5625</v>
          </cell>
          <cell r="J346">
            <v>0</v>
          </cell>
          <cell r="K346">
            <v>10.707226285714279</v>
          </cell>
          <cell r="L346">
            <v>10.71</v>
          </cell>
          <cell r="M346">
            <v>3962.7</v>
          </cell>
        </row>
        <row r="347">
          <cell r="A347" t="str">
            <v>A15</v>
          </cell>
          <cell r="B347" t="str">
            <v>Suministro de material granular A</v>
          </cell>
          <cell r="C347" t="str">
            <v>m3</v>
          </cell>
          <cell r="D347">
            <v>370</v>
          </cell>
          <cell r="E347">
            <v>1.25</v>
          </cell>
          <cell r="F347">
            <v>0</v>
          </cell>
          <cell r="G347">
            <v>0</v>
          </cell>
          <cell r="H347">
            <v>0</v>
          </cell>
          <cell r="I347">
            <v>2.85</v>
          </cell>
          <cell r="J347">
            <v>0</v>
          </cell>
          <cell r="K347">
            <v>2.85</v>
          </cell>
          <cell r="L347">
            <v>3.5625</v>
          </cell>
          <cell r="M347">
            <v>1318.125</v>
          </cell>
        </row>
        <row r="348">
          <cell r="A348" t="str">
            <v>A16</v>
          </cell>
          <cell r="B348" t="str">
            <v>Colocación y compactación Mat Granular A</v>
          </cell>
          <cell r="C348" t="str">
            <v>m3</v>
          </cell>
          <cell r="D348">
            <v>370</v>
          </cell>
          <cell r="E348">
            <v>1</v>
          </cell>
          <cell r="F348">
            <v>0.37805555555555553</v>
          </cell>
          <cell r="G348">
            <v>1.4478</v>
          </cell>
          <cell r="H348">
            <v>3.0801342222222199</v>
          </cell>
          <cell r="I348">
            <v>0</v>
          </cell>
          <cell r="J348">
            <v>0</v>
          </cell>
          <cell r="K348">
            <v>4.5279342222222194</v>
          </cell>
          <cell r="L348">
            <v>4.5279342222222194</v>
          </cell>
          <cell r="M348">
            <v>1675.3356622222211</v>
          </cell>
        </row>
        <row r="349">
          <cell r="A349" t="str">
            <v>A04</v>
          </cell>
          <cell r="B349" t="str">
            <v>Acarreo d&lt;1km (sin esponj)</v>
          </cell>
          <cell r="C349" t="str">
            <v>m3</v>
          </cell>
          <cell r="D349">
            <v>370</v>
          </cell>
          <cell r="E349">
            <v>1.25</v>
          </cell>
          <cell r="F349">
            <v>1.9444444444444441E-2</v>
          </cell>
          <cell r="G349">
            <v>0.102666666666667</v>
          </cell>
          <cell r="H349">
            <v>0.50555555555555498</v>
          </cell>
          <cell r="I349">
            <v>0</v>
          </cell>
          <cell r="J349">
            <v>0</v>
          </cell>
          <cell r="K349">
            <v>0.608222222222222</v>
          </cell>
          <cell r="L349">
            <v>0.7602777777777775</v>
          </cell>
          <cell r="M349">
            <v>281.30277777777769</v>
          </cell>
        </row>
        <row r="350">
          <cell r="A350" t="str">
            <v>A05</v>
          </cell>
          <cell r="B350" t="str">
            <v>Sobreacarreo (d&gt;1km) (sin esponj)</v>
          </cell>
          <cell r="C350" t="str">
            <v>m3-km</v>
          </cell>
          <cell r="D350">
            <v>1961</v>
          </cell>
          <cell r="E350">
            <v>1.25</v>
          </cell>
          <cell r="F350">
            <v>8.9285714285714263E-3</v>
          </cell>
          <cell r="G350">
            <v>4.7142857142857E-2</v>
          </cell>
          <cell r="H350">
            <v>0.23308571428571401</v>
          </cell>
          <cell r="I350">
            <v>0</v>
          </cell>
          <cell r="J350">
            <v>0</v>
          </cell>
          <cell r="K350">
            <v>0.28022857142857105</v>
          </cell>
          <cell r="L350">
            <v>0.35028571428571381</v>
          </cell>
          <cell r="M350">
            <v>686.91028571428478</v>
          </cell>
        </row>
        <row r="351">
          <cell r="A351" t="str">
            <v>2.05.i</v>
          </cell>
          <cell r="B351" t="str">
            <v>Supply and Install Backfill Granular B to roads/yards</v>
          </cell>
          <cell r="C351" t="str">
            <v>m3</v>
          </cell>
          <cell r="D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A352" t="str">
            <v>A40</v>
          </cell>
          <cell r="B352" t="str">
            <v>Suministro de material granular B</v>
          </cell>
          <cell r="C352" t="str">
            <v>m3</v>
          </cell>
          <cell r="F352">
            <v>0</v>
          </cell>
          <cell r="G352">
            <v>0</v>
          </cell>
          <cell r="H352">
            <v>0</v>
          </cell>
          <cell r="I352">
            <v>2.85</v>
          </cell>
          <cell r="J352">
            <v>0</v>
          </cell>
          <cell r="K352">
            <v>2.85</v>
          </cell>
          <cell r="L352">
            <v>0</v>
          </cell>
          <cell r="M352">
            <v>0</v>
          </cell>
        </row>
        <row r="353">
          <cell r="A353" t="str">
            <v>A41</v>
          </cell>
          <cell r="B353" t="str">
            <v>Colocación y compactación Mat Granular B</v>
          </cell>
          <cell r="C353" t="str">
            <v>m3</v>
          </cell>
          <cell r="F353">
            <v>0.10416666666666666</v>
          </cell>
          <cell r="G353">
            <v>0.53187499999999999</v>
          </cell>
          <cell r="H353">
            <v>2.3804166666666702</v>
          </cell>
          <cell r="I353">
            <v>0</v>
          </cell>
          <cell r="J353">
            <v>0</v>
          </cell>
          <cell r="K353">
            <v>2.9122916666666701</v>
          </cell>
          <cell r="L353">
            <v>0</v>
          </cell>
          <cell r="M353">
            <v>0</v>
          </cell>
        </row>
        <row r="354">
          <cell r="A354" t="str">
            <v>A04</v>
          </cell>
          <cell r="B354" t="str">
            <v>Acarreo d&lt;1km (sin esponj)</v>
          </cell>
          <cell r="C354" t="str">
            <v>m3</v>
          </cell>
          <cell r="F354">
            <v>1.9444444444444441E-2</v>
          </cell>
          <cell r="G354">
            <v>0.102666666666667</v>
          </cell>
          <cell r="H354">
            <v>0.50555555555555498</v>
          </cell>
          <cell r="I354">
            <v>0</v>
          </cell>
          <cell r="J354">
            <v>0</v>
          </cell>
          <cell r="K354">
            <v>0.608222222222222</v>
          </cell>
          <cell r="L354">
            <v>0</v>
          </cell>
          <cell r="M354">
            <v>0</v>
          </cell>
        </row>
        <row r="355">
          <cell r="A355" t="str">
            <v>A05</v>
          </cell>
          <cell r="B355" t="str">
            <v>Sobreacarreo (d&gt;1km) (sin esponj)</v>
          </cell>
          <cell r="C355" t="str">
            <v>m3-km</v>
          </cell>
          <cell r="F355">
            <v>8.9285714285714263E-3</v>
          </cell>
          <cell r="G355">
            <v>4.7142857142857E-2</v>
          </cell>
          <cell r="H355">
            <v>0.23308571428571401</v>
          </cell>
          <cell r="I355">
            <v>0</v>
          </cell>
          <cell r="J355">
            <v>0</v>
          </cell>
          <cell r="K355">
            <v>0.28022857142857105</v>
          </cell>
          <cell r="L355">
            <v>0</v>
          </cell>
          <cell r="M355">
            <v>0</v>
          </cell>
        </row>
        <row r="356">
          <cell r="A356" t="str">
            <v>2.05.j</v>
          </cell>
          <cell r="B356" t="str">
            <v>Supply and Install Riprap-Geotextile-Bedding to ditches and slopes, including rock/earth excavation and shaping of the site</v>
          </cell>
          <cell r="C356" t="str">
            <v>Ls</v>
          </cell>
          <cell r="D356">
            <v>1</v>
          </cell>
          <cell r="F356">
            <v>155.44277833256069</v>
          </cell>
          <cell r="G356">
            <v>522.93227804909873</v>
          </cell>
          <cell r="H356">
            <v>556.19756217036843</v>
          </cell>
          <cell r="I356">
            <v>90.632663070132423</v>
          </cell>
          <cell r="J356">
            <v>238.23442864149095</v>
          </cell>
          <cell r="L356">
            <v>1408</v>
          </cell>
          <cell r="M356">
            <v>1408</v>
          </cell>
        </row>
        <row r="357">
          <cell r="A357" t="str">
            <v>A19</v>
          </cell>
          <cell r="B357" t="str">
            <v>Rip rap</v>
          </cell>
          <cell r="C357" t="str">
            <v>m3</v>
          </cell>
          <cell r="D357">
            <v>16</v>
          </cell>
          <cell r="E357">
            <v>1.0789602746444336</v>
          </cell>
          <cell r="F357">
            <v>2.7285714285714286</v>
          </cell>
          <cell r="G357">
            <v>8.8182857142857092</v>
          </cell>
          <cell r="H357">
            <v>4.8350057142857139</v>
          </cell>
          <cell r="I357">
            <v>2.85</v>
          </cell>
          <cell r="J357">
            <v>0</v>
          </cell>
          <cell r="K357">
            <v>16.503291428571423</v>
          </cell>
          <cell r="L357">
            <v>17.806395852308547</v>
          </cell>
          <cell r="M357">
            <v>284.90233363693676</v>
          </cell>
        </row>
        <row r="358">
          <cell r="A358" t="str">
            <v>A20</v>
          </cell>
          <cell r="B358" t="str">
            <v>Geotextil 400g/m2 Non Woven</v>
          </cell>
          <cell r="C358" t="str">
            <v>m2</v>
          </cell>
          <cell r="D358">
            <v>48</v>
          </cell>
          <cell r="E358">
            <v>1.0789602746444336</v>
          </cell>
          <cell r="F358">
            <v>0.37356321839080464</v>
          </cell>
          <cell r="G358">
            <v>1.1715517241379301</v>
          </cell>
          <cell r="H358">
            <v>0.445182471264368</v>
          </cell>
          <cell r="I358">
            <v>0.8</v>
          </cell>
          <cell r="J358">
            <v>0</v>
          </cell>
          <cell r="K358">
            <v>2.4167341954022983</v>
          </cell>
          <cell r="L358">
            <v>2.607560191213858</v>
          </cell>
          <cell r="M358">
            <v>125.16288917826517</v>
          </cell>
        </row>
        <row r="359">
          <cell r="A359" t="str">
            <v>A21</v>
          </cell>
          <cell r="B359" t="str">
            <v>Excavación y perfilado de zanjas</v>
          </cell>
          <cell r="C359" t="str">
            <v>m3</v>
          </cell>
          <cell r="D359">
            <v>64</v>
          </cell>
          <cell r="E359">
            <v>1.0789602746444336</v>
          </cell>
          <cell r="F359">
            <v>1.2887346226726417</v>
          </cell>
          <cell r="G359">
            <v>4.4896263901299003</v>
          </cell>
          <cell r="H359">
            <v>6.5119556758310146</v>
          </cell>
          <cell r="I359">
            <v>0</v>
          </cell>
          <cell r="J359">
            <v>3.45</v>
          </cell>
          <cell r="K359">
            <v>14.451582065960915</v>
          </cell>
          <cell r="L359">
            <v>15.592682954935759</v>
          </cell>
          <cell r="M359">
            <v>997.93170911588857</v>
          </cell>
        </row>
        <row r="360">
          <cell r="A360" t="str">
            <v>2.05.k</v>
          </cell>
          <cell r="B360" t="str">
            <v>Supply and Install Gabions-Geotextile-Bedding-Concrete Facing, complete including rock/earth excavation shaping &amp; backfill of the site</v>
          </cell>
          <cell r="C360" t="str">
            <v>Ls</v>
          </cell>
          <cell r="D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</row>
        <row r="361">
          <cell r="A361" t="str">
            <v>A22</v>
          </cell>
          <cell r="B361" t="str">
            <v>Supply and Install Granular A Surfacing to roads/yards</v>
          </cell>
          <cell r="C361" t="str">
            <v>m3</v>
          </cell>
          <cell r="F361">
            <v>0.47959325396825392</v>
          </cell>
          <cell r="G361">
            <v>1.9839190476190467</v>
          </cell>
          <cell r="H361">
            <v>5.7282700952380896</v>
          </cell>
          <cell r="I361">
            <v>3.5625</v>
          </cell>
          <cell r="J361">
            <v>0</v>
          </cell>
          <cell r="K361">
            <v>11.274689142857136</v>
          </cell>
          <cell r="L361">
            <v>0</v>
          </cell>
          <cell r="M361">
            <v>0</v>
          </cell>
        </row>
        <row r="362">
          <cell r="A362" t="str">
            <v>A23</v>
          </cell>
          <cell r="B362" t="str">
            <v>Concrete Lining</v>
          </cell>
          <cell r="C362" t="str">
            <v>m3</v>
          </cell>
          <cell r="F362">
            <v>14.282608695652174</v>
          </cell>
          <cell r="G362">
            <v>49.431086956521703</v>
          </cell>
          <cell r="H362">
            <v>4.9527137681159399</v>
          </cell>
          <cell r="I362">
            <v>60</v>
          </cell>
          <cell r="J362">
            <v>0</v>
          </cell>
          <cell r="K362">
            <v>114.38380072463765</v>
          </cell>
          <cell r="L362">
            <v>0</v>
          </cell>
          <cell r="M362">
            <v>0</v>
          </cell>
        </row>
        <row r="363">
          <cell r="A363" t="str">
            <v>A24</v>
          </cell>
          <cell r="B363" t="str">
            <v>Gavión</v>
          </cell>
          <cell r="C363" t="str">
            <v>m3</v>
          </cell>
          <cell r="F363">
            <v>1.7583333333333333</v>
          </cell>
          <cell r="G363">
            <v>6.2273333333333296</v>
          </cell>
          <cell r="H363">
            <v>7.133083333333337</v>
          </cell>
          <cell r="I363">
            <v>19.350000000000001</v>
          </cell>
          <cell r="J363">
            <v>0</v>
          </cell>
          <cell r="K363">
            <v>32.710416666666674</v>
          </cell>
          <cell r="L363">
            <v>0</v>
          </cell>
          <cell r="M363">
            <v>0</v>
          </cell>
        </row>
        <row r="364">
          <cell r="A364" t="str">
            <v>A21</v>
          </cell>
          <cell r="B364" t="str">
            <v>Excavación y perfilado de zanjas</v>
          </cell>
          <cell r="C364" t="str">
            <v>m3</v>
          </cell>
          <cell r="F364">
            <v>1.2887346226726417</v>
          </cell>
          <cell r="G364">
            <v>4.4896263901299003</v>
          </cell>
          <cell r="H364">
            <v>6.5119556758310146</v>
          </cell>
          <cell r="I364">
            <v>0</v>
          </cell>
          <cell r="J364">
            <v>3.45</v>
          </cell>
          <cell r="K364">
            <v>14.451582065960915</v>
          </cell>
          <cell r="L364">
            <v>0</v>
          </cell>
          <cell r="M364">
            <v>0</v>
          </cell>
        </row>
        <row r="365">
          <cell r="A365" t="str">
            <v>2.05.l</v>
          </cell>
          <cell r="B365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365" t="str">
            <v>Ls</v>
          </cell>
          <cell r="D365">
            <v>1</v>
          </cell>
          <cell r="F365">
            <v>1277.2732039836164</v>
          </cell>
          <cell r="G365">
            <v>4322.5576854923474</v>
          </cell>
          <cell r="H365">
            <v>5013.9695101282159</v>
          </cell>
          <cell r="I365">
            <v>9732.9138420902018</v>
          </cell>
          <cell r="J365">
            <v>1763.6367345219021</v>
          </cell>
          <cell r="L365">
            <v>20833.080000000002</v>
          </cell>
          <cell r="M365">
            <v>20833.080000000002</v>
          </cell>
        </row>
        <row r="366">
          <cell r="A366" t="str">
            <v>A25</v>
          </cell>
          <cell r="B366" t="str">
            <v>Suministro y colocación de Grating</v>
          </cell>
          <cell r="C366" t="str">
            <v>m2</v>
          </cell>
          <cell r="F366">
            <v>1.75</v>
          </cell>
          <cell r="G366">
            <v>6.1725000000000003</v>
          </cell>
          <cell r="H366">
            <v>0.144125</v>
          </cell>
          <cell r="I366">
            <v>225</v>
          </cell>
          <cell r="J366">
            <v>0</v>
          </cell>
          <cell r="K366">
            <v>231.31662500000002</v>
          </cell>
          <cell r="L366">
            <v>0</v>
          </cell>
          <cell r="M366">
            <v>0</v>
          </cell>
        </row>
        <row r="367">
          <cell r="A367" t="str">
            <v>A26</v>
          </cell>
          <cell r="B367" t="str">
            <v>Suministro y colocación de Tapa metálica</v>
          </cell>
          <cell r="C367" t="str">
            <v>m2</v>
          </cell>
          <cell r="F367">
            <v>1.75</v>
          </cell>
          <cell r="G367">
            <v>6.1725000000000003</v>
          </cell>
          <cell r="H367">
            <v>0.144125</v>
          </cell>
          <cell r="I367">
            <v>300</v>
          </cell>
          <cell r="J367">
            <v>0</v>
          </cell>
          <cell r="K367">
            <v>306.31662499999999</v>
          </cell>
          <cell r="L367">
            <v>0</v>
          </cell>
          <cell r="M367">
            <v>0</v>
          </cell>
        </row>
        <row r="368">
          <cell r="A368" t="str">
            <v>A27</v>
          </cell>
          <cell r="B368" t="str">
            <v>Relleno estructural</v>
          </cell>
          <cell r="C368" t="str">
            <v>m3</v>
          </cell>
          <cell r="D368">
            <v>150</v>
          </cell>
          <cell r="E368">
            <v>1.008945500298571</v>
          </cell>
          <cell r="F368">
            <v>1.2875000000000001</v>
          </cell>
          <cell r="G368">
            <v>4.2321666666666697</v>
          </cell>
          <cell r="H368">
            <v>6.8350416666666636</v>
          </cell>
          <cell r="I368">
            <v>0</v>
          </cell>
          <cell r="J368">
            <v>0</v>
          </cell>
          <cell r="K368">
            <v>11.067208333333333</v>
          </cell>
          <cell r="L368">
            <v>11.166210048783514</v>
          </cell>
          <cell r="M368">
            <v>1674.9315073175271</v>
          </cell>
        </row>
        <row r="369">
          <cell r="A369" t="str">
            <v>A28</v>
          </cell>
          <cell r="B369" t="str">
            <v>Bermas de Seguridad</v>
          </cell>
          <cell r="C369" t="str">
            <v>m3</v>
          </cell>
          <cell r="D369">
            <v>340</v>
          </cell>
          <cell r="E369">
            <v>1.008945500298571</v>
          </cell>
          <cell r="F369">
            <v>0.1</v>
          </cell>
          <cell r="G369">
            <v>0.499</v>
          </cell>
          <cell r="H369">
            <v>3.5649500000000001</v>
          </cell>
          <cell r="I369">
            <v>2.85</v>
          </cell>
          <cell r="J369">
            <v>0</v>
          </cell>
          <cell r="K369">
            <v>6.9139499999999998</v>
          </cell>
          <cell r="L369">
            <v>6.9757987417893048</v>
          </cell>
          <cell r="M369">
            <v>2371.7715722083635</v>
          </cell>
        </row>
        <row r="370">
          <cell r="A370" t="str">
            <v>A45</v>
          </cell>
          <cell r="B370" t="str">
            <v>Cama de Arena</v>
          </cell>
          <cell r="C370" t="str">
            <v>m3</v>
          </cell>
          <cell r="D370">
            <v>12</v>
          </cell>
          <cell r="E370">
            <v>1.008945500298571</v>
          </cell>
          <cell r="F370">
            <v>1.3416666666666666</v>
          </cell>
          <cell r="G370">
            <v>4.5181666666666702</v>
          </cell>
          <cell r="H370">
            <v>8.3767083333333332</v>
          </cell>
          <cell r="I370">
            <v>3.1349999999999998</v>
          </cell>
          <cell r="J370">
            <v>0</v>
          </cell>
          <cell r="K370">
            <v>16.029875000000004</v>
          </cell>
          <cell r="L370">
            <v>16.173270251598559</v>
          </cell>
          <cell r="M370">
            <v>194.07924301918271</v>
          </cell>
        </row>
        <row r="371">
          <cell r="A371" t="str">
            <v>A30</v>
          </cell>
          <cell r="B371" t="str">
            <v>Concreto reforzado</v>
          </cell>
          <cell r="C371" t="str">
            <v>m3</v>
          </cell>
          <cell r="F371">
            <v>16.2</v>
          </cell>
          <cell r="G371">
            <v>56.207999999999998</v>
          </cell>
          <cell r="H371">
            <v>3.9517333333333298</v>
          </cell>
          <cell r="I371">
            <v>116.16</v>
          </cell>
          <cell r="J371">
            <v>0</v>
          </cell>
          <cell r="K371">
            <v>176.31973333333332</v>
          </cell>
          <cell r="L371">
            <v>0</v>
          </cell>
          <cell r="M371">
            <v>0</v>
          </cell>
        </row>
        <row r="372">
          <cell r="A372" t="str">
            <v>A31</v>
          </cell>
          <cell r="B372" t="str">
            <v>Alcantarillas 800mm</v>
          </cell>
          <cell r="C372" t="str">
            <v>ml</v>
          </cell>
          <cell r="F372">
            <v>8</v>
          </cell>
          <cell r="G372">
            <v>25.88</v>
          </cell>
          <cell r="H372">
            <v>1.294</v>
          </cell>
          <cell r="I372">
            <v>60</v>
          </cell>
          <cell r="J372">
            <v>0</v>
          </cell>
          <cell r="K372">
            <v>87.173999999999992</v>
          </cell>
          <cell r="L372">
            <v>0</v>
          </cell>
          <cell r="M372">
            <v>0</v>
          </cell>
        </row>
        <row r="373">
          <cell r="A373" t="str">
            <v>A32</v>
          </cell>
          <cell r="B373" t="str">
            <v>Alcantarillas 600mm</v>
          </cell>
          <cell r="C373" t="str">
            <v>ml</v>
          </cell>
          <cell r="F373">
            <v>6.666666666666667</v>
          </cell>
          <cell r="G373">
            <v>21.566666666666698</v>
          </cell>
          <cell r="H373">
            <v>1.07833333333333</v>
          </cell>
          <cell r="I373">
            <v>50</v>
          </cell>
          <cell r="J373">
            <v>0</v>
          </cell>
          <cell r="K373">
            <v>72.645000000000024</v>
          </cell>
          <cell r="L373">
            <v>0</v>
          </cell>
          <cell r="M373">
            <v>0</v>
          </cell>
        </row>
        <row r="374">
          <cell r="A374" t="str">
            <v>A33</v>
          </cell>
          <cell r="B374" t="str">
            <v>Alcantarillas 1350mm</v>
          </cell>
          <cell r="C374" t="str">
            <v>ml</v>
          </cell>
          <cell r="D374">
            <v>54</v>
          </cell>
          <cell r="E374">
            <v>1.008945500298571</v>
          </cell>
          <cell r="F374">
            <v>12.5</v>
          </cell>
          <cell r="G374">
            <v>39.924999999999997</v>
          </cell>
          <cell r="H374">
            <v>1.9962500000000001</v>
          </cell>
          <cell r="I374">
            <v>160</v>
          </cell>
          <cell r="J374">
            <v>0</v>
          </cell>
          <cell r="K374">
            <v>201.92125000000001</v>
          </cell>
          <cell r="L374">
            <v>203.72753660216284</v>
          </cell>
          <cell r="M374">
            <v>11001.286976516794</v>
          </cell>
        </row>
        <row r="375">
          <cell r="A375" t="str">
            <v>A34</v>
          </cell>
          <cell r="B375" t="str">
            <v>Alcantarillas 1000mm</v>
          </cell>
          <cell r="C375" t="str">
            <v>ml</v>
          </cell>
          <cell r="F375">
            <v>8.8888888888888893</v>
          </cell>
          <cell r="G375">
            <v>28.755555555555599</v>
          </cell>
          <cell r="H375">
            <v>1.43777777777778</v>
          </cell>
          <cell r="I375">
            <v>78</v>
          </cell>
          <cell r="J375">
            <v>0</v>
          </cell>
          <cell r="K375">
            <v>108.19333333333338</v>
          </cell>
          <cell r="L375">
            <v>0</v>
          </cell>
          <cell r="M375">
            <v>0</v>
          </cell>
        </row>
        <row r="376">
          <cell r="A376" t="str">
            <v>A35</v>
          </cell>
          <cell r="B376" t="str">
            <v>Alcantarillas 1600mm</v>
          </cell>
          <cell r="C376" t="str">
            <v>ml</v>
          </cell>
          <cell r="F376">
            <v>12.5</v>
          </cell>
          <cell r="G376">
            <v>39.924999999999997</v>
          </cell>
          <cell r="H376">
            <v>1.9962500000000001</v>
          </cell>
          <cell r="I376">
            <v>215</v>
          </cell>
          <cell r="J376">
            <v>0</v>
          </cell>
          <cell r="K376">
            <v>256.92124999999999</v>
          </cell>
          <cell r="L376">
            <v>0</v>
          </cell>
          <cell r="M376">
            <v>0</v>
          </cell>
        </row>
        <row r="377">
          <cell r="A377" t="str">
            <v>A36</v>
          </cell>
          <cell r="B377" t="str">
            <v>Tubería para buzón CMP 2000mm Diam</v>
          </cell>
          <cell r="C377" t="str">
            <v>ml</v>
          </cell>
          <cell r="F377">
            <v>20</v>
          </cell>
          <cell r="G377">
            <v>63.3333333333333</v>
          </cell>
          <cell r="H377">
            <v>3.1666666666666701</v>
          </cell>
          <cell r="I377">
            <v>335</v>
          </cell>
          <cell r="J377">
            <v>0</v>
          </cell>
          <cell r="K377">
            <v>401.5</v>
          </cell>
          <cell r="L377">
            <v>0</v>
          </cell>
          <cell r="M377">
            <v>0</v>
          </cell>
        </row>
        <row r="378">
          <cell r="A378" t="str">
            <v>A37</v>
          </cell>
          <cell r="B378" t="str">
            <v>Alcantarillas 300mm</v>
          </cell>
          <cell r="F378">
            <v>6.666666666666667</v>
          </cell>
          <cell r="G378">
            <v>21.566666666666698</v>
          </cell>
          <cell r="H378">
            <v>1.07833333333333</v>
          </cell>
          <cell r="I378">
            <v>26</v>
          </cell>
          <cell r="J378">
            <v>0</v>
          </cell>
          <cell r="K378">
            <v>48.645000000000032</v>
          </cell>
          <cell r="L378">
            <v>0</v>
          </cell>
          <cell r="M378">
            <v>0</v>
          </cell>
        </row>
        <row r="379">
          <cell r="A379" t="str">
            <v>A20</v>
          </cell>
          <cell r="B379" t="str">
            <v>Geotextil 400g/m2 Non Woven</v>
          </cell>
          <cell r="C379" t="str">
            <v>m2</v>
          </cell>
          <cell r="F379">
            <v>0.37356321839080464</v>
          </cell>
          <cell r="G379">
            <v>1.1715517241379301</v>
          </cell>
          <cell r="H379">
            <v>0.445182471264368</v>
          </cell>
          <cell r="I379">
            <v>0.8</v>
          </cell>
          <cell r="J379">
            <v>0</v>
          </cell>
          <cell r="K379">
            <v>2.4167341954022983</v>
          </cell>
          <cell r="L379">
            <v>0</v>
          </cell>
          <cell r="M379">
            <v>0</v>
          </cell>
        </row>
        <row r="380">
          <cell r="A380" t="str">
            <v>A38</v>
          </cell>
          <cell r="B380" t="str">
            <v>Excavación y eliminación de material para cunetas en roca</v>
          </cell>
          <cell r="C380" t="str">
            <v>m3</v>
          </cell>
          <cell r="D380">
            <v>80</v>
          </cell>
          <cell r="E380">
            <v>1.008945500298571</v>
          </cell>
          <cell r="F380">
            <v>0.28461538461538466</v>
          </cell>
          <cell r="G380">
            <v>1.41576923076923</v>
          </cell>
          <cell r="H380">
            <v>7.0169423076923119</v>
          </cell>
          <cell r="I380">
            <v>0</v>
          </cell>
          <cell r="J380">
            <v>11.5</v>
          </cell>
          <cell r="K380">
            <v>19.932711538461543</v>
          </cell>
          <cell r="L380">
            <v>20.111019615480181</v>
          </cell>
          <cell r="M380">
            <v>1608.8815692384146</v>
          </cell>
        </row>
        <row r="381">
          <cell r="A381" t="str">
            <v>A39</v>
          </cell>
          <cell r="B381" t="str">
            <v>Excavación y eliminación de material para cunetas en suelo común</v>
          </cell>
          <cell r="C381" t="str">
            <v>m3</v>
          </cell>
          <cell r="D381">
            <v>80</v>
          </cell>
          <cell r="E381">
            <v>1.008945500298571</v>
          </cell>
          <cell r="F381">
            <v>0.1957264957264957</v>
          </cell>
          <cell r="G381">
            <v>0.98510256410256403</v>
          </cell>
          <cell r="H381">
            <v>4.9954089743589778</v>
          </cell>
          <cell r="I381">
            <v>0</v>
          </cell>
          <cell r="J381">
            <v>0</v>
          </cell>
          <cell r="K381">
            <v>5.9805115384615419</v>
          </cell>
          <cell r="L381">
            <v>6.0340102062144574</v>
          </cell>
          <cell r="M381">
            <v>482.72081649715659</v>
          </cell>
        </row>
        <row r="382">
          <cell r="A382" t="str">
            <v>A21</v>
          </cell>
          <cell r="B382" t="str">
            <v>Excavación y perfilado de zanjas</v>
          </cell>
          <cell r="C382" t="str">
            <v>m3</v>
          </cell>
          <cell r="D382">
            <v>240</v>
          </cell>
          <cell r="E382">
            <v>1.008945500298571</v>
          </cell>
          <cell r="F382">
            <v>1.2887346226726417</v>
          </cell>
          <cell r="G382">
            <v>4.4896263901299003</v>
          </cell>
          <cell r="H382">
            <v>6.5119556758310146</v>
          </cell>
          <cell r="I382">
            <v>0</v>
          </cell>
          <cell r="J382">
            <v>3.45</v>
          </cell>
          <cell r="K382">
            <v>14.451582065960915</v>
          </cell>
          <cell r="L382">
            <v>14.580858697646791</v>
          </cell>
          <cell r="M382">
            <v>3499.4060874352299</v>
          </cell>
        </row>
        <row r="383">
          <cell r="A383" t="str">
            <v>2.06</v>
          </cell>
          <cell r="B383" t="str">
            <v>ARD PLANT ACCESS ROAD</v>
          </cell>
        </row>
        <row r="384">
          <cell r="A384" t="str">
            <v>2.06.a</v>
          </cell>
          <cell r="B384" t="str">
            <v>Clear and Grub</v>
          </cell>
          <cell r="C384" t="str">
            <v>Ls</v>
          </cell>
        </row>
        <row r="385">
          <cell r="A385" t="str">
            <v>2.06.b</v>
          </cell>
          <cell r="B385" t="str">
            <v>Cut unsuitable soil to waste (includes organic soil)</v>
          </cell>
          <cell r="C385" t="str">
            <v>m3</v>
          </cell>
          <cell r="D385">
            <v>1500</v>
          </cell>
          <cell r="F385">
            <v>101.44230769230769</v>
          </cell>
          <cell r="G385">
            <v>0.35086263736263784</v>
          </cell>
          <cell r="H385">
            <v>2.3143485531135513</v>
          </cell>
          <cell r="I385">
            <v>0</v>
          </cell>
          <cell r="J385">
            <v>0</v>
          </cell>
          <cell r="L385">
            <v>2.67</v>
          </cell>
          <cell r="M385">
            <v>4005</v>
          </cell>
        </row>
        <row r="386">
          <cell r="A386" t="str">
            <v>A01</v>
          </cell>
          <cell r="B386" t="str">
            <v>Excavación de Topsoil y Unsuitable (e&gt;1m)</v>
          </cell>
          <cell r="C386" t="str">
            <v>m3</v>
          </cell>
          <cell r="F386">
            <v>1.7142857142857144E-2</v>
          </cell>
          <cell r="G386">
            <v>8.5542857142857004E-2</v>
          </cell>
          <cell r="H386">
            <v>0.81924857142857199</v>
          </cell>
          <cell r="I386">
            <v>0</v>
          </cell>
          <cell r="J386">
            <v>0</v>
          </cell>
          <cell r="K386">
            <v>0.90479142857142902</v>
          </cell>
          <cell r="L386">
            <v>0</v>
          </cell>
          <cell r="M386">
            <v>0</v>
          </cell>
        </row>
        <row r="387">
          <cell r="A387" t="str">
            <v>A02</v>
          </cell>
          <cell r="B387" t="str">
            <v>Excavación de Topsoil y Unsuitable (e&lt;1m)</v>
          </cell>
          <cell r="C387" t="str">
            <v>m3</v>
          </cell>
          <cell r="D387">
            <v>1500</v>
          </cell>
          <cell r="E387">
            <v>1</v>
          </cell>
          <cell r="F387">
            <v>1.4285714285714285E-2</v>
          </cell>
          <cell r="G387">
            <v>6.9214285714286006E-2</v>
          </cell>
          <cell r="H387">
            <v>0.57488928571428499</v>
          </cell>
          <cell r="I387">
            <v>0</v>
          </cell>
          <cell r="J387">
            <v>0</v>
          </cell>
          <cell r="K387">
            <v>0.644103571428571</v>
          </cell>
          <cell r="L387">
            <v>0.644103571428571</v>
          </cell>
          <cell r="M387">
            <v>966.15535714285647</v>
          </cell>
        </row>
        <row r="388">
          <cell r="A388" t="str">
            <v>A03</v>
          </cell>
          <cell r="B388" t="str">
            <v>Carguío de Topsoil &amp; Unsuitable con excavadora</v>
          </cell>
          <cell r="C388" t="str">
            <v>m3</v>
          </cell>
          <cell r="D388">
            <v>1500</v>
          </cell>
          <cell r="E388">
            <v>1</v>
          </cell>
          <cell r="F388">
            <v>1.3461538461538462E-2</v>
          </cell>
          <cell r="G388">
            <v>7.1076923076922996E-2</v>
          </cell>
          <cell r="H388">
            <v>0.70142307692307704</v>
          </cell>
          <cell r="I388">
            <v>0</v>
          </cell>
          <cell r="J388">
            <v>0</v>
          </cell>
          <cell r="K388">
            <v>0.77250000000000008</v>
          </cell>
          <cell r="L388">
            <v>0.77250000000000008</v>
          </cell>
          <cell r="M388">
            <v>1158.75</v>
          </cell>
        </row>
        <row r="389">
          <cell r="A389" t="str">
            <v>A04</v>
          </cell>
          <cell r="B389" t="str">
            <v>Acarreo d&lt;1km (sin esponj)</v>
          </cell>
          <cell r="C389" t="str">
            <v>m3</v>
          </cell>
          <cell r="D389">
            <v>1500</v>
          </cell>
          <cell r="E389">
            <v>1.5</v>
          </cell>
          <cell r="F389">
            <v>1.9444444444444441E-2</v>
          </cell>
          <cell r="G389">
            <v>0.102666666666667</v>
          </cell>
          <cell r="H389">
            <v>0.50555555555555498</v>
          </cell>
          <cell r="I389">
            <v>0</v>
          </cell>
          <cell r="J389">
            <v>0</v>
          </cell>
          <cell r="K389">
            <v>0.608222222222222</v>
          </cell>
          <cell r="L389">
            <v>0.912333333333333</v>
          </cell>
          <cell r="M389">
            <v>1368.4999999999995</v>
          </cell>
        </row>
        <row r="390">
          <cell r="A390" t="str">
            <v>A05</v>
          </cell>
          <cell r="B390" t="str">
            <v>Sobreacarreo (d&gt;1km) (sin esponj)</v>
          </cell>
          <cell r="C390" t="str">
            <v>m3-km</v>
          </cell>
          <cell r="D390">
            <v>1200</v>
          </cell>
          <cell r="E390">
            <v>1.5</v>
          </cell>
          <cell r="F390">
            <v>8.9285714285714263E-3</v>
          </cell>
          <cell r="G390">
            <v>4.7142857142857E-2</v>
          </cell>
          <cell r="H390">
            <v>0.23308571428571401</v>
          </cell>
          <cell r="I390">
            <v>0</v>
          </cell>
          <cell r="J390">
            <v>0</v>
          </cell>
          <cell r="K390">
            <v>0.28022857142857105</v>
          </cell>
          <cell r="L390">
            <v>0.42034285714285657</v>
          </cell>
          <cell r="M390">
            <v>504.4114285714279</v>
          </cell>
        </row>
        <row r="391">
          <cell r="A391" t="str">
            <v>2.06.c</v>
          </cell>
          <cell r="B391" t="str">
            <v>Cut and Fill Soil or Ripable Rock, within sub-Item work zone</v>
          </cell>
          <cell r="C391" t="str">
            <v>m3</v>
          </cell>
          <cell r="D391">
            <v>1800</v>
          </cell>
          <cell r="F391">
            <v>175.2</v>
          </cell>
          <cell r="G391">
            <v>0.49280799999999997</v>
          </cell>
          <cell r="H391">
            <v>3.9493746466666715</v>
          </cell>
          <cell r="I391">
            <v>0</v>
          </cell>
          <cell r="J391">
            <v>0</v>
          </cell>
          <cell r="L391">
            <v>4.4400000000000004</v>
          </cell>
          <cell r="M391">
            <v>7992</v>
          </cell>
        </row>
        <row r="392">
          <cell r="A392" t="str">
            <v>A06</v>
          </cell>
          <cell r="B392" t="str">
            <v>Excavación de roca ripeable</v>
          </cell>
          <cell r="C392" t="str">
            <v>m3</v>
          </cell>
          <cell r="D392">
            <v>1800</v>
          </cell>
          <cell r="E392">
            <v>1.1950000000000001</v>
          </cell>
          <cell r="F392">
            <v>3.3333333333333333E-2</v>
          </cell>
          <cell r="G392">
            <v>0.16439999999999999</v>
          </cell>
          <cell r="H392">
            <v>1.5519306666666701</v>
          </cell>
          <cell r="I392">
            <v>0</v>
          </cell>
          <cell r="J392">
            <v>0</v>
          </cell>
          <cell r="K392">
            <v>1.7163306666666702</v>
          </cell>
          <cell r="L392">
            <v>2.0510151466666708</v>
          </cell>
          <cell r="M392">
            <v>3691.8272640000073</v>
          </cell>
        </row>
        <row r="393">
          <cell r="A393" t="str">
            <v>A07</v>
          </cell>
          <cell r="B393" t="str">
            <v>Empuje de material d&lt;60m</v>
          </cell>
          <cell r="C393" t="str">
            <v>m3</v>
          </cell>
          <cell r="D393">
            <v>1800</v>
          </cell>
          <cell r="E393">
            <v>1.2</v>
          </cell>
          <cell r="F393">
            <v>1.2500000000000001E-2</v>
          </cell>
          <cell r="G393">
            <v>6.0562499999999998E-2</v>
          </cell>
          <cell r="H393">
            <v>0.50302812500000005</v>
          </cell>
          <cell r="I393">
            <v>0</v>
          </cell>
          <cell r="J393">
            <v>0</v>
          </cell>
          <cell r="K393">
            <v>0.56359062500000001</v>
          </cell>
          <cell r="L393">
            <v>0.67630875000000001</v>
          </cell>
          <cell r="M393">
            <v>1217.3557499999999</v>
          </cell>
        </row>
        <row r="394">
          <cell r="A394" t="str">
            <v>A08</v>
          </cell>
          <cell r="B394" t="str">
            <v>Relleno masivo compactado</v>
          </cell>
          <cell r="C394" t="str">
            <v>m3</v>
          </cell>
          <cell r="D394">
            <v>1800</v>
          </cell>
          <cell r="E394">
            <v>1</v>
          </cell>
          <cell r="F394">
            <v>4.2499999999999996E-2</v>
          </cell>
          <cell r="G394">
            <v>0.22367500000000001</v>
          </cell>
          <cell r="H394">
            <v>1.49118375</v>
          </cell>
          <cell r="I394">
            <v>0</v>
          </cell>
          <cell r="J394">
            <v>0</v>
          </cell>
          <cell r="K394">
            <v>1.7148587500000001</v>
          </cell>
          <cell r="L394">
            <v>1.7148587500000001</v>
          </cell>
          <cell r="M394">
            <v>3086.74575</v>
          </cell>
        </row>
        <row r="395">
          <cell r="A395" t="str">
            <v>2.06.d</v>
          </cell>
          <cell r="B395" t="str">
            <v>Imported General Fill from Other nearby Sub-Item Area or from General (Granular) Fill Borrow Sources No. 1 &amp; 2</v>
          </cell>
          <cell r="C395" t="str">
            <v>m3</v>
          </cell>
          <cell r="D395">
            <v>11000</v>
          </cell>
          <cell r="F395">
            <v>1505.8083824404762</v>
          </cell>
          <cell r="G395">
            <v>0.70814302357142889</v>
          </cell>
          <cell r="H395">
            <v>5.2068443998761937</v>
          </cell>
          <cell r="I395">
            <v>0</v>
          </cell>
          <cell r="J395">
            <v>0</v>
          </cell>
          <cell r="L395">
            <v>5.91</v>
          </cell>
          <cell r="M395">
            <v>65010</v>
          </cell>
        </row>
        <row r="396">
          <cell r="A396" t="str">
            <v>A06</v>
          </cell>
          <cell r="B396" t="str">
            <v>Excavación de roca ripeable</v>
          </cell>
          <cell r="C396" t="str">
            <v>m3</v>
          </cell>
          <cell r="D396">
            <v>11000</v>
          </cell>
          <cell r="E396">
            <v>1.2</v>
          </cell>
          <cell r="F396">
            <v>3.3333333333333333E-2</v>
          </cell>
          <cell r="G396">
            <v>0.16439999999999999</v>
          </cell>
          <cell r="H396">
            <v>1.5519306666666701</v>
          </cell>
          <cell r="I396">
            <v>0</v>
          </cell>
          <cell r="J396">
            <v>0</v>
          </cell>
          <cell r="K396">
            <v>1.7163306666666702</v>
          </cell>
          <cell r="L396">
            <v>2.059596800000004</v>
          </cell>
          <cell r="M396">
            <v>22655.564800000044</v>
          </cell>
        </row>
        <row r="397">
          <cell r="A397" t="str">
            <v>A08</v>
          </cell>
          <cell r="B397" t="str">
            <v>Relleno masivo compactado</v>
          </cell>
          <cell r="C397" t="str">
            <v>m3</v>
          </cell>
          <cell r="D397">
            <v>11000</v>
          </cell>
          <cell r="E397">
            <v>1</v>
          </cell>
          <cell r="F397">
            <v>4.2499999999999996E-2</v>
          </cell>
          <cell r="G397">
            <v>0.22367500000000001</v>
          </cell>
          <cell r="H397">
            <v>1.49118375</v>
          </cell>
          <cell r="I397">
            <v>0</v>
          </cell>
          <cell r="J397">
            <v>0</v>
          </cell>
          <cell r="K397">
            <v>1.7148587500000001</v>
          </cell>
          <cell r="L397">
            <v>1.7148587500000001</v>
          </cell>
          <cell r="M397">
            <v>18863.446250000001</v>
          </cell>
        </row>
        <row r="398">
          <cell r="A398" t="str">
            <v>A09</v>
          </cell>
          <cell r="B398" t="str">
            <v>Carguío de material común &amp; roca ripeable con cargador</v>
          </cell>
          <cell r="C398" t="str">
            <v>m3</v>
          </cell>
          <cell r="D398">
            <v>11000</v>
          </cell>
          <cell r="E398">
            <v>1.2</v>
          </cell>
          <cell r="F398">
            <v>8.0000000000000002E-3</v>
          </cell>
          <cell r="G398">
            <v>4.224E-2</v>
          </cell>
          <cell r="H398">
            <v>0.57259199999999999</v>
          </cell>
          <cell r="I398">
            <v>0</v>
          </cell>
          <cell r="J398">
            <v>0</v>
          </cell>
          <cell r="K398">
            <v>0.61483199999999993</v>
          </cell>
          <cell r="L398">
            <v>0.73779839999999985</v>
          </cell>
          <cell r="M398">
            <v>8115.7823999999982</v>
          </cell>
        </row>
        <row r="399">
          <cell r="A399" t="str">
            <v>A04</v>
          </cell>
          <cell r="B399" t="str">
            <v>Acarreo d&lt;1km (sin esponj)</v>
          </cell>
          <cell r="C399" t="str">
            <v>m3</v>
          </cell>
          <cell r="D399">
            <v>11000</v>
          </cell>
          <cell r="E399">
            <v>1.5</v>
          </cell>
          <cell r="F399">
            <v>1.9444444444444441E-2</v>
          </cell>
          <cell r="G399">
            <v>0.102666666666667</v>
          </cell>
          <cell r="H399">
            <v>0.50555555555555498</v>
          </cell>
          <cell r="I399">
            <v>0</v>
          </cell>
          <cell r="J399">
            <v>0</v>
          </cell>
          <cell r="K399">
            <v>0.608222222222222</v>
          </cell>
          <cell r="L399">
            <v>0.912333333333333</v>
          </cell>
          <cell r="M399">
            <v>10035.666666666662</v>
          </cell>
        </row>
        <row r="400">
          <cell r="A400" t="str">
            <v>A05</v>
          </cell>
          <cell r="B400" t="str">
            <v>Sobreacarreo (d&gt;1km) (sin esponj)</v>
          </cell>
          <cell r="C400" t="str">
            <v>m3-km</v>
          </cell>
          <cell r="D400">
            <v>12833.337</v>
          </cell>
          <cell r="E400">
            <v>1.5</v>
          </cell>
          <cell r="F400">
            <v>8.9285714285714263E-3</v>
          </cell>
          <cell r="G400">
            <v>4.7142857142857E-2</v>
          </cell>
          <cell r="H400">
            <v>0.23308571428571401</v>
          </cell>
          <cell r="I400">
            <v>0</v>
          </cell>
          <cell r="J400">
            <v>0</v>
          </cell>
          <cell r="K400">
            <v>0.28022857142857105</v>
          </cell>
          <cell r="L400">
            <v>0.42034285714285657</v>
          </cell>
          <cell r="M400">
            <v>5394.4015412571352</v>
          </cell>
        </row>
        <row r="401">
          <cell r="A401" t="str">
            <v>2.06.e</v>
          </cell>
          <cell r="B401" t="str">
            <v>Drill and blast bulk rock (without limit on thickness, to fine or coarse fragments as required depending on end-use. Applies to locations other than trenches and ditches).</v>
          </cell>
          <cell r="C401" t="str">
            <v>m3</v>
          </cell>
          <cell r="D401">
            <v>500</v>
          </cell>
          <cell r="F401">
            <v>37.359098228663449</v>
          </cell>
          <cell r="G401">
            <v>0</v>
          </cell>
          <cell r="H401">
            <v>0</v>
          </cell>
          <cell r="I401">
            <v>0</v>
          </cell>
          <cell r="J401">
            <v>2.78</v>
          </cell>
          <cell r="L401">
            <v>2.78</v>
          </cell>
          <cell r="M401">
            <v>1390</v>
          </cell>
        </row>
        <row r="402">
          <cell r="A402" t="str">
            <v>A11</v>
          </cell>
          <cell r="B402" t="str">
            <v>Perforación y voladura masiva (material fino)</v>
          </cell>
          <cell r="C402" t="str">
            <v>m3</v>
          </cell>
          <cell r="D402">
            <v>500</v>
          </cell>
          <cell r="E402">
            <v>1</v>
          </cell>
          <cell r="F402">
            <v>7.4718196457326899E-2</v>
          </cell>
          <cell r="G402">
            <v>0</v>
          </cell>
          <cell r="H402">
            <v>0</v>
          </cell>
          <cell r="I402">
            <v>0</v>
          </cell>
          <cell r="J402">
            <v>2.78</v>
          </cell>
          <cell r="K402">
            <v>2.78</v>
          </cell>
          <cell r="L402">
            <v>2.78</v>
          </cell>
          <cell r="M402">
            <v>1390</v>
          </cell>
        </row>
        <row r="403">
          <cell r="A403" t="str">
            <v>A12</v>
          </cell>
          <cell r="B403" t="str">
            <v>Perforación y voladura masiva (material grueso)</v>
          </cell>
          <cell r="C403" t="str">
            <v>m3</v>
          </cell>
          <cell r="F403">
            <v>7.4718196457326899E-2</v>
          </cell>
          <cell r="G403">
            <v>0</v>
          </cell>
          <cell r="H403">
            <v>0</v>
          </cell>
          <cell r="I403">
            <v>0</v>
          </cell>
          <cell r="J403">
            <v>2.72</v>
          </cell>
          <cell r="K403">
            <v>2.72</v>
          </cell>
          <cell r="L403">
            <v>0</v>
          </cell>
          <cell r="M403">
            <v>0</v>
          </cell>
        </row>
        <row r="404">
          <cell r="A404" t="str">
            <v>2.06.f</v>
          </cell>
          <cell r="B404" t="str">
            <v xml:space="preserve">Excavate and Fill (fine blasted) broken rock </v>
          </cell>
          <cell r="C404" t="str">
            <v>m3</v>
          </cell>
          <cell r="D404">
            <v>500</v>
          </cell>
          <cell r="F404">
            <v>42.597999999999999</v>
          </cell>
          <cell r="G404">
            <v>0.43472704000000001</v>
          </cell>
          <cell r="H404">
            <v>3.3737826880000004</v>
          </cell>
          <cell r="I404">
            <v>0</v>
          </cell>
          <cell r="J404">
            <v>0</v>
          </cell>
          <cell r="L404">
            <v>3.81</v>
          </cell>
          <cell r="M404">
            <v>1905</v>
          </cell>
        </row>
        <row r="405">
          <cell r="A405" t="str">
            <v>A13</v>
          </cell>
          <cell r="B405" t="str">
            <v>Remoción de Material fino volado</v>
          </cell>
          <cell r="C405" t="str">
            <v>m3</v>
          </cell>
          <cell r="D405">
            <v>500</v>
          </cell>
          <cell r="E405">
            <v>1.204</v>
          </cell>
          <cell r="F405">
            <v>2.4E-2</v>
          </cell>
          <cell r="G405">
            <v>0.11976000000000001</v>
          </cell>
          <cell r="H405">
            <v>1.1023720000000001</v>
          </cell>
          <cell r="I405">
            <v>0</v>
          </cell>
          <cell r="J405">
            <v>0</v>
          </cell>
          <cell r="K405">
            <v>1.2221320000000002</v>
          </cell>
          <cell r="L405">
            <v>1.4714469280000002</v>
          </cell>
          <cell r="M405">
            <v>735.72346400000015</v>
          </cell>
        </row>
        <row r="406">
          <cell r="A406" t="str">
            <v>A07</v>
          </cell>
          <cell r="B406" t="str">
            <v>Empuje de material d&lt;60m</v>
          </cell>
          <cell r="C406" t="str">
            <v>m3</v>
          </cell>
          <cell r="D406">
            <v>500</v>
          </cell>
          <cell r="E406">
            <v>1.1040000000000001</v>
          </cell>
          <cell r="F406">
            <v>1.2500000000000001E-2</v>
          </cell>
          <cell r="G406">
            <v>6.0562499999999998E-2</v>
          </cell>
          <cell r="H406">
            <v>0.50302812500000005</v>
          </cell>
          <cell r="I406">
            <v>0</v>
          </cell>
          <cell r="J406">
            <v>0</v>
          </cell>
          <cell r="K406">
            <v>0.56359062500000001</v>
          </cell>
          <cell r="L406">
            <v>0.62220405000000012</v>
          </cell>
          <cell r="M406">
            <v>311.10202500000008</v>
          </cell>
        </row>
        <row r="407">
          <cell r="A407" t="str">
            <v>A08</v>
          </cell>
          <cell r="B407" t="str">
            <v>Relleno masivo compactado</v>
          </cell>
          <cell r="C407" t="str">
            <v>m3</v>
          </cell>
          <cell r="D407">
            <v>500</v>
          </cell>
          <cell r="E407">
            <v>1</v>
          </cell>
          <cell r="F407">
            <v>4.2499999999999996E-2</v>
          </cell>
          <cell r="G407">
            <v>0.22367500000000001</v>
          </cell>
          <cell r="H407">
            <v>1.49118375</v>
          </cell>
          <cell r="I407">
            <v>0</v>
          </cell>
          <cell r="J407">
            <v>0</v>
          </cell>
          <cell r="K407">
            <v>1.7148587500000001</v>
          </cell>
          <cell r="L407">
            <v>1.7148587500000001</v>
          </cell>
          <cell r="M407">
            <v>857.42937500000005</v>
          </cell>
        </row>
        <row r="408">
          <cell r="A408" t="str">
            <v>2.06.g</v>
          </cell>
          <cell r="B408" t="str">
            <v>Excavate (fine or coarse blasted) broken rock to Other sub-Item work zone, within 1000m</v>
          </cell>
          <cell r="C408" t="str">
            <v>m3</v>
          </cell>
          <cell r="D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L408">
            <v>0</v>
          </cell>
          <cell r="M408">
            <v>0</v>
          </cell>
        </row>
        <row r="409">
          <cell r="A409" t="str">
            <v>A14</v>
          </cell>
          <cell r="B409" t="str">
            <v>Remoción de Material grueso volado</v>
          </cell>
          <cell r="C409" t="str">
            <v>m3</v>
          </cell>
          <cell r="D409">
            <v>0</v>
          </cell>
          <cell r="F409">
            <v>2.5000000000000001E-2</v>
          </cell>
          <cell r="G409">
            <v>0.12475</v>
          </cell>
          <cell r="H409">
            <v>1.11859166666667</v>
          </cell>
          <cell r="I409">
            <v>0</v>
          </cell>
          <cell r="J409">
            <v>0</v>
          </cell>
          <cell r="K409">
            <v>1.2433416666666699</v>
          </cell>
          <cell r="L409">
            <v>0</v>
          </cell>
          <cell r="M409">
            <v>0</v>
          </cell>
        </row>
        <row r="410">
          <cell r="A410" t="str">
            <v>A43</v>
          </cell>
          <cell r="B410" t="str">
            <v>Carguío de roca volada con excavadora</v>
          </cell>
          <cell r="C410" t="str">
            <v>m3</v>
          </cell>
          <cell r="D410">
            <v>0</v>
          </cell>
          <cell r="F410">
            <v>8.1967213114754103E-3</v>
          </cell>
          <cell r="G410">
            <v>4.3278688524589999E-2</v>
          </cell>
          <cell r="H410">
            <v>0.58667213114754102</v>
          </cell>
          <cell r="I410">
            <v>0</v>
          </cell>
          <cell r="J410">
            <v>0</v>
          </cell>
          <cell r="K410">
            <v>0.62995081967213107</v>
          </cell>
          <cell r="L410">
            <v>0</v>
          </cell>
          <cell r="M410">
            <v>0</v>
          </cell>
        </row>
        <row r="411">
          <cell r="A411" t="str">
            <v>A04</v>
          </cell>
          <cell r="B411" t="str">
            <v>Acarreo d&lt;1km (sin esponj)</v>
          </cell>
          <cell r="C411" t="str">
            <v>m3</v>
          </cell>
          <cell r="D411">
            <v>0</v>
          </cell>
          <cell r="F411">
            <v>1.9444444444444441E-2</v>
          </cell>
          <cell r="G411">
            <v>0.102666666666667</v>
          </cell>
          <cell r="H411">
            <v>0.50555555555555498</v>
          </cell>
          <cell r="I411">
            <v>0</v>
          </cell>
          <cell r="J411">
            <v>0</v>
          </cell>
          <cell r="K411">
            <v>0.608222222222222</v>
          </cell>
          <cell r="L411">
            <v>0</v>
          </cell>
          <cell r="M411">
            <v>0</v>
          </cell>
        </row>
        <row r="412">
          <cell r="A412" t="str">
            <v>A05</v>
          </cell>
          <cell r="B412" t="str">
            <v>Sobreacarreo (d&gt;1km) (sin esponj)</v>
          </cell>
          <cell r="C412" t="str">
            <v>m3-km</v>
          </cell>
          <cell r="D412">
            <v>0</v>
          </cell>
          <cell r="F412">
            <v>8.9285714285714263E-3</v>
          </cell>
          <cell r="G412">
            <v>4.7142857142857E-2</v>
          </cell>
          <cell r="H412">
            <v>0.23308571428571401</v>
          </cell>
          <cell r="I412">
            <v>0</v>
          </cell>
          <cell r="J412">
            <v>0</v>
          </cell>
          <cell r="K412">
            <v>0.28022857142857105</v>
          </cell>
          <cell r="L412">
            <v>0</v>
          </cell>
          <cell r="M412">
            <v>0</v>
          </cell>
        </row>
        <row r="413">
          <cell r="A413" t="str">
            <v>2.06.h</v>
          </cell>
          <cell r="B413" t="str">
            <v>Supply and Install Backfill Granular A to roads/yards</v>
          </cell>
          <cell r="C413" t="str">
            <v>m3</v>
          </cell>
          <cell r="D413">
            <v>150</v>
          </cell>
          <cell r="F413">
            <v>71.403273809523796</v>
          </cell>
          <cell r="G413">
            <v>1.9650619047619038</v>
          </cell>
          <cell r="H413">
            <v>5.6350358095238038</v>
          </cell>
          <cell r="I413">
            <v>3.5625</v>
          </cell>
          <cell r="J413">
            <v>0</v>
          </cell>
          <cell r="K413">
            <v>11.16259771428571</v>
          </cell>
          <cell r="L413">
            <v>11.16</v>
          </cell>
          <cell r="M413">
            <v>1674</v>
          </cell>
        </row>
        <row r="414">
          <cell r="A414" t="str">
            <v>A15</v>
          </cell>
          <cell r="B414" t="str">
            <v>Suministro de material granular A</v>
          </cell>
          <cell r="C414" t="str">
            <v>m3</v>
          </cell>
          <cell r="D414">
            <v>150</v>
          </cell>
          <cell r="E414">
            <v>1.25</v>
          </cell>
          <cell r="F414">
            <v>0</v>
          </cell>
          <cell r="G414">
            <v>0</v>
          </cell>
          <cell r="H414">
            <v>0</v>
          </cell>
          <cell r="I414">
            <v>2.85</v>
          </cell>
          <cell r="J414">
            <v>0</v>
          </cell>
          <cell r="K414">
            <v>2.85</v>
          </cell>
          <cell r="L414">
            <v>3.5625</v>
          </cell>
          <cell r="M414">
            <v>534.375</v>
          </cell>
        </row>
        <row r="415">
          <cell r="A415" t="str">
            <v>A16</v>
          </cell>
          <cell r="B415" t="str">
            <v>Colocación y compactación Mat Granular A</v>
          </cell>
          <cell r="C415" t="str">
            <v>m3</v>
          </cell>
          <cell r="D415">
            <v>150</v>
          </cell>
          <cell r="E415">
            <v>1</v>
          </cell>
          <cell r="F415">
            <v>0.37805555555555553</v>
          </cell>
          <cell r="G415">
            <v>1.4478</v>
          </cell>
          <cell r="H415">
            <v>3.0801342222222199</v>
          </cell>
          <cell r="I415">
            <v>0</v>
          </cell>
          <cell r="J415">
            <v>0</v>
          </cell>
          <cell r="K415">
            <v>4.5279342222222194</v>
          </cell>
          <cell r="L415">
            <v>4.5279342222222194</v>
          </cell>
          <cell r="M415">
            <v>679.19013333333294</v>
          </cell>
        </row>
        <row r="416">
          <cell r="A416" t="str">
            <v>A04</v>
          </cell>
          <cell r="B416" t="str">
            <v>Acarreo d&lt;1km (sin esponj)</v>
          </cell>
          <cell r="C416" t="str">
            <v>m3</v>
          </cell>
          <cell r="D416">
            <v>150</v>
          </cell>
          <cell r="E416">
            <v>1.25</v>
          </cell>
          <cell r="F416">
            <v>1.9444444444444441E-2</v>
          </cell>
          <cell r="G416">
            <v>0.102666666666667</v>
          </cell>
          <cell r="H416">
            <v>0.50555555555555498</v>
          </cell>
          <cell r="I416">
            <v>0</v>
          </cell>
          <cell r="J416">
            <v>0</v>
          </cell>
          <cell r="K416">
            <v>0.608222222222222</v>
          </cell>
          <cell r="L416">
            <v>0.7602777777777775</v>
          </cell>
          <cell r="M416">
            <v>114.04166666666663</v>
          </cell>
        </row>
        <row r="417">
          <cell r="A417" t="str">
            <v>A05</v>
          </cell>
          <cell r="B417" t="str">
            <v>Sobreacarreo (d&gt;1km) (sin esponj)</v>
          </cell>
          <cell r="C417" t="str">
            <v>m3-km</v>
          </cell>
          <cell r="D417">
            <v>990</v>
          </cell>
          <cell r="E417">
            <v>1.25</v>
          </cell>
          <cell r="F417">
            <v>8.9285714285714263E-3</v>
          </cell>
          <cell r="G417">
            <v>4.7142857142857E-2</v>
          </cell>
          <cell r="H417">
            <v>0.23308571428571401</v>
          </cell>
          <cell r="I417">
            <v>0</v>
          </cell>
          <cell r="J417">
            <v>0</v>
          </cell>
          <cell r="K417">
            <v>0.28022857142857105</v>
          </cell>
          <cell r="L417">
            <v>0.35028571428571381</v>
          </cell>
          <cell r="M417">
            <v>346.7828571428567</v>
          </cell>
        </row>
        <row r="418">
          <cell r="A418" t="str">
            <v>2.06.i</v>
          </cell>
          <cell r="B418" t="str">
            <v>Supply and Install Backfill Granular B to roads/yards</v>
          </cell>
          <cell r="C418" t="str">
            <v>m3</v>
          </cell>
          <cell r="D418">
            <v>330</v>
          </cell>
          <cell r="F418">
            <v>66.667038690476176</v>
          </cell>
          <cell r="G418">
            <v>1.0485476190476182</v>
          </cell>
          <cell r="H418">
            <v>4.9324046825396826</v>
          </cell>
          <cell r="I418">
            <v>3.5625</v>
          </cell>
          <cell r="J418">
            <v>0</v>
          </cell>
          <cell r="K418">
            <v>9.5434523015873012</v>
          </cell>
          <cell r="L418">
            <v>9.5399999999999991</v>
          </cell>
          <cell r="M418">
            <v>3148.2</v>
          </cell>
        </row>
        <row r="419">
          <cell r="A419" t="str">
            <v>A40</v>
          </cell>
          <cell r="B419" t="str">
            <v>Suministro de material granular B</v>
          </cell>
          <cell r="C419" t="str">
            <v>m3</v>
          </cell>
          <cell r="D419">
            <v>330</v>
          </cell>
          <cell r="E419">
            <v>1.25</v>
          </cell>
          <cell r="F419">
            <v>0</v>
          </cell>
          <cell r="G419">
            <v>0</v>
          </cell>
          <cell r="H419">
            <v>0</v>
          </cell>
          <cell r="I419">
            <v>2.85</v>
          </cell>
          <cell r="J419">
            <v>0</v>
          </cell>
          <cell r="K419">
            <v>2.85</v>
          </cell>
          <cell r="L419">
            <v>3.5625</v>
          </cell>
          <cell r="M419">
            <v>1175.625</v>
          </cell>
        </row>
        <row r="420">
          <cell r="A420" t="str">
            <v>A41</v>
          </cell>
          <cell r="B420" t="str">
            <v>Colocación y compactación Mat Granular B</v>
          </cell>
          <cell r="C420" t="str">
            <v>m3</v>
          </cell>
          <cell r="D420">
            <v>330</v>
          </cell>
          <cell r="E420">
            <v>1</v>
          </cell>
          <cell r="F420">
            <v>0.10416666666666666</v>
          </cell>
          <cell r="G420">
            <v>0.53187499999999999</v>
          </cell>
          <cell r="H420">
            <v>2.3804166666666702</v>
          </cell>
          <cell r="I420">
            <v>0</v>
          </cell>
          <cell r="J420">
            <v>0</v>
          </cell>
          <cell r="K420">
            <v>2.9122916666666701</v>
          </cell>
          <cell r="L420">
            <v>2.9122916666666701</v>
          </cell>
          <cell r="M420">
            <v>961.05625000000111</v>
          </cell>
        </row>
        <row r="421">
          <cell r="A421" t="str">
            <v>A04</v>
          </cell>
          <cell r="B421" t="str">
            <v>Acarreo d&lt;1km (sin esponj)</v>
          </cell>
          <cell r="C421" t="str">
            <v>m3</v>
          </cell>
          <cell r="D421">
            <v>330</v>
          </cell>
          <cell r="E421">
            <v>1.25</v>
          </cell>
          <cell r="F421">
            <v>1.9444444444444441E-2</v>
          </cell>
          <cell r="G421">
            <v>0.102666666666667</v>
          </cell>
          <cell r="H421">
            <v>0.50555555555555498</v>
          </cell>
          <cell r="I421">
            <v>0</v>
          </cell>
          <cell r="J421">
            <v>0</v>
          </cell>
          <cell r="K421">
            <v>0.608222222222222</v>
          </cell>
          <cell r="L421">
            <v>0.7602777777777775</v>
          </cell>
          <cell r="M421">
            <v>250.89166666666657</v>
          </cell>
        </row>
        <row r="422">
          <cell r="A422" t="str">
            <v>A05</v>
          </cell>
          <cell r="B422" t="str">
            <v>Sobreacarreo (d&gt;1km) (sin esponj)</v>
          </cell>
          <cell r="C422" t="str">
            <v>m3-km</v>
          </cell>
          <cell r="D422">
            <v>2174.6999999999998</v>
          </cell>
          <cell r="E422">
            <v>1.25</v>
          </cell>
          <cell r="F422">
            <v>8.9285714285714263E-3</v>
          </cell>
          <cell r="G422">
            <v>4.7142857142857E-2</v>
          </cell>
          <cell r="H422">
            <v>0.23308571428571401</v>
          </cell>
          <cell r="I422">
            <v>0</v>
          </cell>
          <cell r="J422">
            <v>0</v>
          </cell>
          <cell r="K422">
            <v>0.28022857142857105</v>
          </cell>
          <cell r="L422">
            <v>0.35028571428571381</v>
          </cell>
          <cell r="M422">
            <v>761.76634285714181</v>
          </cell>
        </row>
        <row r="423">
          <cell r="A423" t="str">
            <v>2.06.j</v>
          </cell>
          <cell r="B423" t="str">
            <v>Supply and Install Riprap-Geotextile-Bedding to ditches and slopes, including rock/earth excavation and shaping of the site</v>
          </cell>
          <cell r="C423" t="str">
            <v>Ls</v>
          </cell>
          <cell r="D423">
            <v>1</v>
          </cell>
          <cell r="F423">
            <v>3276.4365396464027</v>
          </cell>
          <cell r="G423">
            <v>11048.864531192972</v>
          </cell>
          <cell r="H423">
            <v>11958.865128963751</v>
          </cell>
          <cell r="I423">
            <v>1685.8006861452336</v>
          </cell>
          <cell r="J423">
            <v>5135.8314911906791</v>
          </cell>
          <cell r="L423">
            <v>29829.360000000001</v>
          </cell>
          <cell r="M423">
            <v>29829.360000000001</v>
          </cell>
        </row>
        <row r="424">
          <cell r="A424" t="str">
            <v>A19</v>
          </cell>
          <cell r="B424" t="str">
            <v>Rip rap</v>
          </cell>
          <cell r="C424" t="str">
            <v>m3</v>
          </cell>
          <cell r="D424">
            <v>378</v>
          </cell>
          <cell r="E424">
            <v>1.0802952170107232</v>
          </cell>
          <cell r="F424">
            <v>2.7285714285714286</v>
          </cell>
          <cell r="G424">
            <v>8.8182857142857092</v>
          </cell>
          <cell r="H424">
            <v>4.8350057142857139</v>
          </cell>
          <cell r="I424">
            <v>2.85</v>
          </cell>
          <cell r="J424">
            <v>0</v>
          </cell>
          <cell r="K424">
            <v>16.503291428571423</v>
          </cell>
          <cell r="L424">
            <v>17.828426795219773</v>
          </cell>
          <cell r="M424">
            <v>6739.1453285930738</v>
          </cell>
        </row>
        <row r="425">
          <cell r="A425" t="str">
            <v>A20</v>
          </cell>
          <cell r="B425" t="str">
            <v>Geotextil 400g/m2 Non Woven</v>
          </cell>
          <cell r="C425" t="str">
            <v>m2</v>
          </cell>
          <cell r="D425">
            <v>604</v>
          </cell>
          <cell r="E425">
            <v>1.0802952170107232</v>
          </cell>
          <cell r="F425">
            <v>0.37356321839080464</v>
          </cell>
          <cell r="G425">
            <v>1.1715517241379301</v>
          </cell>
          <cell r="H425">
            <v>0.445182471264368</v>
          </cell>
          <cell r="I425">
            <v>0.8</v>
          </cell>
          <cell r="J425">
            <v>0</v>
          </cell>
          <cell r="K425">
            <v>2.4167341954022983</v>
          </cell>
          <cell r="L425">
            <v>2.6107863920793615</v>
          </cell>
          <cell r="M425">
            <v>1576.9149808159343</v>
          </cell>
        </row>
        <row r="426">
          <cell r="A426" t="str">
            <v>A21</v>
          </cell>
          <cell r="B426" t="str">
            <v>Excavación y perfilado de zanjas</v>
          </cell>
          <cell r="C426" t="str">
            <v>m3</v>
          </cell>
          <cell r="D426">
            <v>1378</v>
          </cell>
          <cell r="E426">
            <v>1.0802952170107232</v>
          </cell>
          <cell r="F426">
            <v>1.2887346226726417</v>
          </cell>
          <cell r="G426">
            <v>4.4896263901299003</v>
          </cell>
          <cell r="H426">
            <v>6.5119556758310146</v>
          </cell>
          <cell r="I426">
            <v>0</v>
          </cell>
          <cell r="J426">
            <v>3.45</v>
          </cell>
          <cell r="K426">
            <v>14.451582065960915</v>
          </cell>
          <cell r="L426">
            <v>15.611974984095522</v>
          </cell>
          <cell r="M426">
            <v>21513.30152808363</v>
          </cell>
        </row>
        <row r="427">
          <cell r="A427" t="str">
            <v>2.06.k</v>
          </cell>
          <cell r="B427" t="str">
            <v>Supply and Install Gabions-Geotextile-Bedding-Concrete Facing, complete including rock/earth excavation shaping &amp; backfill of the site</v>
          </cell>
          <cell r="C427" t="str">
            <v>Ls</v>
          </cell>
          <cell r="D427">
            <v>1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L427">
            <v>0</v>
          </cell>
          <cell r="M427">
            <v>0</v>
          </cell>
        </row>
        <row r="428">
          <cell r="A428" t="str">
            <v>A22</v>
          </cell>
          <cell r="B428" t="str">
            <v>Supply and Install Granular A Surfacing to roads/yards</v>
          </cell>
          <cell r="C428" t="str">
            <v>m3</v>
          </cell>
          <cell r="F428">
            <v>0.47959325396825392</v>
          </cell>
          <cell r="G428">
            <v>1.9839190476190467</v>
          </cell>
          <cell r="H428">
            <v>5.7282700952380896</v>
          </cell>
          <cell r="I428">
            <v>3.5625</v>
          </cell>
          <cell r="J428">
            <v>0</v>
          </cell>
          <cell r="K428">
            <v>11.274689142857136</v>
          </cell>
          <cell r="L428">
            <v>0</v>
          </cell>
          <cell r="M428">
            <v>0</v>
          </cell>
        </row>
        <row r="429">
          <cell r="A429" t="str">
            <v>A23</v>
          </cell>
          <cell r="B429" t="str">
            <v>Concrete Lining</v>
          </cell>
          <cell r="C429" t="str">
            <v>m3</v>
          </cell>
          <cell r="F429">
            <v>14.282608695652174</v>
          </cell>
          <cell r="G429">
            <v>49.431086956521703</v>
          </cell>
          <cell r="H429">
            <v>4.9527137681159399</v>
          </cell>
          <cell r="I429">
            <v>60</v>
          </cell>
          <cell r="J429">
            <v>0</v>
          </cell>
          <cell r="K429">
            <v>114.38380072463765</v>
          </cell>
          <cell r="L429">
            <v>0</v>
          </cell>
          <cell r="M429">
            <v>0</v>
          </cell>
        </row>
        <row r="430">
          <cell r="A430" t="str">
            <v>A24</v>
          </cell>
          <cell r="B430" t="str">
            <v>Gavión</v>
          </cell>
          <cell r="C430" t="str">
            <v>m3</v>
          </cell>
          <cell r="F430">
            <v>1.7583333333333333</v>
          </cell>
          <cell r="G430">
            <v>6.2273333333333296</v>
          </cell>
          <cell r="H430">
            <v>7.133083333333337</v>
          </cell>
          <cell r="I430">
            <v>19.350000000000001</v>
          </cell>
          <cell r="J430">
            <v>0</v>
          </cell>
          <cell r="K430">
            <v>32.710416666666674</v>
          </cell>
          <cell r="L430">
            <v>0</v>
          </cell>
          <cell r="M430">
            <v>0</v>
          </cell>
        </row>
        <row r="431">
          <cell r="A431" t="str">
            <v>A21</v>
          </cell>
          <cell r="B431" t="str">
            <v>Excavación y perfilado de zanjas</v>
          </cell>
          <cell r="C431" t="str">
            <v>m3</v>
          </cell>
          <cell r="F431">
            <v>1.2887346226726417</v>
          </cell>
          <cell r="G431">
            <v>4.4896263901299003</v>
          </cell>
          <cell r="H431">
            <v>6.5119556758310146</v>
          </cell>
          <cell r="I431">
            <v>0</v>
          </cell>
          <cell r="J431">
            <v>3.45</v>
          </cell>
          <cell r="K431">
            <v>14.451582065960915</v>
          </cell>
          <cell r="L431">
            <v>0</v>
          </cell>
          <cell r="M431">
            <v>0</v>
          </cell>
        </row>
        <row r="432">
          <cell r="A432" t="str">
            <v>2.06.l</v>
          </cell>
          <cell r="B432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432" t="str">
            <v>Ls</v>
          </cell>
          <cell r="D432">
            <v>1</v>
          </cell>
          <cell r="F432">
            <v>3695.5322717209274</v>
          </cell>
          <cell r="G432">
            <v>12236.793532358681</v>
          </cell>
          <cell r="H432">
            <v>15082.696662005379</v>
          </cell>
          <cell r="I432">
            <v>20173.162275439412</v>
          </cell>
          <cell r="J432">
            <v>1514.7501301947113</v>
          </cell>
          <cell r="L432">
            <v>49007.4</v>
          </cell>
          <cell r="M432">
            <v>49007.4</v>
          </cell>
        </row>
        <row r="433">
          <cell r="A433" t="str">
            <v>A25</v>
          </cell>
          <cell r="B433" t="str">
            <v>Suministro y colocación de Grating</v>
          </cell>
          <cell r="C433" t="str">
            <v>m2</v>
          </cell>
          <cell r="F433">
            <v>1.75</v>
          </cell>
          <cell r="G433">
            <v>6.1725000000000003</v>
          </cell>
          <cell r="H433">
            <v>0.144125</v>
          </cell>
          <cell r="I433">
            <v>225</v>
          </cell>
          <cell r="J433">
            <v>0</v>
          </cell>
          <cell r="K433">
            <v>231.31662500000002</v>
          </cell>
          <cell r="L433">
            <v>0</v>
          </cell>
          <cell r="M433">
            <v>0</v>
          </cell>
        </row>
        <row r="434">
          <cell r="A434" t="str">
            <v>A26</v>
          </cell>
          <cell r="B434" t="str">
            <v>Suministro y colocación de Tapa metálica</v>
          </cell>
          <cell r="C434" t="str">
            <v>m2</v>
          </cell>
          <cell r="F434">
            <v>1.75</v>
          </cell>
          <cell r="G434">
            <v>6.1725000000000003</v>
          </cell>
          <cell r="H434">
            <v>0.144125</v>
          </cell>
          <cell r="I434">
            <v>300</v>
          </cell>
          <cell r="J434">
            <v>0</v>
          </cell>
          <cell r="K434">
            <v>306.31662499999999</v>
          </cell>
          <cell r="L434">
            <v>0</v>
          </cell>
          <cell r="M434">
            <v>0</v>
          </cell>
        </row>
        <row r="435">
          <cell r="A435" t="str">
            <v>A27</v>
          </cell>
          <cell r="B435" t="str">
            <v>Relleno estructural</v>
          </cell>
          <cell r="C435" t="str">
            <v>m3</v>
          </cell>
          <cell r="D435">
            <v>1600</v>
          </cell>
          <cell r="E435">
            <v>0.94421077150987143</v>
          </cell>
          <cell r="F435">
            <v>1.2875000000000001</v>
          </cell>
          <cell r="G435">
            <v>4.2321666666666697</v>
          </cell>
          <cell r="H435">
            <v>6.8350416666666636</v>
          </cell>
          <cell r="I435">
            <v>0</v>
          </cell>
          <cell r="J435">
            <v>0</v>
          </cell>
          <cell r="K435">
            <v>11.067208333333333</v>
          </cell>
          <cell r="L435">
            <v>10.449777318877144</v>
          </cell>
          <cell r="M435">
            <v>16719.643710203432</v>
          </cell>
        </row>
        <row r="436">
          <cell r="A436" t="str">
            <v>A28</v>
          </cell>
          <cell r="B436" t="str">
            <v>Bermas de Seguridad</v>
          </cell>
          <cell r="C436" t="str">
            <v>m3</v>
          </cell>
          <cell r="D436">
            <v>380</v>
          </cell>
          <cell r="E436">
            <v>0.94421077150987143</v>
          </cell>
          <cell r="F436">
            <v>0.1</v>
          </cell>
          <cell r="G436">
            <v>0.499</v>
          </cell>
          <cell r="H436">
            <v>3.5649500000000001</v>
          </cell>
          <cell r="I436">
            <v>2.85</v>
          </cell>
          <cell r="J436">
            <v>0</v>
          </cell>
          <cell r="K436">
            <v>6.9139499999999998</v>
          </cell>
          <cell r="L436">
            <v>6.528226063680675</v>
          </cell>
          <cell r="M436">
            <v>2480.7259041986567</v>
          </cell>
        </row>
        <row r="437">
          <cell r="A437" t="str">
            <v>A45</v>
          </cell>
          <cell r="B437" t="str">
            <v>Cama de Arena</v>
          </cell>
          <cell r="C437" t="str">
            <v>m3</v>
          </cell>
          <cell r="D437">
            <v>23</v>
          </cell>
          <cell r="E437">
            <v>0.94421077150987143</v>
          </cell>
          <cell r="F437">
            <v>1.3416666666666666</v>
          </cell>
          <cell r="G437">
            <v>4.5181666666666702</v>
          </cell>
          <cell r="H437">
            <v>8.3767083333333332</v>
          </cell>
          <cell r="I437">
            <v>3.1349999999999998</v>
          </cell>
          <cell r="J437">
            <v>0</v>
          </cell>
          <cell r="K437">
            <v>16.029875000000004</v>
          </cell>
          <cell r="L437">
            <v>15.135580640956803</v>
          </cell>
          <cell r="M437">
            <v>348.11835474200649</v>
          </cell>
        </row>
        <row r="438">
          <cell r="A438" t="str">
            <v>A30</v>
          </cell>
          <cell r="B438" t="str">
            <v>Concreto reforzado</v>
          </cell>
          <cell r="C438" t="str">
            <v>m3</v>
          </cell>
          <cell r="F438">
            <v>16.2</v>
          </cell>
          <cell r="G438">
            <v>56.207999999999998</v>
          </cell>
          <cell r="H438">
            <v>3.9517333333333298</v>
          </cell>
          <cell r="I438">
            <v>116.16</v>
          </cell>
          <cell r="J438">
            <v>0</v>
          </cell>
          <cell r="K438">
            <v>176.31973333333332</v>
          </cell>
          <cell r="L438">
            <v>0</v>
          </cell>
          <cell r="M438">
            <v>0</v>
          </cell>
        </row>
        <row r="439">
          <cell r="A439" t="str">
            <v>A31</v>
          </cell>
          <cell r="B439" t="str">
            <v>Alcantarillas 800mm</v>
          </cell>
          <cell r="C439" t="str">
            <v>ml</v>
          </cell>
          <cell r="F439">
            <v>8</v>
          </cell>
          <cell r="G439">
            <v>25.88</v>
          </cell>
          <cell r="H439">
            <v>1.294</v>
          </cell>
          <cell r="I439">
            <v>60</v>
          </cell>
          <cell r="J439">
            <v>0</v>
          </cell>
          <cell r="K439">
            <v>87.173999999999992</v>
          </cell>
          <cell r="L439">
            <v>0</v>
          </cell>
          <cell r="M439">
            <v>0</v>
          </cell>
        </row>
        <row r="440">
          <cell r="A440" t="str">
            <v>A32</v>
          </cell>
          <cell r="B440" t="str">
            <v>Alcantarillas 600mm</v>
          </cell>
          <cell r="C440" t="str">
            <v>ml</v>
          </cell>
          <cell r="F440">
            <v>6.666666666666667</v>
          </cell>
          <cell r="G440">
            <v>21.566666666666698</v>
          </cell>
          <cell r="H440">
            <v>1.07833333333333</v>
          </cell>
          <cell r="I440">
            <v>50</v>
          </cell>
          <cell r="J440">
            <v>0</v>
          </cell>
          <cell r="K440">
            <v>72.645000000000024</v>
          </cell>
          <cell r="L440">
            <v>0</v>
          </cell>
          <cell r="M440">
            <v>0</v>
          </cell>
        </row>
        <row r="441">
          <cell r="A441" t="str">
            <v>A33</v>
          </cell>
          <cell r="B441" t="str">
            <v>Alcantarillas 1350mm</v>
          </cell>
          <cell r="C441" t="str">
            <v>ml</v>
          </cell>
          <cell r="F441">
            <v>12.5</v>
          </cell>
          <cell r="G441">
            <v>39.924999999999997</v>
          </cell>
          <cell r="H441">
            <v>1.9962500000000001</v>
          </cell>
          <cell r="I441">
            <v>160</v>
          </cell>
          <cell r="J441">
            <v>0</v>
          </cell>
          <cell r="K441">
            <v>201.92125000000001</v>
          </cell>
          <cell r="L441">
            <v>0</v>
          </cell>
          <cell r="M441">
            <v>0</v>
          </cell>
        </row>
        <row r="442">
          <cell r="A442" t="str">
            <v>A34</v>
          </cell>
          <cell r="B442" t="str">
            <v>Alcantarillas 1000mm</v>
          </cell>
          <cell r="C442" t="str">
            <v>ml</v>
          </cell>
          <cell r="F442">
            <v>8.8888888888888893</v>
          </cell>
          <cell r="G442">
            <v>28.755555555555599</v>
          </cell>
          <cell r="H442">
            <v>1.43777777777778</v>
          </cell>
          <cell r="I442">
            <v>78</v>
          </cell>
          <cell r="J442">
            <v>0</v>
          </cell>
          <cell r="K442">
            <v>108.19333333333338</v>
          </cell>
          <cell r="L442">
            <v>0</v>
          </cell>
          <cell r="M442">
            <v>0</v>
          </cell>
        </row>
        <row r="443">
          <cell r="A443" t="str">
            <v>A35</v>
          </cell>
          <cell r="B443" t="str">
            <v>Alcantarillas 1600mm</v>
          </cell>
          <cell r="C443" t="str">
            <v>ml</v>
          </cell>
          <cell r="D443">
            <v>94</v>
          </cell>
          <cell r="E443">
            <v>0.94421077150987143</v>
          </cell>
          <cell r="F443">
            <v>12.5</v>
          </cell>
          <cell r="G443">
            <v>39.924999999999997</v>
          </cell>
          <cell r="H443">
            <v>1.9962500000000001</v>
          </cell>
          <cell r="I443">
            <v>215</v>
          </cell>
          <cell r="J443">
            <v>0</v>
          </cell>
          <cell r="K443">
            <v>256.92124999999999</v>
          </cell>
          <cell r="L443">
            <v>242.58781167978054</v>
          </cell>
          <cell r="M443">
            <v>22803.25429789937</v>
          </cell>
        </row>
        <row r="444">
          <cell r="A444" t="str">
            <v>A36</v>
          </cell>
          <cell r="B444" t="str">
            <v>Tubería para buzón CMP 2000mm Diam</v>
          </cell>
          <cell r="C444" t="str">
            <v>ml</v>
          </cell>
          <cell r="F444">
            <v>20</v>
          </cell>
          <cell r="G444">
            <v>63.3333333333333</v>
          </cell>
          <cell r="H444">
            <v>3.1666666666666701</v>
          </cell>
          <cell r="I444">
            <v>335</v>
          </cell>
          <cell r="J444">
            <v>0</v>
          </cell>
          <cell r="K444">
            <v>401.5</v>
          </cell>
          <cell r="L444">
            <v>0</v>
          </cell>
          <cell r="M444">
            <v>0</v>
          </cell>
        </row>
        <row r="445">
          <cell r="A445" t="str">
            <v>A37</v>
          </cell>
          <cell r="B445" t="str">
            <v>Alcantarillas 300mm</v>
          </cell>
          <cell r="F445">
            <v>6.666666666666667</v>
          </cell>
          <cell r="G445">
            <v>21.566666666666698</v>
          </cell>
          <cell r="H445">
            <v>1.07833333333333</v>
          </cell>
          <cell r="I445">
            <v>26</v>
          </cell>
          <cell r="J445">
            <v>0</v>
          </cell>
          <cell r="K445">
            <v>48.645000000000032</v>
          </cell>
          <cell r="L445">
            <v>0</v>
          </cell>
          <cell r="M445">
            <v>0</v>
          </cell>
        </row>
        <row r="446">
          <cell r="A446" t="str">
            <v>A20</v>
          </cell>
          <cell r="B446" t="str">
            <v>Geotextil 400g/m2 Non Woven</v>
          </cell>
          <cell r="C446" t="str">
            <v>m2</v>
          </cell>
          <cell r="F446">
            <v>0.37356321839080464</v>
          </cell>
          <cell r="G446">
            <v>1.1715517241379301</v>
          </cell>
          <cell r="H446">
            <v>0.445182471264368</v>
          </cell>
          <cell r="I446">
            <v>0.8</v>
          </cell>
          <cell r="J446">
            <v>0</v>
          </cell>
          <cell r="K446">
            <v>2.4167341954022983</v>
          </cell>
          <cell r="L446">
            <v>0</v>
          </cell>
          <cell r="M446">
            <v>0</v>
          </cell>
        </row>
        <row r="447">
          <cell r="A447" t="str">
            <v>A38</v>
          </cell>
          <cell r="B447" t="str">
            <v>Excavación y eliminación de material para cunetas en roca</v>
          </cell>
          <cell r="C447" t="str">
            <v>m3</v>
          </cell>
          <cell r="F447">
            <v>0.28461538461538466</v>
          </cell>
          <cell r="G447">
            <v>1.41576923076923</v>
          </cell>
          <cell r="H447">
            <v>7.0169423076923119</v>
          </cell>
          <cell r="I447">
            <v>0</v>
          </cell>
          <cell r="J447">
            <v>11.5</v>
          </cell>
          <cell r="K447">
            <v>19.932711538461543</v>
          </cell>
          <cell r="L447">
            <v>0</v>
          </cell>
          <cell r="M447">
            <v>0</v>
          </cell>
        </row>
        <row r="448">
          <cell r="A448" t="str">
            <v>A39</v>
          </cell>
          <cell r="B448" t="str">
            <v>Excavación y eliminación de material para cunetas en suelo común</v>
          </cell>
          <cell r="C448" t="str">
            <v>m3</v>
          </cell>
          <cell r="D448">
            <v>55</v>
          </cell>
          <cell r="E448">
            <v>0.94421077150987143</v>
          </cell>
          <cell r="F448">
            <v>0.1957264957264957</v>
          </cell>
          <cell r="G448">
            <v>0.98510256410256403</v>
          </cell>
          <cell r="H448">
            <v>4.9954089743589778</v>
          </cell>
          <cell r="I448">
            <v>0</v>
          </cell>
          <cell r="J448">
            <v>0</v>
          </cell>
          <cell r="K448">
            <v>5.9805115384615419</v>
          </cell>
          <cell r="L448">
            <v>5.6468634137544607</v>
          </cell>
          <cell r="M448">
            <v>310.57748775649532</v>
          </cell>
        </row>
        <row r="449">
          <cell r="A449" t="str">
            <v>A21</v>
          </cell>
          <cell r="B449" t="str">
            <v>Excavación y perfilado de zanjas</v>
          </cell>
          <cell r="C449" t="str">
            <v>m3</v>
          </cell>
          <cell r="D449">
            <v>465</v>
          </cell>
          <cell r="E449">
            <v>0.94421077150987143</v>
          </cell>
          <cell r="F449">
            <v>1.2887346226726417</v>
          </cell>
          <cell r="G449">
            <v>4.4896263901299003</v>
          </cell>
          <cell r="H449">
            <v>6.5119556758310146</v>
          </cell>
          <cell r="I449">
            <v>0</v>
          </cell>
          <cell r="J449">
            <v>3.45</v>
          </cell>
          <cell r="K449">
            <v>14.451582065960915</v>
          </cell>
          <cell r="L449">
            <v>13.645339452039178</v>
          </cell>
          <cell r="M449">
            <v>6345.0828451982179</v>
          </cell>
        </row>
        <row r="450">
          <cell r="A450" t="str">
            <v>2.07</v>
          </cell>
          <cell r="B450" t="str">
            <v>POND ACCESS ROAD</v>
          </cell>
        </row>
        <row r="451">
          <cell r="A451" t="str">
            <v>2.07.a</v>
          </cell>
          <cell r="B451" t="str">
            <v>Clear and Grub</v>
          </cell>
          <cell r="C451" t="str">
            <v>Ls</v>
          </cell>
        </row>
        <row r="452">
          <cell r="A452" t="str">
            <v>2.07.b</v>
          </cell>
          <cell r="B452" t="str">
            <v>Cut unsuitable soil to waste (includes organic soil)</v>
          </cell>
          <cell r="C452" t="str">
            <v>m3</v>
          </cell>
          <cell r="D452">
            <v>3000</v>
          </cell>
          <cell r="F452">
            <v>232.88448145604394</v>
          </cell>
          <cell r="G452">
            <v>0.40490525879120876</v>
          </cell>
          <cell r="H452">
            <v>2.7451752448278377</v>
          </cell>
          <cell r="I452">
            <v>0</v>
          </cell>
          <cell r="J452">
            <v>0</v>
          </cell>
          <cell r="L452">
            <v>3.15</v>
          </cell>
          <cell r="M452">
            <v>9450</v>
          </cell>
        </row>
        <row r="453">
          <cell r="A453" t="str">
            <v>A01</v>
          </cell>
          <cell r="B453" t="str">
            <v>Excavación de Topsoil y Unsuitable (e&gt;1m)</v>
          </cell>
          <cell r="C453" t="str">
            <v>m3</v>
          </cell>
          <cell r="D453">
            <v>3000</v>
          </cell>
          <cell r="E453">
            <v>1</v>
          </cell>
          <cell r="F453">
            <v>1.7142857142857144E-2</v>
          </cell>
          <cell r="G453">
            <v>8.5542857142857004E-2</v>
          </cell>
          <cell r="H453">
            <v>0.81924857142857199</v>
          </cell>
          <cell r="I453">
            <v>0</v>
          </cell>
          <cell r="J453">
            <v>0</v>
          </cell>
          <cell r="K453">
            <v>0.90479142857142902</v>
          </cell>
          <cell r="L453">
            <v>0.90479142857142902</v>
          </cell>
          <cell r="M453">
            <v>2714.374285714287</v>
          </cell>
        </row>
        <row r="454">
          <cell r="A454" t="str">
            <v>A02</v>
          </cell>
          <cell r="B454" t="str">
            <v>Excavación de Topsoil y Unsuitable (e&lt;1m)</v>
          </cell>
          <cell r="C454" t="str">
            <v>m3</v>
          </cell>
          <cell r="D454">
            <v>0</v>
          </cell>
          <cell r="E454">
            <v>1</v>
          </cell>
          <cell r="F454">
            <v>1.4285714285714285E-2</v>
          </cell>
          <cell r="G454">
            <v>6.9214285714286006E-2</v>
          </cell>
          <cell r="H454">
            <v>0.57488928571428499</v>
          </cell>
          <cell r="I454">
            <v>0</v>
          </cell>
          <cell r="J454">
            <v>0</v>
          </cell>
          <cell r="K454">
            <v>0.644103571428571</v>
          </cell>
          <cell r="L454">
            <v>0.644103571428571</v>
          </cell>
          <cell r="M454">
            <v>0</v>
          </cell>
        </row>
        <row r="455">
          <cell r="A455" t="str">
            <v>A03</v>
          </cell>
          <cell r="B455" t="str">
            <v>Carguío de Topsoil &amp; Unsuitable con excavadora</v>
          </cell>
          <cell r="C455" t="str">
            <v>m3</v>
          </cell>
          <cell r="D455">
            <v>3000</v>
          </cell>
          <cell r="E455">
            <v>1</v>
          </cell>
          <cell r="F455">
            <v>1.3461538461538462E-2</v>
          </cell>
          <cell r="G455">
            <v>7.1076923076922996E-2</v>
          </cell>
          <cell r="H455">
            <v>0.70142307692307704</v>
          </cell>
          <cell r="I455">
            <v>0</v>
          </cell>
          <cell r="J455">
            <v>0</v>
          </cell>
          <cell r="K455">
            <v>0.77250000000000008</v>
          </cell>
          <cell r="L455">
            <v>0.77250000000000008</v>
          </cell>
          <cell r="M455">
            <v>2317.5</v>
          </cell>
        </row>
        <row r="456">
          <cell r="A456" t="str">
            <v>A04</v>
          </cell>
          <cell r="B456" t="str">
            <v>Acarreo d&lt;1km (sin esponj)</v>
          </cell>
          <cell r="C456" t="str">
            <v>m3</v>
          </cell>
          <cell r="D456">
            <v>3000</v>
          </cell>
          <cell r="E456">
            <v>1.5</v>
          </cell>
          <cell r="F456">
            <v>1.9444444444444441E-2</v>
          </cell>
          <cell r="G456">
            <v>0.102666666666667</v>
          </cell>
          <cell r="H456">
            <v>0.50555555555555498</v>
          </cell>
          <cell r="I456">
            <v>0</v>
          </cell>
          <cell r="J456">
            <v>0</v>
          </cell>
          <cell r="K456">
            <v>0.608222222222222</v>
          </cell>
          <cell r="L456">
            <v>0.912333333333333</v>
          </cell>
          <cell r="M456">
            <v>2736.9999999999991</v>
          </cell>
        </row>
        <row r="457">
          <cell r="A457" t="str">
            <v>A05</v>
          </cell>
          <cell r="B457" t="str">
            <v>Sobreacarreo (d&gt;1km) (sin esponj)</v>
          </cell>
          <cell r="C457" t="str">
            <v>m3-km</v>
          </cell>
          <cell r="D457">
            <v>3999.99</v>
          </cell>
          <cell r="E457">
            <v>1.5</v>
          </cell>
          <cell r="F457">
            <v>8.9285714285714263E-3</v>
          </cell>
          <cell r="G457">
            <v>4.7142857142857E-2</v>
          </cell>
          <cell r="H457">
            <v>0.23308571428571401</v>
          </cell>
          <cell r="I457">
            <v>0</v>
          </cell>
          <cell r="J457">
            <v>0</v>
          </cell>
          <cell r="K457">
            <v>0.28022857142857105</v>
          </cell>
          <cell r="L457">
            <v>0.42034285714285657</v>
          </cell>
          <cell r="M457">
            <v>1681.3672251428547</v>
          </cell>
        </row>
        <row r="458">
          <cell r="A458" t="str">
            <v>2.07.c</v>
          </cell>
          <cell r="B458" t="str">
            <v>Cut and Fill Soil or Ripable Rock, within sub-Item work zone</v>
          </cell>
          <cell r="C458" t="str">
            <v>m3</v>
          </cell>
          <cell r="D458">
            <v>1000</v>
          </cell>
          <cell r="F458">
            <v>97.333333333333314</v>
          </cell>
          <cell r="G458">
            <v>0.49280799999999997</v>
          </cell>
          <cell r="H458">
            <v>3.9493746466666706</v>
          </cell>
          <cell r="I458">
            <v>0</v>
          </cell>
          <cell r="J458">
            <v>0</v>
          </cell>
          <cell r="L458">
            <v>4.4400000000000004</v>
          </cell>
          <cell r="M458">
            <v>4440</v>
          </cell>
        </row>
        <row r="459">
          <cell r="A459" t="str">
            <v>A06</v>
          </cell>
          <cell r="B459" t="str">
            <v>Excavación de roca ripeable</v>
          </cell>
          <cell r="C459" t="str">
            <v>m3</v>
          </cell>
          <cell r="D459">
            <v>1000</v>
          </cell>
          <cell r="E459">
            <v>1.1950000000000001</v>
          </cell>
          <cell r="F459">
            <v>3.3333333333333333E-2</v>
          </cell>
          <cell r="G459">
            <v>0.16439999999999999</v>
          </cell>
          <cell r="H459">
            <v>1.5519306666666701</v>
          </cell>
          <cell r="I459">
            <v>0</v>
          </cell>
          <cell r="J459">
            <v>0</v>
          </cell>
          <cell r="K459">
            <v>1.7163306666666702</v>
          </cell>
          <cell r="L459">
            <v>2.0510151466666708</v>
          </cell>
          <cell r="M459">
            <v>2051.0151466666707</v>
          </cell>
        </row>
        <row r="460">
          <cell r="A460" t="str">
            <v>A07</v>
          </cell>
          <cell r="B460" t="str">
            <v>Empuje de material d&lt;60m</v>
          </cell>
          <cell r="C460" t="str">
            <v>m3</v>
          </cell>
          <cell r="D460">
            <v>1000</v>
          </cell>
          <cell r="E460">
            <v>1.2</v>
          </cell>
          <cell r="F460">
            <v>1.2500000000000001E-2</v>
          </cell>
          <cell r="G460">
            <v>6.0562499999999998E-2</v>
          </cell>
          <cell r="H460">
            <v>0.50302812500000005</v>
          </cell>
          <cell r="I460">
            <v>0</v>
          </cell>
          <cell r="J460">
            <v>0</v>
          </cell>
          <cell r="K460">
            <v>0.56359062500000001</v>
          </cell>
          <cell r="L460">
            <v>0.67630875000000001</v>
          </cell>
          <cell r="M460">
            <v>676.30875000000003</v>
          </cell>
        </row>
        <row r="461">
          <cell r="A461" t="str">
            <v>A08</v>
          </cell>
          <cell r="B461" t="str">
            <v>Relleno masivo compactado</v>
          </cell>
          <cell r="C461" t="str">
            <v>m3</v>
          </cell>
          <cell r="D461">
            <v>1000</v>
          </cell>
          <cell r="E461">
            <v>1</v>
          </cell>
          <cell r="F461">
            <v>4.2499999999999996E-2</v>
          </cell>
          <cell r="G461">
            <v>0.22367500000000001</v>
          </cell>
          <cell r="H461">
            <v>1.49118375</v>
          </cell>
          <cell r="I461">
            <v>0</v>
          </cell>
          <cell r="J461">
            <v>0</v>
          </cell>
          <cell r="K461">
            <v>1.7148587500000001</v>
          </cell>
          <cell r="L461">
            <v>1.7148587500000001</v>
          </cell>
          <cell r="M461">
            <v>1714.8587500000001</v>
          </cell>
        </row>
        <row r="462">
          <cell r="A462" t="str">
            <v>2.07.d</v>
          </cell>
          <cell r="B462" t="str">
            <v>Imported General Fill from Other nearby Sub-Item Area or from General (Granular) Fill Borrow Sources No. 1 &amp; 2</v>
          </cell>
          <cell r="C462" t="str">
            <v>m3</v>
          </cell>
          <cell r="D462">
            <v>4300</v>
          </cell>
          <cell r="F462">
            <v>607.11392857142846</v>
          </cell>
          <cell r="G462">
            <v>0.73089242857142867</v>
          </cell>
          <cell r="H462">
            <v>5.3156274871428595</v>
          </cell>
          <cell r="I462">
            <v>0</v>
          </cell>
          <cell r="J462">
            <v>0</v>
          </cell>
          <cell r="L462">
            <v>6.05</v>
          </cell>
          <cell r="M462">
            <v>26015</v>
          </cell>
        </row>
        <row r="463">
          <cell r="A463" t="str">
            <v>A06</v>
          </cell>
          <cell r="B463" t="str">
            <v>Excavación de roca ripeable</v>
          </cell>
          <cell r="C463" t="str">
            <v>m3</v>
          </cell>
          <cell r="D463">
            <v>4300</v>
          </cell>
          <cell r="E463">
            <v>1.1950000000000001</v>
          </cell>
          <cell r="F463">
            <v>3.3333333333333333E-2</v>
          </cell>
          <cell r="G463">
            <v>0.16439999999999999</v>
          </cell>
          <cell r="H463">
            <v>1.5519306666666701</v>
          </cell>
          <cell r="I463">
            <v>0</v>
          </cell>
          <cell r="J463">
            <v>0</v>
          </cell>
          <cell r="K463">
            <v>1.7163306666666702</v>
          </cell>
          <cell r="L463">
            <v>2.0510151466666708</v>
          </cell>
          <cell r="M463">
            <v>8819.3651306666852</v>
          </cell>
        </row>
        <row r="464">
          <cell r="A464" t="str">
            <v>A08</v>
          </cell>
          <cell r="B464" t="str">
            <v>Relleno masivo compactado</v>
          </cell>
          <cell r="C464" t="str">
            <v>m3</v>
          </cell>
          <cell r="D464">
            <v>4300</v>
          </cell>
          <cell r="E464">
            <v>1</v>
          </cell>
          <cell r="F464">
            <v>4.2499999999999996E-2</v>
          </cell>
          <cell r="G464">
            <v>0.22367500000000001</v>
          </cell>
          <cell r="H464">
            <v>1.49118375</v>
          </cell>
          <cell r="I464">
            <v>0</v>
          </cell>
          <cell r="J464">
            <v>0</v>
          </cell>
          <cell r="K464">
            <v>1.7148587500000001</v>
          </cell>
          <cell r="L464">
            <v>1.7148587500000001</v>
          </cell>
          <cell r="M464">
            <v>7373.8926250000004</v>
          </cell>
        </row>
        <row r="465">
          <cell r="A465" t="str">
            <v>A09</v>
          </cell>
          <cell r="B465" t="str">
            <v>Carguío de material común &amp; roca ripeable con cargador</v>
          </cell>
          <cell r="C465" t="str">
            <v>m3</v>
          </cell>
          <cell r="D465">
            <v>4300</v>
          </cell>
          <cell r="E465">
            <v>1.2</v>
          </cell>
          <cell r="F465">
            <v>8.0000000000000002E-3</v>
          </cell>
          <cell r="G465">
            <v>4.224E-2</v>
          </cell>
          <cell r="H465">
            <v>0.57259199999999999</v>
          </cell>
          <cell r="I465">
            <v>0</v>
          </cell>
          <cell r="J465">
            <v>0</v>
          </cell>
          <cell r="K465">
            <v>0.61483199999999993</v>
          </cell>
          <cell r="L465">
            <v>0.73779839999999985</v>
          </cell>
          <cell r="M465">
            <v>3172.5331199999996</v>
          </cell>
        </row>
        <row r="466">
          <cell r="A466" t="str">
            <v>A04</v>
          </cell>
          <cell r="B466" t="str">
            <v>Acarreo d&lt;1km (sin esponj)</v>
          </cell>
          <cell r="C466" t="str">
            <v>m3</v>
          </cell>
          <cell r="D466">
            <v>4300</v>
          </cell>
          <cell r="E466">
            <v>1.5</v>
          </cell>
          <cell r="F466">
            <v>1.9444444444444441E-2</v>
          </cell>
          <cell r="G466">
            <v>0.102666666666667</v>
          </cell>
          <cell r="H466">
            <v>0.50555555555555498</v>
          </cell>
          <cell r="I466">
            <v>0</v>
          </cell>
          <cell r="J466">
            <v>0</v>
          </cell>
          <cell r="K466">
            <v>0.608222222222222</v>
          </cell>
          <cell r="L466">
            <v>0.912333333333333</v>
          </cell>
          <cell r="M466">
            <v>3923.0333333333319</v>
          </cell>
        </row>
        <row r="467">
          <cell r="A467" t="str">
            <v>A05</v>
          </cell>
          <cell r="B467" t="str">
            <v>Sobreacarreo (d&gt;1km) (sin esponj)</v>
          </cell>
          <cell r="C467" t="str">
            <v>m3-km</v>
          </cell>
          <cell r="D467">
            <v>6450</v>
          </cell>
          <cell r="E467">
            <v>1.5</v>
          </cell>
          <cell r="F467">
            <v>8.9285714285714263E-3</v>
          </cell>
          <cell r="G467">
            <v>4.7142857142857E-2</v>
          </cell>
          <cell r="H467">
            <v>0.23308571428571401</v>
          </cell>
          <cell r="I467">
            <v>0</v>
          </cell>
          <cell r="J467">
            <v>0</v>
          </cell>
          <cell r="K467">
            <v>0.28022857142857105</v>
          </cell>
          <cell r="L467">
            <v>0.42034285714285657</v>
          </cell>
          <cell r="M467">
            <v>2711.2114285714247</v>
          </cell>
        </row>
        <row r="468">
          <cell r="A468" t="str">
            <v>2.07.e</v>
          </cell>
          <cell r="B468" t="str">
            <v>Drill and blast bulk rock (without limit on thickness, to fine or coarse fragments as required depending on end-use Applies to locations other than trenches and ditches).</v>
          </cell>
          <cell r="C468" t="str">
            <v>m3</v>
          </cell>
          <cell r="D468">
            <v>1200</v>
          </cell>
          <cell r="F468">
            <v>100.42125603864736</v>
          </cell>
          <cell r="G468">
            <v>0</v>
          </cell>
          <cell r="H468">
            <v>0</v>
          </cell>
          <cell r="I468">
            <v>0</v>
          </cell>
          <cell r="J468">
            <v>3.0643999999999996</v>
          </cell>
          <cell r="L468">
            <v>3.06</v>
          </cell>
          <cell r="M468">
            <v>3672</v>
          </cell>
        </row>
        <row r="469">
          <cell r="A469" t="str">
            <v>A11</v>
          </cell>
          <cell r="B469" t="str">
            <v>Perforación y voladura masiva (material fino)</v>
          </cell>
          <cell r="C469" t="str">
            <v>m3</v>
          </cell>
          <cell r="D469">
            <v>1200</v>
          </cell>
          <cell r="E469">
            <v>0.3</v>
          </cell>
          <cell r="F469">
            <v>7.4718196457326899E-2</v>
          </cell>
          <cell r="G469">
            <v>0</v>
          </cell>
          <cell r="H469">
            <v>0</v>
          </cell>
          <cell r="I469">
            <v>0</v>
          </cell>
          <cell r="J469">
            <v>2.78</v>
          </cell>
          <cell r="K469">
            <v>2.78</v>
          </cell>
          <cell r="L469">
            <v>0.83399999999999996</v>
          </cell>
          <cell r="M469">
            <v>1000.8</v>
          </cell>
        </row>
        <row r="470">
          <cell r="A470" t="str">
            <v>A12</v>
          </cell>
          <cell r="B470" t="str">
            <v>Perforación y voladura masiva (material grueso)</v>
          </cell>
          <cell r="C470" t="str">
            <v>m3</v>
          </cell>
          <cell r="D470">
            <v>1200</v>
          </cell>
          <cell r="E470">
            <v>0.82</v>
          </cell>
          <cell r="F470">
            <v>7.4718196457326899E-2</v>
          </cell>
          <cell r="G470">
            <v>0</v>
          </cell>
          <cell r="H470">
            <v>0</v>
          </cell>
          <cell r="I470">
            <v>0</v>
          </cell>
          <cell r="J470">
            <v>2.72</v>
          </cell>
          <cell r="K470">
            <v>2.72</v>
          </cell>
          <cell r="L470">
            <v>2.2303999999999999</v>
          </cell>
          <cell r="M470">
            <v>2676.48</v>
          </cell>
        </row>
        <row r="471">
          <cell r="A471" t="str">
            <v>2.07.f</v>
          </cell>
          <cell r="B471" t="str">
            <v xml:space="preserve">Excavate and Fill (fine blasted) broken rock </v>
          </cell>
          <cell r="C471" t="str">
            <v>m3</v>
          </cell>
          <cell r="D471">
            <v>1200</v>
          </cell>
          <cell r="F471">
            <v>102.17519999999999</v>
          </cell>
          <cell r="G471">
            <v>0.43448479000000001</v>
          </cell>
          <cell r="H471">
            <v>3.3717705755000007</v>
          </cell>
          <cell r="I471">
            <v>0</v>
          </cell>
          <cell r="J471">
            <v>0</v>
          </cell>
          <cell r="L471">
            <v>3.81</v>
          </cell>
          <cell r="M471">
            <v>4572</v>
          </cell>
        </row>
        <row r="472">
          <cell r="A472" t="str">
            <v>A13</v>
          </cell>
          <cell r="B472" t="str">
            <v>Remoción de Material fino volado</v>
          </cell>
          <cell r="C472" t="str">
            <v>m3</v>
          </cell>
          <cell r="D472">
            <v>1200</v>
          </cell>
          <cell r="E472">
            <v>1.204</v>
          </cell>
          <cell r="F472">
            <v>2.4E-2</v>
          </cell>
          <cell r="G472">
            <v>0.11976000000000001</v>
          </cell>
          <cell r="H472">
            <v>1.1023720000000001</v>
          </cell>
          <cell r="I472">
            <v>0</v>
          </cell>
          <cell r="J472">
            <v>0</v>
          </cell>
          <cell r="K472">
            <v>1.2221320000000002</v>
          </cell>
          <cell r="L472">
            <v>1.4714469280000002</v>
          </cell>
          <cell r="M472">
            <v>1765.7363136000004</v>
          </cell>
        </row>
        <row r="473">
          <cell r="A473" t="str">
            <v>A07</v>
          </cell>
          <cell r="B473" t="str">
            <v>Empuje de material d&lt;60m</v>
          </cell>
          <cell r="C473" t="str">
            <v>m3</v>
          </cell>
          <cell r="D473">
            <v>1200</v>
          </cell>
          <cell r="E473">
            <v>1.1000000000000001</v>
          </cell>
          <cell r="F473">
            <v>1.2500000000000001E-2</v>
          </cell>
          <cell r="G473">
            <v>6.0562499999999998E-2</v>
          </cell>
          <cell r="H473">
            <v>0.50302812500000005</v>
          </cell>
          <cell r="I473">
            <v>0</v>
          </cell>
          <cell r="J473">
            <v>0</v>
          </cell>
          <cell r="K473">
            <v>0.56359062500000001</v>
          </cell>
          <cell r="L473">
            <v>0.61994968750000001</v>
          </cell>
          <cell r="M473">
            <v>743.93962499999998</v>
          </cell>
        </row>
        <row r="474">
          <cell r="A474" t="str">
            <v>A08</v>
          </cell>
          <cell r="B474" t="str">
            <v>Relleno masivo compactado</v>
          </cell>
          <cell r="C474" t="str">
            <v>m3</v>
          </cell>
          <cell r="D474">
            <v>1200</v>
          </cell>
          <cell r="E474">
            <v>1</v>
          </cell>
          <cell r="F474">
            <v>4.2499999999999996E-2</v>
          </cell>
          <cell r="G474">
            <v>0.22367500000000001</v>
          </cell>
          <cell r="H474">
            <v>1.49118375</v>
          </cell>
          <cell r="I474">
            <v>0</v>
          </cell>
          <cell r="J474">
            <v>0</v>
          </cell>
          <cell r="K474">
            <v>1.7148587500000001</v>
          </cell>
          <cell r="L474">
            <v>1.7148587500000001</v>
          </cell>
          <cell r="M474">
            <v>2057.8305</v>
          </cell>
        </row>
        <row r="475">
          <cell r="A475" t="str">
            <v>2.07.g</v>
          </cell>
          <cell r="B475" t="str">
            <v>Excavate (fine or coarse blasted) broken rock to Other sub-Item work zone, within 1000m</v>
          </cell>
          <cell r="C475" t="str">
            <v>m3</v>
          </cell>
          <cell r="D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L475">
            <v>0</v>
          </cell>
          <cell r="M475">
            <v>0</v>
          </cell>
        </row>
        <row r="476">
          <cell r="A476" t="str">
            <v>A14</v>
          </cell>
          <cell r="B476" t="str">
            <v>Remoción de Material grueso volado</v>
          </cell>
          <cell r="C476" t="str">
            <v>m3</v>
          </cell>
          <cell r="D476">
            <v>0</v>
          </cell>
          <cell r="F476">
            <v>2.5000000000000001E-2</v>
          </cell>
          <cell r="G476">
            <v>0.12475</v>
          </cell>
          <cell r="H476">
            <v>1.11859166666667</v>
          </cell>
          <cell r="I476">
            <v>0</v>
          </cell>
          <cell r="J476">
            <v>0</v>
          </cell>
          <cell r="K476">
            <v>1.2433416666666699</v>
          </cell>
          <cell r="L476">
            <v>0</v>
          </cell>
          <cell r="M476">
            <v>0</v>
          </cell>
        </row>
        <row r="477">
          <cell r="A477" t="str">
            <v>A43</v>
          </cell>
          <cell r="B477" t="str">
            <v>Carguío de roca volada con excavadora</v>
          </cell>
          <cell r="C477" t="str">
            <v>m3</v>
          </cell>
          <cell r="D477">
            <v>0</v>
          </cell>
          <cell r="F477">
            <v>8.1967213114754103E-3</v>
          </cell>
          <cell r="G477">
            <v>4.3278688524589999E-2</v>
          </cell>
          <cell r="H477">
            <v>0.58667213114754102</v>
          </cell>
          <cell r="I477">
            <v>0</v>
          </cell>
          <cell r="J477">
            <v>0</v>
          </cell>
          <cell r="K477">
            <v>0.62995081967213107</v>
          </cell>
          <cell r="L477">
            <v>0</v>
          </cell>
          <cell r="M477">
            <v>0</v>
          </cell>
        </row>
        <row r="478">
          <cell r="A478" t="str">
            <v>A04</v>
          </cell>
          <cell r="B478" t="str">
            <v>Acarreo d&lt;1km (sin esponj)</v>
          </cell>
          <cell r="C478" t="str">
            <v>m3</v>
          </cell>
          <cell r="D478">
            <v>0</v>
          </cell>
          <cell r="F478">
            <v>1.9444444444444441E-2</v>
          </cell>
          <cell r="G478">
            <v>0.102666666666667</v>
          </cell>
          <cell r="H478">
            <v>0.50555555555555498</v>
          </cell>
          <cell r="I478">
            <v>0</v>
          </cell>
          <cell r="J478">
            <v>0</v>
          </cell>
          <cell r="K478">
            <v>0.608222222222222</v>
          </cell>
          <cell r="L478">
            <v>0</v>
          </cell>
          <cell r="M478">
            <v>0</v>
          </cell>
        </row>
        <row r="479">
          <cell r="A479" t="str">
            <v>A05</v>
          </cell>
          <cell r="B479" t="str">
            <v>Sobreacarreo (d&gt;1km) (sin esponj)</v>
          </cell>
          <cell r="C479" t="str">
            <v>m3-km</v>
          </cell>
          <cell r="D479">
            <v>0</v>
          </cell>
          <cell r="F479">
            <v>8.9285714285714263E-3</v>
          </cell>
          <cell r="G479">
            <v>4.7142857142857E-2</v>
          </cell>
          <cell r="H479">
            <v>0.23308571428571401</v>
          </cell>
          <cell r="I479">
            <v>0</v>
          </cell>
          <cell r="J479">
            <v>0</v>
          </cell>
          <cell r="K479">
            <v>0.28022857142857105</v>
          </cell>
          <cell r="L479">
            <v>0</v>
          </cell>
          <cell r="M479">
            <v>0</v>
          </cell>
        </row>
        <row r="480">
          <cell r="A480" t="str">
            <v>2.07.h</v>
          </cell>
          <cell r="B480" t="str">
            <v>Supply and Install Backfill Granular A to roads/yards</v>
          </cell>
          <cell r="C480" t="str">
            <v>m3</v>
          </cell>
          <cell r="D480">
            <v>690</v>
          </cell>
          <cell r="F480">
            <v>332.30550595238088</v>
          </cell>
          <cell r="G480">
            <v>1.9945261904761893</v>
          </cell>
          <cell r="H480">
            <v>5.7807143809523751</v>
          </cell>
          <cell r="I480">
            <v>3.5625</v>
          </cell>
          <cell r="J480">
            <v>0</v>
          </cell>
          <cell r="K480">
            <v>11.337740571428565</v>
          </cell>
          <cell r="L480">
            <v>11.34</v>
          </cell>
          <cell r="M480">
            <v>7824.6</v>
          </cell>
        </row>
        <row r="481">
          <cell r="A481" t="str">
            <v>A15</v>
          </cell>
          <cell r="B481" t="str">
            <v>Suministro de material granular A</v>
          </cell>
          <cell r="C481" t="str">
            <v>m3</v>
          </cell>
          <cell r="D481">
            <v>690</v>
          </cell>
          <cell r="E481">
            <v>1.25</v>
          </cell>
          <cell r="F481">
            <v>0</v>
          </cell>
          <cell r="G481">
            <v>0</v>
          </cell>
          <cell r="H481">
            <v>0</v>
          </cell>
          <cell r="I481">
            <v>2.85</v>
          </cell>
          <cell r="J481">
            <v>0</v>
          </cell>
          <cell r="K481">
            <v>2.85</v>
          </cell>
          <cell r="L481">
            <v>3.5625</v>
          </cell>
          <cell r="M481">
            <v>2458.125</v>
          </cell>
        </row>
        <row r="482">
          <cell r="A482" t="str">
            <v>A16</v>
          </cell>
          <cell r="B482" t="str">
            <v>Colocación y compactación Mat Granular A</v>
          </cell>
          <cell r="C482" t="str">
            <v>m3</v>
          </cell>
          <cell r="D482">
            <v>690</v>
          </cell>
          <cell r="E482">
            <v>1</v>
          </cell>
          <cell r="F482">
            <v>0.37805555555555553</v>
          </cell>
          <cell r="G482">
            <v>1.4478</v>
          </cell>
          <cell r="H482">
            <v>3.0801342222222199</v>
          </cell>
          <cell r="I482">
            <v>0</v>
          </cell>
          <cell r="J482">
            <v>0</v>
          </cell>
          <cell r="K482">
            <v>4.5279342222222194</v>
          </cell>
          <cell r="L482">
            <v>4.5279342222222194</v>
          </cell>
          <cell r="M482">
            <v>3124.2746133333312</v>
          </cell>
        </row>
        <row r="483">
          <cell r="A483" t="str">
            <v>A04</v>
          </cell>
          <cell r="B483" t="str">
            <v>Acarreo d&lt;1km (sin esponj)</v>
          </cell>
          <cell r="C483" t="str">
            <v>m3</v>
          </cell>
          <cell r="D483">
            <v>690</v>
          </cell>
          <cell r="E483">
            <v>1.25</v>
          </cell>
          <cell r="F483">
            <v>1.9444444444444441E-2</v>
          </cell>
          <cell r="G483">
            <v>0.102666666666667</v>
          </cell>
          <cell r="H483">
            <v>0.50555555555555498</v>
          </cell>
          <cell r="I483">
            <v>0</v>
          </cell>
          <cell r="J483">
            <v>0</v>
          </cell>
          <cell r="K483">
            <v>0.608222222222222</v>
          </cell>
          <cell r="L483">
            <v>0.7602777777777775</v>
          </cell>
          <cell r="M483">
            <v>524.59166666666647</v>
          </cell>
        </row>
        <row r="484">
          <cell r="A484" t="str">
            <v>A05</v>
          </cell>
          <cell r="B484" t="str">
            <v>Sobreacarreo (d&gt;1km) (sin esponj)</v>
          </cell>
          <cell r="C484" t="str">
            <v>m3-km</v>
          </cell>
          <cell r="D484">
            <v>4899</v>
          </cell>
          <cell r="E484">
            <v>1.25</v>
          </cell>
          <cell r="F484">
            <v>8.9285714285714263E-3</v>
          </cell>
          <cell r="G484">
            <v>4.7142857142857E-2</v>
          </cell>
          <cell r="H484">
            <v>0.23308571428571401</v>
          </cell>
          <cell r="I484">
            <v>0</v>
          </cell>
          <cell r="J484">
            <v>0</v>
          </cell>
          <cell r="K484">
            <v>0.28022857142857105</v>
          </cell>
          <cell r="L484">
            <v>0.35028571428571381</v>
          </cell>
          <cell r="M484">
            <v>1716.0497142857121</v>
          </cell>
        </row>
        <row r="485">
          <cell r="A485" t="str">
            <v>2.07.i</v>
          </cell>
          <cell r="B485" t="str">
            <v>Supply and Install Backfill Granular B to roads/yards</v>
          </cell>
          <cell r="C485" t="str">
            <v>m3</v>
          </cell>
          <cell r="D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</row>
        <row r="486">
          <cell r="A486" t="str">
            <v>A40</v>
          </cell>
          <cell r="B486" t="str">
            <v>Suministro de material granular B</v>
          </cell>
          <cell r="C486" t="str">
            <v>m3</v>
          </cell>
          <cell r="F486">
            <v>0</v>
          </cell>
          <cell r="G486">
            <v>0</v>
          </cell>
          <cell r="H486">
            <v>0</v>
          </cell>
          <cell r="I486">
            <v>2.85</v>
          </cell>
          <cell r="J486">
            <v>0</v>
          </cell>
          <cell r="K486">
            <v>2.85</v>
          </cell>
          <cell r="L486">
            <v>0</v>
          </cell>
          <cell r="M486">
            <v>0</v>
          </cell>
        </row>
        <row r="487">
          <cell r="A487" t="str">
            <v>A41</v>
          </cell>
          <cell r="B487" t="str">
            <v>Colocación y compactación Mat Granular B</v>
          </cell>
          <cell r="C487" t="str">
            <v>m3</v>
          </cell>
          <cell r="F487">
            <v>0.10416666666666666</v>
          </cell>
          <cell r="G487">
            <v>0.53187499999999999</v>
          </cell>
          <cell r="H487">
            <v>2.3804166666666702</v>
          </cell>
          <cell r="I487">
            <v>0</v>
          </cell>
          <cell r="J487">
            <v>0</v>
          </cell>
          <cell r="K487">
            <v>2.9122916666666701</v>
          </cell>
          <cell r="L487">
            <v>0</v>
          </cell>
          <cell r="M487">
            <v>0</v>
          </cell>
        </row>
        <row r="488">
          <cell r="A488" t="str">
            <v>A04</v>
          </cell>
          <cell r="B488" t="str">
            <v>Acarreo d&lt;1km (sin esponj)</v>
          </cell>
          <cell r="C488" t="str">
            <v>m3</v>
          </cell>
          <cell r="F488">
            <v>1.9444444444444441E-2</v>
          </cell>
          <cell r="G488">
            <v>0.102666666666667</v>
          </cell>
          <cell r="H488">
            <v>0.50555555555555498</v>
          </cell>
          <cell r="I488">
            <v>0</v>
          </cell>
          <cell r="J488">
            <v>0</v>
          </cell>
          <cell r="K488">
            <v>0.608222222222222</v>
          </cell>
          <cell r="L488">
            <v>0</v>
          </cell>
          <cell r="M488">
            <v>0</v>
          </cell>
        </row>
        <row r="489">
          <cell r="A489" t="str">
            <v>A05</v>
          </cell>
          <cell r="B489" t="str">
            <v>Sobreacarreo (d&gt;1km) (sin esponj)</v>
          </cell>
          <cell r="C489" t="str">
            <v>m3-km</v>
          </cell>
          <cell r="F489">
            <v>8.9285714285714263E-3</v>
          </cell>
          <cell r="G489">
            <v>4.7142857142857E-2</v>
          </cell>
          <cell r="H489">
            <v>0.23308571428571401</v>
          </cell>
          <cell r="I489">
            <v>0</v>
          </cell>
          <cell r="J489">
            <v>0</v>
          </cell>
          <cell r="K489">
            <v>0.28022857142857105</v>
          </cell>
          <cell r="L489">
            <v>0</v>
          </cell>
          <cell r="M489">
            <v>0</v>
          </cell>
        </row>
        <row r="490">
          <cell r="A490" t="str">
            <v>2.07.j</v>
          </cell>
          <cell r="B490" t="str">
            <v>Supply and Install Riprap-Geotextile-Bedding to ditches and slopes, including rock/earth excavation and shaping of the site</v>
          </cell>
          <cell r="C490" t="str">
            <v>Ls</v>
          </cell>
          <cell r="D490">
            <v>1</v>
          </cell>
          <cell r="F490">
            <v>2232.4164115648246</v>
          </cell>
          <cell r="G490">
            <v>7474.7057953443891</v>
          </cell>
          <cell r="H490">
            <v>7468.873153722483</v>
          </cell>
          <cell r="I490">
            <v>1388.6699014295357</v>
          </cell>
          <cell r="J490">
            <v>2957.3525678591964</v>
          </cell>
          <cell r="L490">
            <v>19289.599999999999</v>
          </cell>
          <cell r="M490">
            <v>19289.599999999999</v>
          </cell>
        </row>
        <row r="491">
          <cell r="A491" t="str">
            <v>A19</v>
          </cell>
          <cell r="B491" t="str">
            <v>Rip rap</v>
          </cell>
          <cell r="C491" t="str">
            <v>m3</v>
          </cell>
          <cell r="D491">
            <v>320</v>
          </cell>
          <cell r="E491">
            <v>1.0715045535721726</v>
          </cell>
          <cell r="F491">
            <v>2.7285714285714286</v>
          </cell>
          <cell r="G491">
            <v>8.8182857142857092</v>
          </cell>
          <cell r="H491">
            <v>4.8350057142857139</v>
          </cell>
          <cell r="I491">
            <v>2.85</v>
          </cell>
          <cell r="J491">
            <v>0</v>
          </cell>
          <cell r="K491">
            <v>16.503291428571423</v>
          </cell>
          <cell r="L491">
            <v>17.683351914642884</v>
          </cell>
          <cell r="M491">
            <v>5658.6726126857229</v>
          </cell>
        </row>
        <row r="492">
          <cell r="A492" t="str">
            <v>A20</v>
          </cell>
          <cell r="B492" t="str">
            <v>Geotextil 400g/m2 Non Woven</v>
          </cell>
          <cell r="C492" t="str">
            <v>m2</v>
          </cell>
          <cell r="D492">
            <v>480</v>
          </cell>
          <cell r="E492">
            <v>1.0715045535721726</v>
          </cell>
          <cell r="F492">
            <v>0.37356321839080464</v>
          </cell>
          <cell r="G492">
            <v>1.1715517241379301</v>
          </cell>
          <cell r="H492">
            <v>0.445182471264368</v>
          </cell>
          <cell r="I492">
            <v>0.8</v>
          </cell>
          <cell r="J492">
            <v>0</v>
          </cell>
          <cell r="K492">
            <v>2.4167341954022983</v>
          </cell>
          <cell r="L492">
            <v>2.5895416951471431</v>
          </cell>
          <cell r="M492">
            <v>1242.9800136706288</v>
          </cell>
        </row>
        <row r="493">
          <cell r="A493" t="str">
            <v>A21</v>
          </cell>
          <cell r="B493" t="str">
            <v>Excavación y perfilado de zanjas</v>
          </cell>
          <cell r="C493" t="str">
            <v>m3</v>
          </cell>
          <cell r="D493">
            <v>800</v>
          </cell>
          <cell r="E493">
            <v>1.0715045535721726</v>
          </cell>
          <cell r="F493">
            <v>1.2887346226726417</v>
          </cell>
          <cell r="G493">
            <v>4.4896263901299003</v>
          </cell>
          <cell r="H493">
            <v>6.5119556758310146</v>
          </cell>
          <cell r="I493">
            <v>0</v>
          </cell>
          <cell r="J493">
            <v>3.45</v>
          </cell>
          <cell r="K493">
            <v>14.451582065960915</v>
          </cell>
          <cell r="L493">
            <v>15.484935989999066</v>
          </cell>
          <cell r="M493">
            <v>12387.948791999253</v>
          </cell>
        </row>
        <row r="494">
          <cell r="A494" t="str">
            <v>2.07.k</v>
          </cell>
          <cell r="B494" t="str">
            <v>Supply and Install Gabions-Geotextile-Bedding-Concrete Facing, complete including rock/earth excavation shaping &amp; backfill of the site</v>
          </cell>
          <cell r="C494" t="str">
            <v>Ls</v>
          </cell>
          <cell r="D494">
            <v>1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L494">
            <v>0</v>
          </cell>
          <cell r="M494">
            <v>0</v>
          </cell>
        </row>
        <row r="495">
          <cell r="A495" t="str">
            <v>A22</v>
          </cell>
          <cell r="B495" t="str">
            <v>Supply and Install Granular A Surfacing to roads/yards</v>
          </cell>
          <cell r="C495" t="str">
            <v>m3</v>
          </cell>
          <cell r="F495">
            <v>0.47959325396825392</v>
          </cell>
          <cell r="G495">
            <v>1.9839190476190467</v>
          </cell>
          <cell r="H495">
            <v>5.7282700952380896</v>
          </cell>
          <cell r="I495">
            <v>3.5625</v>
          </cell>
          <cell r="J495">
            <v>0</v>
          </cell>
          <cell r="K495">
            <v>11.274689142857136</v>
          </cell>
          <cell r="L495">
            <v>0</v>
          </cell>
          <cell r="M495">
            <v>0</v>
          </cell>
        </row>
        <row r="496">
          <cell r="A496" t="str">
            <v>A23</v>
          </cell>
          <cell r="B496" t="str">
            <v>Concrete Lining</v>
          </cell>
          <cell r="C496" t="str">
            <v>m3</v>
          </cell>
          <cell r="F496">
            <v>14.282608695652174</v>
          </cell>
          <cell r="G496">
            <v>49.431086956521703</v>
          </cell>
          <cell r="H496">
            <v>4.9527137681159399</v>
          </cell>
          <cell r="I496">
            <v>60</v>
          </cell>
          <cell r="J496">
            <v>0</v>
          </cell>
          <cell r="K496">
            <v>114.38380072463765</v>
          </cell>
          <cell r="L496">
            <v>0</v>
          </cell>
          <cell r="M496">
            <v>0</v>
          </cell>
        </row>
        <row r="497">
          <cell r="A497" t="str">
            <v>A24</v>
          </cell>
          <cell r="B497" t="str">
            <v>Gavión</v>
          </cell>
          <cell r="C497" t="str">
            <v>m3</v>
          </cell>
          <cell r="F497">
            <v>1.7583333333333333</v>
          </cell>
          <cell r="G497">
            <v>6.2273333333333296</v>
          </cell>
          <cell r="H497">
            <v>7.133083333333337</v>
          </cell>
          <cell r="I497">
            <v>19.350000000000001</v>
          </cell>
          <cell r="J497">
            <v>0</v>
          </cell>
          <cell r="K497">
            <v>32.710416666666674</v>
          </cell>
          <cell r="L497">
            <v>0</v>
          </cell>
          <cell r="M497">
            <v>0</v>
          </cell>
        </row>
        <row r="498">
          <cell r="A498" t="str">
            <v>A21</v>
          </cell>
          <cell r="B498" t="str">
            <v>Excavación y perfilado de zanjas</v>
          </cell>
          <cell r="C498" t="str">
            <v>m3</v>
          </cell>
          <cell r="F498">
            <v>1.2887346226726417</v>
          </cell>
          <cell r="G498">
            <v>4.4896263901299003</v>
          </cell>
          <cell r="H498">
            <v>6.5119556758310146</v>
          </cell>
          <cell r="I498">
            <v>0</v>
          </cell>
          <cell r="J498">
            <v>3.45</v>
          </cell>
          <cell r="K498">
            <v>14.451582065960915</v>
          </cell>
          <cell r="L498">
            <v>0</v>
          </cell>
          <cell r="M498">
            <v>0</v>
          </cell>
        </row>
        <row r="499">
          <cell r="A499" t="str">
            <v>2.07.l</v>
          </cell>
          <cell r="B499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499" t="str">
            <v>Ls</v>
          </cell>
          <cell r="D499">
            <v>1</v>
          </cell>
          <cell r="F499">
            <v>9092.3287107135911</v>
          </cell>
          <cell r="G499">
            <v>30652.351470589267</v>
          </cell>
          <cell r="H499">
            <v>40673.517801128255</v>
          </cell>
          <cell r="I499">
            <v>34186.171894947176</v>
          </cell>
          <cell r="J499">
            <v>9985.4547848230868</v>
          </cell>
          <cell r="L499">
            <v>115497.5</v>
          </cell>
          <cell r="M499">
            <v>115497.5</v>
          </cell>
        </row>
        <row r="500">
          <cell r="A500" t="str">
            <v>A25</v>
          </cell>
          <cell r="B500" t="str">
            <v>Suministro y colocación de Grating</v>
          </cell>
          <cell r="C500" t="str">
            <v>m2</v>
          </cell>
          <cell r="F500">
            <v>1.75</v>
          </cell>
          <cell r="G500">
            <v>6.1725000000000003</v>
          </cell>
          <cell r="H500">
            <v>0.144125</v>
          </cell>
          <cell r="I500">
            <v>225</v>
          </cell>
          <cell r="J500">
            <v>0</v>
          </cell>
          <cell r="K500">
            <v>231.31662500000002</v>
          </cell>
          <cell r="L500">
            <v>0</v>
          </cell>
          <cell r="M500">
            <v>0</v>
          </cell>
        </row>
        <row r="501">
          <cell r="A501" t="str">
            <v>A26</v>
          </cell>
          <cell r="B501" t="str">
            <v>Suministro y colocación de Tapa metálica</v>
          </cell>
          <cell r="C501" t="str">
            <v>m2</v>
          </cell>
          <cell r="F501">
            <v>1.75</v>
          </cell>
          <cell r="G501">
            <v>6.1725000000000003</v>
          </cell>
          <cell r="H501">
            <v>0.144125</v>
          </cell>
          <cell r="I501">
            <v>300</v>
          </cell>
          <cell r="J501">
            <v>0</v>
          </cell>
          <cell r="K501">
            <v>306.31662499999999</v>
          </cell>
          <cell r="L501">
            <v>0</v>
          </cell>
          <cell r="M501">
            <v>0</v>
          </cell>
        </row>
        <row r="502">
          <cell r="A502" t="str">
            <v>A27</v>
          </cell>
          <cell r="B502" t="str">
            <v>Relleno estructural</v>
          </cell>
          <cell r="C502" t="str">
            <v>m3</v>
          </cell>
          <cell r="D502">
            <v>2500</v>
          </cell>
          <cell r="E502">
            <v>1.0300123559567886</v>
          </cell>
          <cell r="F502">
            <v>1.2875000000000001</v>
          </cell>
          <cell r="G502">
            <v>4.2321666666666697</v>
          </cell>
          <cell r="H502">
            <v>6.8350416666666636</v>
          </cell>
          <cell r="I502">
            <v>0</v>
          </cell>
          <cell r="J502">
            <v>0</v>
          </cell>
          <cell r="K502">
            <v>11.067208333333333</v>
          </cell>
          <cell r="L502">
            <v>11.399361329281271</v>
          </cell>
          <cell r="M502">
            <v>28498.40332320318</v>
          </cell>
        </row>
        <row r="503">
          <cell r="A503" t="str">
            <v>A28</v>
          </cell>
          <cell r="B503" t="str">
            <v>Bermas de Seguridad</v>
          </cell>
          <cell r="C503" t="str">
            <v>m3</v>
          </cell>
          <cell r="D503">
            <v>592</v>
          </cell>
          <cell r="E503">
            <v>1.0300123559567886</v>
          </cell>
          <cell r="F503">
            <v>0.1</v>
          </cell>
          <cell r="G503">
            <v>0.499</v>
          </cell>
          <cell r="H503">
            <v>3.5649500000000001</v>
          </cell>
          <cell r="I503">
            <v>2.85</v>
          </cell>
          <cell r="J503">
            <v>0</v>
          </cell>
          <cell r="K503">
            <v>6.9139499999999998</v>
          </cell>
          <cell r="L503">
            <v>7.1214539284674387</v>
          </cell>
          <cell r="M503">
            <v>4215.9007256527238</v>
          </cell>
        </row>
        <row r="504">
          <cell r="A504" t="str">
            <v>A45</v>
          </cell>
          <cell r="B504" t="str">
            <v>Cama de Arena</v>
          </cell>
          <cell r="C504" t="str">
            <v>m3</v>
          </cell>
          <cell r="D504">
            <v>36</v>
          </cell>
          <cell r="E504">
            <v>1.0300123559567886</v>
          </cell>
          <cell r="F504">
            <v>1.3416666666666666</v>
          </cell>
          <cell r="G504">
            <v>4.5181666666666702</v>
          </cell>
          <cell r="H504">
            <v>8.3767083333333332</v>
          </cell>
          <cell r="I504">
            <v>3.1349999999999998</v>
          </cell>
          <cell r="J504">
            <v>0</v>
          </cell>
          <cell r="K504">
            <v>16.029875000000004</v>
          </cell>
          <cell r="L504">
            <v>16.510969314442832</v>
          </cell>
          <cell r="M504">
            <v>594.39489531994195</v>
          </cell>
        </row>
        <row r="505">
          <cell r="A505" t="str">
            <v>A30</v>
          </cell>
          <cell r="B505" t="str">
            <v>Concreto reforzado</v>
          </cell>
          <cell r="C505" t="str">
            <v>m3</v>
          </cell>
          <cell r="F505">
            <v>16.2</v>
          </cell>
          <cell r="G505">
            <v>56.207999999999998</v>
          </cell>
          <cell r="H505">
            <v>3.9517333333333298</v>
          </cell>
          <cell r="I505">
            <v>116.16</v>
          </cell>
          <cell r="J505">
            <v>0</v>
          </cell>
          <cell r="K505">
            <v>176.31973333333332</v>
          </cell>
          <cell r="L505">
            <v>0</v>
          </cell>
          <cell r="M505">
            <v>0</v>
          </cell>
        </row>
        <row r="506">
          <cell r="A506" t="str">
            <v>A31</v>
          </cell>
          <cell r="B506" t="str">
            <v>Alcantarillas 800mm</v>
          </cell>
          <cell r="C506" t="str">
            <v>ml</v>
          </cell>
          <cell r="F506">
            <v>8</v>
          </cell>
          <cell r="G506">
            <v>25.88</v>
          </cell>
          <cell r="H506">
            <v>1.294</v>
          </cell>
          <cell r="I506">
            <v>60</v>
          </cell>
          <cell r="J506">
            <v>0</v>
          </cell>
          <cell r="K506">
            <v>87.173999999999992</v>
          </cell>
          <cell r="L506">
            <v>0</v>
          </cell>
          <cell r="M506">
            <v>0</v>
          </cell>
        </row>
        <row r="507">
          <cell r="A507" t="str">
            <v>A32</v>
          </cell>
          <cell r="B507" t="str">
            <v>Alcantarillas 600mm</v>
          </cell>
          <cell r="C507" t="str">
            <v>ml</v>
          </cell>
          <cell r="F507">
            <v>6.666666666666667</v>
          </cell>
          <cell r="G507">
            <v>21.566666666666698</v>
          </cell>
          <cell r="H507">
            <v>1.07833333333333</v>
          </cell>
          <cell r="I507">
            <v>50</v>
          </cell>
          <cell r="J507">
            <v>0</v>
          </cell>
          <cell r="K507">
            <v>72.645000000000024</v>
          </cell>
          <cell r="L507">
            <v>0</v>
          </cell>
          <cell r="M507">
            <v>0</v>
          </cell>
        </row>
        <row r="508">
          <cell r="A508" t="str">
            <v>A33</v>
          </cell>
          <cell r="B508" t="str">
            <v>Alcantarillas 1350mm</v>
          </cell>
          <cell r="C508" t="str">
            <v>ml</v>
          </cell>
          <cell r="F508">
            <v>12.5</v>
          </cell>
          <cell r="G508">
            <v>39.924999999999997</v>
          </cell>
          <cell r="H508">
            <v>1.9962500000000001</v>
          </cell>
          <cell r="I508">
            <v>160</v>
          </cell>
          <cell r="J508">
            <v>0</v>
          </cell>
          <cell r="K508">
            <v>201.92125000000001</v>
          </cell>
          <cell r="L508">
            <v>0</v>
          </cell>
          <cell r="M508">
            <v>0</v>
          </cell>
        </row>
        <row r="509">
          <cell r="A509" t="str">
            <v>A34</v>
          </cell>
          <cell r="B509" t="str">
            <v>Alcantarillas 1000mm</v>
          </cell>
          <cell r="C509" t="str">
            <v>ml</v>
          </cell>
          <cell r="F509">
            <v>8.8888888888888893</v>
          </cell>
          <cell r="G509">
            <v>28.755555555555599</v>
          </cell>
          <cell r="H509">
            <v>1.43777777777778</v>
          </cell>
          <cell r="I509">
            <v>78</v>
          </cell>
          <cell r="J509">
            <v>0</v>
          </cell>
          <cell r="K509">
            <v>108.19333333333338</v>
          </cell>
          <cell r="L509">
            <v>0</v>
          </cell>
          <cell r="M509">
            <v>0</v>
          </cell>
        </row>
        <row r="510">
          <cell r="A510" t="str">
            <v>A35</v>
          </cell>
          <cell r="B510" t="str">
            <v>Alcantarillas 1600mm</v>
          </cell>
          <cell r="C510" t="str">
            <v>ml</v>
          </cell>
          <cell r="D510">
            <v>146</v>
          </cell>
          <cell r="E510">
            <v>1.0300123559567886</v>
          </cell>
          <cell r="F510">
            <v>12.5</v>
          </cell>
          <cell r="G510">
            <v>39.924999999999997</v>
          </cell>
          <cell r="H510">
            <v>1.9962500000000001</v>
          </cell>
          <cell r="I510">
            <v>215</v>
          </cell>
          <cell r="J510">
            <v>0</v>
          </cell>
          <cell r="K510">
            <v>256.92124999999999</v>
          </cell>
          <cell r="L510">
            <v>264.63206200786306</v>
          </cell>
          <cell r="M510">
            <v>38636.281053148006</v>
          </cell>
        </row>
        <row r="511">
          <cell r="A511" t="str">
            <v>A36</v>
          </cell>
          <cell r="B511" t="str">
            <v>Tubería para buzón CMP 2000mm Diam</v>
          </cell>
          <cell r="C511" t="str">
            <v>ml</v>
          </cell>
          <cell r="F511">
            <v>20</v>
          </cell>
          <cell r="G511">
            <v>63.3333333333333</v>
          </cell>
          <cell r="H511">
            <v>3.1666666666666701</v>
          </cell>
          <cell r="I511">
            <v>335</v>
          </cell>
          <cell r="J511">
            <v>0</v>
          </cell>
          <cell r="K511">
            <v>401.5</v>
          </cell>
          <cell r="L511">
            <v>0</v>
          </cell>
          <cell r="M511">
            <v>0</v>
          </cell>
        </row>
        <row r="512">
          <cell r="A512" t="str">
            <v>A37</v>
          </cell>
          <cell r="B512" t="str">
            <v>Alcantarillas 300mm</v>
          </cell>
          <cell r="F512">
            <v>6.666666666666667</v>
          </cell>
          <cell r="G512">
            <v>21.566666666666698</v>
          </cell>
          <cell r="H512">
            <v>1.07833333333333</v>
          </cell>
          <cell r="I512">
            <v>26</v>
          </cell>
          <cell r="J512">
            <v>0</v>
          </cell>
          <cell r="K512">
            <v>48.645000000000032</v>
          </cell>
          <cell r="L512">
            <v>0</v>
          </cell>
          <cell r="M512">
            <v>0</v>
          </cell>
        </row>
        <row r="513">
          <cell r="A513" t="str">
            <v>A20</v>
          </cell>
          <cell r="B513" t="str">
            <v>Geotextil 400g/m2 Non Woven</v>
          </cell>
          <cell r="C513" t="str">
            <v>m2</v>
          </cell>
          <cell r="F513">
            <v>0.37356321839080464</v>
          </cell>
          <cell r="G513">
            <v>1.1715517241379301</v>
          </cell>
          <cell r="H513">
            <v>0.445182471264368</v>
          </cell>
          <cell r="I513">
            <v>0.8</v>
          </cell>
          <cell r="J513">
            <v>0</v>
          </cell>
          <cell r="K513">
            <v>2.4167341954022983</v>
          </cell>
          <cell r="L513">
            <v>0</v>
          </cell>
          <cell r="M513">
            <v>0</v>
          </cell>
        </row>
        <row r="514">
          <cell r="A514" t="str">
            <v>A38</v>
          </cell>
          <cell r="B514" t="str">
            <v>Excavación y eliminación de material para cunetas en roca</v>
          </cell>
          <cell r="C514" t="str">
            <v>m3</v>
          </cell>
          <cell r="F514">
            <v>0.28461538461538466</v>
          </cell>
          <cell r="G514">
            <v>1.41576923076923</v>
          </cell>
          <cell r="H514">
            <v>7.0169423076923119</v>
          </cell>
          <cell r="I514">
            <v>0</v>
          </cell>
          <cell r="J514">
            <v>11.5</v>
          </cell>
          <cell r="K514">
            <v>19.932711538461543</v>
          </cell>
          <cell r="L514">
            <v>0</v>
          </cell>
          <cell r="M514">
            <v>0</v>
          </cell>
        </row>
        <row r="515">
          <cell r="A515" t="str">
            <v>A39</v>
          </cell>
          <cell r="B515" t="str">
            <v>Excavación y eliminación de material para cunetas en suelo común</v>
          </cell>
          <cell r="C515" t="str">
            <v>m3</v>
          </cell>
          <cell r="D515">
            <v>280</v>
          </cell>
          <cell r="E515">
            <v>1.0300123559567886</v>
          </cell>
          <cell r="F515">
            <v>0.1957264957264957</v>
          </cell>
          <cell r="G515">
            <v>0.98510256410256403</v>
          </cell>
          <cell r="H515">
            <v>4.9954089743589778</v>
          </cell>
          <cell r="I515">
            <v>0</v>
          </cell>
          <cell r="J515">
            <v>0</v>
          </cell>
          <cell r="K515">
            <v>5.9805115384615419</v>
          </cell>
          <cell r="L515">
            <v>6.1600007795575316</v>
          </cell>
          <cell r="M515">
            <v>1724.8002182761088</v>
          </cell>
        </row>
        <row r="516">
          <cell r="A516" t="str">
            <v>A21</v>
          </cell>
          <cell r="B516" t="str">
            <v>Excavación y perfilado de zanjas</v>
          </cell>
          <cell r="C516" t="str">
            <v>m3</v>
          </cell>
          <cell r="D516">
            <v>2810</v>
          </cell>
          <cell r="E516">
            <v>1.0300123559567886</v>
          </cell>
          <cell r="F516">
            <v>1.2887346226726417</v>
          </cell>
          <cell r="G516">
            <v>4.4896263901299003</v>
          </cell>
          <cell r="H516">
            <v>6.5119556758310146</v>
          </cell>
          <cell r="I516">
            <v>0</v>
          </cell>
          <cell r="J516">
            <v>3.45</v>
          </cell>
          <cell r="K516">
            <v>14.451582065960915</v>
          </cell>
          <cell r="L516">
            <v>14.885308091063276</v>
          </cell>
          <cell r="M516">
            <v>41827.715735887803</v>
          </cell>
        </row>
        <row r="517">
          <cell r="A517" t="str">
            <v>2.08</v>
          </cell>
          <cell r="B517" t="str">
            <v>ARD COLLECTION POND ACCESS ROAD</v>
          </cell>
        </row>
        <row r="518">
          <cell r="A518" t="str">
            <v>2.08.a</v>
          </cell>
          <cell r="B518" t="str">
            <v>Clear and Grub</v>
          </cell>
          <cell r="C518" t="str">
            <v>Ls</v>
          </cell>
        </row>
        <row r="519">
          <cell r="A519" t="str">
            <v>2.08.b</v>
          </cell>
          <cell r="B519" t="str">
            <v>Cut unsuitable soil to waste (includes organic soil)</v>
          </cell>
          <cell r="C519" t="str">
            <v>m3</v>
          </cell>
          <cell r="D519">
            <v>1600</v>
          </cell>
          <cell r="F519">
            <v>133.9194139194139</v>
          </cell>
          <cell r="G519">
            <v>0.43571978021978053</v>
          </cell>
          <cell r="H519">
            <v>2.7339028388278366</v>
          </cell>
          <cell r="I519">
            <v>0</v>
          </cell>
          <cell r="J519">
            <v>0</v>
          </cell>
          <cell r="L519">
            <v>3.17</v>
          </cell>
          <cell r="M519">
            <v>5072</v>
          </cell>
        </row>
        <row r="520">
          <cell r="A520" t="str">
            <v>A01</v>
          </cell>
          <cell r="B520" t="str">
            <v>Excavación de Topsoil y Unsuitable (e&gt;1m)</v>
          </cell>
          <cell r="C520" t="str">
            <v>m3</v>
          </cell>
          <cell r="E520">
            <v>1</v>
          </cell>
          <cell r="F520">
            <v>1.7142857142857144E-2</v>
          </cell>
          <cell r="G520">
            <v>8.5542857142857004E-2</v>
          </cell>
          <cell r="H520">
            <v>0.81924857142857199</v>
          </cell>
          <cell r="I520">
            <v>0</v>
          </cell>
          <cell r="J520">
            <v>0</v>
          </cell>
          <cell r="K520">
            <v>0.90479142857142902</v>
          </cell>
          <cell r="L520">
            <v>0.90479142857142902</v>
          </cell>
          <cell r="M520">
            <v>0</v>
          </cell>
        </row>
        <row r="521">
          <cell r="A521" t="str">
            <v>A02</v>
          </cell>
          <cell r="B521" t="str">
            <v>Excavación de Topsoil y Unsuitable (e&lt;1m)</v>
          </cell>
          <cell r="C521" t="str">
            <v>m3</v>
          </cell>
          <cell r="D521">
            <v>1600</v>
          </cell>
          <cell r="E521">
            <v>1</v>
          </cell>
          <cell r="F521">
            <v>1.4285714285714285E-2</v>
          </cell>
          <cell r="G521">
            <v>6.9214285714286006E-2</v>
          </cell>
          <cell r="H521">
            <v>0.57488928571428499</v>
          </cell>
          <cell r="I521">
            <v>0</v>
          </cell>
          <cell r="J521">
            <v>0</v>
          </cell>
          <cell r="K521">
            <v>0.644103571428571</v>
          </cell>
          <cell r="L521">
            <v>0.644103571428571</v>
          </cell>
          <cell r="M521">
            <v>1030.5657142857135</v>
          </cell>
        </row>
        <row r="522">
          <cell r="A522" t="str">
            <v>A03</v>
          </cell>
          <cell r="B522" t="str">
            <v>Carguío de Topsoil &amp; Unsuitable con excavadora</v>
          </cell>
          <cell r="C522" t="str">
            <v>m3</v>
          </cell>
          <cell r="D522">
            <v>1600</v>
          </cell>
          <cell r="E522">
            <v>1</v>
          </cell>
          <cell r="F522">
            <v>1.3461538461538462E-2</v>
          </cell>
          <cell r="G522">
            <v>7.1076923076922996E-2</v>
          </cell>
          <cell r="H522">
            <v>0.70142307692307704</v>
          </cell>
          <cell r="I522">
            <v>0</v>
          </cell>
          <cell r="J522">
            <v>0</v>
          </cell>
          <cell r="K522">
            <v>0.77250000000000008</v>
          </cell>
          <cell r="L522">
            <v>0.77250000000000008</v>
          </cell>
          <cell r="M522">
            <v>1236.0000000000002</v>
          </cell>
        </row>
        <row r="523">
          <cell r="A523" t="str">
            <v>A04</v>
          </cell>
          <cell r="B523" t="str">
            <v>Acarreo d&lt;1km (sin esponj)</v>
          </cell>
          <cell r="C523" t="str">
            <v>m3</v>
          </cell>
          <cell r="D523">
            <v>1600</v>
          </cell>
          <cell r="E523">
            <v>1.5</v>
          </cell>
          <cell r="F523">
            <v>1.9444444444444441E-2</v>
          </cell>
          <cell r="G523">
            <v>0.102666666666667</v>
          </cell>
          <cell r="H523">
            <v>0.50555555555555498</v>
          </cell>
          <cell r="I523">
            <v>0</v>
          </cell>
          <cell r="J523">
            <v>0</v>
          </cell>
          <cell r="K523">
            <v>0.608222222222222</v>
          </cell>
          <cell r="L523">
            <v>0.912333333333333</v>
          </cell>
          <cell r="M523">
            <v>1459.7333333333329</v>
          </cell>
        </row>
        <row r="524">
          <cell r="A524" t="str">
            <v>A05</v>
          </cell>
          <cell r="B524" t="str">
            <v>Sobreacarreo (d&gt;1km) (sin esponj)</v>
          </cell>
          <cell r="C524" t="str">
            <v>m3-km</v>
          </cell>
          <cell r="D524">
            <v>3200</v>
          </cell>
          <cell r="E524">
            <v>1.5</v>
          </cell>
          <cell r="F524">
            <v>8.9285714285714263E-3</v>
          </cell>
          <cell r="G524">
            <v>4.7142857142857E-2</v>
          </cell>
          <cell r="H524">
            <v>0.23308571428571401</v>
          </cell>
          <cell r="I524">
            <v>0</v>
          </cell>
          <cell r="J524">
            <v>0</v>
          </cell>
          <cell r="K524">
            <v>0.28022857142857105</v>
          </cell>
          <cell r="L524">
            <v>0.42034285714285657</v>
          </cell>
          <cell r="M524">
            <v>1345.0971428571411</v>
          </cell>
        </row>
        <row r="525">
          <cell r="A525" t="str">
            <v>2.08.c</v>
          </cell>
          <cell r="B525" t="str">
            <v>Cut and Fill Soil or Ripable Rock, within sub-Item work zone</v>
          </cell>
          <cell r="C525" t="str">
            <v>m3</v>
          </cell>
          <cell r="D525">
            <v>2400</v>
          </cell>
          <cell r="F525">
            <v>239.5</v>
          </cell>
          <cell r="G525">
            <v>0.50487812499999996</v>
          </cell>
          <cell r="H525">
            <v>4.059882239583338</v>
          </cell>
          <cell r="I525">
            <v>0</v>
          </cell>
          <cell r="J525">
            <v>0</v>
          </cell>
          <cell r="L525">
            <v>4.5599999999999996</v>
          </cell>
          <cell r="M525">
            <v>10944</v>
          </cell>
        </row>
        <row r="526">
          <cell r="A526" t="str">
            <v>A06</v>
          </cell>
          <cell r="B526" t="str">
            <v>Excavación de roca ripeable</v>
          </cell>
          <cell r="C526" t="str">
            <v>m3</v>
          </cell>
          <cell r="D526">
            <v>2400</v>
          </cell>
          <cell r="E526">
            <v>1.25</v>
          </cell>
          <cell r="F526">
            <v>3.3333333333333333E-2</v>
          </cell>
          <cell r="G526">
            <v>0.16439999999999999</v>
          </cell>
          <cell r="H526">
            <v>1.5519306666666701</v>
          </cell>
          <cell r="I526">
            <v>0</v>
          </cell>
          <cell r="J526">
            <v>0</v>
          </cell>
          <cell r="K526">
            <v>1.7163306666666702</v>
          </cell>
          <cell r="L526">
            <v>2.1454133333333378</v>
          </cell>
          <cell r="M526">
            <v>5148.9920000000111</v>
          </cell>
        </row>
        <row r="527">
          <cell r="A527" t="str">
            <v>A07</v>
          </cell>
          <cell r="B527" t="str">
            <v>Empuje de material d&lt;60m</v>
          </cell>
          <cell r="C527" t="str">
            <v>m3</v>
          </cell>
          <cell r="D527">
            <v>2400</v>
          </cell>
          <cell r="E527">
            <v>1.25</v>
          </cell>
          <cell r="F527">
            <v>1.2500000000000001E-2</v>
          </cell>
          <cell r="G527">
            <v>6.0562499999999998E-2</v>
          </cell>
          <cell r="H527">
            <v>0.50302812500000005</v>
          </cell>
          <cell r="I527">
            <v>0</v>
          </cell>
          <cell r="J527">
            <v>0</v>
          </cell>
          <cell r="K527">
            <v>0.56359062500000001</v>
          </cell>
          <cell r="L527">
            <v>0.70448828124999996</v>
          </cell>
          <cell r="M527">
            <v>1690.7718749999999</v>
          </cell>
        </row>
        <row r="528">
          <cell r="A528" t="str">
            <v>A08</v>
          </cell>
          <cell r="B528" t="str">
            <v>Relleno masivo compactado</v>
          </cell>
          <cell r="C528" t="str">
            <v>m3</v>
          </cell>
          <cell r="D528">
            <v>2400</v>
          </cell>
          <cell r="E528">
            <v>1</v>
          </cell>
          <cell r="F528">
            <v>4.2499999999999996E-2</v>
          </cell>
          <cell r="G528">
            <v>0.22367500000000001</v>
          </cell>
          <cell r="H528">
            <v>1.49118375</v>
          </cell>
          <cell r="I528">
            <v>0</v>
          </cell>
          <cell r="J528">
            <v>0</v>
          </cell>
          <cell r="K528">
            <v>1.7148587500000001</v>
          </cell>
          <cell r="L528">
            <v>1.7148587500000001</v>
          </cell>
          <cell r="M528">
            <v>4115.6610000000001</v>
          </cell>
        </row>
        <row r="529">
          <cell r="A529" t="str">
            <v>2.08.d</v>
          </cell>
          <cell r="B529" t="str">
            <v xml:space="preserve">Cut and Fill Soil or Ripable Rock to Other sub-Item work zone, within 2000m </v>
          </cell>
          <cell r="C529" t="str">
            <v>m3</v>
          </cell>
          <cell r="D529">
            <v>200</v>
          </cell>
          <cell r="F529">
            <v>28.316031746031744</v>
          </cell>
          <cell r="G529">
            <v>0.73288373809523832</v>
          </cell>
          <cell r="H529">
            <v>5.3637957034127011</v>
          </cell>
          <cell r="I529">
            <v>0</v>
          </cell>
          <cell r="J529">
            <v>0</v>
          </cell>
          <cell r="L529">
            <v>6.1</v>
          </cell>
          <cell r="M529">
            <v>1220</v>
          </cell>
        </row>
        <row r="530">
          <cell r="A530" t="str">
            <v>A06</v>
          </cell>
          <cell r="B530" t="str">
            <v>Excavación de roca ripeable</v>
          </cell>
          <cell r="C530" t="str">
            <v>m3</v>
          </cell>
          <cell r="D530">
            <v>200</v>
          </cell>
          <cell r="E530">
            <v>1.1950000000000001</v>
          </cell>
          <cell r="F530">
            <v>3.3333333333333333E-2</v>
          </cell>
          <cell r="G530">
            <v>0.16439999999999999</v>
          </cell>
          <cell r="H530">
            <v>1.5519306666666701</v>
          </cell>
          <cell r="I530">
            <v>0</v>
          </cell>
          <cell r="J530">
            <v>0</v>
          </cell>
          <cell r="K530">
            <v>1.7163306666666702</v>
          </cell>
          <cell r="L530">
            <v>2.0510151466666708</v>
          </cell>
          <cell r="M530">
            <v>410.20302933333414</v>
          </cell>
        </row>
        <row r="531">
          <cell r="A531" t="str">
            <v>A09</v>
          </cell>
          <cell r="B531" t="str">
            <v>Carguío de material común &amp; roca ripeable con excavadora</v>
          </cell>
          <cell r="C531" t="str">
            <v>m3</v>
          </cell>
          <cell r="D531">
            <v>200</v>
          </cell>
          <cell r="E531">
            <v>1.2</v>
          </cell>
          <cell r="F531">
            <v>8.0000000000000002E-3</v>
          </cell>
          <cell r="G531">
            <v>4.224E-2</v>
          </cell>
          <cell r="H531">
            <v>0.57259199999999999</v>
          </cell>
          <cell r="I531">
            <v>0</v>
          </cell>
          <cell r="J531">
            <v>0</v>
          </cell>
          <cell r="K531">
            <v>0.61483199999999993</v>
          </cell>
          <cell r="L531">
            <v>0.73779839999999985</v>
          </cell>
          <cell r="M531">
            <v>147.55967999999996</v>
          </cell>
        </row>
        <row r="532">
          <cell r="A532" t="str">
            <v>A08</v>
          </cell>
          <cell r="B532" t="str">
            <v>Relleno masivo compactado</v>
          </cell>
          <cell r="C532" t="str">
            <v>m3</v>
          </cell>
          <cell r="D532">
            <v>200</v>
          </cell>
          <cell r="E532">
            <v>1.1000000000000001</v>
          </cell>
          <cell r="F532">
            <v>4.2499999999999996E-2</v>
          </cell>
          <cell r="G532">
            <v>0.22367500000000001</v>
          </cell>
          <cell r="H532">
            <v>1.49118375</v>
          </cell>
          <cell r="I532">
            <v>0</v>
          </cell>
          <cell r="J532">
            <v>0</v>
          </cell>
          <cell r="K532">
            <v>1.7148587500000001</v>
          </cell>
          <cell r="L532">
            <v>1.8863446250000002</v>
          </cell>
          <cell r="M532">
            <v>377.26892500000002</v>
          </cell>
        </row>
        <row r="533">
          <cell r="A533" t="str">
            <v>A04</v>
          </cell>
          <cell r="B533" t="str">
            <v>Acarreo d&lt;1km (sin esponj)</v>
          </cell>
          <cell r="C533" t="str">
            <v>m3</v>
          </cell>
          <cell r="D533">
            <v>200</v>
          </cell>
          <cell r="E533">
            <v>1.6</v>
          </cell>
          <cell r="F533">
            <v>1.9444444444444441E-2</v>
          </cell>
          <cell r="G533">
            <v>0.102666666666667</v>
          </cell>
          <cell r="H533">
            <v>0.50555555555555498</v>
          </cell>
          <cell r="I533">
            <v>0</v>
          </cell>
          <cell r="J533">
            <v>0</v>
          </cell>
          <cell r="K533">
            <v>0.608222222222222</v>
          </cell>
          <cell r="L533">
            <v>0.97315555555555522</v>
          </cell>
          <cell r="M533">
            <v>194.63111111111104</v>
          </cell>
        </row>
        <row r="534">
          <cell r="A534" t="str">
            <v>A05</v>
          </cell>
          <cell r="B534" t="str">
            <v>Sobreacarreo (d&gt;1km) (sin esponj)</v>
          </cell>
          <cell r="C534" t="str">
            <v>m3-km</v>
          </cell>
          <cell r="D534">
            <v>200</v>
          </cell>
          <cell r="E534">
            <v>1.6</v>
          </cell>
          <cell r="F534">
            <v>8.9285714285714263E-3</v>
          </cell>
          <cell r="G534">
            <v>4.7142857142857E-2</v>
          </cell>
          <cell r="H534">
            <v>0.23308571428571401</v>
          </cell>
          <cell r="I534">
            <v>0</v>
          </cell>
          <cell r="J534">
            <v>0</v>
          </cell>
          <cell r="K534">
            <v>0.28022857142857105</v>
          </cell>
          <cell r="L534">
            <v>0.4483657142857137</v>
          </cell>
          <cell r="M534">
            <v>89.673142857142736</v>
          </cell>
        </row>
        <row r="535">
          <cell r="A535" t="str">
            <v>2.08.e</v>
          </cell>
          <cell r="B535" t="str">
            <v>Drill and blast bulk rock (without limit on thickness, to fine or coarse fragments as required depending on end-use Applies to locations other than trenches and ditches).</v>
          </cell>
          <cell r="C535" t="str">
            <v>m3</v>
          </cell>
          <cell r="D535">
            <v>2500</v>
          </cell>
          <cell r="F535">
            <v>191.2169404186796</v>
          </cell>
          <cell r="G535">
            <v>0</v>
          </cell>
          <cell r="H535">
            <v>0</v>
          </cell>
          <cell r="I535">
            <v>0</v>
          </cell>
          <cell r="J535">
            <v>2.8015826000000001</v>
          </cell>
          <cell r="L535">
            <v>2.8</v>
          </cell>
          <cell r="M535">
            <v>7000</v>
          </cell>
        </row>
        <row r="536">
          <cell r="A536" t="str">
            <v>A11</v>
          </cell>
          <cell r="B536" t="str">
            <v>Perforación y voladura masiva (material fino)</v>
          </cell>
          <cell r="C536" t="str">
            <v>m3</v>
          </cell>
          <cell r="D536">
            <v>2500</v>
          </cell>
          <cell r="E536">
            <v>0.28667000000000004</v>
          </cell>
          <cell r="F536">
            <v>7.4718196457326899E-2</v>
          </cell>
          <cell r="G536">
            <v>0</v>
          </cell>
          <cell r="H536">
            <v>0</v>
          </cell>
          <cell r="I536">
            <v>0</v>
          </cell>
          <cell r="J536">
            <v>2.78</v>
          </cell>
          <cell r="K536">
            <v>2.78</v>
          </cell>
          <cell r="L536">
            <v>0.79694260000000006</v>
          </cell>
          <cell r="M536">
            <v>1992.3565000000001</v>
          </cell>
        </row>
        <row r="537">
          <cell r="A537" t="str">
            <v>A12</v>
          </cell>
          <cell r="B537" t="str">
            <v>Perforación y voladura masiva (material grueso)</v>
          </cell>
          <cell r="C537" t="str">
            <v>m3</v>
          </cell>
          <cell r="D537">
            <v>2500</v>
          </cell>
          <cell r="E537">
            <v>0.73699999999999999</v>
          </cell>
          <cell r="F537">
            <v>7.4718196457326899E-2</v>
          </cell>
          <cell r="G537">
            <v>0</v>
          </cell>
          <cell r="H537">
            <v>0</v>
          </cell>
          <cell r="I537">
            <v>0</v>
          </cell>
          <cell r="J537">
            <v>2.72</v>
          </cell>
          <cell r="K537">
            <v>2.72</v>
          </cell>
          <cell r="L537">
            <v>2.0046400000000002</v>
          </cell>
          <cell r="M537">
            <v>5011.6000000000004</v>
          </cell>
        </row>
        <row r="538">
          <cell r="A538" t="str">
            <v>2.08.f</v>
          </cell>
          <cell r="B538" t="str">
            <v xml:space="preserve">Excavate and Fill (fine blasted) broken rock </v>
          </cell>
          <cell r="C538" t="str">
            <v>m3</v>
          </cell>
          <cell r="D538">
            <v>200</v>
          </cell>
          <cell r="F538">
            <v>17.029199999999999</v>
          </cell>
          <cell r="G538">
            <v>0.43448479000000001</v>
          </cell>
          <cell r="H538">
            <v>3.3717705755000003</v>
          </cell>
          <cell r="I538">
            <v>0</v>
          </cell>
          <cell r="J538">
            <v>0</v>
          </cell>
          <cell r="L538">
            <v>3.81</v>
          </cell>
          <cell r="M538">
            <v>762</v>
          </cell>
        </row>
        <row r="539">
          <cell r="A539" t="str">
            <v>A13</v>
          </cell>
          <cell r="B539" t="str">
            <v>Remoción de Material fino volado</v>
          </cell>
          <cell r="C539" t="str">
            <v>m3</v>
          </cell>
          <cell r="D539">
            <v>200</v>
          </cell>
          <cell r="E539">
            <v>1.204</v>
          </cell>
          <cell r="F539">
            <v>2.4E-2</v>
          </cell>
          <cell r="G539">
            <v>0.11976000000000001</v>
          </cell>
          <cell r="H539">
            <v>1.1023720000000001</v>
          </cell>
          <cell r="I539">
            <v>0</v>
          </cell>
          <cell r="J539">
            <v>0</v>
          </cell>
          <cell r="K539">
            <v>1.2221320000000002</v>
          </cell>
          <cell r="L539">
            <v>1.4714469280000002</v>
          </cell>
          <cell r="M539">
            <v>294.28938560000006</v>
          </cell>
        </row>
        <row r="540">
          <cell r="A540" t="str">
            <v>A07</v>
          </cell>
          <cell r="B540" t="str">
            <v>Empuje de material d&lt;60m</v>
          </cell>
          <cell r="C540" t="str">
            <v>m3</v>
          </cell>
          <cell r="D540">
            <v>200</v>
          </cell>
          <cell r="E540">
            <v>1.1000000000000001</v>
          </cell>
          <cell r="F540">
            <v>1.2500000000000001E-2</v>
          </cell>
          <cell r="G540">
            <v>6.0562499999999998E-2</v>
          </cell>
          <cell r="H540">
            <v>0.50302812500000005</v>
          </cell>
          <cell r="I540">
            <v>0</v>
          </cell>
          <cell r="J540">
            <v>0</v>
          </cell>
          <cell r="K540">
            <v>0.56359062500000001</v>
          </cell>
          <cell r="L540">
            <v>0.61994968750000001</v>
          </cell>
          <cell r="M540">
            <v>123.9899375</v>
          </cell>
        </row>
        <row r="541">
          <cell r="A541" t="str">
            <v>A08</v>
          </cell>
          <cell r="B541" t="str">
            <v>Relleno masivo compactado</v>
          </cell>
          <cell r="C541" t="str">
            <v>m3</v>
          </cell>
          <cell r="D541">
            <v>200</v>
          </cell>
          <cell r="E541">
            <v>1</v>
          </cell>
          <cell r="F541">
            <v>4.2499999999999996E-2</v>
          </cell>
          <cell r="G541">
            <v>0.22367500000000001</v>
          </cell>
          <cell r="H541">
            <v>1.49118375</v>
          </cell>
          <cell r="I541">
            <v>0</v>
          </cell>
          <cell r="J541">
            <v>0</v>
          </cell>
          <cell r="K541">
            <v>1.7148587500000001</v>
          </cell>
          <cell r="L541">
            <v>1.7148587500000001</v>
          </cell>
          <cell r="M541">
            <v>342.97175000000004</v>
          </cell>
        </row>
        <row r="542">
          <cell r="A542" t="str">
            <v>2.08.g</v>
          </cell>
          <cell r="B542" t="str">
            <v>Excavate (fine or coarse blasted) Broken Rock, Fill Soil or Ripable Rock to Other sub-Item work zone, within 2000m</v>
          </cell>
          <cell r="C542" t="str">
            <v>m3</v>
          </cell>
          <cell r="D542">
            <v>2300</v>
          </cell>
          <cell r="F542">
            <v>167.61930783242258</v>
          </cell>
          <cell r="G542">
            <v>0.37754562841530065</v>
          </cell>
          <cell r="H542">
            <v>2.7364282149362498</v>
          </cell>
          <cell r="I542">
            <v>0</v>
          </cell>
          <cell r="J542">
            <v>0</v>
          </cell>
          <cell r="L542">
            <v>3.11</v>
          </cell>
          <cell r="M542">
            <v>7153</v>
          </cell>
        </row>
        <row r="543">
          <cell r="A543" t="str">
            <v>A14</v>
          </cell>
          <cell r="B543" t="str">
            <v>Remoción de Material grueso volado</v>
          </cell>
          <cell r="C543" t="str">
            <v>m3</v>
          </cell>
          <cell r="D543">
            <v>2300</v>
          </cell>
          <cell r="E543">
            <v>1</v>
          </cell>
          <cell r="F543">
            <v>2.5000000000000001E-2</v>
          </cell>
          <cell r="G543">
            <v>0.12475</v>
          </cell>
          <cell r="H543">
            <v>1.11859166666667</v>
          </cell>
          <cell r="I543">
            <v>0</v>
          </cell>
          <cell r="J543">
            <v>0</v>
          </cell>
          <cell r="K543">
            <v>1.2433416666666699</v>
          </cell>
          <cell r="L543">
            <v>1.2433416666666699</v>
          </cell>
          <cell r="M543">
            <v>2859.6858333333407</v>
          </cell>
        </row>
        <row r="544">
          <cell r="A544" t="str">
            <v>A43</v>
          </cell>
          <cell r="B544" t="str">
            <v>Carguío de roca volada con excavadora</v>
          </cell>
          <cell r="C544" t="str">
            <v>m3</v>
          </cell>
          <cell r="D544">
            <v>2300</v>
          </cell>
          <cell r="E544">
            <v>0.995</v>
          </cell>
          <cell r="F544">
            <v>8.1967213114754103E-3</v>
          </cell>
          <cell r="G544">
            <v>4.3278688524589999E-2</v>
          </cell>
          <cell r="H544">
            <v>0.58667213114754102</v>
          </cell>
          <cell r="I544">
            <v>0</v>
          </cell>
          <cell r="J544">
            <v>0</v>
          </cell>
          <cell r="K544">
            <v>0.62995081967213107</v>
          </cell>
          <cell r="L544">
            <v>0.62680106557377036</v>
          </cell>
          <cell r="M544">
            <v>1441.6424508196719</v>
          </cell>
        </row>
        <row r="545">
          <cell r="A545" t="str">
            <v>A04</v>
          </cell>
          <cell r="B545" t="str">
            <v>Acarreo d&lt;1km (sin esponj)</v>
          </cell>
          <cell r="C545" t="str">
            <v>m3</v>
          </cell>
          <cell r="D545">
            <v>2300</v>
          </cell>
          <cell r="E545">
            <v>1.4</v>
          </cell>
          <cell r="F545">
            <v>1.9444444444444441E-2</v>
          </cell>
          <cell r="G545">
            <v>0.102666666666667</v>
          </cell>
          <cell r="H545">
            <v>0.50555555555555498</v>
          </cell>
          <cell r="I545">
            <v>0</v>
          </cell>
          <cell r="J545">
            <v>0</v>
          </cell>
          <cell r="K545">
            <v>0.608222222222222</v>
          </cell>
          <cell r="L545">
            <v>0.85151111111111077</v>
          </cell>
          <cell r="M545">
            <v>1958.4755555555548</v>
          </cell>
        </row>
        <row r="546">
          <cell r="A546" t="str">
            <v>A05</v>
          </cell>
          <cell r="B546" t="str">
            <v>Sobreacarreo (d&gt;1km) (sin esponj)</v>
          </cell>
          <cell r="C546" t="str">
            <v>m3-km</v>
          </cell>
          <cell r="D546">
            <v>2300</v>
          </cell>
          <cell r="E546">
            <v>1.4</v>
          </cell>
          <cell r="F546">
            <v>8.9285714285714263E-3</v>
          </cell>
          <cell r="G546">
            <v>4.7142857142857E-2</v>
          </cell>
          <cell r="H546">
            <v>0.23308571428571401</v>
          </cell>
          <cell r="I546">
            <v>0</v>
          </cell>
          <cell r="J546">
            <v>0</v>
          </cell>
          <cell r="K546">
            <v>0.28022857142857105</v>
          </cell>
          <cell r="L546">
            <v>0.39231999999999945</v>
          </cell>
          <cell r="M546">
            <v>902.33599999999876</v>
          </cell>
        </row>
        <row r="547">
          <cell r="A547" t="str">
            <v>2.08.h</v>
          </cell>
          <cell r="B547" t="str">
            <v>Supply and Install Backfill Granular A to roads/yards</v>
          </cell>
          <cell r="C547" t="str">
            <v>m3</v>
          </cell>
          <cell r="D547">
            <v>280</v>
          </cell>
          <cell r="F547">
            <v>137.0361111111111</v>
          </cell>
          <cell r="G547">
            <v>2.0357761904761893</v>
          </cell>
          <cell r="H547">
            <v>5.984664380952375</v>
          </cell>
          <cell r="I547">
            <v>3.5625</v>
          </cell>
          <cell r="J547">
            <v>0</v>
          </cell>
          <cell r="K547">
            <v>11.582940571428566</v>
          </cell>
          <cell r="L547">
            <v>11.58</v>
          </cell>
          <cell r="M547">
            <v>3242.4</v>
          </cell>
        </row>
        <row r="548">
          <cell r="A548" t="str">
            <v>A15</v>
          </cell>
          <cell r="B548" t="str">
            <v>Suministro de material granular A</v>
          </cell>
          <cell r="C548" t="str">
            <v>m3</v>
          </cell>
          <cell r="D548">
            <v>280</v>
          </cell>
          <cell r="E548">
            <v>1.25</v>
          </cell>
          <cell r="F548">
            <v>0</v>
          </cell>
          <cell r="G548">
            <v>0</v>
          </cell>
          <cell r="H548">
            <v>0</v>
          </cell>
          <cell r="I548">
            <v>2.85</v>
          </cell>
          <cell r="J548">
            <v>0</v>
          </cell>
          <cell r="K548">
            <v>2.85</v>
          </cell>
          <cell r="L548">
            <v>3.5625</v>
          </cell>
          <cell r="M548">
            <v>997.5</v>
          </cell>
        </row>
        <row r="549">
          <cell r="A549" t="str">
            <v>A16</v>
          </cell>
          <cell r="B549" t="str">
            <v>Colocación y compactación Mat Granular A</v>
          </cell>
          <cell r="C549" t="str">
            <v>m3</v>
          </cell>
          <cell r="D549">
            <v>280</v>
          </cell>
          <cell r="E549">
            <v>1</v>
          </cell>
          <cell r="F549">
            <v>0.37805555555555553</v>
          </cell>
          <cell r="G549">
            <v>1.4478</v>
          </cell>
          <cell r="H549">
            <v>3.0801342222222199</v>
          </cell>
          <cell r="I549">
            <v>0</v>
          </cell>
          <cell r="J549">
            <v>0</v>
          </cell>
          <cell r="K549">
            <v>4.5279342222222194</v>
          </cell>
          <cell r="L549">
            <v>4.5279342222222194</v>
          </cell>
          <cell r="M549">
            <v>1267.8215822222214</v>
          </cell>
        </row>
        <row r="550">
          <cell r="A550" t="str">
            <v>A04</v>
          </cell>
          <cell r="B550" t="str">
            <v>Acarreo d&lt;1km (sin esponj)</v>
          </cell>
          <cell r="C550" t="str">
            <v>m3</v>
          </cell>
          <cell r="D550">
            <v>280</v>
          </cell>
          <cell r="E550">
            <v>1.25</v>
          </cell>
          <cell r="F550">
            <v>1.9444444444444441E-2</v>
          </cell>
          <cell r="G550">
            <v>0.102666666666667</v>
          </cell>
          <cell r="H550">
            <v>0.50555555555555498</v>
          </cell>
          <cell r="I550">
            <v>0</v>
          </cell>
          <cell r="J550">
            <v>0</v>
          </cell>
          <cell r="K550">
            <v>0.608222222222222</v>
          </cell>
          <cell r="L550">
            <v>0.7602777777777775</v>
          </cell>
          <cell r="M550">
            <v>212.87777777777771</v>
          </cell>
        </row>
        <row r="551">
          <cell r="A551" t="str">
            <v>A05</v>
          </cell>
          <cell r="B551" t="str">
            <v>Sobreacarreo (d&gt;1km) (sin esponj)</v>
          </cell>
          <cell r="C551" t="str">
            <v>m3-km</v>
          </cell>
          <cell r="D551">
            <v>2184</v>
          </cell>
          <cell r="E551">
            <v>1.25</v>
          </cell>
          <cell r="F551">
            <v>8.9285714285714263E-3</v>
          </cell>
          <cell r="G551">
            <v>4.7142857142857E-2</v>
          </cell>
          <cell r="H551">
            <v>0.23308571428571401</v>
          </cell>
          <cell r="I551">
            <v>0</v>
          </cell>
          <cell r="J551">
            <v>0</v>
          </cell>
          <cell r="K551">
            <v>0.28022857142857105</v>
          </cell>
          <cell r="L551">
            <v>0.35028571428571381</v>
          </cell>
          <cell r="M551">
            <v>765.02399999999898</v>
          </cell>
        </row>
        <row r="552">
          <cell r="A552" t="str">
            <v>2.08.i</v>
          </cell>
          <cell r="B552" t="str">
            <v>Supply and Install Backfill Granular B to roads/yards</v>
          </cell>
          <cell r="C552" t="str">
            <v>m3</v>
          </cell>
          <cell r="D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</row>
        <row r="553">
          <cell r="A553" t="str">
            <v>A40</v>
          </cell>
          <cell r="B553" t="str">
            <v>Suministro de material granular B</v>
          </cell>
          <cell r="C553" t="str">
            <v>m3</v>
          </cell>
          <cell r="F553">
            <v>0</v>
          </cell>
          <cell r="G553">
            <v>0</v>
          </cell>
          <cell r="H553">
            <v>0</v>
          </cell>
          <cell r="I553">
            <v>2.85</v>
          </cell>
          <cell r="J553">
            <v>0</v>
          </cell>
          <cell r="K553">
            <v>2.85</v>
          </cell>
          <cell r="L553">
            <v>0</v>
          </cell>
          <cell r="M553">
            <v>0</v>
          </cell>
        </row>
        <row r="554">
          <cell r="A554" t="str">
            <v>A41</v>
          </cell>
          <cell r="B554" t="str">
            <v>Colocación y compactación Mat Granular B</v>
          </cell>
          <cell r="C554" t="str">
            <v>m3</v>
          </cell>
          <cell r="F554">
            <v>0.10416666666666666</v>
          </cell>
          <cell r="G554">
            <v>0.53187499999999999</v>
          </cell>
          <cell r="H554">
            <v>2.3804166666666702</v>
          </cell>
          <cell r="I554">
            <v>0</v>
          </cell>
          <cell r="J554">
            <v>0</v>
          </cell>
          <cell r="K554">
            <v>2.9122916666666701</v>
          </cell>
          <cell r="L554">
            <v>0</v>
          </cell>
          <cell r="M554">
            <v>0</v>
          </cell>
        </row>
        <row r="555">
          <cell r="A555" t="str">
            <v>A04</v>
          </cell>
          <cell r="B555" t="str">
            <v>Acarreo d&lt;1km (sin esponj)</v>
          </cell>
          <cell r="C555" t="str">
            <v>m3</v>
          </cell>
          <cell r="F555">
            <v>1.9444444444444441E-2</v>
          </cell>
          <cell r="G555">
            <v>0.102666666666667</v>
          </cell>
          <cell r="H555">
            <v>0.50555555555555498</v>
          </cell>
          <cell r="I555">
            <v>0</v>
          </cell>
          <cell r="J555">
            <v>0</v>
          </cell>
          <cell r="K555">
            <v>0.608222222222222</v>
          </cell>
          <cell r="L555">
            <v>0</v>
          </cell>
          <cell r="M555">
            <v>0</v>
          </cell>
        </row>
        <row r="556">
          <cell r="A556" t="str">
            <v>A05</v>
          </cell>
          <cell r="B556" t="str">
            <v>Sobreacarreo (d&gt;1km) (sin esponj)</v>
          </cell>
          <cell r="C556" t="str">
            <v>m3-km</v>
          </cell>
          <cell r="F556">
            <v>8.9285714285714263E-3</v>
          </cell>
          <cell r="G556">
            <v>4.7142857142857E-2</v>
          </cell>
          <cell r="H556">
            <v>0.23308571428571401</v>
          </cell>
          <cell r="I556">
            <v>0</v>
          </cell>
          <cell r="J556">
            <v>0</v>
          </cell>
          <cell r="K556">
            <v>0.28022857142857105</v>
          </cell>
          <cell r="L556">
            <v>0</v>
          </cell>
          <cell r="M556">
            <v>0</v>
          </cell>
        </row>
        <row r="557">
          <cell r="A557" t="str">
            <v>2.08.j</v>
          </cell>
          <cell r="B557" t="str">
            <v>Supply and Install Riprap-Geotextile-Bedding to ditches and slopes, including rock/earth excavation and shaping of the site</v>
          </cell>
          <cell r="C557" t="str">
            <v>Ls</v>
          </cell>
          <cell r="D557">
            <v>1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L557">
            <v>0</v>
          </cell>
          <cell r="M557">
            <v>0</v>
          </cell>
        </row>
        <row r="558">
          <cell r="A558" t="str">
            <v>A19</v>
          </cell>
          <cell r="B558" t="str">
            <v>Rip rap</v>
          </cell>
          <cell r="C558" t="str">
            <v>m3</v>
          </cell>
          <cell r="F558">
            <v>2.7285714285714286</v>
          </cell>
          <cell r="G558">
            <v>8.8182857142857092</v>
          </cell>
          <cell r="H558">
            <v>4.8350057142857139</v>
          </cell>
          <cell r="I558">
            <v>2.85</v>
          </cell>
          <cell r="J558">
            <v>0</v>
          </cell>
          <cell r="K558">
            <v>16.503291428571423</v>
          </cell>
          <cell r="L558">
            <v>0</v>
          </cell>
          <cell r="M558">
            <v>0</v>
          </cell>
        </row>
        <row r="559">
          <cell r="A559" t="str">
            <v>A20</v>
          </cell>
          <cell r="B559" t="str">
            <v>Geotextil 400g/m2 Non Woven</v>
          </cell>
          <cell r="C559" t="str">
            <v>m2</v>
          </cell>
          <cell r="F559">
            <v>0.37356321839080464</v>
          </cell>
          <cell r="G559">
            <v>1.1715517241379301</v>
          </cell>
          <cell r="H559">
            <v>0.445182471264368</v>
          </cell>
          <cell r="I559">
            <v>0.8</v>
          </cell>
          <cell r="J559">
            <v>0</v>
          </cell>
          <cell r="K559">
            <v>2.4167341954022983</v>
          </cell>
          <cell r="L559">
            <v>0</v>
          </cell>
          <cell r="M559">
            <v>0</v>
          </cell>
        </row>
        <row r="560">
          <cell r="A560" t="str">
            <v>A21</v>
          </cell>
          <cell r="B560" t="str">
            <v>Excavación y perfilado de zanjas</v>
          </cell>
          <cell r="C560" t="str">
            <v>m3</v>
          </cell>
          <cell r="F560">
            <v>1.2887346226726417</v>
          </cell>
          <cell r="G560">
            <v>4.4896263901299003</v>
          </cell>
          <cell r="H560">
            <v>6.5119556758310146</v>
          </cell>
          <cell r="I560">
            <v>0</v>
          </cell>
          <cell r="J560">
            <v>3.45</v>
          </cell>
          <cell r="K560">
            <v>14.451582065960915</v>
          </cell>
          <cell r="L560">
            <v>0</v>
          </cell>
          <cell r="M560">
            <v>0</v>
          </cell>
        </row>
        <row r="561">
          <cell r="A561" t="str">
            <v>2.08.k</v>
          </cell>
          <cell r="B561" t="str">
            <v>Supply and Install Gabions-Geotextile-Bedding-Concrete Facing, complete including rock/earth excavation shaping &amp; backfill of the site</v>
          </cell>
          <cell r="C561" t="str">
            <v>Ls</v>
          </cell>
          <cell r="D561">
            <v>1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L561">
            <v>0</v>
          </cell>
          <cell r="M561">
            <v>0</v>
          </cell>
        </row>
        <row r="562">
          <cell r="A562" t="str">
            <v>A22</v>
          </cell>
          <cell r="B562" t="str">
            <v>Supply and Install Granular A Surfacing to roads/yards</v>
          </cell>
          <cell r="C562" t="str">
            <v>m3</v>
          </cell>
          <cell r="F562">
            <v>0.47959325396825392</v>
          </cell>
          <cell r="G562">
            <v>1.9839190476190467</v>
          </cell>
          <cell r="H562">
            <v>5.7282700952380896</v>
          </cell>
          <cell r="I562">
            <v>3.5625</v>
          </cell>
          <cell r="J562">
            <v>0</v>
          </cell>
          <cell r="K562">
            <v>11.274689142857136</v>
          </cell>
          <cell r="L562">
            <v>0</v>
          </cell>
          <cell r="M562">
            <v>0</v>
          </cell>
        </row>
        <row r="563">
          <cell r="A563" t="str">
            <v>A23</v>
          </cell>
          <cell r="B563" t="str">
            <v>Concrete Lining</v>
          </cell>
          <cell r="C563" t="str">
            <v>m3</v>
          </cell>
          <cell r="F563">
            <v>14.282608695652174</v>
          </cell>
          <cell r="G563">
            <v>49.431086956521703</v>
          </cell>
          <cell r="H563">
            <v>4.9527137681159399</v>
          </cell>
          <cell r="I563">
            <v>60</v>
          </cell>
          <cell r="J563">
            <v>0</v>
          </cell>
          <cell r="K563">
            <v>114.38380072463765</v>
          </cell>
          <cell r="L563">
            <v>0</v>
          </cell>
          <cell r="M563">
            <v>0</v>
          </cell>
        </row>
        <row r="564">
          <cell r="A564" t="str">
            <v>A24</v>
          </cell>
          <cell r="B564" t="str">
            <v>Gavión</v>
          </cell>
          <cell r="C564" t="str">
            <v>m3</v>
          </cell>
          <cell r="F564">
            <v>1.7583333333333333</v>
          </cell>
          <cell r="G564">
            <v>6.2273333333333296</v>
          </cell>
          <cell r="H564">
            <v>7.133083333333337</v>
          </cell>
          <cell r="I564">
            <v>19.350000000000001</v>
          </cell>
          <cell r="J564">
            <v>0</v>
          </cell>
          <cell r="K564">
            <v>32.710416666666674</v>
          </cell>
          <cell r="L564">
            <v>0</v>
          </cell>
          <cell r="M564">
            <v>0</v>
          </cell>
        </row>
        <row r="565">
          <cell r="A565" t="str">
            <v>A21</v>
          </cell>
          <cell r="B565" t="str">
            <v>Excavación y perfilado de zanjas</v>
          </cell>
          <cell r="C565" t="str">
            <v>m3</v>
          </cell>
          <cell r="F565">
            <v>1.2887346226726417</v>
          </cell>
          <cell r="G565">
            <v>4.4896263901299003</v>
          </cell>
          <cell r="H565">
            <v>6.5119556758310146</v>
          </cell>
          <cell r="I565">
            <v>0</v>
          </cell>
          <cell r="J565">
            <v>3.45</v>
          </cell>
          <cell r="K565">
            <v>14.451582065960915</v>
          </cell>
          <cell r="L565">
            <v>0</v>
          </cell>
          <cell r="M565">
            <v>0</v>
          </cell>
        </row>
        <row r="566">
          <cell r="A566" t="str">
            <v>2.08.l</v>
          </cell>
          <cell r="B566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566" t="str">
            <v>Ls</v>
          </cell>
          <cell r="D566">
            <v>1</v>
          </cell>
          <cell r="F566">
            <v>65.69225269743589</v>
          </cell>
          <cell r="G566">
            <v>328.09157433046141</v>
          </cell>
          <cell r="H566">
            <v>1971.676414544216</v>
          </cell>
          <cell r="I566">
            <v>880.71694079999997</v>
          </cell>
          <cell r="J566">
            <v>832.91486999999995</v>
          </cell>
          <cell r="L566">
            <v>4013.4</v>
          </cell>
          <cell r="M566">
            <v>4013.4</v>
          </cell>
        </row>
        <row r="567">
          <cell r="A567" t="str">
            <v>A25</v>
          </cell>
          <cell r="B567" t="str">
            <v>Suministro y colocación de Grating</v>
          </cell>
          <cell r="C567" t="str">
            <v>m2</v>
          </cell>
          <cell r="F567">
            <v>1.75</v>
          </cell>
          <cell r="G567">
            <v>6.1725000000000003</v>
          </cell>
          <cell r="H567">
            <v>0.144125</v>
          </cell>
          <cell r="I567">
            <v>225</v>
          </cell>
          <cell r="J567">
            <v>0</v>
          </cell>
          <cell r="K567">
            <v>231.31662500000002</v>
          </cell>
          <cell r="L567">
            <v>0</v>
          </cell>
          <cell r="M567">
            <v>0</v>
          </cell>
        </row>
        <row r="568">
          <cell r="A568" t="str">
            <v>A26</v>
          </cell>
          <cell r="B568" t="str">
            <v>Suministro y colocación de Tapa metálica</v>
          </cell>
          <cell r="C568" t="str">
            <v>m2</v>
          </cell>
          <cell r="F568">
            <v>1.75</v>
          </cell>
          <cell r="G568">
            <v>6.1725000000000003</v>
          </cell>
          <cell r="H568">
            <v>0.144125</v>
          </cell>
          <cell r="I568">
            <v>300</v>
          </cell>
          <cell r="J568">
            <v>0</v>
          </cell>
          <cell r="K568">
            <v>306.31662499999999</v>
          </cell>
          <cell r="L568">
            <v>0</v>
          </cell>
          <cell r="M568">
            <v>0</v>
          </cell>
        </row>
        <row r="569">
          <cell r="A569" t="str">
            <v>A27</v>
          </cell>
          <cell r="B569" t="str">
            <v>Relleno estructural</v>
          </cell>
          <cell r="C569" t="str">
            <v>m3</v>
          </cell>
          <cell r="F569">
            <v>1.2875000000000001</v>
          </cell>
          <cell r="G569">
            <v>4.2321666666666697</v>
          </cell>
          <cell r="H569">
            <v>6.8350416666666636</v>
          </cell>
          <cell r="I569">
            <v>0</v>
          </cell>
          <cell r="J569">
            <v>0</v>
          </cell>
          <cell r="K569">
            <v>11.067208333333333</v>
          </cell>
          <cell r="L569">
            <v>0</v>
          </cell>
          <cell r="M569">
            <v>0</v>
          </cell>
        </row>
        <row r="570">
          <cell r="A570" t="str">
            <v>A28</v>
          </cell>
          <cell r="B570" t="str">
            <v>Bermas de Seguridad</v>
          </cell>
          <cell r="C570" t="str">
            <v>m3</v>
          </cell>
          <cell r="D570">
            <v>256</v>
          </cell>
          <cell r="E570">
            <v>1.2071229999999999</v>
          </cell>
          <cell r="F570">
            <v>0.1</v>
          </cell>
          <cell r="G570">
            <v>0.499</v>
          </cell>
          <cell r="H570">
            <v>3.5649500000000001</v>
          </cell>
          <cell r="I570">
            <v>2.85</v>
          </cell>
          <cell r="J570">
            <v>0</v>
          </cell>
          <cell r="K570">
            <v>6.9139499999999998</v>
          </cell>
          <cell r="L570">
            <v>8.3459880658499994</v>
          </cell>
          <cell r="M570">
            <v>2136.5729448575999</v>
          </cell>
        </row>
        <row r="571">
          <cell r="A571" t="str">
            <v>A29</v>
          </cell>
          <cell r="B571" t="str">
            <v>Cama de Arena</v>
          </cell>
          <cell r="C571" t="str">
            <v>m3</v>
          </cell>
          <cell r="F571">
            <v>1.3416666666666666</v>
          </cell>
          <cell r="G571">
            <v>4.5181666666666702</v>
          </cell>
          <cell r="H571">
            <v>8.3767083333333332</v>
          </cell>
          <cell r="I571">
            <v>3.1349999999999998</v>
          </cell>
          <cell r="J571">
            <v>0</v>
          </cell>
          <cell r="K571">
            <v>16.029875000000004</v>
          </cell>
          <cell r="L571">
            <v>0</v>
          </cell>
          <cell r="M571">
            <v>0</v>
          </cell>
        </row>
        <row r="572">
          <cell r="A572" t="str">
            <v>A30</v>
          </cell>
          <cell r="B572" t="str">
            <v>Concreto reforzado</v>
          </cell>
          <cell r="C572" t="str">
            <v>m3</v>
          </cell>
          <cell r="F572">
            <v>16.2</v>
          </cell>
          <cell r="G572">
            <v>56.207999999999998</v>
          </cell>
          <cell r="H572">
            <v>3.9517333333333298</v>
          </cell>
          <cell r="I572">
            <v>116.16</v>
          </cell>
          <cell r="J572">
            <v>0</v>
          </cell>
          <cell r="K572">
            <v>176.31973333333332</v>
          </cell>
          <cell r="L572">
            <v>0</v>
          </cell>
          <cell r="M572">
            <v>0</v>
          </cell>
        </row>
        <row r="573">
          <cell r="A573" t="str">
            <v>A31</v>
          </cell>
          <cell r="B573" t="str">
            <v>Alcantarillas 800mm</v>
          </cell>
          <cell r="C573" t="str">
            <v>ml</v>
          </cell>
          <cell r="F573">
            <v>8</v>
          </cell>
          <cell r="G573">
            <v>25.88</v>
          </cell>
          <cell r="H573">
            <v>1.294</v>
          </cell>
          <cell r="I573">
            <v>60</v>
          </cell>
          <cell r="J573">
            <v>0</v>
          </cell>
          <cell r="K573">
            <v>87.173999999999992</v>
          </cell>
          <cell r="L573">
            <v>0</v>
          </cell>
          <cell r="M573">
            <v>0</v>
          </cell>
        </row>
        <row r="574">
          <cell r="A574" t="str">
            <v>A32</v>
          </cell>
          <cell r="B574" t="str">
            <v>Alcantarillas 600mm</v>
          </cell>
          <cell r="C574" t="str">
            <v>ml</v>
          </cell>
          <cell r="F574">
            <v>6.666666666666667</v>
          </cell>
          <cell r="G574">
            <v>21.566666666666698</v>
          </cell>
          <cell r="H574">
            <v>1.07833333333333</v>
          </cell>
          <cell r="I574">
            <v>50</v>
          </cell>
          <cell r="J574">
            <v>0</v>
          </cell>
          <cell r="K574">
            <v>72.645000000000024</v>
          </cell>
          <cell r="L574">
            <v>0</v>
          </cell>
          <cell r="M574">
            <v>0</v>
          </cell>
        </row>
        <row r="575">
          <cell r="A575" t="str">
            <v>A33</v>
          </cell>
          <cell r="B575" t="str">
            <v>Alcantarillas 1350mm</v>
          </cell>
          <cell r="C575" t="str">
            <v>ml</v>
          </cell>
          <cell r="F575">
            <v>12.5</v>
          </cell>
          <cell r="G575">
            <v>39.924999999999997</v>
          </cell>
          <cell r="H575">
            <v>1.9962500000000001</v>
          </cell>
          <cell r="I575">
            <v>160</v>
          </cell>
          <cell r="J575">
            <v>0</v>
          </cell>
          <cell r="K575">
            <v>201.92125000000001</v>
          </cell>
          <cell r="L575">
            <v>0</v>
          </cell>
          <cell r="M575">
            <v>0</v>
          </cell>
        </row>
        <row r="576">
          <cell r="A576" t="str">
            <v>A34</v>
          </cell>
          <cell r="B576" t="str">
            <v>Alcantarillas 1000mm</v>
          </cell>
          <cell r="C576" t="str">
            <v>ml</v>
          </cell>
          <cell r="F576">
            <v>8.8888888888888893</v>
          </cell>
          <cell r="G576">
            <v>28.755555555555599</v>
          </cell>
          <cell r="H576">
            <v>1.43777777777778</v>
          </cell>
          <cell r="I576">
            <v>78</v>
          </cell>
          <cell r="J576">
            <v>0</v>
          </cell>
          <cell r="K576">
            <v>108.19333333333338</v>
          </cell>
          <cell r="L576">
            <v>0</v>
          </cell>
          <cell r="M576">
            <v>0</v>
          </cell>
        </row>
        <row r="577">
          <cell r="A577" t="str">
            <v>A35</v>
          </cell>
          <cell r="B577" t="str">
            <v>Alcantarillas 1600mm</v>
          </cell>
          <cell r="C577" t="str">
            <v>ml</v>
          </cell>
          <cell r="F577">
            <v>12.5</v>
          </cell>
          <cell r="G577">
            <v>39.924999999999997</v>
          </cell>
          <cell r="H577">
            <v>1.9962500000000001</v>
          </cell>
          <cell r="I577">
            <v>215</v>
          </cell>
          <cell r="J577">
            <v>0</v>
          </cell>
          <cell r="K577">
            <v>256.92124999999999</v>
          </cell>
          <cell r="L577">
            <v>0</v>
          </cell>
          <cell r="M577">
            <v>0</v>
          </cell>
        </row>
        <row r="578">
          <cell r="A578" t="str">
            <v>A36</v>
          </cell>
          <cell r="B578" t="str">
            <v>Tubería para buzón CMP 2000mm Diam</v>
          </cell>
          <cell r="C578" t="str">
            <v>ml</v>
          </cell>
          <cell r="F578">
            <v>20</v>
          </cell>
          <cell r="G578">
            <v>63.3333333333333</v>
          </cell>
          <cell r="H578">
            <v>3.1666666666666701</v>
          </cell>
          <cell r="I578">
            <v>335</v>
          </cell>
          <cell r="J578">
            <v>0</v>
          </cell>
          <cell r="K578">
            <v>401.5</v>
          </cell>
          <cell r="L578">
            <v>0</v>
          </cell>
          <cell r="M578">
            <v>0</v>
          </cell>
        </row>
        <row r="579">
          <cell r="A579" t="str">
            <v>A37</v>
          </cell>
          <cell r="B579" t="str">
            <v>Alcantarillas 300mm</v>
          </cell>
          <cell r="F579">
            <v>6.666666666666667</v>
          </cell>
          <cell r="G579">
            <v>21.566666666666698</v>
          </cell>
          <cell r="H579">
            <v>1.07833333333333</v>
          </cell>
          <cell r="I579">
            <v>26</v>
          </cell>
          <cell r="J579">
            <v>0</v>
          </cell>
          <cell r="K579">
            <v>48.645000000000032</v>
          </cell>
          <cell r="L579">
            <v>0</v>
          </cell>
          <cell r="M579">
            <v>0</v>
          </cell>
        </row>
        <row r="580">
          <cell r="A580" t="str">
            <v>A20</v>
          </cell>
          <cell r="B580" t="str">
            <v>Geotextil 400g/m2 Non Woven</v>
          </cell>
          <cell r="C580" t="str">
            <v>m2</v>
          </cell>
          <cell r="F580">
            <v>0.37356321839080464</v>
          </cell>
          <cell r="G580">
            <v>1.1715517241379301</v>
          </cell>
          <cell r="H580">
            <v>0.445182471264368</v>
          </cell>
          <cell r="I580">
            <v>0.8</v>
          </cell>
          <cell r="J580">
            <v>0</v>
          </cell>
          <cell r="K580">
            <v>2.4167341954022983</v>
          </cell>
          <cell r="L580">
            <v>0</v>
          </cell>
          <cell r="M580">
            <v>0</v>
          </cell>
        </row>
        <row r="581">
          <cell r="A581" t="str">
            <v>A38</v>
          </cell>
          <cell r="B581" t="str">
            <v>Excavación y eliminación de material para cunetas en roca</v>
          </cell>
          <cell r="C581" t="str">
            <v>m3</v>
          </cell>
          <cell r="D581">
            <v>60</v>
          </cell>
          <cell r="E581">
            <v>1.2071229999999999</v>
          </cell>
          <cell r="F581">
            <v>0.28461538461538466</v>
          </cell>
          <cell r="G581">
            <v>1.41576923076923</v>
          </cell>
          <cell r="H581">
            <v>7.0169423076923119</v>
          </cell>
          <cell r="I581">
            <v>0</v>
          </cell>
          <cell r="J581">
            <v>11.5</v>
          </cell>
          <cell r="K581">
            <v>19.932711538461543</v>
          </cell>
          <cell r="L581">
            <v>24.061234550442311</v>
          </cell>
          <cell r="M581">
            <v>1443.6740730265387</v>
          </cell>
        </row>
        <row r="582">
          <cell r="A582" t="str">
            <v>A39</v>
          </cell>
          <cell r="B582" t="str">
            <v>Excavación y eliminación de material para cunetas en suelo común</v>
          </cell>
          <cell r="C582" t="str">
            <v>m3</v>
          </cell>
          <cell r="D582">
            <v>60</v>
          </cell>
          <cell r="E582">
            <v>1.2071229999999999</v>
          </cell>
          <cell r="F582">
            <v>0.1957264957264957</v>
          </cell>
          <cell r="G582">
            <v>0.98510256410256403</v>
          </cell>
          <cell r="H582">
            <v>4.9954089743589778</v>
          </cell>
          <cell r="I582">
            <v>0</v>
          </cell>
          <cell r="J582">
            <v>0</v>
          </cell>
          <cell r="K582">
            <v>5.9805115384615419</v>
          </cell>
          <cell r="L582">
            <v>7.2192130298423116</v>
          </cell>
          <cell r="M582">
            <v>433.15278179053871</v>
          </cell>
        </row>
        <row r="583">
          <cell r="A583" t="str">
            <v>A21</v>
          </cell>
          <cell r="B583" t="str">
            <v>Excavación y perfilado de zanjas</v>
          </cell>
          <cell r="C583" t="str">
            <v>m3</v>
          </cell>
          <cell r="F583">
            <v>1.2887346226726417</v>
          </cell>
          <cell r="G583">
            <v>4.4896263901299003</v>
          </cell>
          <cell r="H583">
            <v>6.5119556758310146</v>
          </cell>
          <cell r="I583">
            <v>0</v>
          </cell>
          <cell r="J583">
            <v>3.45</v>
          </cell>
          <cell r="K583">
            <v>14.451582065960915</v>
          </cell>
          <cell r="L583">
            <v>0</v>
          </cell>
          <cell r="M583">
            <v>0</v>
          </cell>
        </row>
        <row r="584">
          <cell r="A584" t="str">
            <v>2.09</v>
          </cell>
          <cell r="B584" t="str">
            <v>MINE MAINTENANCE FRESH FIREWATER TANK ACCESS ROAD</v>
          </cell>
        </row>
        <row r="585">
          <cell r="A585" t="str">
            <v>2.09.a</v>
          </cell>
          <cell r="B585" t="str">
            <v>Clear and Grub</v>
          </cell>
          <cell r="C585" t="str">
            <v>Ls</v>
          </cell>
        </row>
        <row r="586">
          <cell r="A586" t="str">
            <v>2.09.b</v>
          </cell>
          <cell r="B586" t="str">
            <v>Cut unsuitable soil to waste (includes organic soil)</v>
          </cell>
          <cell r="C586" t="str">
            <v>m3</v>
          </cell>
          <cell r="D586">
            <v>1500</v>
          </cell>
          <cell r="F586">
            <v>121.79945054945054</v>
          </cell>
          <cell r="G586">
            <v>0.42376263736263731</v>
          </cell>
          <cell r="H586">
            <v>2.838410695970695</v>
          </cell>
          <cell r="I586">
            <v>0</v>
          </cell>
          <cell r="J586">
            <v>0</v>
          </cell>
          <cell r="L586">
            <v>3.26</v>
          </cell>
          <cell r="M586">
            <v>4890</v>
          </cell>
        </row>
        <row r="587">
          <cell r="A587" t="str">
            <v>A01</v>
          </cell>
          <cell r="B587" t="str">
            <v>Excavación de Topsoil y Unsuitable (e&gt;1m)</v>
          </cell>
          <cell r="C587" t="str">
            <v>m3</v>
          </cell>
          <cell r="D587">
            <v>1500</v>
          </cell>
          <cell r="E587">
            <v>1</v>
          </cell>
          <cell r="F587">
            <v>1.7142857142857144E-2</v>
          </cell>
          <cell r="G587">
            <v>8.5542857142857004E-2</v>
          </cell>
          <cell r="H587">
            <v>0.81924857142857199</v>
          </cell>
          <cell r="I587">
            <v>0</v>
          </cell>
          <cell r="J587">
            <v>0</v>
          </cell>
          <cell r="K587">
            <v>0.90479142857142902</v>
          </cell>
          <cell r="L587">
            <v>0.90479142857142902</v>
          </cell>
          <cell r="M587">
            <v>1357.1871428571435</v>
          </cell>
        </row>
        <row r="588">
          <cell r="A588" t="str">
            <v>A02</v>
          </cell>
          <cell r="B588" t="str">
            <v>Excavación de Topsoil y Unsuitable (e&lt;1m)</v>
          </cell>
          <cell r="C588" t="str">
            <v>m3</v>
          </cell>
          <cell r="D588">
            <v>0</v>
          </cell>
          <cell r="E588">
            <v>1</v>
          </cell>
          <cell r="F588">
            <v>1.4285714285714285E-2</v>
          </cell>
          <cell r="G588">
            <v>6.9214285714286006E-2</v>
          </cell>
          <cell r="H588">
            <v>0.57488928571428499</v>
          </cell>
          <cell r="I588">
            <v>0</v>
          </cell>
          <cell r="J588">
            <v>0</v>
          </cell>
          <cell r="K588">
            <v>0.644103571428571</v>
          </cell>
          <cell r="L588">
            <v>0.644103571428571</v>
          </cell>
          <cell r="M588">
            <v>0</v>
          </cell>
        </row>
        <row r="589">
          <cell r="A589" t="str">
            <v>A03</v>
          </cell>
          <cell r="B589" t="str">
            <v>Carguío de Topsoil &amp; Unsuitable con excavadora</v>
          </cell>
          <cell r="C589" t="str">
            <v>m3</v>
          </cell>
          <cell r="D589">
            <v>1500</v>
          </cell>
          <cell r="E589">
            <v>1</v>
          </cell>
          <cell r="F589">
            <v>1.3461538461538462E-2</v>
          </cell>
          <cell r="G589">
            <v>7.1076923076922996E-2</v>
          </cell>
          <cell r="H589">
            <v>0.70142307692307704</v>
          </cell>
          <cell r="I589">
            <v>0</v>
          </cell>
          <cell r="J589">
            <v>0</v>
          </cell>
          <cell r="K589">
            <v>0.77250000000000008</v>
          </cell>
          <cell r="L589">
            <v>0.77250000000000008</v>
          </cell>
          <cell r="M589">
            <v>1158.75</v>
          </cell>
        </row>
        <row r="590">
          <cell r="A590" t="str">
            <v>A04</v>
          </cell>
          <cell r="B590" t="str">
            <v>Acarreo d&lt;1km (sin esponj)</v>
          </cell>
          <cell r="C590" t="str">
            <v>m3</v>
          </cell>
          <cell r="D590">
            <v>1500</v>
          </cell>
          <cell r="E590">
            <v>1.5</v>
          </cell>
          <cell r="F590">
            <v>1.9444444444444441E-2</v>
          </cell>
          <cell r="G590">
            <v>0.102666666666667</v>
          </cell>
          <cell r="H590">
            <v>0.50555555555555498</v>
          </cell>
          <cell r="I590">
            <v>0</v>
          </cell>
          <cell r="J590">
            <v>0</v>
          </cell>
          <cell r="K590">
            <v>0.608222222222222</v>
          </cell>
          <cell r="L590">
            <v>0.912333333333333</v>
          </cell>
          <cell r="M590">
            <v>1368.4999999999995</v>
          </cell>
        </row>
        <row r="591">
          <cell r="A591" t="str">
            <v>A05</v>
          </cell>
          <cell r="B591" t="str">
            <v>Sobreacarreo (d&gt;1km) (sin esponj)</v>
          </cell>
          <cell r="C591" t="str">
            <v>m3-km</v>
          </cell>
          <cell r="D591">
            <v>2400</v>
          </cell>
          <cell r="E591">
            <v>1.5</v>
          </cell>
          <cell r="F591">
            <v>8.9285714285714263E-3</v>
          </cell>
          <cell r="G591">
            <v>4.7142857142857E-2</v>
          </cell>
          <cell r="H591">
            <v>0.23308571428571401</v>
          </cell>
          <cell r="I591">
            <v>0</v>
          </cell>
          <cell r="J591">
            <v>0</v>
          </cell>
          <cell r="K591">
            <v>0.28022857142857105</v>
          </cell>
          <cell r="L591">
            <v>0.42034285714285657</v>
          </cell>
          <cell r="M591">
            <v>1008.8228571428558</v>
          </cell>
        </row>
        <row r="592">
          <cell r="A592" t="str">
            <v>2.09.c</v>
          </cell>
          <cell r="B592" t="str">
            <v>Cut and Fill Soil or Ripable Rock, within sub-Item work zone</v>
          </cell>
          <cell r="C592" t="str">
            <v>m3</v>
          </cell>
          <cell r="D592">
            <v>2300</v>
          </cell>
          <cell r="F592">
            <v>229.52083333333331</v>
          </cell>
          <cell r="G592">
            <v>0.50487812499999996</v>
          </cell>
          <cell r="H592">
            <v>4.0598822395833372</v>
          </cell>
          <cell r="I592">
            <v>0</v>
          </cell>
          <cell r="J592">
            <v>0</v>
          </cell>
          <cell r="L592">
            <v>4.5599999999999996</v>
          </cell>
          <cell r="M592">
            <v>10488</v>
          </cell>
        </row>
        <row r="593">
          <cell r="A593" t="str">
            <v>A06</v>
          </cell>
          <cell r="B593" t="str">
            <v>Excavación de roca ripeable</v>
          </cell>
          <cell r="C593" t="str">
            <v>m3</v>
          </cell>
          <cell r="D593">
            <v>2300</v>
          </cell>
          <cell r="E593">
            <v>1.25</v>
          </cell>
          <cell r="F593">
            <v>3.3333333333333333E-2</v>
          </cell>
          <cell r="G593">
            <v>0.16439999999999999</v>
          </cell>
          <cell r="H593">
            <v>1.5519306666666701</v>
          </cell>
          <cell r="I593">
            <v>0</v>
          </cell>
          <cell r="J593">
            <v>0</v>
          </cell>
          <cell r="K593">
            <v>1.7163306666666702</v>
          </cell>
          <cell r="L593">
            <v>2.1454133333333378</v>
          </cell>
          <cell r="M593">
            <v>4934.4506666666766</v>
          </cell>
        </row>
        <row r="594">
          <cell r="A594" t="str">
            <v>A07</v>
          </cell>
          <cell r="B594" t="str">
            <v>Empuje de material d&lt;60m</v>
          </cell>
          <cell r="C594" t="str">
            <v>m3</v>
          </cell>
          <cell r="D594">
            <v>2300</v>
          </cell>
          <cell r="E594">
            <v>1.25</v>
          </cell>
          <cell r="F594">
            <v>1.2500000000000001E-2</v>
          </cell>
          <cell r="G594">
            <v>6.0562499999999998E-2</v>
          </cell>
          <cell r="H594">
            <v>0.50302812500000005</v>
          </cell>
          <cell r="I594">
            <v>0</v>
          </cell>
          <cell r="J594">
            <v>0</v>
          </cell>
          <cell r="K594">
            <v>0.56359062500000001</v>
          </cell>
          <cell r="L594">
            <v>0.70448828124999996</v>
          </cell>
          <cell r="M594">
            <v>1620.3230468749998</v>
          </cell>
        </row>
        <row r="595">
          <cell r="A595" t="str">
            <v>A08</v>
          </cell>
          <cell r="B595" t="str">
            <v>Relleno masivo compactado</v>
          </cell>
          <cell r="C595" t="str">
            <v>m3</v>
          </cell>
          <cell r="D595">
            <v>2300</v>
          </cell>
          <cell r="E595">
            <v>1</v>
          </cell>
          <cell r="F595">
            <v>4.2499999999999996E-2</v>
          </cell>
          <cell r="G595">
            <v>0.22367500000000001</v>
          </cell>
          <cell r="H595">
            <v>1.49118375</v>
          </cell>
          <cell r="I595">
            <v>0</v>
          </cell>
          <cell r="J595">
            <v>0</v>
          </cell>
          <cell r="K595">
            <v>1.7148587500000001</v>
          </cell>
          <cell r="L595">
            <v>1.7148587500000001</v>
          </cell>
          <cell r="M595">
            <v>3944.1751250000002</v>
          </cell>
        </row>
        <row r="596">
          <cell r="A596" t="str">
            <v>2.09.d</v>
          </cell>
          <cell r="B596" t="str">
            <v xml:space="preserve">Cut and Fill Soil or Ripable Rock to Other sub-Item work zone, within 2000m </v>
          </cell>
          <cell r="C596" t="str">
            <v>m3</v>
          </cell>
          <cell r="D596">
            <v>100</v>
          </cell>
          <cell r="F596">
            <v>14.158015873015872</v>
          </cell>
          <cell r="G596">
            <v>0.73288373809523832</v>
          </cell>
          <cell r="H596">
            <v>5.3637957034127011</v>
          </cell>
          <cell r="I596">
            <v>0</v>
          </cell>
          <cell r="J596">
            <v>0</v>
          </cell>
          <cell r="L596">
            <v>6.1</v>
          </cell>
          <cell r="M596">
            <v>610</v>
          </cell>
        </row>
        <row r="597">
          <cell r="A597" t="str">
            <v>A06</v>
          </cell>
          <cell r="B597" t="str">
            <v>Excavación de roca ripeable</v>
          </cell>
          <cell r="C597" t="str">
            <v>m3</v>
          </cell>
          <cell r="D597">
            <v>100</v>
          </cell>
          <cell r="E597">
            <v>1.1950000000000001</v>
          </cell>
          <cell r="F597">
            <v>3.3333333333333333E-2</v>
          </cell>
          <cell r="G597">
            <v>0.16439999999999999</v>
          </cell>
          <cell r="H597">
            <v>1.5519306666666701</v>
          </cell>
          <cell r="I597">
            <v>0</v>
          </cell>
          <cell r="J597">
            <v>0</v>
          </cell>
          <cell r="K597">
            <v>1.7163306666666702</v>
          </cell>
          <cell r="L597">
            <v>2.0510151466666708</v>
          </cell>
          <cell r="M597">
            <v>205.10151466666707</v>
          </cell>
        </row>
        <row r="598">
          <cell r="A598" t="str">
            <v>A09</v>
          </cell>
          <cell r="B598" t="str">
            <v>Carguío de material común &amp; roca ripeable con excavadora</v>
          </cell>
          <cell r="C598" t="str">
            <v>m3</v>
          </cell>
          <cell r="D598">
            <v>100</v>
          </cell>
          <cell r="E598">
            <v>1.2</v>
          </cell>
          <cell r="F598">
            <v>8.0000000000000002E-3</v>
          </cell>
          <cell r="G598">
            <v>4.224E-2</v>
          </cell>
          <cell r="H598">
            <v>0.57259199999999999</v>
          </cell>
          <cell r="I598">
            <v>0</v>
          </cell>
          <cell r="J598">
            <v>0</v>
          </cell>
          <cell r="K598">
            <v>0.61483199999999993</v>
          </cell>
          <cell r="L598">
            <v>0.73779839999999985</v>
          </cell>
          <cell r="M598">
            <v>73.779839999999979</v>
          </cell>
        </row>
        <row r="599">
          <cell r="A599" t="str">
            <v>A08</v>
          </cell>
          <cell r="B599" t="str">
            <v>Relleno masivo compactado</v>
          </cell>
          <cell r="C599" t="str">
            <v>m3</v>
          </cell>
          <cell r="D599">
            <v>100</v>
          </cell>
          <cell r="E599">
            <v>1.1000000000000001</v>
          </cell>
          <cell r="F599">
            <v>4.2499999999999996E-2</v>
          </cell>
          <cell r="G599">
            <v>0.22367500000000001</v>
          </cell>
          <cell r="H599">
            <v>1.49118375</v>
          </cell>
          <cell r="I599">
            <v>0</v>
          </cell>
          <cell r="J599">
            <v>0</v>
          </cell>
          <cell r="K599">
            <v>1.7148587500000001</v>
          </cell>
          <cell r="L599">
            <v>1.8863446250000002</v>
          </cell>
          <cell r="M599">
            <v>188.63446250000001</v>
          </cell>
        </row>
        <row r="600">
          <cell r="A600" t="str">
            <v>A04</v>
          </cell>
          <cell r="B600" t="str">
            <v>Acarreo d&lt;1km (sin esponj)</v>
          </cell>
          <cell r="C600" t="str">
            <v>m3</v>
          </cell>
          <cell r="D600">
            <v>100</v>
          </cell>
          <cell r="E600">
            <v>1.6</v>
          </cell>
          <cell r="F600">
            <v>1.9444444444444441E-2</v>
          </cell>
          <cell r="G600">
            <v>0.102666666666667</v>
          </cell>
          <cell r="H600">
            <v>0.50555555555555498</v>
          </cell>
          <cell r="I600">
            <v>0</v>
          </cell>
          <cell r="J600">
            <v>0</v>
          </cell>
          <cell r="K600">
            <v>0.608222222222222</v>
          </cell>
          <cell r="L600">
            <v>0.97315555555555522</v>
          </cell>
          <cell r="M600">
            <v>97.31555555555552</v>
          </cell>
        </row>
        <row r="601">
          <cell r="A601" t="str">
            <v>A05</v>
          </cell>
          <cell r="B601" t="str">
            <v>Sobreacarreo (d&gt;1km) (sin esponj)</v>
          </cell>
          <cell r="C601" t="str">
            <v>m3-km</v>
          </cell>
          <cell r="D601">
            <v>100</v>
          </cell>
          <cell r="E601">
            <v>1.6</v>
          </cell>
          <cell r="F601">
            <v>8.9285714285714263E-3</v>
          </cell>
          <cell r="G601">
            <v>4.7142857142857E-2</v>
          </cell>
          <cell r="H601">
            <v>0.23308571428571401</v>
          </cell>
          <cell r="I601">
            <v>0</v>
          </cell>
          <cell r="J601">
            <v>0</v>
          </cell>
          <cell r="K601">
            <v>0.28022857142857105</v>
          </cell>
          <cell r="L601">
            <v>0.4483657142857137</v>
          </cell>
          <cell r="M601">
            <v>44.836571428571368</v>
          </cell>
        </row>
        <row r="602">
          <cell r="A602" t="str">
            <v>2.09.e</v>
          </cell>
          <cell r="B602" t="str">
            <v>Drill and blast bulk rock (without limit on thickness, to fine or coarse fragments as required depending on end-use Applies to locations other than trenches and ditches).</v>
          </cell>
          <cell r="C602" t="str">
            <v>m3</v>
          </cell>
          <cell r="D602">
            <v>1800</v>
          </cell>
          <cell r="F602">
            <v>139.44477681159421</v>
          </cell>
          <cell r="G602">
            <v>0</v>
          </cell>
          <cell r="H602">
            <v>0</v>
          </cell>
          <cell r="I602">
            <v>0</v>
          </cell>
          <cell r="J602">
            <v>2.8381395999999999</v>
          </cell>
          <cell r="L602">
            <v>2.84</v>
          </cell>
          <cell r="M602">
            <v>5112</v>
          </cell>
        </row>
        <row r="603">
          <cell r="A603" t="str">
            <v>A11</v>
          </cell>
          <cell r="B603" t="str">
            <v>Perforación y voladura masiva (material fino)</v>
          </cell>
          <cell r="C603" t="str">
            <v>m3</v>
          </cell>
          <cell r="D603">
            <v>1800</v>
          </cell>
          <cell r="E603">
            <v>0.29981999999999998</v>
          </cell>
          <cell r="F603">
            <v>7.4718196457326899E-2</v>
          </cell>
          <cell r="G603">
            <v>0</v>
          </cell>
          <cell r="H603">
            <v>0</v>
          </cell>
          <cell r="I603">
            <v>0</v>
          </cell>
          <cell r="J603">
            <v>2.78</v>
          </cell>
          <cell r="K603">
            <v>2.78</v>
          </cell>
          <cell r="L603">
            <v>0.8334995999999999</v>
          </cell>
          <cell r="M603">
            <v>1500.2992799999997</v>
          </cell>
        </row>
        <row r="604">
          <cell r="A604" t="str">
            <v>A12</v>
          </cell>
          <cell r="B604" t="str">
            <v>Perforación y voladura masiva (material grueso)</v>
          </cell>
          <cell r="C604" t="str">
            <v>m3</v>
          </cell>
          <cell r="D604">
            <v>1800</v>
          </cell>
          <cell r="E604">
            <v>0.73699999999999999</v>
          </cell>
          <cell r="F604">
            <v>7.4718196457326899E-2</v>
          </cell>
          <cell r="G604">
            <v>0</v>
          </cell>
          <cell r="H604">
            <v>0</v>
          </cell>
          <cell r="I604">
            <v>0</v>
          </cell>
          <cell r="J604">
            <v>2.72</v>
          </cell>
          <cell r="K604">
            <v>2.72</v>
          </cell>
          <cell r="L604">
            <v>2.0046400000000002</v>
          </cell>
          <cell r="M604">
            <v>3608.3520000000003</v>
          </cell>
        </row>
        <row r="605">
          <cell r="A605" t="str">
            <v>2.09.f</v>
          </cell>
          <cell r="B605" t="str">
            <v xml:space="preserve">Excavate and Fill (fine blasted) broken rock </v>
          </cell>
          <cell r="C605" t="str">
            <v>m3</v>
          </cell>
          <cell r="D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L605">
            <v>0</v>
          </cell>
          <cell r="M605">
            <v>0</v>
          </cell>
        </row>
        <row r="606">
          <cell r="A606" t="str">
            <v>A13</v>
          </cell>
          <cell r="B606" t="str">
            <v>Remoción de Material fino volado</v>
          </cell>
          <cell r="C606" t="str">
            <v>m3</v>
          </cell>
          <cell r="D606">
            <v>0</v>
          </cell>
          <cell r="F606">
            <v>2.4E-2</v>
          </cell>
          <cell r="G606">
            <v>0.11976000000000001</v>
          </cell>
          <cell r="H606">
            <v>1.1023720000000001</v>
          </cell>
          <cell r="I606">
            <v>0</v>
          </cell>
          <cell r="J606">
            <v>0</v>
          </cell>
          <cell r="K606">
            <v>1.2221320000000002</v>
          </cell>
          <cell r="L606">
            <v>0</v>
          </cell>
          <cell r="M606">
            <v>0</v>
          </cell>
        </row>
        <row r="607">
          <cell r="A607" t="str">
            <v>A07</v>
          </cell>
          <cell r="B607" t="str">
            <v>Empuje de material d&lt;60m</v>
          </cell>
          <cell r="C607" t="str">
            <v>m3</v>
          </cell>
          <cell r="D607">
            <v>0</v>
          </cell>
          <cell r="F607">
            <v>1.2500000000000001E-2</v>
          </cell>
          <cell r="G607">
            <v>6.0562499999999998E-2</v>
          </cell>
          <cell r="H607">
            <v>0.50302812500000005</v>
          </cell>
          <cell r="I607">
            <v>0</v>
          </cell>
          <cell r="J607">
            <v>0</v>
          </cell>
          <cell r="K607">
            <v>0.56359062500000001</v>
          </cell>
          <cell r="L607">
            <v>0</v>
          </cell>
          <cell r="M607">
            <v>0</v>
          </cell>
        </row>
        <row r="608">
          <cell r="A608" t="str">
            <v>A08</v>
          </cell>
          <cell r="B608" t="str">
            <v>Relleno masivo compactado</v>
          </cell>
          <cell r="C608" t="str">
            <v>m3</v>
          </cell>
          <cell r="D608">
            <v>0</v>
          </cell>
          <cell r="F608">
            <v>4.2499999999999996E-2</v>
          </cell>
          <cell r="G608">
            <v>0.22367500000000001</v>
          </cell>
          <cell r="H608">
            <v>1.49118375</v>
          </cell>
          <cell r="I608">
            <v>0</v>
          </cell>
          <cell r="J608">
            <v>0</v>
          </cell>
          <cell r="K608">
            <v>1.7148587500000001</v>
          </cell>
          <cell r="L608">
            <v>0</v>
          </cell>
          <cell r="M608">
            <v>0</v>
          </cell>
        </row>
        <row r="609">
          <cell r="A609" t="str">
            <v>2.09.g</v>
          </cell>
          <cell r="B609" t="str">
            <v>Excavate (fine or coarse blasted) Broken Rock, Fill Soil or Ripable Rock to Other sub-Item work zone, within 2000m</v>
          </cell>
          <cell r="C609" t="str">
            <v>m3</v>
          </cell>
          <cell r="D609">
            <v>1800</v>
          </cell>
          <cell r="F609">
            <v>131.02909836065572</v>
          </cell>
          <cell r="G609">
            <v>0.37713827185792353</v>
          </cell>
          <cell r="H609">
            <v>2.7337686172586539</v>
          </cell>
          <cell r="I609">
            <v>0</v>
          </cell>
          <cell r="J609">
            <v>0</v>
          </cell>
          <cell r="L609">
            <v>3.11</v>
          </cell>
          <cell r="M609">
            <v>5598</v>
          </cell>
        </row>
        <row r="610">
          <cell r="A610" t="str">
            <v>A14</v>
          </cell>
          <cell r="B610" t="str">
            <v>Remoción de Material grueso volado</v>
          </cell>
          <cell r="C610" t="str">
            <v>m3</v>
          </cell>
          <cell r="D610">
            <v>1800</v>
          </cell>
          <cell r="E610">
            <v>0.995</v>
          </cell>
          <cell r="F610">
            <v>2.5000000000000001E-2</v>
          </cell>
          <cell r="G610">
            <v>0.12475</v>
          </cell>
          <cell r="H610">
            <v>1.11859166666667</v>
          </cell>
          <cell r="I610">
            <v>0</v>
          </cell>
          <cell r="J610">
            <v>0</v>
          </cell>
          <cell r="K610">
            <v>1.2433416666666699</v>
          </cell>
          <cell r="L610">
            <v>1.2371249583333366</v>
          </cell>
          <cell r="M610">
            <v>2226.8249250000058</v>
          </cell>
        </row>
        <row r="611">
          <cell r="A611" t="str">
            <v>A43</v>
          </cell>
          <cell r="B611" t="str">
            <v>Carguío de roca volada con excavadora</v>
          </cell>
          <cell r="C611" t="str">
            <v>m3</v>
          </cell>
          <cell r="D611">
            <v>1800</v>
          </cell>
          <cell r="E611">
            <v>1</v>
          </cell>
          <cell r="F611">
            <v>8.1967213114754103E-3</v>
          </cell>
          <cell r="G611">
            <v>4.3278688524589999E-2</v>
          </cell>
          <cell r="H611">
            <v>0.58667213114754102</v>
          </cell>
          <cell r="I611">
            <v>0</v>
          </cell>
          <cell r="J611">
            <v>0</v>
          </cell>
          <cell r="K611">
            <v>0.62995081967213107</v>
          </cell>
          <cell r="L611">
            <v>0.62995081967213107</v>
          </cell>
          <cell r="M611">
            <v>1133.9114754098359</v>
          </cell>
        </row>
        <row r="612">
          <cell r="A612" t="str">
            <v>A04</v>
          </cell>
          <cell r="B612" t="str">
            <v>Acarreo d&lt;1km (sin esponj)</v>
          </cell>
          <cell r="C612" t="str">
            <v>m3</v>
          </cell>
          <cell r="D612">
            <v>1800</v>
          </cell>
          <cell r="E612">
            <v>1.4</v>
          </cell>
          <cell r="F612">
            <v>1.9444444444444441E-2</v>
          </cell>
          <cell r="G612">
            <v>0.102666666666667</v>
          </cell>
          <cell r="H612">
            <v>0.50555555555555498</v>
          </cell>
          <cell r="I612">
            <v>0</v>
          </cell>
          <cell r="J612">
            <v>0</v>
          </cell>
          <cell r="K612">
            <v>0.608222222222222</v>
          </cell>
          <cell r="L612">
            <v>0.85151111111111077</v>
          </cell>
          <cell r="M612">
            <v>1532.7199999999993</v>
          </cell>
        </row>
        <row r="613">
          <cell r="A613" t="str">
            <v>A05</v>
          </cell>
          <cell r="B613" t="str">
            <v>Sobreacarreo (d&gt;1km) (sin esponj)</v>
          </cell>
          <cell r="C613" t="str">
            <v>m3-km</v>
          </cell>
          <cell r="D613">
            <v>1800</v>
          </cell>
          <cell r="E613">
            <v>1.4</v>
          </cell>
          <cell r="F613">
            <v>8.9285714285714263E-3</v>
          </cell>
          <cell r="G613">
            <v>4.7142857142857E-2</v>
          </cell>
          <cell r="H613">
            <v>0.23308571428571401</v>
          </cell>
          <cell r="I613">
            <v>0</v>
          </cell>
          <cell r="J613">
            <v>0</v>
          </cell>
          <cell r="K613">
            <v>0.28022857142857105</v>
          </cell>
          <cell r="L613">
            <v>0.39231999999999945</v>
          </cell>
          <cell r="M613">
            <v>706.17599999999902</v>
          </cell>
        </row>
        <row r="614">
          <cell r="A614" t="str">
            <v>2.09.h</v>
          </cell>
          <cell r="B614" t="str">
            <v>Supply and Install Backfill Granular A to roads/yards</v>
          </cell>
          <cell r="C614" t="str">
            <v>m3</v>
          </cell>
          <cell r="D614">
            <v>310</v>
          </cell>
          <cell r="F614">
            <v>135.80337301587298</v>
          </cell>
          <cell r="G614">
            <v>1.7647047619047616</v>
          </cell>
          <cell r="H614">
            <v>4.6444215238095197</v>
          </cell>
          <cell r="I614">
            <v>3.5625</v>
          </cell>
          <cell r="J614">
            <v>0</v>
          </cell>
          <cell r="K614">
            <v>9.971626285714283</v>
          </cell>
          <cell r="L614">
            <v>9.9700000000000006</v>
          </cell>
          <cell r="M614">
            <v>3090.7</v>
          </cell>
        </row>
        <row r="615">
          <cell r="A615" t="str">
            <v>A15</v>
          </cell>
          <cell r="B615" t="str">
            <v>Suministro de material granular A</v>
          </cell>
          <cell r="C615" t="str">
            <v>m3</v>
          </cell>
          <cell r="D615">
            <v>310</v>
          </cell>
          <cell r="E615">
            <v>1.25</v>
          </cell>
          <cell r="F615">
            <v>0</v>
          </cell>
          <cell r="G615">
            <v>0</v>
          </cell>
          <cell r="H615">
            <v>0</v>
          </cell>
          <cell r="I615">
            <v>2.85</v>
          </cell>
          <cell r="J615">
            <v>0</v>
          </cell>
          <cell r="K615">
            <v>2.85</v>
          </cell>
          <cell r="L615">
            <v>3.5625</v>
          </cell>
          <cell r="M615">
            <v>1104.375</v>
          </cell>
        </row>
        <row r="616">
          <cell r="A616" t="str">
            <v>A16</v>
          </cell>
          <cell r="B616" t="str">
            <v>Colocación y compactación Mat Granular A</v>
          </cell>
          <cell r="C616" t="str">
            <v>m3</v>
          </cell>
          <cell r="D616">
            <v>310</v>
          </cell>
          <cell r="E616">
            <v>1</v>
          </cell>
          <cell r="F616">
            <v>0.37805555555555553</v>
          </cell>
          <cell r="G616">
            <v>1.4478</v>
          </cell>
          <cell r="H616">
            <v>3.0801342222222199</v>
          </cell>
          <cell r="I616">
            <v>0</v>
          </cell>
          <cell r="J616">
            <v>0</v>
          </cell>
          <cell r="K616">
            <v>4.5279342222222194</v>
          </cell>
          <cell r="L616">
            <v>4.5279342222222194</v>
          </cell>
          <cell r="M616">
            <v>1403.659608888888</v>
          </cell>
        </row>
        <row r="617">
          <cell r="A617" t="str">
            <v>A04</v>
          </cell>
          <cell r="B617" t="str">
            <v>Acarreo d&lt;1km (sin esponj)</v>
          </cell>
          <cell r="C617" t="str">
            <v>m3</v>
          </cell>
          <cell r="D617">
            <v>310</v>
          </cell>
          <cell r="E617">
            <v>1.25</v>
          </cell>
          <cell r="F617">
            <v>1.9444444444444441E-2</v>
          </cell>
          <cell r="G617">
            <v>0.102666666666667</v>
          </cell>
          <cell r="H617">
            <v>0.50555555555555498</v>
          </cell>
          <cell r="I617">
            <v>0</v>
          </cell>
          <cell r="J617">
            <v>0</v>
          </cell>
          <cell r="K617">
            <v>0.608222222222222</v>
          </cell>
          <cell r="L617">
            <v>0.7602777777777775</v>
          </cell>
          <cell r="M617">
            <v>235.68611111111102</v>
          </cell>
        </row>
        <row r="618">
          <cell r="A618" t="str">
            <v>A05</v>
          </cell>
          <cell r="B618" t="str">
            <v>Sobreacarreo (d&gt;1km) (sin esponj)</v>
          </cell>
          <cell r="C618" t="str">
            <v>m3-km</v>
          </cell>
          <cell r="D618">
            <v>992</v>
          </cell>
          <cell r="E618">
            <v>1.25</v>
          </cell>
          <cell r="F618">
            <v>8.9285714285714263E-3</v>
          </cell>
          <cell r="G618">
            <v>4.7142857142857E-2</v>
          </cell>
          <cell r="H618">
            <v>0.23308571428571401</v>
          </cell>
          <cell r="I618">
            <v>0</v>
          </cell>
          <cell r="J618">
            <v>0</v>
          </cell>
          <cell r="K618">
            <v>0.28022857142857105</v>
          </cell>
          <cell r="L618">
            <v>0.35028571428571381</v>
          </cell>
          <cell r="M618">
            <v>347.48342857142808</v>
          </cell>
        </row>
        <row r="619">
          <cell r="A619" t="str">
            <v>2.09.i</v>
          </cell>
          <cell r="B619" t="str">
            <v>Supply and Install Backfill Granular B to roads/yards</v>
          </cell>
          <cell r="C619" t="str">
            <v>m3</v>
          </cell>
          <cell r="D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</row>
        <row r="620">
          <cell r="A620" t="str">
            <v>A40</v>
          </cell>
          <cell r="B620" t="str">
            <v>Suministro de material granular B</v>
          </cell>
          <cell r="C620" t="str">
            <v>m3</v>
          </cell>
          <cell r="F620">
            <v>0</v>
          </cell>
          <cell r="G620">
            <v>0</v>
          </cell>
          <cell r="H620">
            <v>0</v>
          </cell>
          <cell r="I620">
            <v>2.85</v>
          </cell>
          <cell r="J620">
            <v>0</v>
          </cell>
          <cell r="K620">
            <v>2.85</v>
          </cell>
          <cell r="L620">
            <v>0</v>
          </cell>
          <cell r="M620">
            <v>0</v>
          </cell>
        </row>
        <row r="621">
          <cell r="A621" t="str">
            <v>A41</v>
          </cell>
          <cell r="B621" t="str">
            <v>Colocación y compactación Mat Granular B</v>
          </cell>
          <cell r="C621" t="str">
            <v>m3</v>
          </cell>
          <cell r="F621">
            <v>0.10416666666666666</v>
          </cell>
          <cell r="G621">
            <v>0.53187499999999999</v>
          </cell>
          <cell r="H621">
            <v>2.3804166666666702</v>
          </cell>
          <cell r="I621">
            <v>0</v>
          </cell>
          <cell r="J621">
            <v>0</v>
          </cell>
          <cell r="K621">
            <v>2.9122916666666701</v>
          </cell>
          <cell r="L621">
            <v>0</v>
          </cell>
          <cell r="M621">
            <v>0</v>
          </cell>
        </row>
        <row r="622">
          <cell r="A622" t="str">
            <v>A04</v>
          </cell>
          <cell r="B622" t="str">
            <v>Acarreo d&lt;1km (sin esponj)</v>
          </cell>
          <cell r="C622" t="str">
            <v>m3</v>
          </cell>
          <cell r="F622">
            <v>1.9444444444444441E-2</v>
          </cell>
          <cell r="G622">
            <v>0.102666666666667</v>
          </cell>
          <cell r="H622">
            <v>0.50555555555555498</v>
          </cell>
          <cell r="I622">
            <v>0</v>
          </cell>
          <cell r="J622">
            <v>0</v>
          </cell>
          <cell r="K622">
            <v>0.608222222222222</v>
          </cell>
          <cell r="L622">
            <v>0</v>
          </cell>
          <cell r="M622">
            <v>0</v>
          </cell>
        </row>
        <row r="623">
          <cell r="A623" t="str">
            <v>A05</v>
          </cell>
          <cell r="B623" t="str">
            <v>Sobreacarreo (d&gt;1km) (sin esponj)</v>
          </cell>
          <cell r="C623" t="str">
            <v>m3-km</v>
          </cell>
          <cell r="F623">
            <v>8.9285714285714263E-3</v>
          </cell>
          <cell r="G623">
            <v>4.7142857142857E-2</v>
          </cell>
          <cell r="H623">
            <v>0.23308571428571401</v>
          </cell>
          <cell r="I623">
            <v>0</v>
          </cell>
          <cell r="J623">
            <v>0</v>
          </cell>
          <cell r="K623">
            <v>0.28022857142857105</v>
          </cell>
          <cell r="L623">
            <v>0</v>
          </cell>
          <cell r="M623">
            <v>0</v>
          </cell>
        </row>
        <row r="624">
          <cell r="A624" t="str">
            <v>2.09.j</v>
          </cell>
          <cell r="B624" t="str">
            <v>Supply and Install Riprap-Geotextile-Bedding to ditches and slopes, including rock/earth excavation and shaping of the site</v>
          </cell>
          <cell r="C624" t="str">
            <v>Ls</v>
          </cell>
          <cell r="D624">
            <v>1</v>
          </cell>
          <cell r="F624">
            <v>606.76227364518923</v>
          </cell>
          <cell r="G624">
            <v>2062.9964391226786</v>
          </cell>
          <cell r="H624">
            <v>2432.6581321282974</v>
          </cell>
          <cell r="I624">
            <v>240.60573197631098</v>
          </cell>
          <cell r="J624">
            <v>1127.8393686389577</v>
          </cell>
          <cell r="L624">
            <v>5864.1</v>
          </cell>
          <cell r="M624">
            <v>5864.1</v>
          </cell>
        </row>
        <row r="625">
          <cell r="A625" t="str">
            <v>A19</v>
          </cell>
          <cell r="B625" t="str">
            <v>Rip rap</v>
          </cell>
          <cell r="C625" t="str">
            <v>m3</v>
          </cell>
          <cell r="D625">
            <v>48</v>
          </cell>
          <cell r="E625">
            <v>1.0896998730811185</v>
          </cell>
          <cell r="F625">
            <v>2.7285714285714286</v>
          </cell>
          <cell r="G625">
            <v>8.8182857142857092</v>
          </cell>
          <cell r="H625">
            <v>4.8350057142857139</v>
          </cell>
          <cell r="I625">
            <v>2.85</v>
          </cell>
          <cell r="J625">
            <v>0</v>
          </cell>
          <cell r="K625">
            <v>16.503291428571423</v>
          </cell>
          <cell r="L625">
            <v>17.983634575134989</v>
          </cell>
          <cell r="M625">
            <v>863.21445960647952</v>
          </cell>
        </row>
        <row r="626">
          <cell r="A626" t="str">
            <v>A20</v>
          </cell>
          <cell r="B626" t="str">
            <v>Geotextil 400g/m2 Non Woven</v>
          </cell>
          <cell r="C626" t="str">
            <v>m2</v>
          </cell>
          <cell r="D626">
            <v>105</v>
          </cell>
          <cell r="E626">
            <v>1.0896998730811185</v>
          </cell>
          <cell r="F626">
            <v>0.37356321839080464</v>
          </cell>
          <cell r="G626">
            <v>1.1715517241379301</v>
          </cell>
          <cell r="H626">
            <v>0.445182471264368</v>
          </cell>
          <cell r="I626">
            <v>0.8</v>
          </cell>
          <cell r="J626">
            <v>0</v>
          </cell>
          <cell r="K626">
            <v>2.4167341954022983</v>
          </cell>
          <cell r="L626">
            <v>2.6335149460006835</v>
          </cell>
          <cell r="M626">
            <v>276.51906933007177</v>
          </cell>
        </row>
        <row r="627">
          <cell r="A627" t="str">
            <v>A21</v>
          </cell>
          <cell r="B627" t="str">
            <v>Excavación y perfilado de zanjas</v>
          </cell>
          <cell r="C627" t="str">
            <v>m3</v>
          </cell>
          <cell r="D627">
            <v>300</v>
          </cell>
          <cell r="E627">
            <v>1.0896998730811185</v>
          </cell>
          <cell r="F627">
            <v>1.2887346226726417</v>
          </cell>
          <cell r="G627">
            <v>4.4896263901299003</v>
          </cell>
          <cell r="H627">
            <v>6.5119556758310146</v>
          </cell>
          <cell r="I627">
            <v>0</v>
          </cell>
          <cell r="J627">
            <v>3.45</v>
          </cell>
          <cell r="K627">
            <v>14.451582065960915</v>
          </cell>
          <cell r="L627">
            <v>15.747887143098977</v>
          </cell>
          <cell r="M627">
            <v>4724.3661429296926</v>
          </cell>
        </row>
        <row r="628">
          <cell r="A628" t="str">
            <v>2.09.k</v>
          </cell>
          <cell r="B628" t="str">
            <v>Supply and Install Gabions-Geotextile-Bedding-Concrete Facing, complete including rock/earth excavation shaping &amp; backfill of the site</v>
          </cell>
          <cell r="C628" t="str">
            <v>Ls</v>
          </cell>
          <cell r="D628">
            <v>1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L628">
            <v>0</v>
          </cell>
          <cell r="M628">
            <v>0</v>
          </cell>
        </row>
        <row r="629">
          <cell r="A629" t="str">
            <v>A22</v>
          </cell>
          <cell r="B629" t="str">
            <v>Supply and Install Granular A Surfacing to roads/yards</v>
          </cell>
          <cell r="C629" t="str">
            <v>m3</v>
          </cell>
          <cell r="F629">
            <v>0.47959325396825392</v>
          </cell>
          <cell r="G629">
            <v>1.9839190476190467</v>
          </cell>
          <cell r="H629">
            <v>5.7282700952380896</v>
          </cell>
          <cell r="I629">
            <v>3.5625</v>
          </cell>
          <cell r="J629">
            <v>0</v>
          </cell>
          <cell r="K629">
            <v>11.274689142857136</v>
          </cell>
          <cell r="L629">
            <v>0</v>
          </cell>
          <cell r="M629">
            <v>0</v>
          </cell>
        </row>
        <row r="630">
          <cell r="A630" t="str">
            <v>A23</v>
          </cell>
          <cell r="B630" t="str">
            <v>Concrete Lining</v>
          </cell>
          <cell r="C630" t="str">
            <v>m3</v>
          </cell>
          <cell r="F630">
            <v>14.282608695652174</v>
          </cell>
          <cell r="G630">
            <v>49.431086956521703</v>
          </cell>
          <cell r="H630">
            <v>4.9527137681159399</v>
          </cell>
          <cell r="I630">
            <v>60</v>
          </cell>
          <cell r="J630">
            <v>0</v>
          </cell>
          <cell r="K630">
            <v>114.38380072463765</v>
          </cell>
          <cell r="L630">
            <v>0</v>
          </cell>
          <cell r="M630">
            <v>0</v>
          </cell>
        </row>
        <row r="631">
          <cell r="A631" t="str">
            <v>A24</v>
          </cell>
          <cell r="B631" t="str">
            <v>Gavión</v>
          </cell>
          <cell r="C631" t="str">
            <v>m3</v>
          </cell>
          <cell r="F631">
            <v>1.7583333333333333</v>
          </cell>
          <cell r="G631">
            <v>6.2273333333333296</v>
          </cell>
          <cell r="H631">
            <v>7.133083333333337</v>
          </cell>
          <cell r="I631">
            <v>19.350000000000001</v>
          </cell>
          <cell r="J631">
            <v>0</v>
          </cell>
          <cell r="K631">
            <v>32.710416666666674</v>
          </cell>
          <cell r="L631">
            <v>0</v>
          </cell>
          <cell r="M631">
            <v>0</v>
          </cell>
        </row>
        <row r="632">
          <cell r="A632" t="str">
            <v>A21</v>
          </cell>
          <cell r="B632" t="str">
            <v>Excavación y perfilado de zanjas</v>
          </cell>
          <cell r="C632" t="str">
            <v>m3</v>
          </cell>
          <cell r="F632">
            <v>1.2887346226726417</v>
          </cell>
          <cell r="G632">
            <v>4.4896263901299003</v>
          </cell>
          <cell r="H632">
            <v>6.5119556758310146</v>
          </cell>
          <cell r="I632">
            <v>0</v>
          </cell>
          <cell r="J632">
            <v>3.45</v>
          </cell>
          <cell r="K632">
            <v>14.451582065960915</v>
          </cell>
          <cell r="L632">
            <v>0</v>
          </cell>
          <cell r="M632">
            <v>0</v>
          </cell>
        </row>
        <row r="633">
          <cell r="A633" t="str">
            <v>2.09.l</v>
          </cell>
          <cell r="B633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633" t="str">
            <v>Ls</v>
          </cell>
          <cell r="D633">
            <v>1</v>
          </cell>
          <cell r="F633">
            <v>691.76631716532654</v>
          </cell>
          <cell r="G633">
            <v>2334.0503776326382</v>
          </cell>
          <cell r="H633">
            <v>3583.0156358841814</v>
          </cell>
          <cell r="I633">
            <v>2747.6239204933872</v>
          </cell>
          <cell r="J633">
            <v>962.46011925695552</v>
          </cell>
          <cell r="L633">
            <v>9627.15</v>
          </cell>
          <cell r="M633">
            <v>9627.15</v>
          </cell>
        </row>
        <row r="634">
          <cell r="A634" t="str">
            <v>A25</v>
          </cell>
          <cell r="B634" t="str">
            <v>Suministro y colocación de Grating</v>
          </cell>
          <cell r="C634" t="str">
            <v>m2</v>
          </cell>
          <cell r="F634">
            <v>1.75</v>
          </cell>
          <cell r="G634">
            <v>6.1725000000000003</v>
          </cell>
          <cell r="H634">
            <v>0.144125</v>
          </cell>
          <cell r="I634">
            <v>225</v>
          </cell>
          <cell r="J634">
            <v>0</v>
          </cell>
          <cell r="K634">
            <v>231.31662500000002</v>
          </cell>
          <cell r="L634">
            <v>0</v>
          </cell>
          <cell r="M634">
            <v>0</v>
          </cell>
        </row>
        <row r="635">
          <cell r="A635" t="str">
            <v>A26</v>
          </cell>
          <cell r="B635" t="str">
            <v>Suministro y colocación de Tapa metálica</v>
          </cell>
          <cell r="C635" t="str">
            <v>m2</v>
          </cell>
          <cell r="F635">
            <v>1.75</v>
          </cell>
          <cell r="G635">
            <v>6.1725000000000003</v>
          </cell>
          <cell r="H635">
            <v>0.144125</v>
          </cell>
          <cell r="I635">
            <v>300</v>
          </cell>
          <cell r="J635">
            <v>0</v>
          </cell>
          <cell r="K635">
            <v>306.31662499999999</v>
          </cell>
          <cell r="L635">
            <v>0</v>
          </cell>
          <cell r="M635">
            <v>0</v>
          </cell>
        </row>
        <row r="636">
          <cell r="A636" t="str">
            <v>A27</v>
          </cell>
          <cell r="B636" t="str">
            <v>Relleno estructural</v>
          </cell>
          <cell r="C636" t="str">
            <v>m3</v>
          </cell>
          <cell r="D636">
            <v>350</v>
          </cell>
          <cell r="E636">
            <v>0.95104754867288099</v>
          </cell>
          <cell r="F636">
            <v>1.2875000000000001</v>
          </cell>
          <cell r="G636">
            <v>4.2321666666666697</v>
          </cell>
          <cell r="H636">
            <v>6.8350416666666636</v>
          </cell>
          <cell r="I636">
            <v>0</v>
          </cell>
          <cell r="J636">
            <v>0</v>
          </cell>
          <cell r="K636">
            <v>11.067208333333333</v>
          </cell>
          <cell r="L636">
            <v>10.525441356068747</v>
          </cell>
          <cell r="M636">
            <v>3683.9044746240615</v>
          </cell>
        </row>
        <row r="637">
          <cell r="A637" t="str">
            <v>A28</v>
          </cell>
          <cell r="B637" t="str">
            <v>Bermas de Seguridad</v>
          </cell>
          <cell r="C637" t="str">
            <v>m3</v>
          </cell>
          <cell r="D637">
            <v>33</v>
          </cell>
          <cell r="E637">
            <v>0.95104754867288099</v>
          </cell>
          <cell r="F637">
            <v>0.1</v>
          </cell>
          <cell r="G637">
            <v>0.499</v>
          </cell>
          <cell r="H637">
            <v>3.5649500000000001</v>
          </cell>
          <cell r="I637">
            <v>2.85</v>
          </cell>
          <cell r="J637">
            <v>0</v>
          </cell>
          <cell r="K637">
            <v>6.9139499999999998</v>
          </cell>
          <cell r="L637">
            <v>6.5754951991468653</v>
          </cell>
          <cell r="M637">
            <v>216.99134157184656</v>
          </cell>
        </row>
        <row r="638">
          <cell r="A638" t="str">
            <v>A29</v>
          </cell>
          <cell r="B638" t="str">
            <v>Cama de Arena</v>
          </cell>
          <cell r="C638" t="str">
            <v>m3</v>
          </cell>
          <cell r="F638">
            <v>1.3416666666666666</v>
          </cell>
          <cell r="G638">
            <v>4.5181666666666702</v>
          </cell>
          <cell r="H638">
            <v>8.3767083333333332</v>
          </cell>
          <cell r="I638">
            <v>3.1349999999999998</v>
          </cell>
          <cell r="J638">
            <v>0</v>
          </cell>
          <cell r="K638">
            <v>16.029875000000004</v>
          </cell>
          <cell r="L638">
            <v>0</v>
          </cell>
          <cell r="M638">
            <v>0</v>
          </cell>
        </row>
        <row r="639">
          <cell r="A639" t="str">
            <v>A30</v>
          </cell>
          <cell r="B639" t="str">
            <v>Concreto reforzado</v>
          </cell>
          <cell r="C639" t="str">
            <v>m3</v>
          </cell>
          <cell r="F639">
            <v>16.2</v>
          </cell>
          <cell r="G639">
            <v>56.207999999999998</v>
          </cell>
          <cell r="H639">
            <v>3.9517333333333298</v>
          </cell>
          <cell r="I639">
            <v>116.16</v>
          </cell>
          <cell r="J639">
            <v>0</v>
          </cell>
          <cell r="K639">
            <v>176.31973333333332</v>
          </cell>
          <cell r="L639">
            <v>0</v>
          </cell>
          <cell r="M639">
            <v>0</v>
          </cell>
        </row>
        <row r="640">
          <cell r="A640" t="str">
            <v>A31</v>
          </cell>
          <cell r="B640" t="str">
            <v>Alcantarillas 800mm</v>
          </cell>
          <cell r="C640" t="str">
            <v>ml</v>
          </cell>
          <cell r="F640">
            <v>8</v>
          </cell>
          <cell r="G640">
            <v>25.88</v>
          </cell>
          <cell r="H640">
            <v>1.294</v>
          </cell>
          <cell r="I640">
            <v>60</v>
          </cell>
          <cell r="J640">
            <v>0</v>
          </cell>
          <cell r="K640">
            <v>87.173999999999992</v>
          </cell>
          <cell r="L640">
            <v>0</v>
          </cell>
          <cell r="M640">
            <v>0</v>
          </cell>
        </row>
        <row r="641">
          <cell r="A641" t="str">
            <v>A32</v>
          </cell>
          <cell r="B641" t="str">
            <v>Alcantarillas 600mm</v>
          </cell>
          <cell r="C641" t="str">
            <v>ml</v>
          </cell>
          <cell r="F641">
            <v>6.666666666666667</v>
          </cell>
          <cell r="G641">
            <v>21.566666666666698</v>
          </cell>
          <cell r="H641">
            <v>1.07833333333333</v>
          </cell>
          <cell r="I641">
            <v>50</v>
          </cell>
          <cell r="J641">
            <v>0</v>
          </cell>
          <cell r="K641">
            <v>72.645000000000024</v>
          </cell>
          <cell r="L641">
            <v>0</v>
          </cell>
          <cell r="M641">
            <v>0</v>
          </cell>
        </row>
        <row r="642">
          <cell r="A642" t="str">
            <v>A33</v>
          </cell>
          <cell r="B642" t="str">
            <v>Alcantarillas 1350mm</v>
          </cell>
          <cell r="C642" t="str">
            <v>ml</v>
          </cell>
          <cell r="F642">
            <v>12.5</v>
          </cell>
          <cell r="G642">
            <v>39.924999999999997</v>
          </cell>
          <cell r="H642">
            <v>1.9962500000000001</v>
          </cell>
          <cell r="I642">
            <v>160</v>
          </cell>
          <cell r="J642">
            <v>0</v>
          </cell>
          <cell r="K642">
            <v>201.92125000000001</v>
          </cell>
          <cell r="L642">
            <v>0</v>
          </cell>
          <cell r="M642">
            <v>0</v>
          </cell>
        </row>
        <row r="643">
          <cell r="A643" t="str">
            <v>A34</v>
          </cell>
          <cell r="B643" t="str">
            <v>Alcantarillas 1000mm</v>
          </cell>
          <cell r="C643" t="str">
            <v>ml</v>
          </cell>
          <cell r="F643">
            <v>8.8888888888888893</v>
          </cell>
          <cell r="G643">
            <v>28.755555555555599</v>
          </cell>
          <cell r="H643">
            <v>1.43777777777778</v>
          </cell>
          <cell r="I643">
            <v>78</v>
          </cell>
          <cell r="J643">
            <v>0</v>
          </cell>
          <cell r="K643">
            <v>108.19333333333338</v>
          </cell>
          <cell r="L643">
            <v>0</v>
          </cell>
          <cell r="M643">
            <v>0</v>
          </cell>
        </row>
        <row r="644">
          <cell r="A644" t="str">
            <v>A35</v>
          </cell>
          <cell r="B644" t="str">
            <v>Alcantarillas 1600mm</v>
          </cell>
          <cell r="C644" t="str">
            <v>ml</v>
          </cell>
          <cell r="D644">
            <v>13</v>
          </cell>
          <cell r="E644">
            <v>0.95104754867288099</v>
          </cell>
          <cell r="F644">
            <v>12.5</v>
          </cell>
          <cell r="G644">
            <v>39.924999999999997</v>
          </cell>
          <cell r="H644">
            <v>1.9962500000000001</v>
          </cell>
          <cell r="I644">
            <v>215</v>
          </cell>
          <cell r="J644">
            <v>0</v>
          </cell>
          <cell r="K644">
            <v>256.92124999999999</v>
          </cell>
          <cell r="L644">
            <v>244.34432501447242</v>
          </cell>
          <cell r="M644">
            <v>3176.4762251881416</v>
          </cell>
        </row>
        <row r="645">
          <cell r="A645" t="str">
            <v>A36</v>
          </cell>
          <cell r="B645" t="str">
            <v>Tubería para buzón CMP 2000mm Diam</v>
          </cell>
          <cell r="C645" t="str">
            <v>ml</v>
          </cell>
          <cell r="F645">
            <v>20</v>
          </cell>
          <cell r="G645">
            <v>63.3333333333333</v>
          </cell>
          <cell r="H645">
            <v>3.1666666666666701</v>
          </cell>
          <cell r="I645">
            <v>335</v>
          </cell>
          <cell r="J645">
            <v>0</v>
          </cell>
          <cell r="K645">
            <v>401.5</v>
          </cell>
          <cell r="L645">
            <v>0</v>
          </cell>
          <cell r="M645">
            <v>0</v>
          </cell>
        </row>
        <row r="646">
          <cell r="A646" t="str">
            <v>A37</v>
          </cell>
          <cell r="B646" t="str">
            <v>Alcantarillas 300mm</v>
          </cell>
          <cell r="F646">
            <v>6.666666666666667</v>
          </cell>
          <cell r="G646">
            <v>21.566666666666698</v>
          </cell>
          <cell r="H646">
            <v>1.07833333333333</v>
          </cell>
          <cell r="I646">
            <v>26</v>
          </cell>
          <cell r="J646">
            <v>0</v>
          </cell>
          <cell r="K646">
            <v>48.645000000000032</v>
          </cell>
          <cell r="L646">
            <v>0</v>
          </cell>
          <cell r="M646">
            <v>0</v>
          </cell>
        </row>
        <row r="647">
          <cell r="A647" t="str">
            <v>A20</v>
          </cell>
          <cell r="B647" t="str">
            <v>Geotextil 400g/m2 Non Woven</v>
          </cell>
          <cell r="C647" t="str">
            <v>m2</v>
          </cell>
          <cell r="F647">
            <v>0.37356321839080464</v>
          </cell>
          <cell r="G647">
            <v>1.1715517241379301</v>
          </cell>
          <cell r="H647">
            <v>0.445182471264368</v>
          </cell>
          <cell r="I647">
            <v>0.8</v>
          </cell>
          <cell r="J647">
            <v>0</v>
          </cell>
          <cell r="K647">
            <v>2.4167341954022983</v>
          </cell>
          <cell r="L647">
            <v>0</v>
          </cell>
          <cell r="M647">
            <v>0</v>
          </cell>
        </row>
        <row r="648">
          <cell r="A648" t="str">
            <v>A38</v>
          </cell>
          <cell r="B648" t="str">
            <v>Excavación y eliminación de material para cunetas en roca</v>
          </cell>
          <cell r="C648" t="str">
            <v>m3</v>
          </cell>
          <cell r="D648">
            <v>70</v>
          </cell>
          <cell r="E648">
            <v>0.95104754867288099</v>
          </cell>
          <cell r="F648">
            <v>0.28461538461538466</v>
          </cell>
          <cell r="G648">
            <v>1.41576923076923</v>
          </cell>
          <cell r="H648">
            <v>7.0169423076923119</v>
          </cell>
          <cell r="I648">
            <v>0</v>
          </cell>
          <cell r="J648">
            <v>11.5</v>
          </cell>
          <cell r="K648">
            <v>19.932711538461543</v>
          </cell>
          <cell r="L648">
            <v>18.9569564470575</v>
          </cell>
          <cell r="M648">
            <v>1326.9869512940249</v>
          </cell>
        </row>
        <row r="649">
          <cell r="A649" t="str">
            <v>A39</v>
          </cell>
          <cell r="B649" t="str">
            <v>Excavación y eliminación de material para cunetas en suelo común</v>
          </cell>
          <cell r="C649" t="str">
            <v>m3</v>
          </cell>
          <cell r="D649">
            <v>70</v>
          </cell>
          <cell r="E649">
            <v>0.95104754867288099</v>
          </cell>
          <cell r="F649">
            <v>0.1957264957264957</v>
          </cell>
          <cell r="G649">
            <v>0.98510256410256403</v>
          </cell>
          <cell r="H649">
            <v>4.9954089743589778</v>
          </cell>
          <cell r="I649">
            <v>0</v>
          </cell>
          <cell r="J649">
            <v>0</v>
          </cell>
          <cell r="K649">
            <v>5.9805115384615419</v>
          </cell>
          <cell r="L649">
            <v>5.6877508384637299</v>
          </cell>
          <cell r="M649">
            <v>398.14255869246108</v>
          </cell>
        </row>
        <row r="650">
          <cell r="A650" t="str">
            <v>A21</v>
          </cell>
          <cell r="B650" t="str">
            <v>Excavación y perfilado de zanjas</v>
          </cell>
          <cell r="C650" t="str">
            <v>m3</v>
          </cell>
          <cell r="D650">
            <v>60</v>
          </cell>
          <cell r="E650">
            <v>0.95104754867288099</v>
          </cell>
          <cell r="F650">
            <v>1.2887346226726417</v>
          </cell>
          <cell r="G650">
            <v>4.4896263901299003</v>
          </cell>
          <cell r="H650">
            <v>6.5119556758310146</v>
          </cell>
          <cell r="I650">
            <v>0</v>
          </cell>
          <cell r="J650">
            <v>3.45</v>
          </cell>
          <cell r="K650">
            <v>14.451582065960915</v>
          </cell>
          <cell r="L650">
            <v>13.744141698277097</v>
          </cell>
          <cell r="M650">
            <v>824.64850189662582</v>
          </cell>
        </row>
        <row r="651">
          <cell r="A651" t="str">
            <v>2.10</v>
          </cell>
          <cell r="B651" t="str">
            <v>MINE MAINTENANCE DUST CONTROL WATER TANK ACCESS ROAD</v>
          </cell>
        </row>
        <row r="652">
          <cell r="A652" t="str">
            <v>2.10.a</v>
          </cell>
          <cell r="B652" t="str">
            <v>Clear and Grub</v>
          </cell>
          <cell r="C652" t="str">
            <v>Ls</v>
          </cell>
        </row>
        <row r="653">
          <cell r="A653" t="str">
            <v>2.10.b</v>
          </cell>
          <cell r="B653" t="str">
            <v>Cut unsuitable soil to waste (includes organic soil)</v>
          </cell>
          <cell r="C653" t="str">
            <v>m3</v>
          </cell>
          <cell r="D653">
            <v>550</v>
          </cell>
          <cell r="F653">
            <v>50.061559695512813</v>
          </cell>
          <cell r="G653">
            <v>0.47561954450549426</v>
          </cell>
          <cell r="H653">
            <v>3.0948038162564089</v>
          </cell>
          <cell r="I653">
            <v>0</v>
          </cell>
          <cell r="J653">
            <v>0</v>
          </cell>
          <cell r="L653">
            <v>3.57</v>
          </cell>
          <cell r="M653">
            <v>1963.5</v>
          </cell>
        </row>
        <row r="654">
          <cell r="A654" t="str">
            <v>A01</v>
          </cell>
          <cell r="B654" t="str">
            <v>Excavación de Topsoil y Unsuitable (e&gt;1m)</v>
          </cell>
          <cell r="C654" t="str">
            <v>m3</v>
          </cell>
          <cell r="D654">
            <v>550</v>
          </cell>
          <cell r="E654">
            <v>1</v>
          </cell>
          <cell r="F654">
            <v>1.7142857142857144E-2</v>
          </cell>
          <cell r="G654">
            <v>8.5542857142857004E-2</v>
          </cell>
          <cell r="H654">
            <v>0.81924857142857199</v>
          </cell>
          <cell r="I654">
            <v>0</v>
          </cell>
          <cell r="J654">
            <v>0</v>
          </cell>
          <cell r="K654">
            <v>0.90479142857142902</v>
          </cell>
          <cell r="L654">
            <v>0.90479142857142902</v>
          </cell>
          <cell r="M654">
            <v>497.63528571428594</v>
          </cell>
        </row>
        <row r="655">
          <cell r="A655" t="str">
            <v>A02</v>
          </cell>
          <cell r="B655" t="str">
            <v>Excavación de Topsoil y Unsuitable (e&lt;1m)</v>
          </cell>
          <cell r="C655" t="str">
            <v>m3</v>
          </cell>
          <cell r="D655">
            <v>0</v>
          </cell>
          <cell r="E655">
            <v>1</v>
          </cell>
          <cell r="F655">
            <v>1.4285714285714285E-2</v>
          </cell>
          <cell r="G655">
            <v>6.9214285714286006E-2</v>
          </cell>
          <cell r="H655">
            <v>0.57488928571428499</v>
          </cell>
          <cell r="I655">
            <v>0</v>
          </cell>
          <cell r="J655">
            <v>0</v>
          </cell>
          <cell r="K655">
            <v>0.644103571428571</v>
          </cell>
          <cell r="L655">
            <v>0.644103571428571</v>
          </cell>
          <cell r="M655">
            <v>0</v>
          </cell>
        </row>
        <row r="656">
          <cell r="A656" t="str">
            <v>A03</v>
          </cell>
          <cell r="B656" t="str">
            <v>Carguío de Topsoil &amp; Unsuitable con excavadora</v>
          </cell>
          <cell r="C656" t="str">
            <v>m3</v>
          </cell>
          <cell r="D656">
            <v>550</v>
          </cell>
          <cell r="E656">
            <v>1</v>
          </cell>
          <cell r="F656">
            <v>1.3461538461538462E-2</v>
          </cell>
          <cell r="G656">
            <v>7.1076923076922996E-2</v>
          </cell>
          <cell r="H656">
            <v>0.70142307692307704</v>
          </cell>
          <cell r="I656">
            <v>0</v>
          </cell>
          <cell r="J656">
            <v>0</v>
          </cell>
          <cell r="K656">
            <v>0.77250000000000008</v>
          </cell>
          <cell r="L656">
            <v>0.77250000000000008</v>
          </cell>
          <cell r="M656">
            <v>424.87500000000006</v>
          </cell>
        </row>
        <row r="657">
          <cell r="A657" t="str">
            <v>A04</v>
          </cell>
          <cell r="B657" t="str">
            <v>Acarreo d&lt;1km (sin esponj)</v>
          </cell>
          <cell r="C657" t="str">
            <v>m3</v>
          </cell>
          <cell r="D657">
            <v>550</v>
          </cell>
          <cell r="E657">
            <v>1.5</v>
          </cell>
          <cell r="F657">
            <v>1.9444444444444441E-2</v>
          </cell>
          <cell r="G657">
            <v>0.102666666666667</v>
          </cell>
          <cell r="H657">
            <v>0.50555555555555498</v>
          </cell>
          <cell r="I657">
            <v>0</v>
          </cell>
          <cell r="J657">
            <v>0</v>
          </cell>
          <cell r="K657">
            <v>0.608222222222222</v>
          </cell>
          <cell r="L657">
            <v>0.912333333333333</v>
          </cell>
          <cell r="M657">
            <v>501.78333333333313</v>
          </cell>
        </row>
        <row r="658">
          <cell r="A658" t="str">
            <v>A05</v>
          </cell>
          <cell r="B658" t="str">
            <v>Sobreacarreo (d&gt;1km) (sin esponj)</v>
          </cell>
          <cell r="C658" t="str">
            <v>m3-km</v>
          </cell>
          <cell r="D658">
            <v>1283.3315</v>
          </cell>
          <cell r="E658">
            <v>1.5</v>
          </cell>
          <cell r="F658">
            <v>8.9285714285714263E-3</v>
          </cell>
          <cell r="G658">
            <v>4.7142857142857E-2</v>
          </cell>
          <cell r="H658">
            <v>0.23308571428571401</v>
          </cell>
          <cell r="I658">
            <v>0</v>
          </cell>
          <cell r="J658">
            <v>0</v>
          </cell>
          <cell r="K658">
            <v>0.28022857142857105</v>
          </cell>
          <cell r="L658">
            <v>0.42034285714285657</v>
          </cell>
          <cell r="M658">
            <v>539.43922937142781</v>
          </cell>
        </row>
        <row r="659">
          <cell r="A659" t="str">
            <v>2.10.c</v>
          </cell>
          <cell r="B659" t="str">
            <v>Cut and Fill Soil or Ripable Rock, within sub-Item work zone</v>
          </cell>
          <cell r="C659" t="str">
            <v>m3</v>
          </cell>
          <cell r="D659">
            <v>500</v>
          </cell>
          <cell r="F659">
            <v>49.895833333333329</v>
          </cell>
          <cell r="G659">
            <v>0.50487812500000007</v>
          </cell>
          <cell r="H659">
            <v>4.059882239583338</v>
          </cell>
          <cell r="I659">
            <v>0</v>
          </cell>
          <cell r="J659">
            <v>0</v>
          </cell>
          <cell r="L659">
            <v>4.5599999999999996</v>
          </cell>
          <cell r="M659">
            <v>2280</v>
          </cell>
        </row>
        <row r="660">
          <cell r="A660" t="str">
            <v>A06</v>
          </cell>
          <cell r="B660" t="str">
            <v>Excavación de roca ripeable</v>
          </cell>
          <cell r="C660" t="str">
            <v>m3</v>
          </cell>
          <cell r="D660">
            <v>500</v>
          </cell>
          <cell r="E660">
            <v>1.25</v>
          </cell>
          <cell r="F660">
            <v>3.3333333333333333E-2</v>
          </cell>
          <cell r="G660">
            <v>0.16439999999999999</v>
          </cell>
          <cell r="H660">
            <v>1.5519306666666701</v>
          </cell>
          <cell r="I660">
            <v>0</v>
          </cell>
          <cell r="J660">
            <v>0</v>
          </cell>
          <cell r="K660">
            <v>1.7163306666666702</v>
          </cell>
          <cell r="L660">
            <v>2.1454133333333378</v>
          </cell>
          <cell r="M660">
            <v>1072.706666666669</v>
          </cell>
        </row>
        <row r="661">
          <cell r="A661" t="str">
            <v>A07</v>
          </cell>
          <cell r="B661" t="str">
            <v>Empuje de material d&lt;60m</v>
          </cell>
          <cell r="C661" t="str">
            <v>m3</v>
          </cell>
          <cell r="D661">
            <v>500</v>
          </cell>
          <cell r="E661">
            <v>1.25</v>
          </cell>
          <cell r="F661">
            <v>1.2500000000000001E-2</v>
          </cell>
          <cell r="G661">
            <v>6.0562499999999998E-2</v>
          </cell>
          <cell r="H661">
            <v>0.50302812500000005</v>
          </cell>
          <cell r="I661">
            <v>0</v>
          </cell>
          <cell r="J661">
            <v>0</v>
          </cell>
          <cell r="K661">
            <v>0.56359062500000001</v>
          </cell>
          <cell r="L661">
            <v>0.70448828124999996</v>
          </cell>
          <cell r="M661">
            <v>352.244140625</v>
          </cell>
        </row>
        <row r="662">
          <cell r="A662" t="str">
            <v>A08</v>
          </cell>
          <cell r="B662" t="str">
            <v>Relleno masivo compactado</v>
          </cell>
          <cell r="C662" t="str">
            <v>m3</v>
          </cell>
          <cell r="D662">
            <v>500</v>
          </cell>
          <cell r="E662">
            <v>1</v>
          </cell>
          <cell r="F662">
            <v>4.2499999999999996E-2</v>
          </cell>
          <cell r="G662">
            <v>0.22367500000000001</v>
          </cell>
          <cell r="H662">
            <v>1.49118375</v>
          </cell>
          <cell r="I662">
            <v>0</v>
          </cell>
          <cell r="J662">
            <v>0</v>
          </cell>
          <cell r="K662">
            <v>1.7148587500000001</v>
          </cell>
          <cell r="L662">
            <v>1.7148587500000001</v>
          </cell>
          <cell r="M662">
            <v>857.42937500000005</v>
          </cell>
        </row>
        <row r="663">
          <cell r="A663" t="str">
            <v>2.10.d</v>
          </cell>
          <cell r="B663" t="str">
            <v xml:space="preserve">Cut and Dispose Soil or Ripable Rock to Waste Rock Disposal Site </v>
          </cell>
          <cell r="C663" t="str">
            <v>m3</v>
          </cell>
          <cell r="D663">
            <v>1700</v>
          </cell>
          <cell r="F663">
            <v>175.74087301587298</v>
          </cell>
          <cell r="G663">
            <v>0.53423047619047637</v>
          </cell>
          <cell r="H663">
            <v>3.7942933015873024</v>
          </cell>
          <cell r="I663">
            <v>0</v>
          </cell>
          <cell r="J663">
            <v>0</v>
          </cell>
          <cell r="L663">
            <v>4.33</v>
          </cell>
          <cell r="M663">
            <v>7361</v>
          </cell>
        </row>
        <row r="664">
          <cell r="A664" t="str">
            <v>A06</v>
          </cell>
          <cell r="B664" t="str">
            <v>Excavación de roca ripeable</v>
          </cell>
          <cell r="C664" t="str">
            <v>m3</v>
          </cell>
          <cell r="D664">
            <v>1700</v>
          </cell>
          <cell r="E664">
            <v>1</v>
          </cell>
          <cell r="F664">
            <v>3.3333333333333333E-2</v>
          </cell>
          <cell r="G664">
            <v>0.16439999999999999</v>
          </cell>
          <cell r="H664">
            <v>1.5519306666666701</v>
          </cell>
          <cell r="I664">
            <v>0</v>
          </cell>
          <cell r="J664">
            <v>0</v>
          </cell>
          <cell r="K664">
            <v>1.7163306666666702</v>
          </cell>
          <cell r="L664">
            <v>1.7163306666666702</v>
          </cell>
          <cell r="M664">
            <v>2917.7621333333395</v>
          </cell>
        </row>
        <row r="665">
          <cell r="A665" t="str">
            <v>A09</v>
          </cell>
          <cell r="B665" t="str">
            <v>Carguío de material común &amp; roca ripeable con excavadora</v>
          </cell>
          <cell r="C665" t="str">
            <v>m3</v>
          </cell>
          <cell r="D665">
            <v>1700</v>
          </cell>
          <cell r="E665">
            <v>1</v>
          </cell>
          <cell r="F665">
            <v>8.0000000000000002E-3</v>
          </cell>
          <cell r="G665">
            <v>4.224E-2</v>
          </cell>
          <cell r="H665">
            <v>0.57259199999999999</v>
          </cell>
          <cell r="I665">
            <v>0</v>
          </cell>
          <cell r="J665">
            <v>0</v>
          </cell>
          <cell r="K665">
            <v>0.61483199999999993</v>
          </cell>
          <cell r="L665">
            <v>0.61483199999999993</v>
          </cell>
          <cell r="M665">
            <v>1045.2143999999998</v>
          </cell>
        </row>
        <row r="666">
          <cell r="A666" t="str">
            <v>A10</v>
          </cell>
          <cell r="B666" t="str">
            <v>Extendido de roca en botadero</v>
          </cell>
          <cell r="C666" t="str">
            <v>m3</v>
          </cell>
          <cell r="D666">
            <v>1700</v>
          </cell>
          <cell r="E666">
            <v>1</v>
          </cell>
          <cell r="F666">
            <v>3.5714285714285713E-3</v>
          </cell>
          <cell r="G666">
            <v>1.8857142857142999E-2</v>
          </cell>
          <cell r="H666">
            <v>0.14619285714285699</v>
          </cell>
          <cell r="I666">
            <v>0</v>
          </cell>
          <cell r="J666">
            <v>0</v>
          </cell>
          <cell r="K666">
            <v>0.16504999999999997</v>
          </cell>
          <cell r="L666">
            <v>0.16504999999999997</v>
          </cell>
          <cell r="M666">
            <v>280.58499999999998</v>
          </cell>
        </row>
        <row r="667">
          <cell r="A667" t="str">
            <v>A04</v>
          </cell>
          <cell r="B667" t="str">
            <v>Acarreo d&lt;1km (sin esponj)</v>
          </cell>
          <cell r="C667" t="str">
            <v>m3</v>
          </cell>
          <cell r="D667">
            <v>1700</v>
          </cell>
          <cell r="E667">
            <v>1.4</v>
          </cell>
          <cell r="F667">
            <v>1.9444444444444441E-2</v>
          </cell>
          <cell r="G667">
            <v>0.102666666666667</v>
          </cell>
          <cell r="H667">
            <v>0.50555555555555498</v>
          </cell>
          <cell r="I667">
            <v>0</v>
          </cell>
          <cell r="J667">
            <v>0</v>
          </cell>
          <cell r="K667">
            <v>0.608222222222222</v>
          </cell>
          <cell r="L667">
            <v>0.85151111111111077</v>
          </cell>
          <cell r="M667">
            <v>1447.5688888888883</v>
          </cell>
        </row>
        <row r="668">
          <cell r="A668" t="str">
            <v>A05</v>
          </cell>
          <cell r="B668" t="str">
            <v>Sobreacarreo (d&gt;1km) (sin esponj)</v>
          </cell>
          <cell r="C668" t="str">
            <v>m3-km</v>
          </cell>
          <cell r="D668">
            <v>4250</v>
          </cell>
          <cell r="E668">
            <v>1.4</v>
          </cell>
          <cell r="F668">
            <v>8.9285714285714263E-3</v>
          </cell>
          <cell r="G668">
            <v>4.7142857142857E-2</v>
          </cell>
          <cell r="H668">
            <v>0.23308571428571401</v>
          </cell>
          <cell r="I668">
            <v>0</v>
          </cell>
          <cell r="J668">
            <v>0</v>
          </cell>
          <cell r="K668">
            <v>0.28022857142857105</v>
          </cell>
          <cell r="L668">
            <v>0.39231999999999945</v>
          </cell>
          <cell r="M668">
            <v>1667.3599999999976</v>
          </cell>
        </row>
        <row r="669">
          <cell r="A669" t="str">
            <v>2.10.e</v>
          </cell>
          <cell r="B669" t="str">
            <v>Drill and blast bulk rock (without limit on thickness, broken to fine or coarse fragments as required depending on end-use Applies to locations other than trenches and ditches).</v>
          </cell>
          <cell r="C669" t="str">
            <v>m3</v>
          </cell>
          <cell r="D669">
            <v>13200</v>
          </cell>
          <cell r="F669">
            <v>986.28019323671504</v>
          </cell>
          <cell r="G669">
            <v>0</v>
          </cell>
          <cell r="H669">
            <v>0</v>
          </cell>
          <cell r="I669">
            <v>0</v>
          </cell>
          <cell r="J669">
            <v>2.72</v>
          </cell>
          <cell r="L669">
            <v>2.72</v>
          </cell>
          <cell r="M669">
            <v>35904</v>
          </cell>
        </row>
        <row r="670">
          <cell r="A670" t="str">
            <v>A11</v>
          </cell>
          <cell r="B670" t="str">
            <v>Perforación y voladura masiva (material fino)</v>
          </cell>
          <cell r="C670" t="str">
            <v>m3</v>
          </cell>
          <cell r="D670">
            <v>13200</v>
          </cell>
          <cell r="E670">
            <v>0</v>
          </cell>
          <cell r="F670">
            <v>7.4718196457326899E-2</v>
          </cell>
          <cell r="G670">
            <v>0</v>
          </cell>
          <cell r="H670">
            <v>0</v>
          </cell>
          <cell r="I670">
            <v>0</v>
          </cell>
          <cell r="J670">
            <v>2.78</v>
          </cell>
          <cell r="K670">
            <v>2.78</v>
          </cell>
          <cell r="L670">
            <v>0</v>
          </cell>
          <cell r="M670">
            <v>0</v>
          </cell>
        </row>
        <row r="671">
          <cell r="A671" t="str">
            <v>A12</v>
          </cell>
          <cell r="B671" t="str">
            <v>Perforación y voladura masiva (material grueso)</v>
          </cell>
          <cell r="C671" t="str">
            <v>m3</v>
          </cell>
          <cell r="D671">
            <v>13200</v>
          </cell>
          <cell r="E671">
            <v>1</v>
          </cell>
          <cell r="F671">
            <v>7.4718196457326899E-2</v>
          </cell>
          <cell r="G671">
            <v>0</v>
          </cell>
          <cell r="H671">
            <v>0</v>
          </cell>
          <cell r="I671">
            <v>0</v>
          </cell>
          <cell r="J671">
            <v>2.72</v>
          </cell>
          <cell r="K671">
            <v>2.72</v>
          </cell>
          <cell r="L671">
            <v>2.72</v>
          </cell>
          <cell r="M671">
            <v>35904</v>
          </cell>
        </row>
        <row r="672">
          <cell r="A672" t="str">
            <v>2.10.f</v>
          </cell>
          <cell r="B672" t="str">
            <v xml:space="preserve">Excavate and Fill (fine blasted) broken rock </v>
          </cell>
          <cell r="C672" t="str">
            <v>m3</v>
          </cell>
          <cell r="D672">
            <v>100</v>
          </cell>
          <cell r="F672">
            <v>8.3849999999999998</v>
          </cell>
          <cell r="G672">
            <v>0.42801774999999997</v>
          </cell>
          <cell r="H672">
            <v>3.3122424875000003</v>
          </cell>
          <cell r="I672">
            <v>0</v>
          </cell>
          <cell r="J672">
            <v>0</v>
          </cell>
          <cell r="L672">
            <v>3.74</v>
          </cell>
          <cell r="M672">
            <v>374</v>
          </cell>
        </row>
        <row r="673">
          <cell r="A673" t="str">
            <v>A13</v>
          </cell>
          <cell r="B673" t="str">
            <v>Remoción de Material fino volado</v>
          </cell>
          <cell r="C673" t="str">
            <v>m3</v>
          </cell>
          <cell r="D673">
            <v>100</v>
          </cell>
          <cell r="E673">
            <v>1.1499999999999999</v>
          </cell>
          <cell r="F673">
            <v>2.4E-2</v>
          </cell>
          <cell r="G673">
            <v>0.11976000000000001</v>
          </cell>
          <cell r="H673">
            <v>1.1023720000000001</v>
          </cell>
          <cell r="I673">
            <v>0</v>
          </cell>
          <cell r="J673">
            <v>0</v>
          </cell>
          <cell r="K673">
            <v>1.2221320000000002</v>
          </cell>
          <cell r="L673">
            <v>1.4054518000000003</v>
          </cell>
          <cell r="M673">
            <v>140.54518000000002</v>
          </cell>
        </row>
        <row r="674">
          <cell r="A674" t="str">
            <v>A07</v>
          </cell>
          <cell r="B674" t="str">
            <v>Empuje de material d&lt;60m</v>
          </cell>
          <cell r="C674" t="str">
            <v>m3</v>
          </cell>
          <cell r="D674">
            <v>100</v>
          </cell>
          <cell r="E674">
            <v>1.1000000000000001</v>
          </cell>
          <cell r="F674">
            <v>1.2500000000000001E-2</v>
          </cell>
          <cell r="G674">
            <v>6.0562499999999998E-2</v>
          </cell>
          <cell r="H674">
            <v>0.50302812500000005</v>
          </cell>
          <cell r="I674">
            <v>0</v>
          </cell>
          <cell r="J674">
            <v>0</v>
          </cell>
          <cell r="K674">
            <v>0.56359062500000001</v>
          </cell>
          <cell r="L674">
            <v>0.61994968750000001</v>
          </cell>
          <cell r="M674">
            <v>61.994968749999998</v>
          </cell>
        </row>
        <row r="675">
          <cell r="A675" t="str">
            <v>A08</v>
          </cell>
          <cell r="B675" t="str">
            <v>Relleno masivo compactado</v>
          </cell>
          <cell r="C675" t="str">
            <v>m3</v>
          </cell>
          <cell r="D675">
            <v>100</v>
          </cell>
          <cell r="E675">
            <v>1</v>
          </cell>
          <cell r="F675">
            <v>4.2499999999999996E-2</v>
          </cell>
          <cell r="G675">
            <v>0.22367500000000001</v>
          </cell>
          <cell r="H675">
            <v>1.49118375</v>
          </cell>
          <cell r="I675">
            <v>0</v>
          </cell>
          <cell r="J675">
            <v>0</v>
          </cell>
          <cell r="K675">
            <v>1.7148587500000001</v>
          </cell>
          <cell r="L675">
            <v>1.7148587500000001</v>
          </cell>
          <cell r="M675">
            <v>171.48587500000002</v>
          </cell>
        </row>
        <row r="676">
          <cell r="A676" t="str">
            <v>2.10.g</v>
          </cell>
          <cell r="B676" t="str">
            <v xml:space="preserve">Excavate (fine or coarse blasted) broken rock to Waste Rock Surplus Site </v>
          </cell>
          <cell r="C676" t="str">
            <v>m3</v>
          </cell>
          <cell r="D676">
            <v>13200</v>
          </cell>
          <cell r="F676">
            <v>1245.3754117876656</v>
          </cell>
          <cell r="G676">
            <v>0.49090016471506631</v>
          </cell>
          <cell r="H676">
            <v>3.3517025527348441</v>
          </cell>
          <cell r="I676">
            <v>0</v>
          </cell>
          <cell r="J676">
            <v>0</v>
          </cell>
          <cell r="L676">
            <v>3.84</v>
          </cell>
          <cell r="M676">
            <v>50688</v>
          </cell>
        </row>
        <row r="677">
          <cell r="A677" t="str">
            <v>A14</v>
          </cell>
          <cell r="B677" t="str">
            <v>Remoción de Material grueso volado</v>
          </cell>
          <cell r="C677" t="str">
            <v>m3</v>
          </cell>
          <cell r="D677">
            <v>13200</v>
          </cell>
          <cell r="E677">
            <v>1</v>
          </cell>
          <cell r="F677">
            <v>2.5000000000000001E-2</v>
          </cell>
          <cell r="G677">
            <v>0.12475</v>
          </cell>
          <cell r="H677">
            <v>1.11859166666667</v>
          </cell>
          <cell r="I677">
            <v>0</v>
          </cell>
          <cell r="J677">
            <v>0</v>
          </cell>
          <cell r="K677">
            <v>1.2433416666666699</v>
          </cell>
          <cell r="L677">
            <v>1.2433416666666699</v>
          </cell>
          <cell r="M677">
            <v>16412.110000000044</v>
          </cell>
        </row>
        <row r="678">
          <cell r="A678" t="str">
            <v>A43</v>
          </cell>
          <cell r="B678" t="str">
            <v>Carguío de roca volada con excavadora</v>
          </cell>
          <cell r="C678" t="str">
            <v>m3</v>
          </cell>
          <cell r="D678">
            <v>13200</v>
          </cell>
          <cell r="E678">
            <v>1</v>
          </cell>
          <cell r="F678">
            <v>8.1967213114754103E-3</v>
          </cell>
          <cell r="G678">
            <v>4.3278688524589999E-2</v>
          </cell>
          <cell r="H678">
            <v>0.58667213114754102</v>
          </cell>
          <cell r="I678">
            <v>0</v>
          </cell>
          <cell r="J678">
            <v>0</v>
          </cell>
          <cell r="K678">
            <v>0.62995081967213107</v>
          </cell>
          <cell r="L678">
            <v>0.62995081967213107</v>
          </cell>
          <cell r="M678">
            <v>8315.3508196721305</v>
          </cell>
        </row>
        <row r="679">
          <cell r="A679" t="str">
            <v>A10</v>
          </cell>
          <cell r="B679" t="str">
            <v>Extendido de roca en botadero</v>
          </cell>
          <cell r="C679" t="str">
            <v>m3</v>
          </cell>
          <cell r="D679">
            <v>13200</v>
          </cell>
          <cell r="E679">
            <v>1</v>
          </cell>
          <cell r="F679">
            <v>3.5714285714285713E-3</v>
          </cell>
          <cell r="G679">
            <v>1.8857142857142999E-2</v>
          </cell>
          <cell r="H679">
            <v>0.14619285714285699</v>
          </cell>
          <cell r="I679">
            <v>0</v>
          </cell>
          <cell r="J679">
            <v>0</v>
          </cell>
          <cell r="K679">
            <v>0.16504999999999997</v>
          </cell>
          <cell r="L679">
            <v>0.16504999999999997</v>
          </cell>
          <cell r="M679">
            <v>2178.66</v>
          </cell>
        </row>
        <row r="680">
          <cell r="A680" t="str">
            <v>A04</v>
          </cell>
          <cell r="B680" t="str">
            <v>Acarreo d&lt;1km (sin esponj)</v>
          </cell>
          <cell r="C680" t="str">
            <v>m3</v>
          </cell>
          <cell r="D680">
            <v>13200</v>
          </cell>
          <cell r="E680">
            <v>1.4</v>
          </cell>
          <cell r="F680">
            <v>1.9444444444444441E-2</v>
          </cell>
          <cell r="G680">
            <v>0.102666666666667</v>
          </cell>
          <cell r="H680">
            <v>0.50555555555555498</v>
          </cell>
          <cell r="I680">
            <v>0</v>
          </cell>
          <cell r="J680">
            <v>0</v>
          </cell>
          <cell r="K680">
            <v>0.608222222222222</v>
          </cell>
          <cell r="L680">
            <v>0.85151111111111077</v>
          </cell>
          <cell r="M680">
            <v>11239.946666666663</v>
          </cell>
        </row>
        <row r="681">
          <cell r="A681" t="str">
            <v>A05</v>
          </cell>
          <cell r="B681" t="str">
            <v>Sobreacarreo (d&gt;1km) (sin esponj)</v>
          </cell>
          <cell r="C681" t="str">
            <v>m3-km</v>
          </cell>
          <cell r="D681">
            <v>32056.2</v>
          </cell>
          <cell r="E681">
            <v>1.4</v>
          </cell>
          <cell r="F681">
            <v>8.9285714285714263E-3</v>
          </cell>
          <cell r="G681">
            <v>4.7142857142857E-2</v>
          </cell>
          <cell r="H681">
            <v>0.23308571428571401</v>
          </cell>
          <cell r="I681">
            <v>0</v>
          </cell>
          <cell r="J681">
            <v>0</v>
          </cell>
          <cell r="K681">
            <v>0.28022857142857105</v>
          </cell>
          <cell r="L681">
            <v>0.39231999999999945</v>
          </cell>
          <cell r="M681">
            <v>12576.288383999983</v>
          </cell>
        </row>
        <row r="682">
          <cell r="A682" t="str">
            <v>2.10.h</v>
          </cell>
          <cell r="B682" t="str">
            <v>Supply and Install Backfill Granular A to roads/yards</v>
          </cell>
          <cell r="C682" t="str">
            <v>m3</v>
          </cell>
          <cell r="D682">
            <v>160</v>
          </cell>
          <cell r="F682">
            <v>73.12777777777778</v>
          </cell>
          <cell r="G682">
            <v>1.8648833333333328</v>
          </cell>
          <cell r="H682">
            <v>5.1397286666666622</v>
          </cell>
          <cell r="I682">
            <v>3.5625</v>
          </cell>
          <cell r="J682">
            <v>0</v>
          </cell>
          <cell r="K682">
            <v>10.567111999999995</v>
          </cell>
          <cell r="L682">
            <v>10.57</v>
          </cell>
          <cell r="M682">
            <v>1691.2</v>
          </cell>
        </row>
        <row r="683">
          <cell r="A683" t="str">
            <v>A15</v>
          </cell>
          <cell r="B683" t="str">
            <v>Suministro de material granular A</v>
          </cell>
          <cell r="C683" t="str">
            <v>m3</v>
          </cell>
          <cell r="D683">
            <v>160</v>
          </cell>
          <cell r="E683">
            <v>1.25</v>
          </cell>
          <cell r="F683">
            <v>0</v>
          </cell>
          <cell r="G683">
            <v>0</v>
          </cell>
          <cell r="H683">
            <v>0</v>
          </cell>
          <cell r="I683">
            <v>2.85</v>
          </cell>
          <cell r="J683">
            <v>0</v>
          </cell>
          <cell r="K683">
            <v>2.85</v>
          </cell>
          <cell r="L683">
            <v>3.5625</v>
          </cell>
          <cell r="M683">
            <v>570</v>
          </cell>
        </row>
        <row r="684">
          <cell r="A684" t="str">
            <v>A16</v>
          </cell>
          <cell r="B684" t="str">
            <v>Colocación y compactación Mat Granular A</v>
          </cell>
          <cell r="C684" t="str">
            <v>m3</v>
          </cell>
          <cell r="D684">
            <v>160</v>
          </cell>
          <cell r="E684">
            <v>1</v>
          </cell>
          <cell r="F684">
            <v>0.37805555555555553</v>
          </cell>
          <cell r="G684">
            <v>1.4478</v>
          </cell>
          <cell r="H684">
            <v>3.0801342222222199</v>
          </cell>
          <cell r="I684">
            <v>0</v>
          </cell>
          <cell r="J684">
            <v>0</v>
          </cell>
          <cell r="K684">
            <v>4.5279342222222194</v>
          </cell>
          <cell r="L684">
            <v>4.5279342222222194</v>
          </cell>
          <cell r="M684">
            <v>724.46947555555516</v>
          </cell>
        </row>
        <row r="685">
          <cell r="A685" t="str">
            <v>A04</v>
          </cell>
          <cell r="B685" t="str">
            <v>Acarreo d&lt;1km (sin esponj)</v>
          </cell>
          <cell r="C685" t="str">
            <v>m3</v>
          </cell>
          <cell r="D685">
            <v>160</v>
          </cell>
          <cell r="E685">
            <v>1.25</v>
          </cell>
          <cell r="F685">
            <v>1.9444444444444441E-2</v>
          </cell>
          <cell r="G685">
            <v>0.102666666666667</v>
          </cell>
          <cell r="H685">
            <v>0.50555555555555498</v>
          </cell>
          <cell r="I685">
            <v>0</v>
          </cell>
          <cell r="J685">
            <v>0</v>
          </cell>
          <cell r="K685">
            <v>0.608222222222222</v>
          </cell>
          <cell r="L685">
            <v>0.7602777777777775</v>
          </cell>
          <cell r="M685">
            <v>121.6444444444444</v>
          </cell>
        </row>
        <row r="686">
          <cell r="A686" t="str">
            <v>A05</v>
          </cell>
          <cell r="B686" t="str">
            <v>Sobreacarreo (d&gt;1km) (sin esponj)</v>
          </cell>
          <cell r="C686" t="str">
            <v>m3-km</v>
          </cell>
          <cell r="D686">
            <v>784</v>
          </cell>
          <cell r="E686">
            <v>1.25</v>
          </cell>
          <cell r="F686">
            <v>8.9285714285714263E-3</v>
          </cell>
          <cell r="G686">
            <v>4.7142857142857E-2</v>
          </cell>
          <cell r="H686">
            <v>0.23308571428571401</v>
          </cell>
          <cell r="I686">
            <v>0</v>
          </cell>
          <cell r="J686">
            <v>0</v>
          </cell>
          <cell r="K686">
            <v>0.28022857142857105</v>
          </cell>
          <cell r="L686">
            <v>0.35028571428571381</v>
          </cell>
          <cell r="M686">
            <v>274.62399999999963</v>
          </cell>
        </row>
        <row r="687">
          <cell r="A687" t="str">
            <v>2.10.i</v>
          </cell>
          <cell r="B687" t="str">
            <v>Supply and Install Backfill Granular B to roads/yards</v>
          </cell>
          <cell r="C687" t="str">
            <v>m3</v>
          </cell>
          <cell r="D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</row>
        <row r="688">
          <cell r="A688" t="str">
            <v>A40</v>
          </cell>
          <cell r="B688" t="str">
            <v>Suministro de material granular B</v>
          </cell>
          <cell r="C688" t="str">
            <v>m3</v>
          </cell>
          <cell r="F688">
            <v>0</v>
          </cell>
          <cell r="G688">
            <v>0</v>
          </cell>
          <cell r="H688">
            <v>0</v>
          </cell>
          <cell r="I688">
            <v>2.85</v>
          </cell>
          <cell r="J688">
            <v>0</v>
          </cell>
          <cell r="K688">
            <v>2.85</v>
          </cell>
          <cell r="L688">
            <v>0</v>
          </cell>
          <cell r="M688">
            <v>0</v>
          </cell>
        </row>
        <row r="689">
          <cell r="A689" t="str">
            <v>A41</v>
          </cell>
          <cell r="B689" t="str">
            <v>Colocación y compactación Mat Granular B</v>
          </cell>
          <cell r="C689" t="str">
            <v>m3</v>
          </cell>
          <cell r="F689">
            <v>0.10416666666666666</v>
          </cell>
          <cell r="G689">
            <v>0.53187499999999999</v>
          </cell>
          <cell r="H689">
            <v>2.3804166666666702</v>
          </cell>
          <cell r="I689">
            <v>0</v>
          </cell>
          <cell r="J689">
            <v>0</v>
          </cell>
          <cell r="K689">
            <v>2.9122916666666701</v>
          </cell>
          <cell r="L689">
            <v>0</v>
          </cell>
          <cell r="M689">
            <v>0</v>
          </cell>
        </row>
        <row r="690">
          <cell r="A690" t="str">
            <v>A04</v>
          </cell>
          <cell r="B690" t="str">
            <v>Acarreo d&lt;1km (sin esponj)</v>
          </cell>
          <cell r="C690" t="str">
            <v>m3</v>
          </cell>
          <cell r="F690">
            <v>1.9444444444444441E-2</v>
          </cell>
          <cell r="G690">
            <v>0.102666666666667</v>
          </cell>
          <cell r="H690">
            <v>0.50555555555555498</v>
          </cell>
          <cell r="I690">
            <v>0</v>
          </cell>
          <cell r="J690">
            <v>0</v>
          </cell>
          <cell r="K690">
            <v>0.608222222222222</v>
          </cell>
          <cell r="L690">
            <v>0</v>
          </cell>
          <cell r="M690">
            <v>0</v>
          </cell>
        </row>
        <row r="691">
          <cell r="A691" t="str">
            <v>A05</v>
          </cell>
          <cell r="B691" t="str">
            <v>Sobreacarreo (d&gt;1km) (sin esponj)</v>
          </cell>
          <cell r="C691" t="str">
            <v>m3-km</v>
          </cell>
          <cell r="F691">
            <v>8.9285714285714263E-3</v>
          </cell>
          <cell r="G691">
            <v>4.7142857142857E-2</v>
          </cell>
          <cell r="H691">
            <v>0.23308571428571401</v>
          </cell>
          <cell r="I691">
            <v>0</v>
          </cell>
          <cell r="J691">
            <v>0</v>
          </cell>
          <cell r="K691">
            <v>0.28022857142857105</v>
          </cell>
          <cell r="L691">
            <v>0</v>
          </cell>
          <cell r="M691">
            <v>0</v>
          </cell>
        </row>
        <row r="692">
          <cell r="A692" t="str">
            <v>2.10.j</v>
          </cell>
          <cell r="B692" t="str">
            <v>Supply and Install Riprap-Geotextile-Bedding to ditches and slopes, including rock/earth excavation and shaping of the site</v>
          </cell>
          <cell r="C692" t="str">
            <v>Ls</v>
          </cell>
          <cell r="D692">
            <v>1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</row>
        <row r="693">
          <cell r="A693" t="str">
            <v>A19</v>
          </cell>
          <cell r="B693" t="str">
            <v>Rip rap</v>
          </cell>
          <cell r="C693" t="str">
            <v>m3</v>
          </cell>
          <cell r="F693">
            <v>2.7285714285714286</v>
          </cell>
          <cell r="G693">
            <v>8.8182857142857092</v>
          </cell>
          <cell r="H693">
            <v>4.8350057142857139</v>
          </cell>
          <cell r="I693">
            <v>2.85</v>
          </cell>
          <cell r="J693">
            <v>0</v>
          </cell>
          <cell r="K693">
            <v>16.503291428571423</v>
          </cell>
          <cell r="L693">
            <v>0</v>
          </cell>
          <cell r="M693">
            <v>0</v>
          </cell>
        </row>
        <row r="694">
          <cell r="A694" t="str">
            <v>A20</v>
          </cell>
          <cell r="B694" t="str">
            <v>Geotextil 400g/m2 Non Woven</v>
          </cell>
          <cell r="C694" t="str">
            <v>m2</v>
          </cell>
          <cell r="F694">
            <v>0.37356321839080464</v>
          </cell>
          <cell r="G694">
            <v>1.1715517241379301</v>
          </cell>
          <cell r="H694">
            <v>0.445182471264368</v>
          </cell>
          <cell r="I694">
            <v>0.8</v>
          </cell>
          <cell r="J694">
            <v>0</v>
          </cell>
          <cell r="K694">
            <v>2.4167341954022983</v>
          </cell>
          <cell r="L694">
            <v>0</v>
          </cell>
          <cell r="M694">
            <v>0</v>
          </cell>
        </row>
        <row r="695">
          <cell r="A695" t="str">
            <v>A21</v>
          </cell>
          <cell r="B695" t="str">
            <v>Excavación y perfilado de zanjas</v>
          </cell>
          <cell r="C695" t="str">
            <v>m3</v>
          </cell>
          <cell r="F695">
            <v>1.2887346226726417</v>
          </cell>
          <cell r="G695">
            <v>4.4896263901299003</v>
          </cell>
          <cell r="H695">
            <v>6.5119556758310146</v>
          </cell>
          <cell r="I695">
            <v>0</v>
          </cell>
          <cell r="J695">
            <v>3.45</v>
          </cell>
          <cell r="K695">
            <v>14.451582065960915</v>
          </cell>
          <cell r="L695">
            <v>0</v>
          </cell>
          <cell r="M695">
            <v>0</v>
          </cell>
        </row>
        <row r="696">
          <cell r="A696" t="str">
            <v>2.10.k</v>
          </cell>
          <cell r="B696" t="str">
            <v>Supply and Install Gabions-Geotextile-Bedding-Concrete Facing, complete including rock/earth excavation shaping &amp; backfill of the site</v>
          </cell>
          <cell r="C696" t="str">
            <v>Ls</v>
          </cell>
          <cell r="D696">
            <v>1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L696">
            <v>0</v>
          </cell>
          <cell r="M696">
            <v>0</v>
          </cell>
        </row>
        <row r="697">
          <cell r="A697" t="str">
            <v>A22</v>
          </cell>
          <cell r="B697" t="str">
            <v>Supply and Install Granular A Surfacing to roads/yards</v>
          </cell>
          <cell r="C697" t="str">
            <v>m3</v>
          </cell>
          <cell r="F697">
            <v>0.47959325396825392</v>
          </cell>
          <cell r="G697">
            <v>1.9839190476190467</v>
          </cell>
          <cell r="H697">
            <v>5.7282700952380896</v>
          </cell>
          <cell r="I697">
            <v>3.5625</v>
          </cell>
          <cell r="J697">
            <v>0</v>
          </cell>
          <cell r="K697">
            <v>11.274689142857136</v>
          </cell>
          <cell r="L697">
            <v>0</v>
          </cell>
          <cell r="M697">
            <v>0</v>
          </cell>
        </row>
        <row r="698">
          <cell r="A698" t="str">
            <v>A23</v>
          </cell>
          <cell r="B698" t="str">
            <v>Concrete Lining</v>
          </cell>
          <cell r="C698" t="str">
            <v>m3</v>
          </cell>
          <cell r="F698">
            <v>14.282608695652174</v>
          </cell>
          <cell r="G698">
            <v>49.431086956521703</v>
          </cell>
          <cell r="H698">
            <v>4.9527137681159399</v>
          </cell>
          <cell r="I698">
            <v>60</v>
          </cell>
          <cell r="J698">
            <v>0</v>
          </cell>
          <cell r="K698">
            <v>114.38380072463765</v>
          </cell>
          <cell r="L698">
            <v>0</v>
          </cell>
          <cell r="M698">
            <v>0</v>
          </cell>
        </row>
        <row r="699">
          <cell r="A699" t="str">
            <v>A24</v>
          </cell>
          <cell r="B699" t="str">
            <v>Gavión</v>
          </cell>
          <cell r="C699" t="str">
            <v>m3</v>
          </cell>
          <cell r="F699">
            <v>1.7583333333333333</v>
          </cell>
          <cell r="G699">
            <v>6.2273333333333296</v>
          </cell>
          <cell r="H699">
            <v>7.133083333333337</v>
          </cell>
          <cell r="I699">
            <v>19.350000000000001</v>
          </cell>
          <cell r="J699">
            <v>0</v>
          </cell>
          <cell r="K699">
            <v>32.710416666666674</v>
          </cell>
          <cell r="L699">
            <v>0</v>
          </cell>
          <cell r="M699">
            <v>0</v>
          </cell>
        </row>
        <row r="700">
          <cell r="A700" t="str">
            <v>A21</v>
          </cell>
          <cell r="B700" t="str">
            <v>Excavación y perfilado de zanjas</v>
          </cell>
          <cell r="C700" t="str">
            <v>m3</v>
          </cell>
          <cell r="F700">
            <v>1.2887346226726417</v>
          </cell>
          <cell r="G700">
            <v>4.4896263901299003</v>
          </cell>
          <cell r="H700">
            <v>6.5119556758310146</v>
          </cell>
          <cell r="I700">
            <v>0</v>
          </cell>
          <cell r="J700">
            <v>3.45</v>
          </cell>
          <cell r="K700">
            <v>14.451582065960915</v>
          </cell>
          <cell r="L700">
            <v>0</v>
          </cell>
          <cell r="M700">
            <v>0</v>
          </cell>
        </row>
        <row r="701">
          <cell r="A701" t="str">
            <v>2.10.l</v>
          </cell>
          <cell r="B701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701" t="str">
            <v>Ls</v>
          </cell>
          <cell r="D701">
            <v>1</v>
          </cell>
          <cell r="F701">
            <v>489.91639640780232</v>
          </cell>
          <cell r="G701">
            <v>1717.2288199476741</v>
          </cell>
          <cell r="H701">
            <v>2911.5681772348498</v>
          </cell>
          <cell r="I701">
            <v>3244.5155447232346</v>
          </cell>
          <cell r="J701">
            <v>867.48372504344661</v>
          </cell>
          <cell r="L701">
            <v>8740.7999999999993</v>
          </cell>
          <cell r="M701">
            <v>8740.7999999999993</v>
          </cell>
        </row>
        <row r="702">
          <cell r="A702" t="str">
            <v>A25</v>
          </cell>
          <cell r="B702" t="str">
            <v>Suministro y colocación de Grating</v>
          </cell>
          <cell r="C702" t="str">
            <v>m2</v>
          </cell>
          <cell r="F702">
            <v>1.75</v>
          </cell>
          <cell r="G702">
            <v>6.1725000000000003</v>
          </cell>
          <cell r="H702">
            <v>0.144125</v>
          </cell>
          <cell r="I702">
            <v>225</v>
          </cell>
          <cell r="J702">
            <v>0</v>
          </cell>
          <cell r="K702">
            <v>231.31662500000002</v>
          </cell>
          <cell r="L702">
            <v>0</v>
          </cell>
          <cell r="M702">
            <v>0</v>
          </cell>
        </row>
        <row r="703">
          <cell r="A703" t="str">
            <v>A26</v>
          </cell>
          <cell r="B703" t="str">
            <v>Suministro y colocación de Tapa metálica</v>
          </cell>
          <cell r="C703" t="str">
            <v>m2</v>
          </cell>
          <cell r="F703">
            <v>1.75</v>
          </cell>
          <cell r="G703">
            <v>6.1725000000000003</v>
          </cell>
          <cell r="H703">
            <v>0.144125</v>
          </cell>
          <cell r="I703">
            <v>300</v>
          </cell>
          <cell r="J703">
            <v>0</v>
          </cell>
          <cell r="K703">
            <v>306.31662499999999</v>
          </cell>
          <cell r="L703">
            <v>0</v>
          </cell>
          <cell r="M703">
            <v>0</v>
          </cell>
        </row>
        <row r="704">
          <cell r="A704" t="str">
            <v>A27</v>
          </cell>
          <cell r="B704" t="str">
            <v>Relleno estructural</v>
          </cell>
          <cell r="C704" t="str">
            <v>m3</v>
          </cell>
          <cell r="D704">
            <v>60</v>
          </cell>
          <cell r="E704">
            <v>1.0361726290533284</v>
          </cell>
          <cell r="F704">
            <v>1.2875000000000001</v>
          </cell>
          <cell r="G704">
            <v>4.2321666666666697</v>
          </cell>
          <cell r="H704">
            <v>6.8350416666666636</v>
          </cell>
          <cell r="I704">
            <v>0</v>
          </cell>
          <cell r="J704">
            <v>0</v>
          </cell>
          <cell r="K704">
            <v>11.067208333333333</v>
          </cell>
          <cell r="L704">
            <v>11.467538355030905</v>
          </cell>
          <cell r="M704">
            <v>688.0523013018543</v>
          </cell>
        </row>
        <row r="705">
          <cell r="A705" t="str">
            <v>A28</v>
          </cell>
          <cell r="B705" t="str">
            <v>Bermas de Seguridad</v>
          </cell>
          <cell r="C705" t="str">
            <v>m3</v>
          </cell>
          <cell r="D705">
            <v>425</v>
          </cell>
          <cell r="E705">
            <v>1.0361726290533284</v>
          </cell>
          <cell r="F705">
            <v>0.1</v>
          </cell>
          <cell r="G705">
            <v>0.499</v>
          </cell>
          <cell r="H705">
            <v>3.5649500000000001</v>
          </cell>
          <cell r="I705">
            <v>2.85</v>
          </cell>
          <cell r="J705">
            <v>0</v>
          </cell>
          <cell r="K705">
            <v>6.9139499999999998</v>
          </cell>
          <cell r="L705">
            <v>7.16404574864326</v>
          </cell>
          <cell r="M705">
            <v>3044.7194431733856</v>
          </cell>
        </row>
        <row r="706">
          <cell r="A706" t="str">
            <v>A29</v>
          </cell>
          <cell r="B706" t="str">
            <v>Cama de Arena</v>
          </cell>
          <cell r="C706" t="str">
            <v>m3</v>
          </cell>
          <cell r="D706">
            <v>4</v>
          </cell>
          <cell r="F706">
            <v>1.3416666666666666</v>
          </cell>
          <cell r="G706">
            <v>4.5181666666666702</v>
          </cell>
          <cell r="H706">
            <v>8.3767083333333332</v>
          </cell>
          <cell r="I706">
            <v>3.1349999999999998</v>
          </cell>
          <cell r="J706">
            <v>0</v>
          </cell>
          <cell r="K706">
            <v>16.029875000000004</v>
          </cell>
          <cell r="L706">
            <v>0</v>
          </cell>
          <cell r="M706">
            <v>0</v>
          </cell>
        </row>
        <row r="707">
          <cell r="A707" t="str">
            <v>A30</v>
          </cell>
          <cell r="B707" t="str">
            <v>Concreto reforzado</v>
          </cell>
          <cell r="C707" t="str">
            <v>m3</v>
          </cell>
          <cell r="F707">
            <v>16.2</v>
          </cell>
          <cell r="G707">
            <v>56.207999999999998</v>
          </cell>
          <cell r="H707">
            <v>3.9517333333333298</v>
          </cell>
          <cell r="I707">
            <v>116.16</v>
          </cell>
          <cell r="J707">
            <v>0</v>
          </cell>
          <cell r="K707">
            <v>176.31973333333332</v>
          </cell>
          <cell r="L707">
            <v>0</v>
          </cell>
          <cell r="M707">
            <v>0</v>
          </cell>
        </row>
        <row r="708">
          <cell r="A708" t="str">
            <v>A31</v>
          </cell>
          <cell r="B708" t="str">
            <v>Alcantarillas 800mm</v>
          </cell>
          <cell r="C708" t="str">
            <v>ml</v>
          </cell>
          <cell r="D708">
            <v>19</v>
          </cell>
          <cell r="E708">
            <v>1.0361726290533284</v>
          </cell>
          <cell r="F708">
            <v>8</v>
          </cell>
          <cell r="G708">
            <v>25.88</v>
          </cell>
          <cell r="H708">
            <v>1.294</v>
          </cell>
          <cell r="I708">
            <v>60</v>
          </cell>
          <cell r="J708">
            <v>0</v>
          </cell>
          <cell r="K708">
            <v>87.173999999999992</v>
          </cell>
          <cell r="L708">
            <v>90.327312765094845</v>
          </cell>
          <cell r="M708">
            <v>1716.2189425368022</v>
          </cell>
        </row>
        <row r="709">
          <cell r="A709" t="str">
            <v>A32</v>
          </cell>
          <cell r="B709" t="str">
            <v>Alcantarillas 600mm</v>
          </cell>
          <cell r="C709" t="str">
            <v>ml</v>
          </cell>
          <cell r="F709">
            <v>6.666666666666667</v>
          </cell>
          <cell r="G709">
            <v>21.566666666666698</v>
          </cell>
          <cell r="H709">
            <v>1.07833333333333</v>
          </cell>
          <cell r="I709">
            <v>50</v>
          </cell>
          <cell r="J709">
            <v>0</v>
          </cell>
          <cell r="K709">
            <v>72.645000000000024</v>
          </cell>
          <cell r="L709">
            <v>0</v>
          </cell>
          <cell r="M709">
            <v>0</v>
          </cell>
        </row>
        <row r="710">
          <cell r="A710" t="str">
            <v>A33</v>
          </cell>
          <cell r="B710" t="str">
            <v>Alcantarillas 1350mm</v>
          </cell>
          <cell r="C710" t="str">
            <v>ml</v>
          </cell>
          <cell r="F710">
            <v>12.5</v>
          </cell>
          <cell r="G710">
            <v>39.924999999999997</v>
          </cell>
          <cell r="H710">
            <v>1.9962500000000001</v>
          </cell>
          <cell r="I710">
            <v>160</v>
          </cell>
          <cell r="J710">
            <v>0</v>
          </cell>
          <cell r="K710">
            <v>201.92125000000001</v>
          </cell>
          <cell r="L710">
            <v>0</v>
          </cell>
          <cell r="M710">
            <v>0</v>
          </cell>
        </row>
        <row r="711">
          <cell r="A711" t="str">
            <v>A34</v>
          </cell>
          <cell r="B711" t="str">
            <v>Alcantarillas 1000mm</v>
          </cell>
          <cell r="C711" t="str">
            <v>ml</v>
          </cell>
          <cell r="D711">
            <v>10</v>
          </cell>
          <cell r="E711">
            <v>1.0361726290533284</v>
          </cell>
          <cell r="F711">
            <v>8.8888888888888893</v>
          </cell>
          <cell r="G711">
            <v>28.755555555555599</v>
          </cell>
          <cell r="H711">
            <v>1.43777777777778</v>
          </cell>
          <cell r="I711">
            <v>78</v>
          </cell>
          <cell r="J711">
            <v>0</v>
          </cell>
          <cell r="K711">
            <v>108.19333333333338</v>
          </cell>
          <cell r="L711">
            <v>112.10697064604317</v>
          </cell>
          <cell r="M711">
            <v>1121.0697064604317</v>
          </cell>
        </row>
        <row r="712">
          <cell r="A712" t="str">
            <v>A35</v>
          </cell>
          <cell r="B712" t="str">
            <v>Alcantarillas 1600mm</v>
          </cell>
          <cell r="C712" t="str">
            <v>ml</v>
          </cell>
          <cell r="F712">
            <v>12.5</v>
          </cell>
          <cell r="G712">
            <v>39.924999999999997</v>
          </cell>
          <cell r="H712">
            <v>1.9962500000000001</v>
          </cell>
          <cell r="I712">
            <v>215</v>
          </cell>
          <cell r="J712">
            <v>0</v>
          </cell>
          <cell r="K712">
            <v>256.92124999999999</v>
          </cell>
          <cell r="L712">
            <v>0</v>
          </cell>
          <cell r="M712">
            <v>0</v>
          </cell>
        </row>
        <row r="713">
          <cell r="A713" t="str">
            <v>A36</v>
          </cell>
          <cell r="B713" t="str">
            <v>Tubería para buzón CMP 2000mm Diam</v>
          </cell>
          <cell r="C713" t="str">
            <v>ml</v>
          </cell>
          <cell r="F713">
            <v>20</v>
          </cell>
          <cell r="G713">
            <v>63.3333333333333</v>
          </cell>
          <cell r="H713">
            <v>3.1666666666666701</v>
          </cell>
          <cell r="I713">
            <v>335</v>
          </cell>
          <cell r="J713">
            <v>0</v>
          </cell>
          <cell r="K713">
            <v>401.5</v>
          </cell>
          <cell r="L713">
            <v>0</v>
          </cell>
          <cell r="M713">
            <v>0</v>
          </cell>
        </row>
        <row r="714">
          <cell r="A714" t="str">
            <v>A37</v>
          </cell>
          <cell r="B714" t="str">
            <v>Alcantarillas 300mm</v>
          </cell>
          <cell r="F714">
            <v>6.666666666666667</v>
          </cell>
          <cell r="G714">
            <v>21.566666666666698</v>
          </cell>
          <cell r="H714">
            <v>1.07833333333333</v>
          </cell>
          <cell r="I714">
            <v>26</v>
          </cell>
          <cell r="J714">
            <v>0</v>
          </cell>
          <cell r="K714">
            <v>48.645000000000032</v>
          </cell>
          <cell r="L714">
            <v>0</v>
          </cell>
          <cell r="M714">
            <v>0</v>
          </cell>
        </row>
        <row r="715">
          <cell r="A715" t="str">
            <v>A20</v>
          </cell>
          <cell r="B715" t="str">
            <v>Geotextil 400g/m2 Non Woven</v>
          </cell>
          <cell r="C715" t="str">
            <v>m2</v>
          </cell>
          <cell r="F715">
            <v>0.37356321839080464</v>
          </cell>
          <cell r="G715">
            <v>1.1715517241379301</v>
          </cell>
          <cell r="H715">
            <v>0.445182471264368</v>
          </cell>
          <cell r="I715">
            <v>0.8</v>
          </cell>
          <cell r="J715">
            <v>0</v>
          </cell>
          <cell r="K715">
            <v>2.4167341954022983</v>
          </cell>
          <cell r="L715">
            <v>0</v>
          </cell>
          <cell r="M715">
            <v>0</v>
          </cell>
        </row>
        <row r="716">
          <cell r="A716" t="str">
            <v>A38</v>
          </cell>
          <cell r="B716" t="str">
            <v>Excavación y eliminación de material para cunetas en roca</v>
          </cell>
          <cell r="C716" t="str">
            <v>m3</v>
          </cell>
          <cell r="D716">
            <v>50</v>
          </cell>
          <cell r="E716">
            <v>1.0361726290533284</v>
          </cell>
          <cell r="F716">
            <v>0.28461538461538466</v>
          </cell>
          <cell r="G716">
            <v>1.41576923076923</v>
          </cell>
          <cell r="H716">
            <v>7.0169423076923119</v>
          </cell>
          <cell r="I716">
            <v>0</v>
          </cell>
          <cell r="J716">
            <v>11.5</v>
          </cell>
          <cell r="K716">
            <v>19.932711538461543</v>
          </cell>
          <cell r="L716">
            <v>20.65373011896931</v>
          </cell>
          <cell r="M716">
            <v>1032.6865059484655</v>
          </cell>
        </row>
        <row r="717">
          <cell r="A717" t="str">
            <v>A39</v>
          </cell>
          <cell r="B717" t="str">
            <v>Excavación y eliminación de material para cunetas en suelo común</v>
          </cell>
          <cell r="C717" t="str">
            <v>m3</v>
          </cell>
          <cell r="F717">
            <v>0.1957264957264957</v>
          </cell>
          <cell r="G717">
            <v>0.98510256410256403</v>
          </cell>
          <cell r="H717">
            <v>4.9954089743589778</v>
          </cell>
          <cell r="I717">
            <v>0</v>
          </cell>
          <cell r="J717">
            <v>0</v>
          </cell>
          <cell r="K717">
            <v>5.9805115384615419</v>
          </cell>
          <cell r="L717">
            <v>0</v>
          </cell>
          <cell r="M717">
            <v>0</v>
          </cell>
        </row>
        <row r="718">
          <cell r="A718" t="str">
            <v>A21</v>
          </cell>
          <cell r="B718" t="str">
            <v>Excavación y perfilado de zanjas</v>
          </cell>
          <cell r="C718" t="str">
            <v>m3</v>
          </cell>
          <cell r="D718">
            <v>76</v>
          </cell>
          <cell r="E718">
            <v>1.0361726290533284</v>
          </cell>
          <cell r="F718">
            <v>1.2887346226726417</v>
          </cell>
          <cell r="G718">
            <v>4.4896263901299003</v>
          </cell>
          <cell r="H718">
            <v>6.5119556758310146</v>
          </cell>
          <cell r="I718">
            <v>0</v>
          </cell>
          <cell r="J718">
            <v>3.45</v>
          </cell>
          <cell r="K718">
            <v>14.451582065960915</v>
          </cell>
          <cell r="L718">
            <v>14.974333783266653</v>
          </cell>
          <cell r="M718">
            <v>1138.0493675282655</v>
          </cell>
        </row>
        <row r="719">
          <cell r="A719" t="str">
            <v>2.11</v>
          </cell>
          <cell r="B719" t="str">
            <v>SECONDARY CRUSHER - MINE MAINTENANCE SITE ACCESS ROAD</v>
          </cell>
        </row>
        <row r="720">
          <cell r="A720" t="str">
            <v>2.11.a</v>
          </cell>
          <cell r="B720" t="str">
            <v>Clear and Grub</v>
          </cell>
          <cell r="C720" t="str">
            <v>Ls</v>
          </cell>
        </row>
        <row r="721">
          <cell r="A721" t="str">
            <v>2.11.b</v>
          </cell>
          <cell r="B721" t="str">
            <v>Cut unsuitable soil to waste (includes organic soil)</v>
          </cell>
          <cell r="C721" t="str">
            <v>m3</v>
          </cell>
          <cell r="D721">
            <v>1500</v>
          </cell>
          <cell r="F721">
            <v>105.46016483516483</v>
          </cell>
          <cell r="G721">
            <v>0.36500549450549497</v>
          </cell>
          <cell r="H721">
            <v>2.3842742673992654</v>
          </cell>
          <cell r="I721">
            <v>0</v>
          </cell>
          <cell r="J721">
            <v>0</v>
          </cell>
          <cell r="L721">
            <v>2.75</v>
          </cell>
          <cell r="M721">
            <v>4125</v>
          </cell>
        </row>
        <row r="722">
          <cell r="A722" t="str">
            <v>A01</v>
          </cell>
          <cell r="B722" t="str">
            <v>Excavación de Topsoil y Unsuitable (e&gt;1m)</v>
          </cell>
          <cell r="C722" t="str">
            <v>m3</v>
          </cell>
          <cell r="F722">
            <v>1.7142857142857144E-2</v>
          </cell>
          <cell r="G722">
            <v>8.5542857142857004E-2</v>
          </cell>
          <cell r="H722">
            <v>0.81924857142857199</v>
          </cell>
          <cell r="I722">
            <v>0</v>
          </cell>
          <cell r="J722">
            <v>0</v>
          </cell>
          <cell r="K722">
            <v>0.90479142857142902</v>
          </cell>
          <cell r="L722">
            <v>0</v>
          </cell>
          <cell r="M722">
            <v>0</v>
          </cell>
        </row>
        <row r="723">
          <cell r="A723" t="str">
            <v>A02</v>
          </cell>
          <cell r="B723" t="str">
            <v>Excavación de Topsoil y Unsuitable (e&lt;1m)</v>
          </cell>
          <cell r="C723" t="str">
            <v>m3</v>
          </cell>
          <cell r="D723">
            <v>1500</v>
          </cell>
          <cell r="E723">
            <v>1</v>
          </cell>
          <cell r="F723">
            <v>1.4285714285714285E-2</v>
          </cell>
          <cell r="G723">
            <v>6.9214285714286006E-2</v>
          </cell>
          <cell r="H723">
            <v>0.57488928571428499</v>
          </cell>
          <cell r="I723">
            <v>0</v>
          </cell>
          <cell r="J723">
            <v>0</v>
          </cell>
          <cell r="K723">
            <v>0.644103571428571</v>
          </cell>
          <cell r="L723">
            <v>0.644103571428571</v>
          </cell>
          <cell r="M723">
            <v>966.15535714285647</v>
          </cell>
        </row>
        <row r="724">
          <cell r="A724" t="str">
            <v>A03</v>
          </cell>
          <cell r="B724" t="str">
            <v>Carguío de Topsoil &amp; Unsuitable con excavadora</v>
          </cell>
          <cell r="C724" t="str">
            <v>m3</v>
          </cell>
          <cell r="D724">
            <v>1500</v>
          </cell>
          <cell r="E724">
            <v>1</v>
          </cell>
          <cell r="F724">
            <v>1.3461538461538462E-2</v>
          </cell>
          <cell r="G724">
            <v>7.1076923076922996E-2</v>
          </cell>
          <cell r="H724">
            <v>0.70142307692307704</v>
          </cell>
          <cell r="I724">
            <v>0</v>
          </cell>
          <cell r="J724">
            <v>0</v>
          </cell>
          <cell r="K724">
            <v>0.77250000000000008</v>
          </cell>
          <cell r="L724">
            <v>0.77250000000000008</v>
          </cell>
          <cell r="M724">
            <v>1158.75</v>
          </cell>
        </row>
        <row r="725">
          <cell r="A725" t="str">
            <v>A04</v>
          </cell>
          <cell r="B725" t="str">
            <v>Acarreo d&lt;1km (sin esponj)</v>
          </cell>
          <cell r="C725" t="str">
            <v>m3</v>
          </cell>
          <cell r="D725">
            <v>1500</v>
          </cell>
          <cell r="E725">
            <v>1.5</v>
          </cell>
          <cell r="F725">
            <v>1.9444444444444441E-2</v>
          </cell>
          <cell r="G725">
            <v>0.102666666666667</v>
          </cell>
          <cell r="H725">
            <v>0.50555555555555498</v>
          </cell>
          <cell r="I725">
            <v>0</v>
          </cell>
          <cell r="J725">
            <v>0</v>
          </cell>
          <cell r="K725">
            <v>0.608222222222222</v>
          </cell>
          <cell r="L725">
            <v>0.912333333333333</v>
          </cell>
          <cell r="M725">
            <v>1368.4999999999995</v>
          </cell>
        </row>
        <row r="726">
          <cell r="A726" t="str">
            <v>A05</v>
          </cell>
          <cell r="B726" t="str">
            <v>Sobreacarreo (d&gt;1km) (sin esponj)</v>
          </cell>
          <cell r="C726" t="str">
            <v>m3-km</v>
          </cell>
          <cell r="D726">
            <v>1500</v>
          </cell>
          <cell r="E726">
            <v>1.5</v>
          </cell>
          <cell r="F726">
            <v>8.9285714285714263E-3</v>
          </cell>
          <cell r="G726">
            <v>4.7142857142857E-2</v>
          </cell>
          <cell r="H726">
            <v>0.23308571428571401</v>
          </cell>
          <cell r="I726">
            <v>0</v>
          </cell>
          <cell r="J726">
            <v>0</v>
          </cell>
          <cell r="K726">
            <v>0.28022857142857105</v>
          </cell>
          <cell r="L726">
            <v>0.42034285714285657</v>
          </cell>
          <cell r="M726">
            <v>630.51428571428482</v>
          </cell>
        </row>
        <row r="727">
          <cell r="A727" t="str">
            <v>2.11.c</v>
          </cell>
          <cell r="B727" t="str">
            <v>Cut and Fill Soil or Ripable Rock, within sub-Item work zone</v>
          </cell>
          <cell r="C727" t="str">
            <v>m3</v>
          </cell>
          <cell r="D727">
            <v>2500</v>
          </cell>
          <cell r="F727">
            <v>249.47916666666663</v>
          </cell>
          <cell r="G727">
            <v>0.50487812499999996</v>
          </cell>
          <cell r="H727">
            <v>4.059882239583338</v>
          </cell>
          <cell r="I727">
            <v>0</v>
          </cell>
          <cell r="J727">
            <v>0</v>
          </cell>
          <cell r="L727">
            <v>4.5599999999999996</v>
          </cell>
          <cell r="M727">
            <v>11400</v>
          </cell>
        </row>
        <row r="728">
          <cell r="A728" t="str">
            <v>A06</v>
          </cell>
          <cell r="B728" t="str">
            <v>Excavación de roca ripeable</v>
          </cell>
          <cell r="C728" t="str">
            <v>m3</v>
          </cell>
          <cell r="D728">
            <v>2500</v>
          </cell>
          <cell r="E728">
            <v>1.25</v>
          </cell>
          <cell r="F728">
            <v>3.3333333333333333E-2</v>
          </cell>
          <cell r="G728">
            <v>0.16439999999999999</v>
          </cell>
          <cell r="H728">
            <v>1.5519306666666701</v>
          </cell>
          <cell r="I728">
            <v>0</v>
          </cell>
          <cell r="J728">
            <v>0</v>
          </cell>
          <cell r="K728">
            <v>1.7163306666666702</v>
          </cell>
          <cell r="L728">
            <v>2.1454133333333378</v>
          </cell>
          <cell r="M728">
            <v>5363.5333333333447</v>
          </cell>
        </row>
        <row r="729">
          <cell r="A729" t="str">
            <v>A07</v>
          </cell>
          <cell r="B729" t="str">
            <v>Empuje de material d&lt;60m</v>
          </cell>
          <cell r="C729" t="str">
            <v>m3</v>
          </cell>
          <cell r="D729">
            <v>2500</v>
          </cell>
          <cell r="E729">
            <v>1.25</v>
          </cell>
          <cell r="F729">
            <v>1.2500000000000001E-2</v>
          </cell>
          <cell r="G729">
            <v>6.0562499999999998E-2</v>
          </cell>
          <cell r="H729">
            <v>0.50302812500000005</v>
          </cell>
          <cell r="I729">
            <v>0</v>
          </cell>
          <cell r="J729">
            <v>0</v>
          </cell>
          <cell r="K729">
            <v>0.56359062500000001</v>
          </cell>
          <cell r="L729">
            <v>0.70448828124999996</v>
          </cell>
          <cell r="M729">
            <v>1761.220703125</v>
          </cell>
        </row>
        <row r="730">
          <cell r="A730" t="str">
            <v>A08</v>
          </cell>
          <cell r="B730" t="str">
            <v>Relleno masivo compactado</v>
          </cell>
          <cell r="C730" t="str">
            <v>m3</v>
          </cell>
          <cell r="D730">
            <v>2500</v>
          </cell>
          <cell r="E730">
            <v>1</v>
          </cell>
          <cell r="F730">
            <v>4.2499999999999996E-2</v>
          </cell>
          <cell r="G730">
            <v>0.22367500000000001</v>
          </cell>
          <cell r="H730">
            <v>1.49118375</v>
          </cell>
          <cell r="I730">
            <v>0</v>
          </cell>
          <cell r="J730">
            <v>0</v>
          </cell>
          <cell r="K730">
            <v>1.7148587500000001</v>
          </cell>
          <cell r="L730">
            <v>1.7148587500000001</v>
          </cell>
          <cell r="M730">
            <v>4287.1468750000004</v>
          </cell>
        </row>
        <row r="731">
          <cell r="A731" t="str">
            <v>2.11.d</v>
          </cell>
          <cell r="B731" t="str">
            <v xml:space="preserve">Cut and Dispose Soil or Ripable Rock to Waste Rock Disposal Site </v>
          </cell>
          <cell r="C731" t="str">
            <v>m3</v>
          </cell>
          <cell r="D731">
            <v>12500</v>
          </cell>
          <cell r="F731">
            <v>1096.8998015873015</v>
          </cell>
          <cell r="G731">
            <v>0.45173047619047646</v>
          </cell>
          <cell r="H731">
            <v>3.3863933015873031</v>
          </cell>
          <cell r="I731">
            <v>0</v>
          </cell>
          <cell r="J731">
            <v>0</v>
          </cell>
          <cell r="L731">
            <v>3.84</v>
          </cell>
          <cell r="M731">
            <v>48000</v>
          </cell>
        </row>
        <row r="732">
          <cell r="A732" t="str">
            <v>A06</v>
          </cell>
          <cell r="B732" t="str">
            <v>Excavación de roca ripeable</v>
          </cell>
          <cell r="C732" t="str">
            <v>m3</v>
          </cell>
          <cell r="D732">
            <v>12500</v>
          </cell>
          <cell r="E732">
            <v>1</v>
          </cell>
          <cell r="F732">
            <v>3.3333333333333333E-2</v>
          </cell>
          <cell r="G732">
            <v>0.16439999999999999</v>
          </cell>
          <cell r="H732">
            <v>1.5519306666666701</v>
          </cell>
          <cell r="I732">
            <v>0</v>
          </cell>
          <cell r="J732">
            <v>0</v>
          </cell>
          <cell r="K732">
            <v>1.7163306666666702</v>
          </cell>
          <cell r="L732">
            <v>1.7163306666666702</v>
          </cell>
          <cell r="M732">
            <v>21454.133333333379</v>
          </cell>
        </row>
        <row r="733">
          <cell r="A733" t="str">
            <v>A09</v>
          </cell>
          <cell r="B733" t="str">
            <v>Carguío de material común &amp; roca ripeable con excavadora</v>
          </cell>
          <cell r="C733" t="str">
            <v>m3</v>
          </cell>
          <cell r="D733">
            <v>12500</v>
          </cell>
          <cell r="E733">
            <v>1</v>
          </cell>
          <cell r="F733">
            <v>8.0000000000000002E-3</v>
          </cell>
          <cell r="G733">
            <v>4.224E-2</v>
          </cell>
          <cell r="H733">
            <v>0.57259199999999999</v>
          </cell>
          <cell r="I733">
            <v>0</v>
          </cell>
          <cell r="J733">
            <v>0</v>
          </cell>
          <cell r="K733">
            <v>0.61483199999999993</v>
          </cell>
          <cell r="L733">
            <v>0.61483199999999993</v>
          </cell>
          <cell r="M733">
            <v>7685.3999999999987</v>
          </cell>
        </row>
        <row r="734">
          <cell r="A734" t="str">
            <v>A10</v>
          </cell>
          <cell r="B734" t="str">
            <v>Extendido de roca en botadero</v>
          </cell>
          <cell r="C734" t="str">
            <v>m3</v>
          </cell>
          <cell r="D734">
            <v>12500</v>
          </cell>
          <cell r="E734">
            <v>1</v>
          </cell>
          <cell r="F734">
            <v>3.5714285714285713E-3</v>
          </cell>
          <cell r="G734">
            <v>1.8857142857142999E-2</v>
          </cell>
          <cell r="H734">
            <v>0.14619285714285699</v>
          </cell>
          <cell r="I734">
            <v>0</v>
          </cell>
          <cell r="J734">
            <v>0</v>
          </cell>
          <cell r="K734">
            <v>0.16504999999999997</v>
          </cell>
          <cell r="L734">
            <v>0.16504999999999997</v>
          </cell>
          <cell r="M734">
            <v>2063.1249999999995</v>
          </cell>
        </row>
        <row r="735">
          <cell r="A735" t="str">
            <v>A04</v>
          </cell>
          <cell r="B735" t="str">
            <v>Acarreo d&lt;1km (sin esponj)</v>
          </cell>
          <cell r="C735" t="str">
            <v>m3</v>
          </cell>
          <cell r="D735">
            <v>12500</v>
          </cell>
          <cell r="E735">
            <v>1.4</v>
          </cell>
          <cell r="F735">
            <v>1.9444444444444441E-2</v>
          </cell>
          <cell r="G735">
            <v>0.102666666666667</v>
          </cell>
          <cell r="H735">
            <v>0.50555555555555498</v>
          </cell>
          <cell r="I735">
            <v>0</v>
          </cell>
          <cell r="J735">
            <v>0</v>
          </cell>
          <cell r="K735">
            <v>0.608222222222222</v>
          </cell>
          <cell r="L735">
            <v>0.85151111111111077</v>
          </cell>
          <cell r="M735">
            <v>10643.888888888885</v>
          </cell>
        </row>
        <row r="736">
          <cell r="A736" t="str">
            <v>A05</v>
          </cell>
          <cell r="B736" t="str">
            <v>Sobreacarreo (d&gt;1km) (sin esponj)</v>
          </cell>
          <cell r="C736" t="str">
            <v>m3-km</v>
          </cell>
          <cell r="D736">
            <v>15625</v>
          </cell>
          <cell r="E736">
            <v>1.4</v>
          </cell>
          <cell r="F736">
            <v>8.9285714285714263E-3</v>
          </cell>
          <cell r="G736">
            <v>4.7142857142857E-2</v>
          </cell>
          <cell r="H736">
            <v>0.23308571428571401</v>
          </cell>
          <cell r="I736">
            <v>0</v>
          </cell>
          <cell r="J736">
            <v>0</v>
          </cell>
          <cell r="K736">
            <v>0.28022857142857105</v>
          </cell>
          <cell r="L736">
            <v>0.39231999999999945</v>
          </cell>
          <cell r="M736">
            <v>6129.9999999999909</v>
          </cell>
        </row>
        <row r="737">
          <cell r="A737" t="str">
            <v>2.11.e</v>
          </cell>
          <cell r="B737" t="str">
            <v>Drill and blast bulk rock (without limit on thickness, broken to fine or coarse fragments as required depending on end-use Applies to locations other than trenches and ditches).</v>
          </cell>
          <cell r="C737" t="str">
            <v>m3</v>
          </cell>
          <cell r="D737">
            <v>10200</v>
          </cell>
          <cell r="F737">
            <v>780.6452560386474</v>
          </cell>
          <cell r="G737">
            <v>0</v>
          </cell>
          <cell r="H737">
            <v>0</v>
          </cell>
          <cell r="I737">
            <v>0</v>
          </cell>
          <cell r="J737">
            <v>2.8034540000000003</v>
          </cell>
          <cell r="L737">
            <v>2.8</v>
          </cell>
          <cell r="M737">
            <v>28560</v>
          </cell>
        </row>
        <row r="738">
          <cell r="A738" t="str">
            <v>A11</v>
          </cell>
          <cell r="B738" t="str">
            <v>Perforación y voladura masiva (material fino)</v>
          </cell>
          <cell r="C738" t="str">
            <v>m3</v>
          </cell>
          <cell r="D738">
            <v>10200</v>
          </cell>
          <cell r="E738">
            <v>0.28930000000000006</v>
          </cell>
          <cell r="F738">
            <v>7.4718196457326899E-2</v>
          </cell>
          <cell r="G738">
            <v>0</v>
          </cell>
          <cell r="H738">
            <v>0</v>
          </cell>
          <cell r="I738">
            <v>0</v>
          </cell>
          <cell r="J738">
            <v>2.78</v>
          </cell>
          <cell r="K738">
            <v>2.78</v>
          </cell>
          <cell r="L738">
            <v>0.80425400000000014</v>
          </cell>
          <cell r="M738">
            <v>8203.390800000001</v>
          </cell>
        </row>
        <row r="739">
          <cell r="A739" t="str">
            <v>A12</v>
          </cell>
          <cell r="B739" t="str">
            <v>Perforación y voladura masiva (material grueso)</v>
          </cell>
          <cell r="C739" t="str">
            <v>m3</v>
          </cell>
          <cell r="D739">
            <v>10200</v>
          </cell>
          <cell r="E739">
            <v>0.73499999999999999</v>
          </cell>
          <cell r="F739">
            <v>7.4718196457326899E-2</v>
          </cell>
          <cell r="G739">
            <v>0</v>
          </cell>
          <cell r="H739">
            <v>0</v>
          </cell>
          <cell r="I739">
            <v>0</v>
          </cell>
          <cell r="J739">
            <v>2.72</v>
          </cell>
          <cell r="K739">
            <v>2.72</v>
          </cell>
          <cell r="L739">
            <v>1.9992000000000001</v>
          </cell>
          <cell r="M739">
            <v>20391.84</v>
          </cell>
        </row>
        <row r="740">
          <cell r="A740" t="str">
            <v>2.11.f</v>
          </cell>
          <cell r="B740" t="str">
            <v xml:space="preserve">Excavate and Fill (fine blasted) broken rock </v>
          </cell>
          <cell r="C740" t="str">
            <v>m3</v>
          </cell>
          <cell r="D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L740">
            <v>0</v>
          </cell>
          <cell r="M740">
            <v>0</v>
          </cell>
        </row>
        <row r="741">
          <cell r="A741" t="str">
            <v>A13</v>
          </cell>
          <cell r="B741" t="str">
            <v>Remoción de Material fino volado</v>
          </cell>
          <cell r="C741" t="str">
            <v>m3</v>
          </cell>
          <cell r="D741">
            <v>0</v>
          </cell>
          <cell r="F741">
            <v>2.4E-2</v>
          </cell>
          <cell r="G741">
            <v>0.11976000000000001</v>
          </cell>
          <cell r="H741">
            <v>1.1023720000000001</v>
          </cell>
          <cell r="I741">
            <v>0</v>
          </cell>
          <cell r="J741">
            <v>0</v>
          </cell>
          <cell r="K741">
            <v>1.2221320000000002</v>
          </cell>
          <cell r="L741">
            <v>0</v>
          </cell>
          <cell r="M741">
            <v>0</v>
          </cell>
        </row>
        <row r="742">
          <cell r="A742" t="str">
            <v>A07</v>
          </cell>
          <cell r="B742" t="str">
            <v>Empuje de material d&lt;60m</v>
          </cell>
          <cell r="C742" t="str">
            <v>m3</v>
          </cell>
          <cell r="D742">
            <v>0</v>
          </cell>
          <cell r="F742">
            <v>1.2500000000000001E-2</v>
          </cell>
          <cell r="G742">
            <v>6.0562499999999998E-2</v>
          </cell>
          <cell r="H742">
            <v>0.50302812500000005</v>
          </cell>
          <cell r="I742">
            <v>0</v>
          </cell>
          <cell r="J742">
            <v>0</v>
          </cell>
          <cell r="K742">
            <v>0.56359062500000001</v>
          </cell>
          <cell r="L742">
            <v>0</v>
          </cell>
          <cell r="M742">
            <v>0</v>
          </cell>
        </row>
        <row r="743">
          <cell r="A743" t="str">
            <v>A08</v>
          </cell>
          <cell r="B743" t="str">
            <v>Relleno masivo compactado</v>
          </cell>
          <cell r="C743" t="str">
            <v>m3</v>
          </cell>
          <cell r="D743">
            <v>0</v>
          </cell>
          <cell r="F743">
            <v>4.2499999999999996E-2</v>
          </cell>
          <cell r="G743">
            <v>0.22367500000000001</v>
          </cell>
          <cell r="H743">
            <v>1.49118375</v>
          </cell>
          <cell r="I743">
            <v>0</v>
          </cell>
          <cell r="J743">
            <v>0</v>
          </cell>
          <cell r="K743">
            <v>1.7148587500000001</v>
          </cell>
          <cell r="L743">
            <v>0</v>
          </cell>
          <cell r="M743">
            <v>0</v>
          </cell>
        </row>
        <row r="744">
          <cell r="A744" t="str">
            <v>2.11.g</v>
          </cell>
          <cell r="B744" t="str">
            <v xml:space="preserve">Excavate (fine or coarse blasted) broken rock to Waste Rock Surplus Site </v>
          </cell>
          <cell r="C744" t="str">
            <v>m3</v>
          </cell>
          <cell r="D744">
            <v>12500</v>
          </cell>
          <cell r="F744">
            <v>1023.0984013140774</v>
          </cell>
          <cell r="G744">
            <v>0.42490676471506655</v>
          </cell>
          <cell r="H744">
            <v>3.0254151847348445</v>
          </cell>
          <cell r="I744">
            <v>0</v>
          </cell>
          <cell r="J744">
            <v>0</v>
          </cell>
          <cell r="L744">
            <v>3.45</v>
          </cell>
          <cell r="M744">
            <v>43125</v>
          </cell>
        </row>
        <row r="745">
          <cell r="A745" t="str">
            <v>A14</v>
          </cell>
          <cell r="B745" t="str">
            <v>Remoción de Material grueso volado</v>
          </cell>
          <cell r="C745" t="str">
            <v>m3</v>
          </cell>
          <cell r="D745">
            <v>12500</v>
          </cell>
          <cell r="E745">
            <v>1</v>
          </cell>
          <cell r="F745">
            <v>2.5000000000000001E-2</v>
          </cell>
          <cell r="G745">
            <v>0.12475</v>
          </cell>
          <cell r="H745">
            <v>1.11859166666667</v>
          </cell>
          <cell r="I745">
            <v>0</v>
          </cell>
          <cell r="J745">
            <v>0</v>
          </cell>
          <cell r="K745">
            <v>1.2433416666666699</v>
          </cell>
          <cell r="L745">
            <v>1.2433416666666699</v>
          </cell>
          <cell r="M745">
            <v>15541.770833333374</v>
          </cell>
        </row>
        <row r="746">
          <cell r="A746" t="str">
            <v>A43</v>
          </cell>
          <cell r="B746" t="str">
            <v>Carguío de roca volada con excavadora</v>
          </cell>
          <cell r="C746" t="str">
            <v>m3</v>
          </cell>
          <cell r="D746">
            <v>12500</v>
          </cell>
          <cell r="E746">
            <v>1</v>
          </cell>
          <cell r="F746">
            <v>8.1967213114754103E-3</v>
          </cell>
          <cell r="G746">
            <v>4.3278688524589999E-2</v>
          </cell>
          <cell r="H746">
            <v>0.58667213114754102</v>
          </cell>
          <cell r="I746">
            <v>0</v>
          </cell>
          <cell r="J746">
            <v>0</v>
          </cell>
          <cell r="K746">
            <v>0.62995081967213107</v>
          </cell>
          <cell r="L746">
            <v>0.62995081967213107</v>
          </cell>
          <cell r="M746">
            <v>7874.385245901638</v>
          </cell>
        </row>
        <row r="747">
          <cell r="A747" t="str">
            <v>A10</v>
          </cell>
          <cell r="B747" t="str">
            <v>Extendido de roca en botadero</v>
          </cell>
          <cell r="C747" t="str">
            <v>m3</v>
          </cell>
          <cell r="D747">
            <v>12500</v>
          </cell>
          <cell r="E747">
            <v>1</v>
          </cell>
          <cell r="F747">
            <v>3.5714285714285713E-3</v>
          </cell>
          <cell r="G747">
            <v>1.8857142857142999E-2</v>
          </cell>
          <cell r="H747">
            <v>0.14619285714285699</v>
          </cell>
          <cell r="I747">
            <v>0</v>
          </cell>
          <cell r="J747">
            <v>0</v>
          </cell>
          <cell r="K747">
            <v>0.16504999999999997</v>
          </cell>
          <cell r="L747">
            <v>0.16504999999999997</v>
          </cell>
          <cell r="M747">
            <v>2063.1249999999995</v>
          </cell>
        </row>
        <row r="748">
          <cell r="A748" t="str">
            <v>A04</v>
          </cell>
          <cell r="B748" t="str">
            <v>Acarreo d&lt;1km (sin esponj)</v>
          </cell>
          <cell r="C748" t="str">
            <v>m3</v>
          </cell>
          <cell r="D748">
            <v>12500</v>
          </cell>
          <cell r="E748">
            <v>1.4</v>
          </cell>
          <cell r="F748">
            <v>1.9444444444444441E-2</v>
          </cell>
          <cell r="G748">
            <v>0.102666666666667</v>
          </cell>
          <cell r="H748">
            <v>0.50555555555555498</v>
          </cell>
          <cell r="I748">
            <v>0</v>
          </cell>
          <cell r="J748">
            <v>0</v>
          </cell>
          <cell r="K748">
            <v>0.608222222222222</v>
          </cell>
          <cell r="L748">
            <v>0.85151111111111077</v>
          </cell>
          <cell r="M748">
            <v>10643.888888888885</v>
          </cell>
        </row>
        <row r="749">
          <cell r="A749" t="str">
            <v>A05</v>
          </cell>
          <cell r="B749" t="str">
            <v>Sobreacarreo (d&gt;1km) (sin esponj)</v>
          </cell>
          <cell r="C749" t="str">
            <v>m3-km</v>
          </cell>
          <cell r="D749">
            <v>17857.5</v>
          </cell>
          <cell r="E749">
            <v>1.4</v>
          </cell>
          <cell r="F749">
            <v>8.9285714285714263E-3</v>
          </cell>
          <cell r="G749">
            <v>4.7142857142857E-2</v>
          </cell>
          <cell r="H749">
            <v>0.23308571428571401</v>
          </cell>
          <cell r="I749">
            <v>0</v>
          </cell>
          <cell r="J749">
            <v>0</v>
          </cell>
          <cell r="K749">
            <v>0.28022857142857105</v>
          </cell>
          <cell r="L749">
            <v>0.39231999999999945</v>
          </cell>
          <cell r="M749">
            <v>7005.8543999999902</v>
          </cell>
        </row>
        <row r="750">
          <cell r="A750" t="str">
            <v>2.11.h</v>
          </cell>
          <cell r="B750" t="str">
            <v>Supply and Install Backfill Granular A to roads/yards</v>
          </cell>
          <cell r="C750" t="str">
            <v>m3</v>
          </cell>
          <cell r="D750">
            <v>400</v>
          </cell>
          <cell r="F750">
            <v>182.37301587301585</v>
          </cell>
          <cell r="G750">
            <v>1.8589904761904756</v>
          </cell>
          <cell r="H750">
            <v>5.1105929523809479</v>
          </cell>
          <cell r="I750">
            <v>3.5625</v>
          </cell>
          <cell r="J750">
            <v>0</v>
          </cell>
          <cell r="K750">
            <v>10.532083428571422</v>
          </cell>
          <cell r="L750">
            <v>10.53</v>
          </cell>
          <cell r="M750">
            <v>4212</v>
          </cell>
        </row>
        <row r="751">
          <cell r="A751" t="str">
            <v>A15</v>
          </cell>
          <cell r="B751" t="str">
            <v>Suministro de material granular A</v>
          </cell>
          <cell r="C751" t="str">
            <v>m3</v>
          </cell>
          <cell r="D751">
            <v>400</v>
          </cell>
          <cell r="E751">
            <v>1.25</v>
          </cell>
          <cell r="F751">
            <v>0</v>
          </cell>
          <cell r="G751">
            <v>0</v>
          </cell>
          <cell r="H751">
            <v>0</v>
          </cell>
          <cell r="I751">
            <v>2.85</v>
          </cell>
          <cell r="J751">
            <v>0</v>
          </cell>
          <cell r="K751">
            <v>2.85</v>
          </cell>
          <cell r="L751">
            <v>3.5625</v>
          </cell>
          <cell r="M751">
            <v>1425</v>
          </cell>
        </row>
        <row r="752">
          <cell r="A752" t="str">
            <v>A16</v>
          </cell>
          <cell r="B752" t="str">
            <v>Colocación y compactación Mat Granular A</v>
          </cell>
          <cell r="C752" t="str">
            <v>m3</v>
          </cell>
          <cell r="D752">
            <v>400</v>
          </cell>
          <cell r="E752">
            <v>1</v>
          </cell>
          <cell r="F752">
            <v>0.37805555555555553</v>
          </cell>
          <cell r="G752">
            <v>1.4478</v>
          </cell>
          <cell r="H752">
            <v>3.0801342222222199</v>
          </cell>
          <cell r="I752">
            <v>0</v>
          </cell>
          <cell r="J752">
            <v>0</v>
          </cell>
          <cell r="K752">
            <v>4.5279342222222194</v>
          </cell>
          <cell r="L752">
            <v>4.5279342222222194</v>
          </cell>
          <cell r="M752">
            <v>1811.1736888888877</v>
          </cell>
        </row>
        <row r="753">
          <cell r="A753" t="str">
            <v>A04</v>
          </cell>
          <cell r="B753" t="str">
            <v>Acarreo d&lt;1km (sin esponj)</v>
          </cell>
          <cell r="C753" t="str">
            <v>m3</v>
          </cell>
          <cell r="D753">
            <v>400</v>
          </cell>
          <cell r="E753">
            <v>1.25</v>
          </cell>
          <cell r="F753">
            <v>1.9444444444444441E-2</v>
          </cell>
          <cell r="G753">
            <v>0.102666666666667</v>
          </cell>
          <cell r="H753">
            <v>0.50555555555555498</v>
          </cell>
          <cell r="I753">
            <v>0</v>
          </cell>
          <cell r="J753">
            <v>0</v>
          </cell>
          <cell r="K753">
            <v>0.608222222222222</v>
          </cell>
          <cell r="L753">
            <v>0.7602777777777775</v>
          </cell>
          <cell r="M753">
            <v>304.11111111111097</v>
          </cell>
        </row>
        <row r="754">
          <cell r="A754" t="str">
            <v>A05</v>
          </cell>
          <cell r="B754" t="str">
            <v>Sobreacarreo (d&gt;1km) (sin esponj)</v>
          </cell>
          <cell r="C754" t="str">
            <v>m3-km</v>
          </cell>
          <cell r="D754">
            <v>1920</v>
          </cell>
          <cell r="E754">
            <v>1.25</v>
          </cell>
          <cell r="F754">
            <v>8.9285714285714263E-3</v>
          </cell>
          <cell r="G754">
            <v>4.7142857142857E-2</v>
          </cell>
          <cell r="H754">
            <v>0.23308571428571401</v>
          </cell>
          <cell r="I754">
            <v>0</v>
          </cell>
          <cell r="J754">
            <v>0</v>
          </cell>
          <cell r="K754">
            <v>0.28022857142857105</v>
          </cell>
          <cell r="L754">
            <v>0.35028571428571381</v>
          </cell>
          <cell r="M754">
            <v>672.54857142857054</v>
          </cell>
        </row>
        <row r="755">
          <cell r="A755" t="str">
            <v>2.11.i</v>
          </cell>
          <cell r="B755" t="str">
            <v>Supply and Install Backfill Granular B to roads/yards</v>
          </cell>
          <cell r="C755" t="str">
            <v>m3</v>
          </cell>
          <cell r="D755">
            <v>900</v>
          </cell>
          <cell r="F755">
            <v>163.83928571428569</v>
          </cell>
          <cell r="G755">
            <v>0.94306547619047565</v>
          </cell>
          <cell r="H755">
            <v>4.4108753968253982</v>
          </cell>
          <cell r="I755">
            <v>3.5510999999999999</v>
          </cell>
          <cell r="J755">
            <v>0</v>
          </cell>
          <cell r="K755">
            <v>8.9050408730158743</v>
          </cell>
          <cell r="L755">
            <v>8.91</v>
          </cell>
          <cell r="M755">
            <v>8019</v>
          </cell>
        </row>
        <row r="756">
          <cell r="A756" t="str">
            <v>A40</v>
          </cell>
          <cell r="B756" t="str">
            <v>Suministro de material granular B</v>
          </cell>
          <cell r="C756" t="str">
            <v>m3</v>
          </cell>
          <cell r="D756">
            <v>900</v>
          </cell>
          <cell r="E756">
            <v>1.246</v>
          </cell>
          <cell r="F756">
            <v>0</v>
          </cell>
          <cell r="G756">
            <v>0</v>
          </cell>
          <cell r="H756">
            <v>0</v>
          </cell>
          <cell r="I756">
            <v>2.85</v>
          </cell>
          <cell r="J756">
            <v>0</v>
          </cell>
          <cell r="K756">
            <v>2.85</v>
          </cell>
          <cell r="L756">
            <v>3.5510999999999999</v>
          </cell>
          <cell r="M756">
            <v>3195.99</v>
          </cell>
        </row>
        <row r="757">
          <cell r="A757" t="str">
            <v>A41</v>
          </cell>
          <cell r="B757" t="str">
            <v>Colocación y compactación Mat Granular B</v>
          </cell>
          <cell r="C757" t="str">
            <v>m3</v>
          </cell>
          <cell r="D757">
            <v>900</v>
          </cell>
          <cell r="E757">
            <v>1</v>
          </cell>
          <cell r="F757">
            <v>0.10416666666666666</v>
          </cell>
          <cell r="G757">
            <v>0.53187499999999999</v>
          </cell>
          <cell r="H757">
            <v>2.3804166666666702</v>
          </cell>
          <cell r="I757">
            <v>0</v>
          </cell>
          <cell r="J757">
            <v>0</v>
          </cell>
          <cell r="K757">
            <v>2.9122916666666701</v>
          </cell>
          <cell r="L757">
            <v>2.9122916666666701</v>
          </cell>
          <cell r="M757">
            <v>2621.0625000000032</v>
          </cell>
        </row>
        <row r="758">
          <cell r="A758" t="str">
            <v>A04</v>
          </cell>
          <cell r="B758" t="str">
            <v>Acarreo d&lt;1km (sin esponj)</v>
          </cell>
          <cell r="C758" t="str">
            <v>m3</v>
          </cell>
          <cell r="D758">
            <v>900</v>
          </cell>
          <cell r="E758">
            <v>1.25</v>
          </cell>
          <cell r="F758">
            <v>1.9444444444444441E-2</v>
          </cell>
          <cell r="G758">
            <v>0.102666666666667</v>
          </cell>
          <cell r="H758">
            <v>0.50555555555555498</v>
          </cell>
          <cell r="I758">
            <v>0</v>
          </cell>
          <cell r="J758">
            <v>0</v>
          </cell>
          <cell r="K758">
            <v>0.608222222222222</v>
          </cell>
          <cell r="L758">
            <v>0.7602777777777775</v>
          </cell>
          <cell r="M758">
            <v>684.24999999999977</v>
          </cell>
        </row>
        <row r="759">
          <cell r="A759" t="str">
            <v>A05</v>
          </cell>
          <cell r="B759" t="str">
            <v>Sobreacarreo (d&gt;1km) (sin esponj)</v>
          </cell>
          <cell r="C759" t="str">
            <v>m3-km</v>
          </cell>
          <cell r="D759">
            <v>4320</v>
          </cell>
          <cell r="E759">
            <v>1.25</v>
          </cell>
          <cell r="F759">
            <v>8.9285714285714263E-3</v>
          </cell>
          <cell r="G759">
            <v>4.7142857142857E-2</v>
          </cell>
          <cell r="H759">
            <v>0.23308571428571401</v>
          </cell>
          <cell r="I759">
            <v>0</v>
          </cell>
          <cell r="J759">
            <v>0</v>
          </cell>
          <cell r="K759">
            <v>0.28022857142857105</v>
          </cell>
          <cell r="L759">
            <v>0.35028571428571381</v>
          </cell>
          <cell r="M759">
            <v>1513.2342857142837</v>
          </cell>
        </row>
        <row r="760">
          <cell r="A760" t="str">
            <v>2.11.j</v>
          </cell>
          <cell r="B760" t="str">
            <v>Supply and Install Riprap-Geotextile-Bedding to ditches and slopes, including rock/earth excavation and shaping of the site</v>
          </cell>
          <cell r="C760" t="str">
            <v>Ls</v>
          </cell>
          <cell r="D760">
            <v>1</v>
          </cell>
          <cell r="F760">
            <v>59.392629245332841</v>
          </cell>
          <cell r="G760">
            <v>196.10180283171493</v>
          </cell>
          <cell r="H760">
            <v>166.17481848122733</v>
          </cell>
          <cell r="I760">
            <v>51.980986865779066</v>
          </cell>
          <cell r="J760">
            <v>54.564220492983097</v>
          </cell>
          <cell r="L760">
            <v>468.82</v>
          </cell>
          <cell r="M760">
            <v>468.82</v>
          </cell>
        </row>
        <row r="761">
          <cell r="A761" t="str">
            <v>A19</v>
          </cell>
          <cell r="B761" t="str">
            <v>Rip rap</v>
          </cell>
          <cell r="C761" t="str">
            <v>m3</v>
          </cell>
          <cell r="D761">
            <v>10</v>
          </cell>
          <cell r="E761">
            <v>1.0543810723281757</v>
          </cell>
          <cell r="F761">
            <v>2.7285714285714286</v>
          </cell>
          <cell r="G761">
            <v>8.8182857142857092</v>
          </cell>
          <cell r="H761">
            <v>4.8350057142857139</v>
          </cell>
          <cell r="I761">
            <v>2.85</v>
          </cell>
          <cell r="J761">
            <v>0</v>
          </cell>
          <cell r="K761">
            <v>16.503291428571423</v>
          </cell>
          <cell r="L761">
            <v>17.400758113401526</v>
          </cell>
          <cell r="M761">
            <v>174.00758113401525</v>
          </cell>
        </row>
        <row r="762">
          <cell r="A762" t="str">
            <v>A20</v>
          </cell>
          <cell r="B762" t="str">
            <v>Geotextil 400g/m2 Non Woven</v>
          </cell>
          <cell r="C762" t="str">
            <v>m2</v>
          </cell>
          <cell r="D762">
            <v>26</v>
          </cell>
          <cell r="E762">
            <v>1.0543810723281757</v>
          </cell>
          <cell r="F762">
            <v>0.37356321839080464</v>
          </cell>
          <cell r="G762">
            <v>1.1715517241379301</v>
          </cell>
          <cell r="H762">
            <v>0.445182471264368</v>
          </cell>
          <cell r="I762">
            <v>0.8</v>
          </cell>
          <cell r="J762">
            <v>0</v>
          </cell>
          <cell r="K762">
            <v>2.4167341954022983</v>
          </cell>
          <cell r="L762">
            <v>2.5481587924804461</v>
          </cell>
          <cell r="M762">
            <v>66.252128604491602</v>
          </cell>
        </row>
        <row r="763">
          <cell r="A763" t="str">
            <v>A21</v>
          </cell>
          <cell r="B763" t="str">
            <v>Excavación y perfilado de zanjas</v>
          </cell>
          <cell r="C763" t="str">
            <v>m3</v>
          </cell>
          <cell r="D763">
            <v>15</v>
          </cell>
          <cell r="E763">
            <v>1.0543810723281757</v>
          </cell>
          <cell r="F763">
            <v>1.2887346226726417</v>
          </cell>
          <cell r="G763">
            <v>4.4896263901299003</v>
          </cell>
          <cell r="H763">
            <v>6.5119556758310146</v>
          </cell>
          <cell r="I763">
            <v>0</v>
          </cell>
          <cell r="J763">
            <v>3.45</v>
          </cell>
          <cell r="K763">
            <v>14.451582065960915</v>
          </cell>
          <cell r="L763">
            <v>15.237474595546502</v>
          </cell>
          <cell r="M763">
            <v>228.56211893319752</v>
          </cell>
        </row>
        <row r="764">
          <cell r="A764" t="str">
            <v>2.11.k</v>
          </cell>
          <cell r="B764" t="str">
            <v>Supply and Install Gabions-Geotextile-Bedding-Concrete Facing, complete including rock/earth excavation shaping &amp; backfill of the site</v>
          </cell>
          <cell r="C764" t="str">
            <v>Ls</v>
          </cell>
          <cell r="D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L764">
            <v>0</v>
          </cell>
          <cell r="M764">
            <v>0</v>
          </cell>
        </row>
        <row r="765">
          <cell r="A765" t="str">
            <v>A22</v>
          </cell>
          <cell r="B765" t="str">
            <v>Supply and Install Granular A Surfacing to roads/yards</v>
          </cell>
          <cell r="C765" t="str">
            <v>m3</v>
          </cell>
          <cell r="F765">
            <v>0.47959325396825392</v>
          </cell>
          <cell r="G765">
            <v>1.9839190476190467</v>
          </cell>
          <cell r="H765">
            <v>5.7282700952380896</v>
          </cell>
          <cell r="I765">
            <v>3.5625</v>
          </cell>
          <cell r="J765">
            <v>0</v>
          </cell>
          <cell r="K765">
            <v>11.274689142857136</v>
          </cell>
          <cell r="L765">
            <v>0</v>
          </cell>
          <cell r="M765">
            <v>0</v>
          </cell>
        </row>
        <row r="766">
          <cell r="A766" t="str">
            <v>A23</v>
          </cell>
          <cell r="B766" t="str">
            <v>Concrete Lining</v>
          </cell>
          <cell r="C766" t="str">
            <v>m3</v>
          </cell>
          <cell r="F766">
            <v>14.282608695652174</v>
          </cell>
          <cell r="G766">
            <v>49.431086956521703</v>
          </cell>
          <cell r="H766">
            <v>4.9527137681159399</v>
          </cell>
          <cell r="I766">
            <v>60</v>
          </cell>
          <cell r="J766">
            <v>0</v>
          </cell>
          <cell r="K766">
            <v>114.38380072463765</v>
          </cell>
          <cell r="L766">
            <v>0</v>
          </cell>
          <cell r="M766">
            <v>0</v>
          </cell>
        </row>
        <row r="767">
          <cell r="A767" t="str">
            <v>A24</v>
          </cell>
          <cell r="B767" t="str">
            <v>Gavión</v>
          </cell>
          <cell r="C767" t="str">
            <v>m3</v>
          </cell>
          <cell r="F767">
            <v>1.7583333333333333</v>
          </cell>
          <cell r="G767">
            <v>6.2273333333333296</v>
          </cell>
          <cell r="H767">
            <v>7.133083333333337</v>
          </cell>
          <cell r="I767">
            <v>19.350000000000001</v>
          </cell>
          <cell r="J767">
            <v>0</v>
          </cell>
          <cell r="K767">
            <v>32.710416666666674</v>
          </cell>
          <cell r="L767">
            <v>0</v>
          </cell>
          <cell r="M767">
            <v>0</v>
          </cell>
        </row>
        <row r="768">
          <cell r="A768" t="str">
            <v>A21</v>
          </cell>
          <cell r="B768" t="str">
            <v>Excavación y perfilado de zanjas</v>
          </cell>
          <cell r="C768" t="str">
            <v>m3</v>
          </cell>
          <cell r="F768">
            <v>1.2887346226726417</v>
          </cell>
          <cell r="G768">
            <v>4.4896263901299003</v>
          </cell>
          <cell r="H768">
            <v>6.5119556758310146</v>
          </cell>
          <cell r="I768">
            <v>0</v>
          </cell>
          <cell r="J768">
            <v>3.45</v>
          </cell>
          <cell r="K768">
            <v>14.451582065960915</v>
          </cell>
          <cell r="L768">
            <v>0</v>
          </cell>
          <cell r="M768">
            <v>0</v>
          </cell>
        </row>
        <row r="769">
          <cell r="A769" t="str">
            <v>2.11.l</v>
          </cell>
          <cell r="B769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769" t="str">
            <v>Ls</v>
          </cell>
          <cell r="D769">
            <v>1</v>
          </cell>
          <cell r="F769">
            <v>261.64202879522594</v>
          </cell>
          <cell r="G769">
            <v>989.38931327343607</v>
          </cell>
          <cell r="H769">
            <v>2577.1098219806559</v>
          </cell>
          <cell r="I769">
            <v>1886.718903410027</v>
          </cell>
          <cell r="J769">
            <v>1817.3838385225049</v>
          </cell>
          <cell r="L769">
            <v>7270.6</v>
          </cell>
          <cell r="M769">
            <v>7270.6</v>
          </cell>
        </row>
        <row r="770">
          <cell r="A770" t="str">
            <v>A25</v>
          </cell>
          <cell r="B770" t="str">
            <v>Suministro y colocación de Grating</v>
          </cell>
          <cell r="C770" t="str">
            <v>m2</v>
          </cell>
          <cell r="F770">
            <v>1.75</v>
          </cell>
          <cell r="G770">
            <v>6.1725000000000003</v>
          </cell>
          <cell r="H770">
            <v>0.144125</v>
          </cell>
          <cell r="I770">
            <v>225</v>
          </cell>
          <cell r="J770">
            <v>0</v>
          </cell>
          <cell r="K770">
            <v>231.31662500000002</v>
          </cell>
          <cell r="L770">
            <v>0</v>
          </cell>
          <cell r="M770">
            <v>0</v>
          </cell>
        </row>
        <row r="771">
          <cell r="A771" t="str">
            <v>A26</v>
          </cell>
          <cell r="B771" t="str">
            <v>Suministro y colocación de Tapa metálica</v>
          </cell>
          <cell r="C771" t="str">
            <v>m2</v>
          </cell>
          <cell r="F771">
            <v>1.75</v>
          </cell>
          <cell r="G771">
            <v>6.1725000000000003</v>
          </cell>
          <cell r="H771">
            <v>0.144125</v>
          </cell>
          <cell r="I771">
            <v>300</v>
          </cell>
          <cell r="J771">
            <v>0</v>
          </cell>
          <cell r="K771">
            <v>306.31662499999999</v>
          </cell>
          <cell r="L771">
            <v>0</v>
          </cell>
          <cell r="M771">
            <v>0</v>
          </cell>
        </row>
        <row r="772">
          <cell r="A772" t="str">
            <v>A27</v>
          </cell>
          <cell r="B772" t="str">
            <v>Relleno estructural</v>
          </cell>
          <cell r="C772" t="str">
            <v>m3</v>
          </cell>
          <cell r="D772">
            <v>16</v>
          </cell>
          <cell r="E772">
            <v>1.1090061562303615</v>
          </cell>
          <cell r="F772">
            <v>1.2875000000000001</v>
          </cell>
          <cell r="G772">
            <v>4.2321666666666697</v>
          </cell>
          <cell r="H772">
            <v>6.8350416666666636</v>
          </cell>
          <cell r="I772">
            <v>0</v>
          </cell>
          <cell r="J772">
            <v>0</v>
          </cell>
          <cell r="K772">
            <v>11.067208333333333</v>
          </cell>
          <cell r="L772">
            <v>12.273602173950625</v>
          </cell>
          <cell r="M772">
            <v>196.37763478321</v>
          </cell>
        </row>
        <row r="773">
          <cell r="A773" t="str">
            <v>A28</v>
          </cell>
          <cell r="B773" t="str">
            <v>Bermas de Seguridad</v>
          </cell>
          <cell r="C773" t="str">
            <v>m3</v>
          </cell>
          <cell r="D773">
            <v>300</v>
          </cell>
          <cell r="E773">
            <v>1.1090061562303615</v>
          </cell>
          <cell r="F773">
            <v>0.1</v>
          </cell>
          <cell r="G773">
            <v>0.499</v>
          </cell>
          <cell r="H773">
            <v>3.5649500000000001</v>
          </cell>
          <cell r="I773">
            <v>2.85</v>
          </cell>
          <cell r="J773">
            <v>0</v>
          </cell>
          <cell r="K773">
            <v>6.9139499999999998</v>
          </cell>
          <cell r="L773">
            <v>7.6676131138689074</v>
          </cell>
          <cell r="M773">
            <v>2300.2839341606723</v>
          </cell>
        </row>
        <row r="774">
          <cell r="A774" t="str">
            <v>A29</v>
          </cell>
          <cell r="B774" t="str">
            <v>Cama de Arena</v>
          </cell>
          <cell r="C774" t="str">
            <v>m3</v>
          </cell>
          <cell r="D774">
            <v>2</v>
          </cell>
          <cell r="E774">
            <v>1.1090061562303615</v>
          </cell>
          <cell r="F774">
            <v>1.3416666666666666</v>
          </cell>
          <cell r="G774">
            <v>4.5181666666666702</v>
          </cell>
          <cell r="H774">
            <v>8.3767083333333332</v>
          </cell>
          <cell r="I774">
            <v>3.1349999999999998</v>
          </cell>
          <cell r="J774">
            <v>0</v>
          </cell>
          <cell r="K774">
            <v>16.029875000000004</v>
          </cell>
          <cell r="L774">
            <v>17.77723005860317</v>
          </cell>
          <cell r="M774">
            <v>35.554460117206339</v>
          </cell>
        </row>
        <row r="775">
          <cell r="A775" t="str">
            <v>A30</v>
          </cell>
          <cell r="B775" t="str">
            <v>Concreto reforzado</v>
          </cell>
          <cell r="C775" t="str">
            <v>m3</v>
          </cell>
          <cell r="F775">
            <v>16.2</v>
          </cell>
          <cell r="G775">
            <v>56.207999999999998</v>
          </cell>
          <cell r="H775">
            <v>3.9517333333333298</v>
          </cell>
          <cell r="I775">
            <v>116.16</v>
          </cell>
          <cell r="J775">
            <v>0</v>
          </cell>
          <cell r="K775">
            <v>176.31973333333332</v>
          </cell>
          <cell r="L775">
            <v>0</v>
          </cell>
          <cell r="M775">
            <v>0</v>
          </cell>
        </row>
        <row r="776">
          <cell r="A776" t="str">
            <v>A31</v>
          </cell>
          <cell r="B776" t="str">
            <v>Alcantarillas 800mm</v>
          </cell>
          <cell r="C776" t="str">
            <v>ml</v>
          </cell>
          <cell r="D776">
            <v>14</v>
          </cell>
          <cell r="E776">
            <v>1.1090061562303615</v>
          </cell>
          <cell r="F776">
            <v>8</v>
          </cell>
          <cell r="G776">
            <v>25.88</v>
          </cell>
          <cell r="H776">
            <v>1.294</v>
          </cell>
          <cell r="I776">
            <v>60</v>
          </cell>
          <cell r="J776">
            <v>0</v>
          </cell>
          <cell r="K776">
            <v>87.173999999999992</v>
          </cell>
          <cell r="L776">
            <v>96.67650266322552</v>
          </cell>
          <cell r="M776">
            <v>1353.4710372851573</v>
          </cell>
        </row>
        <row r="777">
          <cell r="A777" t="str">
            <v>A32</v>
          </cell>
          <cell r="B777" t="str">
            <v>Alcantarillas 600mm</v>
          </cell>
          <cell r="C777" t="str">
            <v>ml</v>
          </cell>
          <cell r="F777">
            <v>6.666666666666667</v>
          </cell>
          <cell r="G777">
            <v>21.566666666666698</v>
          </cell>
          <cell r="H777">
            <v>1.07833333333333</v>
          </cell>
          <cell r="I777">
            <v>50</v>
          </cell>
          <cell r="J777">
            <v>0</v>
          </cell>
          <cell r="K777">
            <v>72.645000000000024</v>
          </cell>
          <cell r="L777">
            <v>0</v>
          </cell>
          <cell r="M777">
            <v>0</v>
          </cell>
        </row>
        <row r="778">
          <cell r="A778" t="str">
            <v>A33</v>
          </cell>
          <cell r="B778" t="str">
            <v>Alcantarillas 1350mm</v>
          </cell>
          <cell r="C778" t="str">
            <v>ml</v>
          </cell>
          <cell r="F778">
            <v>12.5</v>
          </cell>
          <cell r="G778">
            <v>39.924999999999997</v>
          </cell>
          <cell r="H778">
            <v>1.9962500000000001</v>
          </cell>
          <cell r="I778">
            <v>160</v>
          </cell>
          <cell r="J778">
            <v>0</v>
          </cell>
          <cell r="K778">
            <v>201.92125000000001</v>
          </cell>
          <cell r="L778">
            <v>0</v>
          </cell>
          <cell r="M778">
            <v>0</v>
          </cell>
        </row>
        <row r="779">
          <cell r="A779" t="str">
            <v>A34</v>
          </cell>
          <cell r="B779" t="str">
            <v>Alcantarillas 1000mm</v>
          </cell>
          <cell r="C779" t="str">
            <v>ml</v>
          </cell>
          <cell r="F779">
            <v>8.8888888888888893</v>
          </cell>
          <cell r="G779">
            <v>28.755555555555599</v>
          </cell>
          <cell r="H779">
            <v>1.43777777777778</v>
          </cell>
          <cell r="I779">
            <v>78</v>
          </cell>
          <cell r="J779">
            <v>0</v>
          </cell>
          <cell r="K779">
            <v>108.19333333333338</v>
          </cell>
          <cell r="L779">
            <v>0</v>
          </cell>
          <cell r="M779">
            <v>0</v>
          </cell>
        </row>
        <row r="780">
          <cell r="A780" t="str">
            <v>A35</v>
          </cell>
          <cell r="B780" t="str">
            <v>Alcantarillas 300mm</v>
          </cell>
          <cell r="C780" t="str">
            <v>ml</v>
          </cell>
          <cell r="F780">
            <v>12.5</v>
          </cell>
          <cell r="G780">
            <v>39.924999999999997</v>
          </cell>
          <cell r="H780">
            <v>1.9962500000000001</v>
          </cell>
          <cell r="I780">
            <v>215</v>
          </cell>
          <cell r="J780">
            <v>0</v>
          </cell>
          <cell r="K780">
            <v>256.92124999999999</v>
          </cell>
          <cell r="L780">
            <v>0</v>
          </cell>
          <cell r="M780">
            <v>0</v>
          </cell>
        </row>
        <row r="781">
          <cell r="A781" t="str">
            <v>A36</v>
          </cell>
          <cell r="B781" t="str">
            <v>Tubería para buzón CMP 2000mm Diam</v>
          </cell>
          <cell r="C781" t="str">
            <v>ml</v>
          </cell>
          <cell r="F781">
            <v>20</v>
          </cell>
          <cell r="G781">
            <v>63.3333333333333</v>
          </cell>
          <cell r="H781">
            <v>3.1666666666666701</v>
          </cell>
          <cell r="I781">
            <v>335</v>
          </cell>
          <cell r="J781">
            <v>0</v>
          </cell>
          <cell r="K781">
            <v>401.5</v>
          </cell>
          <cell r="L781">
            <v>0</v>
          </cell>
          <cell r="M781">
            <v>0</v>
          </cell>
        </row>
        <row r="782">
          <cell r="A782" t="str">
            <v>A37</v>
          </cell>
          <cell r="B782" t="str">
            <v>Alcantarillas 300mm</v>
          </cell>
          <cell r="F782">
            <v>6.666666666666667</v>
          </cell>
          <cell r="G782">
            <v>21.566666666666698</v>
          </cell>
          <cell r="H782">
            <v>1.07833333333333</v>
          </cell>
          <cell r="I782">
            <v>26</v>
          </cell>
          <cell r="J782">
            <v>0</v>
          </cell>
          <cell r="K782">
            <v>48.645000000000032</v>
          </cell>
          <cell r="L782">
            <v>0</v>
          </cell>
          <cell r="M782">
            <v>0</v>
          </cell>
        </row>
        <row r="783">
          <cell r="A783" t="str">
            <v>A20</v>
          </cell>
          <cell r="B783" t="str">
            <v>Geotextil 400g/m2 Non Woven</v>
          </cell>
          <cell r="C783" t="str">
            <v>m2</v>
          </cell>
          <cell r="F783">
            <v>0.37356321839080464</v>
          </cell>
          <cell r="G783">
            <v>1.1715517241379301</v>
          </cell>
          <cell r="H783">
            <v>0.445182471264368</v>
          </cell>
          <cell r="I783">
            <v>0.8</v>
          </cell>
          <cell r="J783">
            <v>0</v>
          </cell>
          <cell r="K783">
            <v>2.4167341954022983</v>
          </cell>
          <cell r="L783">
            <v>0</v>
          </cell>
          <cell r="M783">
            <v>0</v>
          </cell>
        </row>
        <row r="784">
          <cell r="A784" t="str">
            <v>A38</v>
          </cell>
          <cell r="B784" t="str">
            <v>Excavación y eliminación de material para cunetas en roca</v>
          </cell>
          <cell r="C784" t="str">
            <v>m3</v>
          </cell>
          <cell r="D784">
            <v>135</v>
          </cell>
          <cell r="E784">
            <v>1.1090061562303615</v>
          </cell>
          <cell r="F784">
            <v>0.28461538461538466</v>
          </cell>
          <cell r="G784">
            <v>1.41576923076923</v>
          </cell>
          <cell r="H784">
            <v>7.0169423076923119</v>
          </cell>
          <cell r="I784">
            <v>0</v>
          </cell>
          <cell r="J784">
            <v>11.5</v>
          </cell>
          <cell r="K784">
            <v>19.932711538461543</v>
          </cell>
          <cell r="L784">
            <v>22.105499806517813</v>
          </cell>
          <cell r="M784">
            <v>2984.2424738799045</v>
          </cell>
        </row>
        <row r="785">
          <cell r="A785" t="str">
            <v>A39</v>
          </cell>
          <cell r="B785" t="str">
            <v>Excavación y eliminación de material para cunetas en suelo común</v>
          </cell>
          <cell r="C785" t="str">
            <v>m3</v>
          </cell>
          <cell r="F785">
            <v>0.1957264957264957</v>
          </cell>
          <cell r="G785">
            <v>0.98510256410256403</v>
          </cell>
          <cell r="H785">
            <v>4.9954089743589778</v>
          </cell>
          <cell r="I785">
            <v>0</v>
          </cell>
          <cell r="J785">
            <v>0</v>
          </cell>
          <cell r="K785">
            <v>5.9805115384615419</v>
          </cell>
          <cell r="L785">
            <v>0</v>
          </cell>
          <cell r="M785">
            <v>0</v>
          </cell>
        </row>
        <row r="786">
          <cell r="A786" t="str">
            <v>A21</v>
          </cell>
          <cell r="B786" t="str">
            <v>Excavación y perfilado de zanjas</v>
          </cell>
          <cell r="C786" t="str">
            <v>m3</v>
          </cell>
          <cell r="D786">
            <v>25</v>
          </cell>
          <cell r="E786">
            <v>1.1090061562303615</v>
          </cell>
          <cell r="F786">
            <v>1.2887346226726417</v>
          </cell>
          <cell r="G786">
            <v>4.4896263901299003</v>
          </cell>
          <cell r="H786">
            <v>6.5119556758310146</v>
          </cell>
          <cell r="I786">
            <v>0</v>
          </cell>
          <cell r="J786">
            <v>3.45</v>
          </cell>
          <cell r="K786">
            <v>14.451582065960915</v>
          </cell>
          <cell r="L786">
            <v>16.026893478418941</v>
          </cell>
          <cell r="M786">
            <v>400.67233696047356</v>
          </cell>
        </row>
        <row r="787">
          <cell r="A787" t="str">
            <v>2.12</v>
          </cell>
          <cell r="B787" t="str">
            <v>INCINERATOR SITE</v>
          </cell>
        </row>
        <row r="788">
          <cell r="A788" t="str">
            <v>2.12.a</v>
          </cell>
          <cell r="B788" t="str">
            <v>Clear and Grub</v>
          </cell>
          <cell r="C788" t="str">
            <v>Ls</v>
          </cell>
        </row>
        <row r="789">
          <cell r="A789" t="str">
            <v>2.12.b</v>
          </cell>
          <cell r="B789" t="str">
            <v>Cut unsuitable soil to waste (includes organic soil)</v>
          </cell>
          <cell r="C789" t="str">
            <v>m3</v>
          </cell>
          <cell r="D789">
            <v>1700</v>
          </cell>
          <cell r="F789">
            <v>101.61080586080585</v>
          </cell>
          <cell r="G789">
            <v>0.31061978021978054</v>
          </cell>
          <cell r="H789">
            <v>2.2790049816849813</v>
          </cell>
          <cell r="I789">
            <v>0</v>
          </cell>
          <cell r="J789">
            <v>0</v>
          </cell>
          <cell r="L789">
            <v>2.59</v>
          </cell>
          <cell r="M789">
            <v>4403</v>
          </cell>
        </row>
        <row r="790">
          <cell r="A790" t="str">
            <v>A01</v>
          </cell>
          <cell r="B790" t="str">
            <v>Excavación de Topsoil y Unsuitable (e&gt;1m)</v>
          </cell>
          <cell r="C790" t="str">
            <v>m3</v>
          </cell>
          <cell r="D790">
            <v>1700</v>
          </cell>
          <cell r="E790">
            <v>1</v>
          </cell>
          <cell r="F790">
            <v>1.7142857142857144E-2</v>
          </cell>
          <cell r="G790">
            <v>8.5542857142857004E-2</v>
          </cell>
          <cell r="H790">
            <v>0.81924857142857199</v>
          </cell>
          <cell r="I790">
            <v>0</v>
          </cell>
          <cell r="J790">
            <v>0</v>
          </cell>
          <cell r="K790">
            <v>0.90479142857142902</v>
          </cell>
          <cell r="L790">
            <v>0.90479142857142902</v>
          </cell>
          <cell r="M790">
            <v>1538.1454285714294</v>
          </cell>
        </row>
        <row r="791">
          <cell r="A791" t="str">
            <v>A02</v>
          </cell>
          <cell r="B791" t="str">
            <v>Excavación de Topsoil y Unsuitable (e&lt;1m)</v>
          </cell>
          <cell r="C791" t="str">
            <v>m3</v>
          </cell>
          <cell r="D791">
            <v>0</v>
          </cell>
          <cell r="F791">
            <v>1.4285714285714285E-2</v>
          </cell>
          <cell r="G791">
            <v>6.9214285714286006E-2</v>
          </cell>
          <cell r="H791">
            <v>0.57488928571428499</v>
          </cell>
          <cell r="I791">
            <v>0</v>
          </cell>
          <cell r="J791">
            <v>0</v>
          </cell>
          <cell r="K791">
            <v>0.644103571428571</v>
          </cell>
          <cell r="L791">
            <v>0</v>
          </cell>
          <cell r="M791">
            <v>0</v>
          </cell>
        </row>
        <row r="792">
          <cell r="A792" t="str">
            <v>A03</v>
          </cell>
          <cell r="B792" t="str">
            <v>Carguío de Topsoil &amp; Unsuitable con excavadora</v>
          </cell>
          <cell r="C792" t="str">
            <v>m3</v>
          </cell>
          <cell r="D792">
            <v>1700</v>
          </cell>
          <cell r="E792">
            <v>1</v>
          </cell>
          <cell r="F792">
            <v>1.3461538461538462E-2</v>
          </cell>
          <cell r="G792">
            <v>7.1076923076922996E-2</v>
          </cell>
          <cell r="H792">
            <v>0.70142307692307704</v>
          </cell>
          <cell r="I792">
            <v>0</v>
          </cell>
          <cell r="J792">
            <v>0</v>
          </cell>
          <cell r="K792">
            <v>0.77250000000000008</v>
          </cell>
          <cell r="L792">
            <v>0.77250000000000008</v>
          </cell>
          <cell r="M792">
            <v>1313.2500000000002</v>
          </cell>
        </row>
        <row r="793">
          <cell r="A793" t="str">
            <v>A04</v>
          </cell>
          <cell r="B793" t="str">
            <v>Acarreo d&lt;1km (sin esponj)</v>
          </cell>
          <cell r="C793" t="str">
            <v>m3</v>
          </cell>
          <cell r="D793">
            <v>1700</v>
          </cell>
          <cell r="E793">
            <v>1.5</v>
          </cell>
          <cell r="F793">
            <v>1.9444444444444441E-2</v>
          </cell>
          <cell r="G793">
            <v>0.102666666666667</v>
          </cell>
          <cell r="H793">
            <v>0.50555555555555498</v>
          </cell>
          <cell r="I793">
            <v>0</v>
          </cell>
          <cell r="J793">
            <v>0</v>
          </cell>
          <cell r="K793">
            <v>0.608222222222222</v>
          </cell>
          <cell r="L793">
            <v>0.912333333333333</v>
          </cell>
          <cell r="M793">
            <v>1550.966666666666</v>
          </cell>
        </row>
        <row r="794">
          <cell r="A794" t="str">
            <v>A05</v>
          </cell>
          <cell r="B794" t="str">
            <v>Sobreacarreo (d&gt;1km) (sin esponj)</v>
          </cell>
          <cell r="C794" t="str">
            <v>m3-km</v>
          </cell>
          <cell r="F794">
            <v>8.9285714285714263E-3</v>
          </cell>
          <cell r="G794">
            <v>4.7142857142857E-2</v>
          </cell>
          <cell r="H794">
            <v>0.23308571428571401</v>
          </cell>
          <cell r="I794">
            <v>0</v>
          </cell>
          <cell r="J794">
            <v>0</v>
          </cell>
          <cell r="K794">
            <v>0.28022857142857105</v>
          </cell>
          <cell r="L794">
            <v>0</v>
          </cell>
          <cell r="M794">
            <v>0</v>
          </cell>
        </row>
        <row r="795">
          <cell r="A795" t="str">
            <v>2.12.c</v>
          </cell>
          <cell r="B795" t="str">
            <v>Cut and Fill Soil or Ripable Rock, within sub-Item work zone</v>
          </cell>
          <cell r="C795" t="str">
            <v>m3</v>
          </cell>
          <cell r="D795">
            <v>100</v>
          </cell>
          <cell r="F795">
            <v>9.2916666666666679</v>
          </cell>
          <cell r="G795">
            <v>0.47113374999999996</v>
          </cell>
          <cell r="H795">
            <v>3.7516384208333373</v>
          </cell>
          <cell r="I795">
            <v>0</v>
          </cell>
          <cell r="J795">
            <v>0</v>
          </cell>
          <cell r="L795">
            <v>4.22</v>
          </cell>
          <cell r="M795">
            <v>422</v>
          </cell>
        </row>
        <row r="796">
          <cell r="A796" t="str">
            <v>A06</v>
          </cell>
          <cell r="B796" t="str">
            <v>Excavación de roca ripeable</v>
          </cell>
          <cell r="C796" t="str">
            <v>m3</v>
          </cell>
          <cell r="D796">
            <v>100</v>
          </cell>
          <cell r="E796">
            <v>1.1000000000000001</v>
          </cell>
          <cell r="F796">
            <v>3.3333333333333333E-2</v>
          </cell>
          <cell r="G796">
            <v>0.16439999999999999</v>
          </cell>
          <cell r="H796">
            <v>1.5519306666666701</v>
          </cell>
          <cell r="I796">
            <v>0</v>
          </cell>
          <cell r="J796">
            <v>0</v>
          </cell>
          <cell r="K796">
            <v>1.7163306666666702</v>
          </cell>
          <cell r="L796">
            <v>1.8879637333333374</v>
          </cell>
          <cell r="M796">
            <v>188.79637333333375</v>
          </cell>
        </row>
        <row r="797">
          <cell r="A797" t="str">
            <v>A07</v>
          </cell>
          <cell r="B797" t="str">
            <v>Empuje de material d&lt;60m</v>
          </cell>
          <cell r="C797" t="str">
            <v>m3</v>
          </cell>
          <cell r="D797">
            <v>100</v>
          </cell>
          <cell r="E797">
            <v>1.1000000000000001</v>
          </cell>
          <cell r="F797">
            <v>1.2500000000000001E-2</v>
          </cell>
          <cell r="G797">
            <v>6.0562499999999998E-2</v>
          </cell>
          <cell r="H797">
            <v>0.50302812500000005</v>
          </cell>
          <cell r="I797">
            <v>0</v>
          </cell>
          <cell r="J797">
            <v>0</v>
          </cell>
          <cell r="K797">
            <v>0.56359062500000001</v>
          </cell>
          <cell r="L797">
            <v>0.61994968750000001</v>
          </cell>
          <cell r="M797">
            <v>61.994968749999998</v>
          </cell>
        </row>
        <row r="798">
          <cell r="A798" t="str">
            <v>A08</v>
          </cell>
          <cell r="B798" t="str">
            <v>Relleno masivo compactado</v>
          </cell>
          <cell r="C798" t="str">
            <v>m3</v>
          </cell>
          <cell r="D798">
            <v>100</v>
          </cell>
          <cell r="E798">
            <v>1</v>
          </cell>
          <cell r="F798">
            <v>4.2499999999999996E-2</v>
          </cell>
          <cell r="G798">
            <v>0.22367500000000001</v>
          </cell>
          <cell r="H798">
            <v>1.49118375</v>
          </cell>
          <cell r="I798">
            <v>0</v>
          </cell>
          <cell r="J798">
            <v>0</v>
          </cell>
          <cell r="K798">
            <v>1.7148587500000001</v>
          </cell>
          <cell r="L798">
            <v>1.7148587500000001</v>
          </cell>
          <cell r="M798">
            <v>171.48587500000002</v>
          </cell>
        </row>
        <row r="799">
          <cell r="A799" t="str">
            <v>2.12.d</v>
          </cell>
          <cell r="B799" t="str">
            <v>Imported Fill Soil or Ripable Rock from Other Sub-Item work zones or from General (Granular) Fill Borrow Sources located within 1000m</v>
          </cell>
          <cell r="C799" t="str">
            <v>m3</v>
          </cell>
          <cell r="D799">
            <v>25700</v>
          </cell>
          <cell r="F799">
            <v>3116.5533333333328</v>
          </cell>
          <cell r="G799">
            <v>0.6256430000000005</v>
          </cell>
          <cell r="H799">
            <v>4.7989442833333369</v>
          </cell>
          <cell r="I799">
            <v>0</v>
          </cell>
          <cell r="J799">
            <v>0</v>
          </cell>
          <cell r="L799">
            <v>5.42</v>
          </cell>
          <cell r="M799">
            <v>139294</v>
          </cell>
        </row>
        <row r="800">
          <cell r="A800" t="str">
            <v>A06</v>
          </cell>
          <cell r="B800" t="str">
            <v>Excavación de roca ripeable</v>
          </cell>
          <cell r="C800" t="str">
            <v>m3</v>
          </cell>
          <cell r="D800">
            <v>25700</v>
          </cell>
          <cell r="E800">
            <v>1.2</v>
          </cell>
          <cell r="F800">
            <v>3.3333333333333333E-2</v>
          </cell>
          <cell r="G800">
            <v>0.16439999999999999</v>
          </cell>
          <cell r="H800">
            <v>1.5519306666666701</v>
          </cell>
          <cell r="I800">
            <v>0</v>
          </cell>
          <cell r="J800">
            <v>0</v>
          </cell>
          <cell r="K800">
            <v>1.7163306666666702</v>
          </cell>
          <cell r="L800">
            <v>2.059596800000004</v>
          </cell>
          <cell r="M800">
            <v>52931.6377600001</v>
          </cell>
        </row>
        <row r="801">
          <cell r="A801" t="str">
            <v>A08</v>
          </cell>
          <cell r="B801" t="str">
            <v>Relleno masivo compactado</v>
          </cell>
          <cell r="C801" t="str">
            <v>m3</v>
          </cell>
          <cell r="D801">
            <v>25700</v>
          </cell>
          <cell r="E801">
            <v>1</v>
          </cell>
          <cell r="F801">
            <v>4.2499999999999996E-2</v>
          </cell>
          <cell r="G801">
            <v>0.22367500000000001</v>
          </cell>
          <cell r="H801">
            <v>1.49118375</v>
          </cell>
          <cell r="I801">
            <v>0</v>
          </cell>
          <cell r="J801">
            <v>0</v>
          </cell>
          <cell r="K801">
            <v>1.7148587500000001</v>
          </cell>
          <cell r="L801">
            <v>1.7148587500000001</v>
          </cell>
          <cell r="M801">
            <v>44071.869875000004</v>
          </cell>
        </row>
        <row r="802">
          <cell r="A802" t="str">
            <v>A09</v>
          </cell>
          <cell r="B802" t="str">
            <v>Carguío de material común &amp; roca ripeable con cargador</v>
          </cell>
          <cell r="C802" t="str">
            <v>m3</v>
          </cell>
          <cell r="D802">
            <v>25700</v>
          </cell>
          <cell r="E802">
            <v>1.2</v>
          </cell>
          <cell r="F802">
            <v>8.0000000000000002E-3</v>
          </cell>
          <cell r="G802">
            <v>4.224E-2</v>
          </cell>
          <cell r="H802">
            <v>0.57259199999999999</v>
          </cell>
          <cell r="I802">
            <v>0</v>
          </cell>
          <cell r="J802">
            <v>0</v>
          </cell>
          <cell r="K802">
            <v>0.61483199999999993</v>
          </cell>
          <cell r="L802">
            <v>0.73779839999999985</v>
          </cell>
          <cell r="M802">
            <v>18961.418879999997</v>
          </cell>
        </row>
        <row r="803">
          <cell r="A803" t="str">
            <v>A04</v>
          </cell>
          <cell r="B803" t="str">
            <v>Acarreo d&lt;1km (sin esponj)</v>
          </cell>
          <cell r="C803" t="str">
            <v>m3</v>
          </cell>
          <cell r="D803">
            <v>25700</v>
          </cell>
          <cell r="E803">
            <v>1.5</v>
          </cell>
          <cell r="F803">
            <v>1.9444444444444441E-2</v>
          </cell>
          <cell r="G803">
            <v>0.102666666666667</v>
          </cell>
          <cell r="H803">
            <v>0.50555555555555498</v>
          </cell>
          <cell r="I803">
            <v>0</v>
          </cell>
          <cell r="J803">
            <v>0</v>
          </cell>
          <cell r="K803">
            <v>0.608222222222222</v>
          </cell>
          <cell r="L803">
            <v>0.912333333333333</v>
          </cell>
          <cell r="M803">
            <v>23446.966666666656</v>
          </cell>
        </row>
        <row r="804">
          <cell r="A804" t="str">
            <v>A05</v>
          </cell>
          <cell r="B804" t="str">
            <v>Sobreacarreo (d&gt;1km) (sin esponj)</v>
          </cell>
          <cell r="C804" t="str">
            <v>m3-km</v>
          </cell>
          <cell r="F804">
            <v>8.9285714285714263E-3</v>
          </cell>
          <cell r="G804">
            <v>4.7142857142857E-2</v>
          </cell>
          <cell r="H804">
            <v>0.23308571428571401</v>
          </cell>
          <cell r="I804">
            <v>0</v>
          </cell>
          <cell r="J804">
            <v>0</v>
          </cell>
          <cell r="K804">
            <v>0.28022857142857105</v>
          </cell>
          <cell r="L804">
            <v>0</v>
          </cell>
          <cell r="M804">
            <v>0</v>
          </cell>
        </row>
        <row r="805">
          <cell r="A805" t="str">
            <v>2.12.e</v>
          </cell>
          <cell r="B805" t="str">
            <v>Drill and blast bulk rock (without limit on thickness, broken to fine or coarse fragments as required depending on end-use Applies to locations other than trenches and ditches).</v>
          </cell>
          <cell r="C805" t="str">
            <v>m3</v>
          </cell>
          <cell r="D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L805">
            <v>0</v>
          </cell>
          <cell r="M805">
            <v>0</v>
          </cell>
        </row>
        <row r="806">
          <cell r="A806" t="str">
            <v>A11</v>
          </cell>
          <cell r="B806" t="str">
            <v>Perforación y voladura masiva (material fino)</v>
          </cell>
          <cell r="C806" t="str">
            <v>m3</v>
          </cell>
          <cell r="D806">
            <v>0</v>
          </cell>
          <cell r="F806">
            <v>7.4718196457326899E-2</v>
          </cell>
          <cell r="G806">
            <v>0</v>
          </cell>
          <cell r="H806">
            <v>0</v>
          </cell>
          <cell r="I806">
            <v>0</v>
          </cell>
          <cell r="J806">
            <v>2.78</v>
          </cell>
          <cell r="K806">
            <v>2.78</v>
          </cell>
          <cell r="L806">
            <v>0</v>
          </cell>
          <cell r="M806">
            <v>0</v>
          </cell>
        </row>
        <row r="807">
          <cell r="A807" t="str">
            <v>A12</v>
          </cell>
          <cell r="B807" t="str">
            <v>Perforación y voladura masiva (material grueso)</v>
          </cell>
          <cell r="C807" t="str">
            <v>m3</v>
          </cell>
          <cell r="D807">
            <v>0</v>
          </cell>
          <cell r="F807">
            <v>7.4718196457326899E-2</v>
          </cell>
          <cell r="G807">
            <v>0</v>
          </cell>
          <cell r="H807">
            <v>0</v>
          </cell>
          <cell r="I807">
            <v>0</v>
          </cell>
          <cell r="J807">
            <v>2.72</v>
          </cell>
          <cell r="K807">
            <v>2.72</v>
          </cell>
          <cell r="L807">
            <v>0</v>
          </cell>
          <cell r="M807">
            <v>0</v>
          </cell>
        </row>
        <row r="808">
          <cell r="A808" t="str">
            <v>2.12.f</v>
          </cell>
          <cell r="B808" t="str">
            <v xml:space="preserve">Excavate and Fill (fine blasted) broken rock </v>
          </cell>
          <cell r="C808" t="str">
            <v>m3</v>
          </cell>
          <cell r="D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L808">
            <v>0</v>
          </cell>
          <cell r="M808">
            <v>0</v>
          </cell>
        </row>
        <row r="809">
          <cell r="A809" t="str">
            <v>A13</v>
          </cell>
          <cell r="B809" t="str">
            <v>Remoción de Material fino volado</v>
          </cell>
          <cell r="C809" t="str">
            <v>m3</v>
          </cell>
          <cell r="D809">
            <v>0</v>
          </cell>
          <cell r="F809">
            <v>2.4E-2</v>
          </cell>
          <cell r="G809">
            <v>0.11976000000000001</v>
          </cell>
          <cell r="H809">
            <v>1.1023720000000001</v>
          </cell>
          <cell r="I809">
            <v>0</v>
          </cell>
          <cell r="J809">
            <v>0</v>
          </cell>
          <cell r="K809">
            <v>1.2221320000000002</v>
          </cell>
          <cell r="L809">
            <v>0</v>
          </cell>
          <cell r="M809">
            <v>0</v>
          </cell>
        </row>
        <row r="810">
          <cell r="A810" t="str">
            <v>A07</v>
          </cell>
          <cell r="B810" t="str">
            <v>Empuje de material d&lt;60m</v>
          </cell>
          <cell r="C810" t="str">
            <v>m3</v>
          </cell>
          <cell r="D810">
            <v>0</v>
          </cell>
          <cell r="F810">
            <v>1.2500000000000001E-2</v>
          </cell>
          <cell r="G810">
            <v>6.0562499999999998E-2</v>
          </cell>
          <cell r="H810">
            <v>0.50302812500000005</v>
          </cell>
          <cell r="I810">
            <v>0</v>
          </cell>
          <cell r="J810">
            <v>0</v>
          </cell>
          <cell r="K810">
            <v>0.56359062500000001</v>
          </cell>
          <cell r="L810">
            <v>0</v>
          </cell>
          <cell r="M810">
            <v>0</v>
          </cell>
        </row>
        <row r="811">
          <cell r="A811" t="str">
            <v>A08</v>
          </cell>
          <cell r="B811" t="str">
            <v>Relleno masivo compactado</v>
          </cell>
          <cell r="C811" t="str">
            <v>m3</v>
          </cell>
          <cell r="D811">
            <v>0</v>
          </cell>
          <cell r="F811">
            <v>4.2499999999999996E-2</v>
          </cell>
          <cell r="G811">
            <v>0.22367500000000001</v>
          </cell>
          <cell r="H811">
            <v>1.49118375</v>
          </cell>
          <cell r="I811">
            <v>0</v>
          </cell>
          <cell r="J811">
            <v>0</v>
          </cell>
          <cell r="K811">
            <v>1.7148587500000001</v>
          </cell>
          <cell r="L811">
            <v>0</v>
          </cell>
          <cell r="M811">
            <v>0</v>
          </cell>
        </row>
        <row r="812">
          <cell r="A812" t="str">
            <v>2.12.g</v>
          </cell>
          <cell r="B812" t="str">
            <v xml:space="preserve">Excavate (fine or coarse blasted) broken rock to surplus stockpile </v>
          </cell>
          <cell r="C812" t="str">
            <v>m3</v>
          </cell>
          <cell r="D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L812">
            <v>0</v>
          </cell>
          <cell r="M812">
            <v>0</v>
          </cell>
        </row>
        <row r="813">
          <cell r="A813" t="str">
            <v>A14</v>
          </cell>
          <cell r="B813" t="str">
            <v>Remoción de Material grueso volado</v>
          </cell>
          <cell r="C813" t="str">
            <v>m3</v>
          </cell>
          <cell r="D813">
            <v>0</v>
          </cell>
          <cell r="F813">
            <v>2.5000000000000001E-2</v>
          </cell>
          <cell r="G813">
            <v>0.12475</v>
          </cell>
          <cell r="H813">
            <v>1.11859166666667</v>
          </cell>
          <cell r="I813">
            <v>0</v>
          </cell>
          <cell r="J813">
            <v>0</v>
          </cell>
          <cell r="K813">
            <v>1.2433416666666699</v>
          </cell>
          <cell r="L813">
            <v>0</v>
          </cell>
          <cell r="M813">
            <v>0</v>
          </cell>
        </row>
        <row r="814">
          <cell r="A814" t="str">
            <v>A43</v>
          </cell>
          <cell r="B814" t="str">
            <v>Carguío de roca volada con excavadora</v>
          </cell>
          <cell r="C814" t="str">
            <v>m3</v>
          </cell>
          <cell r="D814">
            <v>0</v>
          </cell>
          <cell r="F814">
            <v>8.1967213114754103E-3</v>
          </cell>
          <cell r="G814">
            <v>4.3278688524589999E-2</v>
          </cell>
          <cell r="H814">
            <v>0.58667213114754102</v>
          </cell>
          <cell r="I814">
            <v>0</v>
          </cell>
          <cell r="J814">
            <v>0</v>
          </cell>
          <cell r="K814">
            <v>0.62995081967213107</v>
          </cell>
          <cell r="L814">
            <v>0</v>
          </cell>
          <cell r="M814">
            <v>0</v>
          </cell>
        </row>
        <row r="815">
          <cell r="A815" t="str">
            <v>A10</v>
          </cell>
          <cell r="B815" t="str">
            <v>Extendido de roca en botadero</v>
          </cell>
          <cell r="C815" t="str">
            <v>m3</v>
          </cell>
          <cell r="D815">
            <v>0</v>
          </cell>
          <cell r="F815">
            <v>3.5714285714285713E-3</v>
          </cell>
          <cell r="G815">
            <v>1.8857142857142999E-2</v>
          </cell>
          <cell r="H815">
            <v>0.14619285714285699</v>
          </cell>
          <cell r="I815">
            <v>0</v>
          </cell>
          <cell r="J815">
            <v>0</v>
          </cell>
          <cell r="K815">
            <v>0.16504999999999997</v>
          </cell>
          <cell r="L815">
            <v>0</v>
          </cell>
          <cell r="M815">
            <v>0</v>
          </cell>
        </row>
        <row r="816">
          <cell r="A816" t="str">
            <v>A04</v>
          </cell>
          <cell r="B816" t="str">
            <v>Acarreo d&lt;1km (sin esponj)</v>
          </cell>
          <cell r="C816" t="str">
            <v>m3</v>
          </cell>
          <cell r="D816">
            <v>0</v>
          </cell>
          <cell r="F816">
            <v>1.9444444444444441E-2</v>
          </cell>
          <cell r="G816">
            <v>0.102666666666667</v>
          </cell>
          <cell r="H816">
            <v>0.50555555555555498</v>
          </cell>
          <cell r="I816">
            <v>0</v>
          </cell>
          <cell r="J816">
            <v>0</v>
          </cell>
          <cell r="K816">
            <v>0.608222222222222</v>
          </cell>
          <cell r="L816">
            <v>0</v>
          </cell>
          <cell r="M816">
            <v>0</v>
          </cell>
        </row>
        <row r="817">
          <cell r="A817" t="str">
            <v>A05</v>
          </cell>
          <cell r="B817" t="str">
            <v>Sobreacarreo (d&gt;1km) (sin esponj)</v>
          </cell>
          <cell r="C817" t="str">
            <v>m3-km</v>
          </cell>
          <cell r="D817">
            <v>0</v>
          </cell>
          <cell r="F817">
            <v>8.9285714285714263E-3</v>
          </cell>
          <cell r="G817">
            <v>4.7142857142857E-2</v>
          </cell>
          <cell r="H817">
            <v>0.23308571428571401</v>
          </cell>
          <cell r="I817">
            <v>0</v>
          </cell>
          <cell r="J817">
            <v>0</v>
          </cell>
          <cell r="K817">
            <v>0.28022857142857105</v>
          </cell>
          <cell r="L817">
            <v>0</v>
          </cell>
          <cell r="M817">
            <v>0</v>
          </cell>
        </row>
        <row r="818">
          <cell r="A818" t="str">
            <v>2.12.h</v>
          </cell>
          <cell r="B818" t="str">
            <v>Supply and Install Backfill Granular A to roads/yards</v>
          </cell>
          <cell r="C818" t="str">
            <v>m3</v>
          </cell>
          <cell r="D818">
            <v>100</v>
          </cell>
          <cell r="F818">
            <v>46.151289682539677</v>
          </cell>
          <cell r="G818">
            <v>1.8884547619047611</v>
          </cell>
          <cell r="H818">
            <v>5.2562715238095192</v>
          </cell>
          <cell r="I818">
            <v>3.5625</v>
          </cell>
          <cell r="J818">
            <v>0</v>
          </cell>
          <cell r="K818">
            <v>10.707226285714279</v>
          </cell>
          <cell r="L818">
            <v>10.71</v>
          </cell>
          <cell r="M818">
            <v>1071</v>
          </cell>
        </row>
        <row r="819">
          <cell r="A819" t="str">
            <v>A15</v>
          </cell>
          <cell r="B819" t="str">
            <v>Suministro de material granular A</v>
          </cell>
          <cell r="C819" t="str">
            <v>m3</v>
          </cell>
          <cell r="D819">
            <v>100</v>
          </cell>
          <cell r="E819">
            <v>1.25</v>
          </cell>
          <cell r="F819">
            <v>0</v>
          </cell>
          <cell r="G819">
            <v>0</v>
          </cell>
          <cell r="H819">
            <v>0</v>
          </cell>
          <cell r="I819">
            <v>2.85</v>
          </cell>
          <cell r="J819">
            <v>0</v>
          </cell>
          <cell r="K819">
            <v>2.85</v>
          </cell>
          <cell r="L819">
            <v>3.5625</v>
          </cell>
          <cell r="M819">
            <v>356.25</v>
          </cell>
        </row>
        <row r="820">
          <cell r="A820" t="str">
            <v>A16</v>
          </cell>
          <cell r="B820" t="str">
            <v>Colocación y compactación Mat Granular A</v>
          </cell>
          <cell r="C820" t="str">
            <v>m3</v>
          </cell>
          <cell r="D820">
            <v>100</v>
          </cell>
          <cell r="E820">
            <v>1</v>
          </cell>
          <cell r="F820">
            <v>0.37805555555555553</v>
          </cell>
          <cell r="G820">
            <v>1.4478</v>
          </cell>
          <cell r="H820">
            <v>3.0801342222222199</v>
          </cell>
          <cell r="I820">
            <v>0</v>
          </cell>
          <cell r="J820">
            <v>0</v>
          </cell>
          <cell r="K820">
            <v>4.5279342222222194</v>
          </cell>
          <cell r="L820">
            <v>4.5279342222222194</v>
          </cell>
          <cell r="M820">
            <v>452.79342222222192</v>
          </cell>
        </row>
        <row r="821">
          <cell r="A821" t="str">
            <v>A04</v>
          </cell>
          <cell r="B821" t="str">
            <v>Acarreo d&lt;1km (sin esponj)</v>
          </cell>
          <cell r="C821" t="str">
            <v>m3</v>
          </cell>
          <cell r="D821">
            <v>100</v>
          </cell>
          <cell r="E821">
            <v>1.25</v>
          </cell>
          <cell r="F821">
            <v>1.9444444444444441E-2</v>
          </cell>
          <cell r="G821">
            <v>0.102666666666667</v>
          </cell>
          <cell r="H821">
            <v>0.50555555555555498</v>
          </cell>
          <cell r="I821">
            <v>0</v>
          </cell>
          <cell r="J821">
            <v>0</v>
          </cell>
          <cell r="K821">
            <v>0.608222222222222</v>
          </cell>
          <cell r="L821">
            <v>0.7602777777777775</v>
          </cell>
          <cell r="M821">
            <v>76.027777777777743</v>
          </cell>
        </row>
        <row r="822">
          <cell r="A822" t="str">
            <v>A05</v>
          </cell>
          <cell r="B822" t="str">
            <v>Sobreacarreo (d&gt;1km) (sin esponj)</v>
          </cell>
          <cell r="C822" t="str">
            <v>m3-km</v>
          </cell>
          <cell r="D822">
            <v>530</v>
          </cell>
          <cell r="E822">
            <v>1.25</v>
          </cell>
          <cell r="F822">
            <v>8.9285714285714263E-3</v>
          </cell>
          <cell r="G822">
            <v>4.7142857142857E-2</v>
          </cell>
          <cell r="H822">
            <v>0.23308571428571401</v>
          </cell>
          <cell r="I822">
            <v>0</v>
          </cell>
          <cell r="J822">
            <v>0</v>
          </cell>
          <cell r="K822">
            <v>0.28022857142857105</v>
          </cell>
          <cell r="L822">
            <v>0.35028571428571381</v>
          </cell>
          <cell r="M822">
            <v>185.65142857142831</v>
          </cell>
        </row>
        <row r="823">
          <cell r="A823" t="str">
            <v>2.12.i</v>
          </cell>
          <cell r="B823" t="str">
            <v>Supply and Install Backfill Granular B to roads/yards</v>
          </cell>
          <cell r="C823" t="str">
            <v>m3</v>
          </cell>
          <cell r="D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</row>
        <row r="824">
          <cell r="A824" t="str">
            <v>A40</v>
          </cell>
          <cell r="B824" t="str">
            <v>Suministro de material granular B</v>
          </cell>
          <cell r="C824" t="str">
            <v>m3</v>
          </cell>
          <cell r="F824">
            <v>0</v>
          </cell>
          <cell r="G824">
            <v>0</v>
          </cell>
          <cell r="H824">
            <v>0</v>
          </cell>
          <cell r="I824">
            <v>2.85</v>
          </cell>
          <cell r="J824">
            <v>0</v>
          </cell>
          <cell r="K824">
            <v>2.85</v>
          </cell>
          <cell r="L824">
            <v>0</v>
          </cell>
          <cell r="M824">
            <v>0</v>
          </cell>
        </row>
        <row r="825">
          <cell r="A825" t="str">
            <v>A41</v>
          </cell>
          <cell r="B825" t="str">
            <v>Colocación y compactación Mat Granular B</v>
          </cell>
          <cell r="C825" t="str">
            <v>m3</v>
          </cell>
          <cell r="F825">
            <v>0.10416666666666666</v>
          </cell>
          <cell r="G825">
            <v>0.53187499999999999</v>
          </cell>
          <cell r="H825">
            <v>2.3804166666666702</v>
          </cell>
          <cell r="I825">
            <v>0</v>
          </cell>
          <cell r="J825">
            <v>0</v>
          </cell>
          <cell r="K825">
            <v>2.9122916666666701</v>
          </cell>
          <cell r="L825">
            <v>0</v>
          </cell>
          <cell r="M825">
            <v>0</v>
          </cell>
        </row>
        <row r="826">
          <cell r="A826" t="str">
            <v>A04</v>
          </cell>
          <cell r="B826" t="str">
            <v>Acarreo d&lt;1km (sin esponj)</v>
          </cell>
          <cell r="C826" t="str">
            <v>m3</v>
          </cell>
          <cell r="F826">
            <v>1.9444444444444441E-2</v>
          </cell>
          <cell r="G826">
            <v>0.102666666666667</v>
          </cell>
          <cell r="H826">
            <v>0.50555555555555498</v>
          </cell>
          <cell r="I826">
            <v>0</v>
          </cell>
          <cell r="J826">
            <v>0</v>
          </cell>
          <cell r="K826">
            <v>0.608222222222222</v>
          </cell>
          <cell r="L826">
            <v>0</v>
          </cell>
          <cell r="M826">
            <v>0</v>
          </cell>
        </row>
        <row r="827">
          <cell r="A827" t="str">
            <v>A05</v>
          </cell>
          <cell r="B827" t="str">
            <v>Sobreacarreo (d&gt;1km) (sin esponj)</v>
          </cell>
          <cell r="C827" t="str">
            <v>m3-km</v>
          </cell>
          <cell r="F827">
            <v>8.9285714285714263E-3</v>
          </cell>
          <cell r="G827">
            <v>4.7142857142857E-2</v>
          </cell>
          <cell r="H827">
            <v>0.23308571428571401</v>
          </cell>
          <cell r="I827">
            <v>0</v>
          </cell>
          <cell r="J827">
            <v>0</v>
          </cell>
          <cell r="K827">
            <v>0.28022857142857105</v>
          </cell>
          <cell r="L827">
            <v>0</v>
          </cell>
          <cell r="M827">
            <v>0</v>
          </cell>
        </row>
        <row r="828">
          <cell r="A828" t="str">
            <v>2.12.j</v>
          </cell>
          <cell r="B828" t="str">
            <v>Supply and Install Riprap-Geotextile-Bedding to ditches and slopes, including rock/earth excavation and shaping of the site</v>
          </cell>
          <cell r="C828" t="str">
            <v>Ls</v>
          </cell>
          <cell r="D828">
            <v>1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L828">
            <v>0</v>
          </cell>
          <cell r="M828">
            <v>0</v>
          </cell>
        </row>
        <row r="829">
          <cell r="A829" t="str">
            <v>A19</v>
          </cell>
          <cell r="B829" t="str">
            <v>Rip rap</v>
          </cell>
          <cell r="C829" t="str">
            <v>m3</v>
          </cell>
          <cell r="F829">
            <v>2.7285714285714286</v>
          </cell>
          <cell r="G829">
            <v>8.8182857142857092</v>
          </cell>
          <cell r="H829">
            <v>4.8350057142857139</v>
          </cell>
          <cell r="I829">
            <v>2.85</v>
          </cell>
          <cell r="J829">
            <v>0</v>
          </cell>
          <cell r="K829">
            <v>16.503291428571423</v>
          </cell>
          <cell r="L829">
            <v>0</v>
          </cell>
          <cell r="M829">
            <v>0</v>
          </cell>
        </row>
        <row r="830">
          <cell r="A830" t="str">
            <v>A20</v>
          </cell>
          <cell r="B830" t="str">
            <v>Geotextil 400g/m2 Non Woven</v>
          </cell>
          <cell r="C830" t="str">
            <v>m2</v>
          </cell>
          <cell r="F830">
            <v>0.37356321839080464</v>
          </cell>
          <cell r="G830">
            <v>1.1715517241379301</v>
          </cell>
          <cell r="H830">
            <v>0.445182471264368</v>
          </cell>
          <cell r="I830">
            <v>0.8</v>
          </cell>
          <cell r="J830">
            <v>0</v>
          </cell>
          <cell r="K830">
            <v>2.4167341954022983</v>
          </cell>
          <cell r="L830">
            <v>0</v>
          </cell>
          <cell r="M830">
            <v>0</v>
          </cell>
        </row>
        <row r="831">
          <cell r="A831" t="str">
            <v>A21</v>
          </cell>
          <cell r="B831" t="str">
            <v>Excavación y perfilado de zanjas</v>
          </cell>
          <cell r="C831" t="str">
            <v>m3</v>
          </cell>
          <cell r="F831">
            <v>1.2887346226726417</v>
          </cell>
          <cell r="G831">
            <v>4.4896263901299003</v>
          </cell>
          <cell r="H831">
            <v>6.5119556758310146</v>
          </cell>
          <cell r="I831">
            <v>0</v>
          </cell>
          <cell r="J831">
            <v>3.45</v>
          </cell>
          <cell r="K831">
            <v>14.451582065960915</v>
          </cell>
          <cell r="L831">
            <v>0</v>
          </cell>
          <cell r="M831">
            <v>0</v>
          </cell>
        </row>
        <row r="832">
          <cell r="A832" t="str">
            <v>2.12.k</v>
          </cell>
          <cell r="B832" t="str">
            <v>Supply and Install Gabions-Geotextile-Bedding-Concrete Facing, complete including rock/earth excavation shaping &amp; backfill of the site</v>
          </cell>
          <cell r="C832" t="str">
            <v>Ls</v>
          </cell>
          <cell r="D832">
            <v>1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L832">
            <v>0</v>
          </cell>
          <cell r="M832">
            <v>0</v>
          </cell>
        </row>
        <row r="833">
          <cell r="A833" t="str">
            <v>A22</v>
          </cell>
          <cell r="B833" t="str">
            <v>Supply and Install Granular A Surfacing to roads/yards</v>
          </cell>
          <cell r="C833" t="str">
            <v>m3</v>
          </cell>
          <cell r="F833">
            <v>0.47959325396825392</v>
          </cell>
          <cell r="G833">
            <v>1.9839190476190467</v>
          </cell>
          <cell r="H833">
            <v>5.7282700952380896</v>
          </cell>
          <cell r="I833">
            <v>3.5625</v>
          </cell>
          <cell r="J833">
            <v>0</v>
          </cell>
          <cell r="K833">
            <v>11.274689142857136</v>
          </cell>
          <cell r="L833">
            <v>0</v>
          </cell>
          <cell r="M833">
            <v>0</v>
          </cell>
        </row>
        <row r="834">
          <cell r="A834" t="str">
            <v>A23</v>
          </cell>
          <cell r="B834" t="str">
            <v>Concrete Lining</v>
          </cell>
          <cell r="C834" t="str">
            <v>m3</v>
          </cell>
          <cell r="F834">
            <v>14.282608695652174</v>
          </cell>
          <cell r="G834">
            <v>49.431086956521703</v>
          </cell>
          <cell r="H834">
            <v>4.9527137681159399</v>
          </cell>
          <cell r="I834">
            <v>60</v>
          </cell>
          <cell r="J834">
            <v>0</v>
          </cell>
          <cell r="K834">
            <v>114.38380072463765</v>
          </cell>
          <cell r="L834">
            <v>0</v>
          </cell>
          <cell r="M834">
            <v>0</v>
          </cell>
        </row>
        <row r="835">
          <cell r="A835" t="str">
            <v>A24</v>
          </cell>
          <cell r="B835" t="str">
            <v>Gavión</v>
          </cell>
          <cell r="C835" t="str">
            <v>m3</v>
          </cell>
          <cell r="F835">
            <v>1.7583333333333333</v>
          </cell>
          <cell r="G835">
            <v>6.2273333333333296</v>
          </cell>
          <cell r="H835">
            <v>7.133083333333337</v>
          </cell>
          <cell r="I835">
            <v>19.350000000000001</v>
          </cell>
          <cell r="J835">
            <v>0</v>
          </cell>
          <cell r="K835">
            <v>32.710416666666674</v>
          </cell>
          <cell r="L835">
            <v>0</v>
          </cell>
          <cell r="M835">
            <v>0</v>
          </cell>
        </row>
        <row r="836">
          <cell r="A836" t="str">
            <v>A21</v>
          </cell>
          <cell r="B836" t="str">
            <v>Excavación y perfilado de zanjas</v>
          </cell>
          <cell r="C836" t="str">
            <v>m3</v>
          </cell>
          <cell r="F836">
            <v>1.2887346226726417</v>
          </cell>
          <cell r="G836">
            <v>4.4896263901299003</v>
          </cell>
          <cell r="H836">
            <v>6.5119556758310146</v>
          </cell>
          <cell r="I836">
            <v>0</v>
          </cell>
          <cell r="J836">
            <v>3.45</v>
          </cell>
          <cell r="K836">
            <v>14.451582065960915</v>
          </cell>
          <cell r="L836">
            <v>0</v>
          </cell>
          <cell r="M836">
            <v>0</v>
          </cell>
        </row>
        <row r="837">
          <cell r="A837" t="str">
            <v>2.12.l</v>
          </cell>
          <cell r="B837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837" t="str">
            <v>Ls</v>
          </cell>
          <cell r="D837">
            <v>1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L837">
            <v>0</v>
          </cell>
          <cell r="M837">
            <v>0</v>
          </cell>
        </row>
        <row r="838">
          <cell r="A838" t="str">
            <v>A25</v>
          </cell>
          <cell r="B838" t="str">
            <v>Suministro y colocación de Grating</v>
          </cell>
          <cell r="C838" t="str">
            <v>m2</v>
          </cell>
          <cell r="F838">
            <v>1.75</v>
          </cell>
          <cell r="G838">
            <v>6.1725000000000003</v>
          </cell>
          <cell r="H838">
            <v>0.144125</v>
          </cell>
          <cell r="I838">
            <v>225</v>
          </cell>
          <cell r="J838">
            <v>0</v>
          </cell>
          <cell r="K838">
            <v>231.31662500000002</v>
          </cell>
          <cell r="L838">
            <v>0</v>
          </cell>
          <cell r="M838">
            <v>0</v>
          </cell>
        </row>
        <row r="839">
          <cell r="A839" t="str">
            <v>A26</v>
          </cell>
          <cell r="B839" t="str">
            <v>Suministro y colocación de Tapa metálica</v>
          </cell>
          <cell r="C839" t="str">
            <v>m2</v>
          </cell>
          <cell r="F839">
            <v>1.75</v>
          </cell>
          <cell r="G839">
            <v>6.1725000000000003</v>
          </cell>
          <cell r="H839">
            <v>0.144125</v>
          </cell>
          <cell r="I839">
            <v>300</v>
          </cell>
          <cell r="J839">
            <v>0</v>
          </cell>
          <cell r="K839">
            <v>306.31662499999999</v>
          </cell>
          <cell r="L839">
            <v>0</v>
          </cell>
          <cell r="M839">
            <v>0</v>
          </cell>
        </row>
        <row r="840">
          <cell r="A840" t="str">
            <v>A27</v>
          </cell>
          <cell r="B840" t="str">
            <v>Relleno estructural</v>
          </cell>
          <cell r="C840" t="str">
            <v>m3</v>
          </cell>
          <cell r="F840">
            <v>1.2875000000000001</v>
          </cell>
          <cell r="G840">
            <v>4.2321666666666697</v>
          </cell>
          <cell r="H840">
            <v>6.8350416666666636</v>
          </cell>
          <cell r="I840">
            <v>0</v>
          </cell>
          <cell r="J840">
            <v>0</v>
          </cell>
          <cell r="K840">
            <v>11.067208333333333</v>
          </cell>
          <cell r="L840">
            <v>0</v>
          </cell>
          <cell r="M840">
            <v>0</v>
          </cell>
        </row>
        <row r="841">
          <cell r="A841" t="str">
            <v>A28</v>
          </cell>
          <cell r="B841" t="str">
            <v>Bermas de Seguridad</v>
          </cell>
          <cell r="C841" t="str">
            <v>m3</v>
          </cell>
          <cell r="F841">
            <v>0.1</v>
          </cell>
          <cell r="G841">
            <v>0.499</v>
          </cell>
          <cell r="H841">
            <v>3.5649500000000001</v>
          </cell>
          <cell r="I841">
            <v>2.85</v>
          </cell>
          <cell r="J841">
            <v>0</v>
          </cell>
          <cell r="K841">
            <v>6.9139499999999998</v>
          </cell>
          <cell r="L841">
            <v>0</v>
          </cell>
          <cell r="M841">
            <v>0</v>
          </cell>
        </row>
        <row r="842">
          <cell r="A842" t="str">
            <v>A29</v>
          </cell>
          <cell r="B842" t="str">
            <v>Cama de Arena</v>
          </cell>
          <cell r="C842" t="str">
            <v>m3</v>
          </cell>
          <cell r="F842">
            <v>1.3416666666666666</v>
          </cell>
          <cell r="G842">
            <v>4.5181666666666702</v>
          </cell>
          <cell r="H842">
            <v>8.3767083333333332</v>
          </cell>
          <cell r="I842">
            <v>3.1349999999999998</v>
          </cell>
          <cell r="J842">
            <v>0</v>
          </cell>
          <cell r="K842">
            <v>16.029875000000004</v>
          </cell>
          <cell r="L842">
            <v>0</v>
          </cell>
          <cell r="M842">
            <v>0</v>
          </cell>
        </row>
        <row r="843">
          <cell r="A843" t="str">
            <v>A30</v>
          </cell>
          <cell r="B843" t="str">
            <v>Concreto reforzado</v>
          </cell>
          <cell r="C843" t="str">
            <v>m3</v>
          </cell>
          <cell r="F843">
            <v>16.2</v>
          </cell>
          <cell r="G843">
            <v>56.207999999999998</v>
          </cell>
          <cell r="H843">
            <v>3.9517333333333298</v>
          </cell>
          <cell r="I843">
            <v>116.16</v>
          </cell>
          <cell r="J843">
            <v>0</v>
          </cell>
          <cell r="K843">
            <v>176.31973333333332</v>
          </cell>
          <cell r="L843">
            <v>0</v>
          </cell>
          <cell r="M843">
            <v>0</v>
          </cell>
        </row>
        <row r="844">
          <cell r="A844" t="str">
            <v>A31</v>
          </cell>
          <cell r="B844" t="str">
            <v>Alcantarillas 800mm</v>
          </cell>
          <cell r="C844" t="str">
            <v>ml</v>
          </cell>
          <cell r="F844">
            <v>8</v>
          </cell>
          <cell r="G844">
            <v>25.88</v>
          </cell>
          <cell r="H844">
            <v>1.294</v>
          </cell>
          <cell r="I844">
            <v>60</v>
          </cell>
          <cell r="J844">
            <v>0</v>
          </cell>
          <cell r="K844">
            <v>87.173999999999992</v>
          </cell>
          <cell r="L844">
            <v>0</v>
          </cell>
          <cell r="M844">
            <v>0</v>
          </cell>
        </row>
        <row r="845">
          <cell r="A845" t="str">
            <v>A32</v>
          </cell>
          <cell r="B845" t="str">
            <v>Alcantarillas 600mm</v>
          </cell>
          <cell r="C845" t="str">
            <v>ml</v>
          </cell>
          <cell r="F845">
            <v>6.666666666666667</v>
          </cell>
          <cell r="G845">
            <v>21.566666666666698</v>
          </cell>
          <cell r="H845">
            <v>1.07833333333333</v>
          </cell>
          <cell r="I845">
            <v>50</v>
          </cell>
          <cell r="J845">
            <v>0</v>
          </cell>
          <cell r="K845">
            <v>72.645000000000024</v>
          </cell>
          <cell r="L845">
            <v>0</v>
          </cell>
          <cell r="M845">
            <v>0</v>
          </cell>
        </row>
        <row r="846">
          <cell r="A846" t="str">
            <v>A33</v>
          </cell>
          <cell r="B846" t="str">
            <v>Alcantarillas 1350mm</v>
          </cell>
          <cell r="C846" t="str">
            <v>ml</v>
          </cell>
          <cell r="F846">
            <v>12.5</v>
          </cell>
          <cell r="G846">
            <v>39.924999999999997</v>
          </cell>
          <cell r="H846">
            <v>1.9962500000000001</v>
          </cell>
          <cell r="I846">
            <v>160</v>
          </cell>
          <cell r="J846">
            <v>0</v>
          </cell>
          <cell r="K846">
            <v>201.92125000000001</v>
          </cell>
          <cell r="L846">
            <v>0</v>
          </cell>
          <cell r="M846">
            <v>0</v>
          </cell>
        </row>
        <row r="847">
          <cell r="A847" t="str">
            <v>A34</v>
          </cell>
          <cell r="B847" t="str">
            <v>Alcantarillas 1000mm</v>
          </cell>
          <cell r="C847" t="str">
            <v>ml</v>
          </cell>
          <cell r="F847">
            <v>8.8888888888888893</v>
          </cell>
          <cell r="G847">
            <v>28.755555555555599</v>
          </cell>
          <cell r="H847">
            <v>1.43777777777778</v>
          </cell>
          <cell r="I847">
            <v>78</v>
          </cell>
          <cell r="J847">
            <v>0</v>
          </cell>
          <cell r="K847">
            <v>108.19333333333338</v>
          </cell>
          <cell r="L847">
            <v>0</v>
          </cell>
          <cell r="M847">
            <v>0</v>
          </cell>
        </row>
        <row r="848">
          <cell r="A848" t="str">
            <v>A35</v>
          </cell>
          <cell r="B848" t="str">
            <v>Alcantarillas 1600mm</v>
          </cell>
          <cell r="C848" t="str">
            <v>ml</v>
          </cell>
          <cell r="F848">
            <v>12.5</v>
          </cell>
          <cell r="G848">
            <v>39.924999999999997</v>
          </cell>
          <cell r="H848">
            <v>1.9962500000000001</v>
          </cell>
          <cell r="I848">
            <v>215</v>
          </cell>
          <cell r="J848">
            <v>0</v>
          </cell>
          <cell r="K848">
            <v>256.92124999999999</v>
          </cell>
          <cell r="L848">
            <v>0</v>
          </cell>
          <cell r="M848">
            <v>0</v>
          </cell>
        </row>
        <row r="849">
          <cell r="A849" t="str">
            <v>A36</v>
          </cell>
          <cell r="B849" t="str">
            <v>Tubería para buzón CMP 2000mm Diam</v>
          </cell>
          <cell r="C849" t="str">
            <v>ml</v>
          </cell>
          <cell r="F849">
            <v>20</v>
          </cell>
          <cell r="G849">
            <v>63.3333333333333</v>
          </cell>
          <cell r="H849">
            <v>3.1666666666666701</v>
          </cell>
          <cell r="I849">
            <v>335</v>
          </cell>
          <cell r="J849">
            <v>0</v>
          </cell>
          <cell r="K849">
            <v>401.5</v>
          </cell>
          <cell r="L849">
            <v>0</v>
          </cell>
          <cell r="M849">
            <v>0</v>
          </cell>
        </row>
        <row r="850">
          <cell r="A850" t="str">
            <v>A37</v>
          </cell>
          <cell r="B850" t="str">
            <v>Alcantarillas 300mm</v>
          </cell>
          <cell r="F850">
            <v>6.666666666666667</v>
          </cell>
          <cell r="G850">
            <v>21.566666666666698</v>
          </cell>
          <cell r="H850">
            <v>1.07833333333333</v>
          </cell>
          <cell r="I850">
            <v>26</v>
          </cell>
          <cell r="J850">
            <v>0</v>
          </cell>
          <cell r="K850">
            <v>48.645000000000032</v>
          </cell>
          <cell r="L850">
            <v>0</v>
          </cell>
          <cell r="M850">
            <v>0</v>
          </cell>
        </row>
        <row r="851">
          <cell r="A851" t="str">
            <v>A20</v>
          </cell>
          <cell r="B851" t="str">
            <v>Geotextil 400g/m2 Non Woven</v>
          </cell>
          <cell r="C851" t="str">
            <v>m2</v>
          </cell>
          <cell r="F851">
            <v>0.37356321839080464</v>
          </cell>
          <cell r="G851">
            <v>1.1715517241379301</v>
          </cell>
          <cell r="H851">
            <v>0.445182471264368</v>
          </cell>
          <cell r="I851">
            <v>0.8</v>
          </cell>
          <cell r="J851">
            <v>0</v>
          </cell>
          <cell r="K851">
            <v>2.4167341954022983</v>
          </cell>
          <cell r="L851">
            <v>0</v>
          </cell>
          <cell r="M851">
            <v>0</v>
          </cell>
        </row>
        <row r="852">
          <cell r="A852" t="str">
            <v>A38</v>
          </cell>
          <cell r="B852" t="str">
            <v>Excavación y eliminación de material para cunetas en roca</v>
          </cell>
          <cell r="C852" t="str">
            <v>m3</v>
          </cell>
          <cell r="F852">
            <v>0.28461538461538466</v>
          </cell>
          <cell r="G852">
            <v>1.41576923076923</v>
          </cell>
          <cell r="H852">
            <v>7.0169423076923119</v>
          </cell>
          <cell r="I852">
            <v>0</v>
          </cell>
          <cell r="J852">
            <v>11.5</v>
          </cell>
          <cell r="K852">
            <v>19.932711538461543</v>
          </cell>
          <cell r="L852">
            <v>0</v>
          </cell>
          <cell r="M852">
            <v>0</v>
          </cell>
        </row>
        <row r="853">
          <cell r="A853" t="str">
            <v>A39</v>
          </cell>
          <cell r="B853" t="str">
            <v>Excavación y eliminación de material para cunetas en suelo común</v>
          </cell>
          <cell r="C853" t="str">
            <v>m3</v>
          </cell>
          <cell r="F853">
            <v>0.1957264957264957</v>
          </cell>
          <cell r="G853">
            <v>0.98510256410256403</v>
          </cell>
          <cell r="H853">
            <v>4.9954089743589778</v>
          </cell>
          <cell r="I853">
            <v>0</v>
          </cell>
          <cell r="J853">
            <v>0</v>
          </cell>
          <cell r="K853">
            <v>5.9805115384615419</v>
          </cell>
          <cell r="L853">
            <v>0</v>
          </cell>
          <cell r="M853">
            <v>0</v>
          </cell>
        </row>
        <row r="854">
          <cell r="A854" t="str">
            <v>A21</v>
          </cell>
          <cell r="B854" t="str">
            <v>Excavación y perfilado de zanjas</v>
          </cell>
          <cell r="C854" t="str">
            <v>m3</v>
          </cell>
          <cell r="F854">
            <v>1.2887346226726417</v>
          </cell>
          <cell r="G854">
            <v>4.4896263901299003</v>
          </cell>
          <cell r="H854">
            <v>6.5119556758310146</v>
          </cell>
          <cell r="I854">
            <v>0</v>
          </cell>
          <cell r="J854">
            <v>3.45</v>
          </cell>
          <cell r="K854">
            <v>14.451582065960915</v>
          </cell>
          <cell r="L854">
            <v>0</v>
          </cell>
          <cell r="M854">
            <v>0</v>
          </cell>
        </row>
        <row r="855">
          <cell r="A855" t="str">
            <v>2.13</v>
          </cell>
          <cell r="B855" t="str">
            <v>PROCESS PLANT FRESH/FIRE WATER TANK SITE</v>
          </cell>
        </row>
        <row r="856">
          <cell r="A856" t="str">
            <v>2.13.a</v>
          </cell>
          <cell r="B856" t="str">
            <v>Clear and Grub</v>
          </cell>
          <cell r="C856" t="str">
            <v>Ls</v>
          </cell>
        </row>
        <row r="857">
          <cell r="A857" t="str">
            <v>2.13.b</v>
          </cell>
          <cell r="B857" t="str">
            <v>Cut unsuitable soil to waste (includes organic soil)</v>
          </cell>
          <cell r="C857" t="str">
            <v>m3</v>
          </cell>
          <cell r="D857">
            <v>250</v>
          </cell>
          <cell r="F857">
            <v>23.894195054945055</v>
          </cell>
          <cell r="G857">
            <v>0.49843111384615385</v>
          </cell>
          <cell r="H857">
            <v>3.3935501167824169</v>
          </cell>
          <cell r="I857">
            <v>0</v>
          </cell>
          <cell r="J857">
            <v>0</v>
          </cell>
          <cell r="L857">
            <v>3.89</v>
          </cell>
          <cell r="M857">
            <v>972.5</v>
          </cell>
        </row>
        <row r="858">
          <cell r="A858" t="str">
            <v>A01</v>
          </cell>
          <cell r="B858" t="str">
            <v>Excavación de Topsoil y Unsuitable (e&gt;1m)</v>
          </cell>
          <cell r="C858" t="str">
            <v>m3</v>
          </cell>
          <cell r="D858">
            <v>250</v>
          </cell>
          <cell r="E858">
            <v>1.25</v>
          </cell>
          <cell r="F858">
            <v>1.7142857142857144E-2</v>
          </cell>
          <cell r="G858">
            <v>8.5542857142857004E-2</v>
          </cell>
          <cell r="H858">
            <v>0.81924857142857199</v>
          </cell>
          <cell r="I858">
            <v>0</v>
          </cell>
          <cell r="J858">
            <v>0</v>
          </cell>
          <cell r="K858">
            <v>0.90479142857142902</v>
          </cell>
          <cell r="L858">
            <v>1.1309892857142863</v>
          </cell>
          <cell r="M858">
            <v>282.74732142857158</v>
          </cell>
        </row>
        <row r="859">
          <cell r="A859" t="str">
            <v>A02</v>
          </cell>
          <cell r="B859" t="str">
            <v>Excavación de Topsoil y Unsuitable (e&lt;1m)</v>
          </cell>
          <cell r="C859" t="str">
            <v>m3</v>
          </cell>
          <cell r="D859">
            <v>0</v>
          </cell>
          <cell r="E859">
            <v>1</v>
          </cell>
          <cell r="F859">
            <v>1.4285714285714285E-2</v>
          </cell>
          <cell r="G859">
            <v>6.9214285714286006E-2</v>
          </cell>
          <cell r="H859">
            <v>0.57488928571428499</v>
          </cell>
          <cell r="I859">
            <v>0</v>
          </cell>
          <cell r="J859">
            <v>0</v>
          </cell>
          <cell r="K859">
            <v>0.644103571428571</v>
          </cell>
          <cell r="L859">
            <v>0.644103571428571</v>
          </cell>
          <cell r="M859">
            <v>0</v>
          </cell>
        </row>
        <row r="860">
          <cell r="A860" t="str">
            <v>A03</v>
          </cell>
          <cell r="B860" t="str">
            <v>Carguío de Topsoil &amp; Unsuitable con excavadora</v>
          </cell>
          <cell r="C860" t="str">
            <v>m3</v>
          </cell>
          <cell r="D860">
            <v>250</v>
          </cell>
          <cell r="E860">
            <v>1.25</v>
          </cell>
          <cell r="F860">
            <v>1.3461538461538462E-2</v>
          </cell>
          <cell r="G860">
            <v>7.1076923076922996E-2</v>
          </cell>
          <cell r="H860">
            <v>0.70142307692307704</v>
          </cell>
          <cell r="I860">
            <v>0</v>
          </cell>
          <cell r="J860">
            <v>0</v>
          </cell>
          <cell r="K860">
            <v>0.77250000000000008</v>
          </cell>
          <cell r="L860">
            <v>0.96562500000000007</v>
          </cell>
          <cell r="M860">
            <v>241.40625000000003</v>
          </cell>
        </row>
        <row r="861">
          <cell r="A861" t="str">
            <v>A04</v>
          </cell>
          <cell r="B861" t="str">
            <v>Acarreo d&lt;1km (sin esponj)</v>
          </cell>
          <cell r="C861" t="str">
            <v>m3</v>
          </cell>
          <cell r="D861">
            <v>250</v>
          </cell>
          <cell r="E861">
            <v>1.8</v>
          </cell>
          <cell r="F861">
            <v>1.9444444444444441E-2</v>
          </cell>
          <cell r="G861">
            <v>0.102666666666667</v>
          </cell>
          <cell r="H861">
            <v>0.50555555555555498</v>
          </cell>
          <cell r="I861">
            <v>0</v>
          </cell>
          <cell r="J861">
            <v>0</v>
          </cell>
          <cell r="K861">
            <v>0.608222222222222</v>
          </cell>
          <cell r="L861">
            <v>1.0947999999999996</v>
          </cell>
          <cell r="M861">
            <v>273.69999999999987</v>
          </cell>
        </row>
        <row r="862">
          <cell r="A862" t="str">
            <v>A05</v>
          </cell>
          <cell r="B862" t="str">
            <v>Sobreacarreo (d&gt;1km) (sin esponj)</v>
          </cell>
          <cell r="C862" t="str">
            <v>m3-km</v>
          </cell>
          <cell r="D862">
            <v>347.21999999999997</v>
          </cell>
          <cell r="E862">
            <v>1.8</v>
          </cell>
          <cell r="F862">
            <v>8.9285714285714263E-3</v>
          </cell>
          <cell r="G862">
            <v>4.7142857142857E-2</v>
          </cell>
          <cell r="H862">
            <v>0.23308571428571401</v>
          </cell>
          <cell r="I862">
            <v>0</v>
          </cell>
          <cell r="J862">
            <v>0</v>
          </cell>
          <cell r="K862">
            <v>0.28022857142857105</v>
          </cell>
          <cell r="L862">
            <v>0.50441142857142796</v>
          </cell>
          <cell r="M862">
            <v>175.1417362285712</v>
          </cell>
        </row>
        <row r="863">
          <cell r="A863" t="str">
            <v>2.13.c</v>
          </cell>
          <cell r="B863" t="str">
            <v>Cut and Fill Soil or Ripable Rock, within sub-Item work zone</v>
          </cell>
          <cell r="C863" t="str">
            <v>m3</v>
          </cell>
          <cell r="D863">
            <v>250</v>
          </cell>
          <cell r="F863">
            <v>23.229166666666664</v>
          </cell>
          <cell r="G863">
            <v>0.47113375000000002</v>
          </cell>
          <cell r="H863">
            <v>3.7516384208333373</v>
          </cell>
          <cell r="I863">
            <v>0</v>
          </cell>
          <cell r="J863">
            <v>0</v>
          </cell>
          <cell r="L863">
            <v>4.22</v>
          </cell>
          <cell r="M863">
            <v>1055</v>
          </cell>
        </row>
        <row r="864">
          <cell r="A864" t="str">
            <v>A06</v>
          </cell>
          <cell r="B864" t="str">
            <v>Excavación de roca ripeable</v>
          </cell>
          <cell r="C864" t="str">
            <v>m3</v>
          </cell>
          <cell r="D864">
            <v>250</v>
          </cell>
          <cell r="E864">
            <v>1.1000000000000001</v>
          </cell>
          <cell r="F864">
            <v>3.3333333333333333E-2</v>
          </cell>
          <cell r="G864">
            <v>0.16439999999999999</v>
          </cell>
          <cell r="H864">
            <v>1.5519306666666701</v>
          </cell>
          <cell r="I864">
            <v>0</v>
          </cell>
          <cell r="J864">
            <v>0</v>
          </cell>
          <cell r="K864">
            <v>1.7163306666666702</v>
          </cell>
          <cell r="L864">
            <v>1.8879637333333374</v>
          </cell>
          <cell r="M864">
            <v>471.99093333333434</v>
          </cell>
        </row>
        <row r="865">
          <cell r="A865" t="str">
            <v>A07</v>
          </cell>
          <cell r="B865" t="str">
            <v>Empuje de material d&lt;60m</v>
          </cell>
          <cell r="C865" t="str">
            <v>m3</v>
          </cell>
          <cell r="D865">
            <v>250</v>
          </cell>
          <cell r="E865">
            <v>1.1000000000000001</v>
          </cell>
          <cell r="F865">
            <v>1.2500000000000001E-2</v>
          </cell>
          <cell r="G865">
            <v>6.0562499999999998E-2</v>
          </cell>
          <cell r="H865">
            <v>0.50302812500000005</v>
          </cell>
          <cell r="I865">
            <v>0</v>
          </cell>
          <cell r="J865">
            <v>0</v>
          </cell>
          <cell r="K865">
            <v>0.56359062500000001</v>
          </cell>
          <cell r="L865">
            <v>0.61994968750000001</v>
          </cell>
          <cell r="M865">
            <v>154.987421875</v>
          </cell>
        </row>
        <row r="866">
          <cell r="A866" t="str">
            <v>A08</v>
          </cell>
          <cell r="B866" t="str">
            <v>Relleno masivo compactado</v>
          </cell>
          <cell r="C866" t="str">
            <v>m3</v>
          </cell>
          <cell r="D866">
            <v>250</v>
          </cell>
          <cell r="E866">
            <v>1</v>
          </cell>
          <cell r="F866">
            <v>4.2499999999999996E-2</v>
          </cell>
          <cell r="G866">
            <v>0.22367500000000001</v>
          </cell>
          <cell r="H866">
            <v>1.49118375</v>
          </cell>
          <cell r="I866">
            <v>0</v>
          </cell>
          <cell r="J866">
            <v>0</v>
          </cell>
          <cell r="K866">
            <v>1.7148587500000001</v>
          </cell>
          <cell r="L866">
            <v>1.7148587500000001</v>
          </cell>
          <cell r="M866">
            <v>428.71468750000003</v>
          </cell>
        </row>
        <row r="867">
          <cell r="A867" t="str">
            <v>2.13.d</v>
          </cell>
          <cell r="B867" t="str">
            <v xml:space="preserve">Cut and Fill Soil or Ripable Rock to Other sub-Item work zone </v>
          </cell>
          <cell r="C867" t="str">
            <v>m3</v>
          </cell>
          <cell r="D867">
            <v>150</v>
          </cell>
          <cell r="F867">
            <v>19.107500000000002</v>
          </cell>
          <cell r="G867">
            <v>0.65786650000000058</v>
          </cell>
          <cell r="H867">
            <v>4.9965959916666698</v>
          </cell>
          <cell r="I867">
            <v>0</v>
          </cell>
          <cell r="J867">
            <v>0</v>
          </cell>
          <cell r="L867">
            <v>5.65</v>
          </cell>
          <cell r="M867">
            <v>847.5</v>
          </cell>
        </row>
        <row r="868">
          <cell r="A868" t="str">
            <v>A06</v>
          </cell>
          <cell r="B868" t="str">
            <v>Excavación de roca ripeable</v>
          </cell>
          <cell r="C868" t="str">
            <v>m3</v>
          </cell>
          <cell r="D868">
            <v>150</v>
          </cell>
          <cell r="E868">
            <v>1.2</v>
          </cell>
          <cell r="F868">
            <v>3.3333333333333333E-2</v>
          </cell>
          <cell r="G868">
            <v>0.16439999999999999</v>
          </cell>
          <cell r="H868">
            <v>1.5519306666666701</v>
          </cell>
          <cell r="I868">
            <v>0</v>
          </cell>
          <cell r="J868">
            <v>0</v>
          </cell>
          <cell r="K868">
            <v>1.7163306666666702</v>
          </cell>
          <cell r="L868">
            <v>2.059596800000004</v>
          </cell>
          <cell r="M868">
            <v>308.93952000000058</v>
          </cell>
        </row>
        <row r="869">
          <cell r="A869" t="str">
            <v>A09</v>
          </cell>
          <cell r="B869" t="str">
            <v>Carguío de material común &amp; roca ripeable con excavadora</v>
          </cell>
          <cell r="C869" t="str">
            <v>m3</v>
          </cell>
          <cell r="D869">
            <v>150</v>
          </cell>
          <cell r="E869">
            <v>1.2</v>
          </cell>
          <cell r="F869">
            <v>8.0000000000000002E-3</v>
          </cell>
          <cell r="G869">
            <v>4.224E-2</v>
          </cell>
          <cell r="H869">
            <v>0.57259199999999999</v>
          </cell>
          <cell r="I869">
            <v>0</v>
          </cell>
          <cell r="J869">
            <v>0</v>
          </cell>
          <cell r="K869">
            <v>0.61483199999999993</v>
          </cell>
          <cell r="L869">
            <v>0.73779839999999985</v>
          </cell>
          <cell r="M869">
            <v>110.66975999999998</v>
          </cell>
        </row>
        <row r="870">
          <cell r="A870" t="str">
            <v>A08</v>
          </cell>
          <cell r="B870" t="str">
            <v>Relleno masivo compactado</v>
          </cell>
          <cell r="C870" t="str">
            <v>m3</v>
          </cell>
          <cell r="D870">
            <v>150</v>
          </cell>
          <cell r="E870">
            <v>1.1000000000000001</v>
          </cell>
          <cell r="F870">
            <v>4.2499999999999996E-2</v>
          </cell>
          <cell r="G870">
            <v>0.22367500000000001</v>
          </cell>
          <cell r="H870">
            <v>1.49118375</v>
          </cell>
          <cell r="I870">
            <v>0</v>
          </cell>
          <cell r="J870">
            <v>0</v>
          </cell>
          <cell r="K870">
            <v>1.7148587500000001</v>
          </cell>
          <cell r="L870">
            <v>1.8863446250000002</v>
          </cell>
          <cell r="M870">
            <v>282.95169375000006</v>
          </cell>
        </row>
        <row r="871">
          <cell r="A871" t="str">
            <v>A04</v>
          </cell>
          <cell r="B871" t="str">
            <v>Acarreo d&lt;1km (sin esponj)</v>
          </cell>
          <cell r="C871" t="str">
            <v>m3</v>
          </cell>
          <cell r="D871">
            <v>150</v>
          </cell>
          <cell r="E871">
            <v>1.5960000000000001</v>
          </cell>
          <cell r="F871">
            <v>1.9444444444444441E-2</v>
          </cell>
          <cell r="G871">
            <v>0.102666666666667</v>
          </cell>
          <cell r="H871">
            <v>0.50555555555555498</v>
          </cell>
          <cell r="I871">
            <v>0</v>
          </cell>
          <cell r="J871">
            <v>0</v>
          </cell>
          <cell r="K871">
            <v>0.608222222222222</v>
          </cell>
          <cell r="L871">
            <v>0.9707226666666664</v>
          </cell>
          <cell r="M871">
            <v>145.60839999999996</v>
          </cell>
        </row>
        <row r="872">
          <cell r="A872" t="str">
            <v>A05</v>
          </cell>
          <cell r="B872" t="str">
            <v>Sobreacarreo (d&gt;1km) (sin esponj)</v>
          </cell>
          <cell r="C872" t="str">
            <v>m3-km</v>
          </cell>
          <cell r="F872">
            <v>8.9285714285714263E-3</v>
          </cell>
          <cell r="G872">
            <v>4.7142857142857E-2</v>
          </cell>
          <cell r="H872">
            <v>0.23308571428571401</v>
          </cell>
          <cell r="I872">
            <v>0</v>
          </cell>
          <cell r="J872">
            <v>0</v>
          </cell>
          <cell r="K872">
            <v>0.28022857142857105</v>
          </cell>
          <cell r="L872">
            <v>0</v>
          </cell>
          <cell r="M872">
            <v>0</v>
          </cell>
        </row>
        <row r="873">
          <cell r="A873" t="str">
            <v>2.13.e</v>
          </cell>
          <cell r="B873" t="str">
            <v>Drill and blast bulk rock (without limit on thickness, broken to fine or coarse fragments as required depending on end-use Applies to locations other than trenches and ditches).</v>
          </cell>
          <cell r="C873" t="str">
            <v>m3</v>
          </cell>
          <cell r="D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L873">
            <v>0</v>
          </cell>
          <cell r="M873">
            <v>0</v>
          </cell>
        </row>
        <row r="874">
          <cell r="A874" t="str">
            <v>A11</v>
          </cell>
          <cell r="B874" t="str">
            <v>Perforación y voladura masiva (material fino)</v>
          </cell>
          <cell r="C874" t="str">
            <v>m3</v>
          </cell>
          <cell r="D874">
            <v>0</v>
          </cell>
          <cell r="F874">
            <v>7.4718196457326899E-2</v>
          </cell>
          <cell r="G874">
            <v>0</v>
          </cell>
          <cell r="H874">
            <v>0</v>
          </cell>
          <cell r="I874">
            <v>0</v>
          </cell>
          <cell r="J874">
            <v>2.78</v>
          </cell>
          <cell r="K874">
            <v>2.78</v>
          </cell>
          <cell r="L874">
            <v>0</v>
          </cell>
          <cell r="M874">
            <v>0</v>
          </cell>
        </row>
        <row r="875">
          <cell r="A875" t="str">
            <v>A12</v>
          </cell>
          <cell r="B875" t="str">
            <v>Perforación y voladura masiva (material grueso)</v>
          </cell>
          <cell r="C875" t="str">
            <v>m3</v>
          </cell>
          <cell r="D875">
            <v>0</v>
          </cell>
          <cell r="F875">
            <v>7.4718196457326899E-2</v>
          </cell>
          <cell r="G875">
            <v>0</v>
          </cell>
          <cell r="H875">
            <v>0</v>
          </cell>
          <cell r="I875">
            <v>0</v>
          </cell>
          <cell r="J875">
            <v>2.72</v>
          </cell>
          <cell r="K875">
            <v>2.72</v>
          </cell>
          <cell r="L875">
            <v>0</v>
          </cell>
          <cell r="M875">
            <v>0</v>
          </cell>
        </row>
        <row r="876">
          <cell r="A876" t="str">
            <v>2.13.f</v>
          </cell>
          <cell r="B876" t="str">
            <v xml:space="preserve">Excavate and Fill (fine blasted) broken rock </v>
          </cell>
          <cell r="C876" t="str">
            <v>m3</v>
          </cell>
          <cell r="D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L876">
            <v>0</v>
          </cell>
          <cell r="M876">
            <v>0</v>
          </cell>
        </row>
        <row r="877">
          <cell r="A877" t="str">
            <v>A13</v>
          </cell>
          <cell r="B877" t="str">
            <v>Remoción de Material fino volado</v>
          </cell>
          <cell r="C877" t="str">
            <v>m3</v>
          </cell>
          <cell r="D877">
            <v>0</v>
          </cell>
          <cell r="F877">
            <v>2.4E-2</v>
          </cell>
          <cell r="G877">
            <v>0.11976000000000001</v>
          </cell>
          <cell r="H877">
            <v>1.1023720000000001</v>
          </cell>
          <cell r="I877">
            <v>0</v>
          </cell>
          <cell r="J877">
            <v>0</v>
          </cell>
          <cell r="K877">
            <v>1.2221320000000002</v>
          </cell>
          <cell r="L877">
            <v>0</v>
          </cell>
          <cell r="M877">
            <v>0</v>
          </cell>
        </row>
        <row r="878">
          <cell r="A878" t="str">
            <v>A07</v>
          </cell>
          <cell r="B878" t="str">
            <v>Empuje de material d&lt;60m</v>
          </cell>
          <cell r="C878" t="str">
            <v>m3</v>
          </cell>
          <cell r="D878">
            <v>0</v>
          </cell>
          <cell r="F878">
            <v>1.2500000000000001E-2</v>
          </cell>
          <cell r="G878">
            <v>6.0562499999999998E-2</v>
          </cell>
          <cell r="H878">
            <v>0.50302812500000005</v>
          </cell>
          <cell r="I878">
            <v>0</v>
          </cell>
          <cell r="J878">
            <v>0</v>
          </cell>
          <cell r="K878">
            <v>0.56359062500000001</v>
          </cell>
          <cell r="L878">
            <v>0</v>
          </cell>
          <cell r="M878">
            <v>0</v>
          </cell>
        </row>
        <row r="879">
          <cell r="A879" t="str">
            <v>A08</v>
          </cell>
          <cell r="B879" t="str">
            <v>Relleno masivo compactado</v>
          </cell>
          <cell r="C879" t="str">
            <v>m3</v>
          </cell>
          <cell r="D879">
            <v>0</v>
          </cell>
          <cell r="F879">
            <v>4.2499999999999996E-2</v>
          </cell>
          <cell r="G879">
            <v>0.22367500000000001</v>
          </cell>
          <cell r="H879">
            <v>1.49118375</v>
          </cell>
          <cell r="I879">
            <v>0</v>
          </cell>
          <cell r="J879">
            <v>0</v>
          </cell>
          <cell r="K879">
            <v>1.7148587500000001</v>
          </cell>
          <cell r="L879">
            <v>0</v>
          </cell>
          <cell r="M879">
            <v>0</v>
          </cell>
        </row>
        <row r="880">
          <cell r="A880" t="str">
            <v>2.13.g</v>
          </cell>
          <cell r="B880" t="str">
            <v xml:space="preserve">Excavate (fine or coarse blasted) broken rock to surplus stockpile </v>
          </cell>
          <cell r="C880" t="str">
            <v>m3</v>
          </cell>
          <cell r="D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L880">
            <v>0</v>
          </cell>
          <cell r="M880">
            <v>0</v>
          </cell>
        </row>
        <row r="881">
          <cell r="A881" t="str">
            <v>A14</v>
          </cell>
          <cell r="B881" t="str">
            <v>Remoción de Material grueso volado</v>
          </cell>
          <cell r="C881" t="str">
            <v>m3</v>
          </cell>
          <cell r="D881">
            <v>0</v>
          </cell>
          <cell r="F881">
            <v>2.5000000000000001E-2</v>
          </cell>
          <cell r="G881">
            <v>0.12475</v>
          </cell>
          <cell r="H881">
            <v>1.11859166666667</v>
          </cell>
          <cell r="I881">
            <v>0</v>
          </cell>
          <cell r="J881">
            <v>0</v>
          </cell>
          <cell r="K881">
            <v>1.2433416666666699</v>
          </cell>
          <cell r="L881">
            <v>0</v>
          </cell>
          <cell r="M881">
            <v>0</v>
          </cell>
        </row>
        <row r="882">
          <cell r="A882" t="str">
            <v>A43</v>
          </cell>
          <cell r="B882" t="str">
            <v>Carguío de roca volada con excavadora</v>
          </cell>
          <cell r="C882" t="str">
            <v>m3</v>
          </cell>
          <cell r="D882">
            <v>0</v>
          </cell>
          <cell r="F882">
            <v>8.1967213114754103E-3</v>
          </cell>
          <cell r="G882">
            <v>4.3278688524589999E-2</v>
          </cell>
          <cell r="H882">
            <v>0.58667213114754102</v>
          </cell>
          <cell r="I882">
            <v>0</v>
          </cell>
          <cell r="J882">
            <v>0</v>
          </cell>
          <cell r="K882">
            <v>0.62995081967213107</v>
          </cell>
          <cell r="L882">
            <v>0</v>
          </cell>
          <cell r="M882">
            <v>0</v>
          </cell>
        </row>
        <row r="883">
          <cell r="A883" t="str">
            <v>A10</v>
          </cell>
          <cell r="B883" t="str">
            <v>Extendido de roca en botadero</v>
          </cell>
          <cell r="C883" t="str">
            <v>m3</v>
          </cell>
          <cell r="D883">
            <v>0</v>
          </cell>
          <cell r="F883">
            <v>3.5714285714285713E-3</v>
          </cell>
          <cell r="G883">
            <v>1.8857142857142999E-2</v>
          </cell>
          <cell r="H883">
            <v>0.14619285714285699</v>
          </cell>
          <cell r="I883">
            <v>0</v>
          </cell>
          <cell r="J883">
            <v>0</v>
          </cell>
          <cell r="K883">
            <v>0.16504999999999997</v>
          </cell>
          <cell r="L883">
            <v>0</v>
          </cell>
          <cell r="M883">
            <v>0</v>
          </cell>
        </row>
        <row r="884">
          <cell r="A884" t="str">
            <v>A04</v>
          </cell>
          <cell r="B884" t="str">
            <v>Acarreo d&lt;1km (sin esponj)</v>
          </cell>
          <cell r="C884" t="str">
            <v>m3</v>
          </cell>
          <cell r="D884">
            <v>0</v>
          </cell>
          <cell r="F884">
            <v>1.9444444444444441E-2</v>
          </cell>
          <cell r="G884">
            <v>0.102666666666667</v>
          </cell>
          <cell r="H884">
            <v>0.50555555555555498</v>
          </cell>
          <cell r="I884">
            <v>0</v>
          </cell>
          <cell r="J884">
            <v>0</v>
          </cell>
          <cell r="K884">
            <v>0.608222222222222</v>
          </cell>
          <cell r="L884">
            <v>0</v>
          </cell>
          <cell r="M884">
            <v>0</v>
          </cell>
        </row>
        <row r="885">
          <cell r="A885" t="str">
            <v>A05</v>
          </cell>
          <cell r="B885" t="str">
            <v>Sobreacarreo (d&gt;1km) (sin esponj)</v>
          </cell>
          <cell r="C885" t="str">
            <v>m3-km</v>
          </cell>
          <cell r="D885">
            <v>0</v>
          </cell>
          <cell r="F885">
            <v>8.9285714285714263E-3</v>
          </cell>
          <cell r="G885">
            <v>4.7142857142857E-2</v>
          </cell>
          <cell r="H885">
            <v>0.23308571428571401</v>
          </cell>
          <cell r="I885">
            <v>0</v>
          </cell>
          <cell r="J885">
            <v>0</v>
          </cell>
          <cell r="K885">
            <v>0.28022857142857105</v>
          </cell>
          <cell r="L885">
            <v>0</v>
          </cell>
          <cell r="M885">
            <v>0</v>
          </cell>
        </row>
        <row r="886">
          <cell r="A886" t="str">
            <v>2.13.h</v>
          </cell>
          <cell r="B886" t="str">
            <v>Supply and Install Backfill Granular A to roads/yards</v>
          </cell>
          <cell r="C886" t="str">
            <v>m3</v>
          </cell>
          <cell r="D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</row>
        <row r="887">
          <cell r="A887" t="str">
            <v>A15</v>
          </cell>
          <cell r="B887" t="str">
            <v>Suministro de material granular A</v>
          </cell>
          <cell r="C887" t="str">
            <v>m3</v>
          </cell>
          <cell r="F887">
            <v>0</v>
          </cell>
          <cell r="G887">
            <v>0</v>
          </cell>
          <cell r="H887">
            <v>0</v>
          </cell>
          <cell r="I887">
            <v>2.85</v>
          </cell>
          <cell r="J887">
            <v>0</v>
          </cell>
          <cell r="K887">
            <v>2.85</v>
          </cell>
          <cell r="L887">
            <v>0</v>
          </cell>
          <cell r="M887">
            <v>0</v>
          </cell>
        </row>
        <row r="888">
          <cell r="A888" t="str">
            <v>A16</v>
          </cell>
          <cell r="B888" t="str">
            <v>Colocación y compactación Mat Granular A</v>
          </cell>
          <cell r="C888" t="str">
            <v>m3</v>
          </cell>
          <cell r="F888">
            <v>0.37805555555555553</v>
          </cell>
          <cell r="G888">
            <v>1.4478</v>
          </cell>
          <cell r="H888">
            <v>3.0801342222222199</v>
          </cell>
          <cell r="I888">
            <v>0</v>
          </cell>
          <cell r="J888">
            <v>0</v>
          </cell>
          <cell r="K888">
            <v>4.5279342222222194</v>
          </cell>
          <cell r="L888">
            <v>0</v>
          </cell>
          <cell r="M888">
            <v>0</v>
          </cell>
        </row>
        <row r="889">
          <cell r="A889" t="str">
            <v>A04</v>
          </cell>
          <cell r="B889" t="str">
            <v>Acarreo d&lt;1km (sin esponj)</v>
          </cell>
          <cell r="C889" t="str">
            <v>m3</v>
          </cell>
          <cell r="F889">
            <v>1.9444444444444441E-2</v>
          </cell>
          <cell r="G889">
            <v>0.102666666666667</v>
          </cell>
          <cell r="H889">
            <v>0.50555555555555498</v>
          </cell>
          <cell r="I889">
            <v>0</v>
          </cell>
          <cell r="J889">
            <v>0</v>
          </cell>
          <cell r="K889">
            <v>0.608222222222222</v>
          </cell>
          <cell r="L889">
            <v>0</v>
          </cell>
          <cell r="M889">
            <v>0</v>
          </cell>
        </row>
        <row r="890">
          <cell r="A890" t="str">
            <v>A05</v>
          </cell>
          <cell r="B890" t="str">
            <v>Sobreacarreo (d&gt;1km) (sin esponj)</v>
          </cell>
          <cell r="C890" t="str">
            <v>m3-km</v>
          </cell>
          <cell r="F890">
            <v>8.9285714285714263E-3</v>
          </cell>
          <cell r="G890">
            <v>4.7142857142857E-2</v>
          </cell>
          <cell r="H890">
            <v>0.23308571428571401</v>
          </cell>
          <cell r="I890">
            <v>0</v>
          </cell>
          <cell r="J890">
            <v>0</v>
          </cell>
          <cell r="K890">
            <v>0.28022857142857105</v>
          </cell>
          <cell r="L890">
            <v>0</v>
          </cell>
          <cell r="M890">
            <v>0</v>
          </cell>
        </row>
        <row r="891">
          <cell r="A891" t="str">
            <v>2.13.i</v>
          </cell>
          <cell r="B891" t="str">
            <v>Supply and Install Backfill Granular B to roads/yards</v>
          </cell>
          <cell r="C891" t="str">
            <v>m3</v>
          </cell>
          <cell r="D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</row>
        <row r="892">
          <cell r="A892" t="str">
            <v>A40</v>
          </cell>
          <cell r="B892" t="str">
            <v>Suministro de material granular B</v>
          </cell>
          <cell r="C892" t="str">
            <v>m3</v>
          </cell>
          <cell r="F892">
            <v>0</v>
          </cell>
          <cell r="G892">
            <v>0</v>
          </cell>
          <cell r="H892">
            <v>0</v>
          </cell>
          <cell r="I892">
            <v>2.85</v>
          </cell>
          <cell r="J892">
            <v>0</v>
          </cell>
          <cell r="K892">
            <v>2.85</v>
          </cell>
          <cell r="L892">
            <v>0</v>
          </cell>
          <cell r="M892">
            <v>0</v>
          </cell>
        </row>
        <row r="893">
          <cell r="A893" t="str">
            <v>A41</v>
          </cell>
          <cell r="B893" t="str">
            <v>Colocación y compactación Mat Granular B</v>
          </cell>
          <cell r="C893" t="str">
            <v>m3</v>
          </cell>
          <cell r="F893">
            <v>0.10416666666666666</v>
          </cell>
          <cell r="G893">
            <v>0.53187499999999999</v>
          </cell>
          <cell r="H893">
            <v>2.3804166666666702</v>
          </cell>
          <cell r="I893">
            <v>0</v>
          </cell>
          <cell r="J893">
            <v>0</v>
          </cell>
          <cell r="K893">
            <v>2.9122916666666701</v>
          </cell>
          <cell r="L893">
            <v>0</v>
          </cell>
          <cell r="M893">
            <v>0</v>
          </cell>
        </row>
        <row r="894">
          <cell r="A894" t="str">
            <v>A04</v>
          </cell>
          <cell r="B894" t="str">
            <v>Acarreo d&lt;1km (sin esponj)</v>
          </cell>
          <cell r="C894" t="str">
            <v>m3</v>
          </cell>
          <cell r="F894">
            <v>1.9444444444444441E-2</v>
          </cell>
          <cell r="G894">
            <v>0.102666666666667</v>
          </cell>
          <cell r="H894">
            <v>0.50555555555555498</v>
          </cell>
          <cell r="I894">
            <v>0</v>
          </cell>
          <cell r="J894">
            <v>0</v>
          </cell>
          <cell r="K894">
            <v>0.608222222222222</v>
          </cell>
          <cell r="L894">
            <v>0</v>
          </cell>
          <cell r="M894">
            <v>0</v>
          </cell>
        </row>
        <row r="895">
          <cell r="A895" t="str">
            <v>A05</v>
          </cell>
          <cell r="B895" t="str">
            <v>Sobreacarreo (d&gt;1km) (sin esponj)</v>
          </cell>
          <cell r="C895" t="str">
            <v>m3-km</v>
          </cell>
          <cell r="F895">
            <v>8.9285714285714263E-3</v>
          </cell>
          <cell r="G895">
            <v>4.7142857142857E-2</v>
          </cell>
          <cell r="H895">
            <v>0.23308571428571401</v>
          </cell>
          <cell r="I895">
            <v>0</v>
          </cell>
          <cell r="J895">
            <v>0</v>
          </cell>
          <cell r="K895">
            <v>0.28022857142857105</v>
          </cell>
          <cell r="L895">
            <v>0</v>
          </cell>
          <cell r="M895">
            <v>0</v>
          </cell>
        </row>
        <row r="896">
          <cell r="A896" t="str">
            <v>2.13.j</v>
          </cell>
          <cell r="B896" t="str">
            <v>Supply and Install Riprap-Geotextile-Bedding to ditches and slopes, including rock/earth excavation and shaping of the site</v>
          </cell>
          <cell r="C896" t="str">
            <v>Ls</v>
          </cell>
          <cell r="D896">
            <v>1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L896">
            <v>0</v>
          </cell>
          <cell r="M896">
            <v>0</v>
          </cell>
        </row>
        <row r="897">
          <cell r="A897" t="str">
            <v>A19</v>
          </cell>
          <cell r="B897" t="str">
            <v>Rip rap</v>
          </cell>
          <cell r="C897" t="str">
            <v>m3</v>
          </cell>
          <cell r="F897">
            <v>2.7285714285714286</v>
          </cell>
          <cell r="G897">
            <v>8.8182857142857092</v>
          </cell>
          <cell r="H897">
            <v>4.8350057142857139</v>
          </cell>
          <cell r="I897">
            <v>2.85</v>
          </cell>
          <cell r="J897">
            <v>0</v>
          </cell>
          <cell r="K897">
            <v>16.503291428571423</v>
          </cell>
          <cell r="L897">
            <v>0</v>
          </cell>
          <cell r="M897">
            <v>0</v>
          </cell>
        </row>
        <row r="898">
          <cell r="A898" t="str">
            <v>A20</v>
          </cell>
          <cell r="B898" t="str">
            <v>Geotextil 400g/m2 Non Woven</v>
          </cell>
          <cell r="C898" t="str">
            <v>m2</v>
          </cell>
          <cell r="F898">
            <v>0.37356321839080464</v>
          </cell>
          <cell r="G898">
            <v>1.1715517241379301</v>
          </cell>
          <cell r="H898">
            <v>0.445182471264368</v>
          </cell>
          <cell r="I898">
            <v>0.8</v>
          </cell>
          <cell r="J898">
            <v>0</v>
          </cell>
          <cell r="K898">
            <v>2.4167341954022983</v>
          </cell>
          <cell r="L898">
            <v>0</v>
          </cell>
          <cell r="M898">
            <v>0</v>
          </cell>
        </row>
        <row r="899">
          <cell r="A899" t="str">
            <v>A21</v>
          </cell>
          <cell r="B899" t="str">
            <v>Excavación y perfilado de zanjas</v>
          </cell>
          <cell r="C899" t="str">
            <v>m3</v>
          </cell>
          <cell r="F899">
            <v>1.2887346226726417</v>
          </cell>
          <cell r="G899">
            <v>4.4896263901299003</v>
          </cell>
          <cell r="H899">
            <v>6.5119556758310146</v>
          </cell>
          <cell r="I899">
            <v>0</v>
          </cell>
          <cell r="J899">
            <v>3.45</v>
          </cell>
          <cell r="K899">
            <v>14.451582065960915</v>
          </cell>
          <cell r="L899">
            <v>0</v>
          </cell>
          <cell r="M899">
            <v>0</v>
          </cell>
        </row>
        <row r="900">
          <cell r="A900" t="str">
            <v>2.13.k</v>
          </cell>
          <cell r="B900" t="str">
            <v>Supply and Install Gabions-Geotextile-Bedding-Concrete Facing, complete including rock/earth excavation shaping &amp; backfill of the site</v>
          </cell>
          <cell r="C900" t="str">
            <v>Ls</v>
          </cell>
          <cell r="D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L900">
            <v>0</v>
          </cell>
          <cell r="M900">
            <v>0</v>
          </cell>
        </row>
        <row r="901">
          <cell r="A901" t="str">
            <v>A22</v>
          </cell>
          <cell r="B901" t="str">
            <v>Supply and Install Granular A Surfacing to roads/yards</v>
          </cell>
          <cell r="C901" t="str">
            <v>m3</v>
          </cell>
          <cell r="F901">
            <v>0.47959325396825392</v>
          </cell>
          <cell r="G901">
            <v>1.9839190476190467</v>
          </cell>
          <cell r="H901">
            <v>5.7282700952380896</v>
          </cell>
          <cell r="I901">
            <v>3.5625</v>
          </cell>
          <cell r="J901">
            <v>0</v>
          </cell>
          <cell r="K901">
            <v>11.274689142857136</v>
          </cell>
          <cell r="L901">
            <v>0</v>
          </cell>
          <cell r="M901">
            <v>0</v>
          </cell>
        </row>
        <row r="902">
          <cell r="A902" t="str">
            <v>A23</v>
          </cell>
          <cell r="B902" t="str">
            <v>Concrete Lining</v>
          </cell>
          <cell r="C902" t="str">
            <v>m3</v>
          </cell>
          <cell r="F902">
            <v>14.282608695652174</v>
          </cell>
          <cell r="G902">
            <v>49.431086956521703</v>
          </cell>
          <cell r="H902">
            <v>4.9527137681159399</v>
          </cell>
          <cell r="I902">
            <v>60</v>
          </cell>
          <cell r="J902">
            <v>0</v>
          </cell>
          <cell r="K902">
            <v>114.38380072463765</v>
          </cell>
          <cell r="L902">
            <v>0</v>
          </cell>
          <cell r="M902">
            <v>0</v>
          </cell>
        </row>
        <row r="903">
          <cell r="A903" t="str">
            <v>A24</v>
          </cell>
          <cell r="B903" t="str">
            <v>Gavión</v>
          </cell>
          <cell r="C903" t="str">
            <v>m3</v>
          </cell>
          <cell r="F903">
            <v>1.7583333333333333</v>
          </cell>
          <cell r="G903">
            <v>6.2273333333333296</v>
          </cell>
          <cell r="H903">
            <v>7.133083333333337</v>
          </cell>
          <cell r="I903">
            <v>19.350000000000001</v>
          </cell>
          <cell r="J903">
            <v>0</v>
          </cell>
          <cell r="K903">
            <v>32.710416666666674</v>
          </cell>
          <cell r="L903">
            <v>0</v>
          </cell>
          <cell r="M903">
            <v>0</v>
          </cell>
        </row>
        <row r="904">
          <cell r="A904" t="str">
            <v>A21</v>
          </cell>
          <cell r="B904" t="str">
            <v>Excavación y perfilado de zanjas</v>
          </cell>
          <cell r="C904" t="str">
            <v>m3</v>
          </cell>
          <cell r="F904">
            <v>1.2887346226726417</v>
          </cell>
          <cell r="G904">
            <v>4.4896263901299003</v>
          </cell>
          <cell r="H904">
            <v>6.5119556758310146</v>
          </cell>
          <cell r="I904">
            <v>0</v>
          </cell>
          <cell r="J904">
            <v>3.45</v>
          </cell>
          <cell r="K904">
            <v>14.451582065960915</v>
          </cell>
          <cell r="L904">
            <v>0</v>
          </cell>
          <cell r="M904">
            <v>0</v>
          </cell>
        </row>
        <row r="905">
          <cell r="A905" t="str">
            <v>2.13.l</v>
          </cell>
          <cell r="B905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905" t="str">
            <v>Ls</v>
          </cell>
          <cell r="D905">
            <v>1</v>
          </cell>
          <cell r="F905">
            <v>6.7353085562265393</v>
          </cell>
          <cell r="G905">
            <v>33.899190317249008</v>
          </cell>
          <cell r="H905">
            <v>171.90120674242581</v>
          </cell>
          <cell r="I905">
            <v>0</v>
          </cell>
          <cell r="J905">
            <v>0</v>
          </cell>
          <cell r="L905">
            <v>205.8</v>
          </cell>
          <cell r="M905">
            <v>205.8</v>
          </cell>
        </row>
        <row r="906">
          <cell r="A906" t="str">
            <v>A25</v>
          </cell>
          <cell r="B906" t="str">
            <v>Suministro y colocación de Grating</v>
          </cell>
          <cell r="C906" t="str">
            <v>m2</v>
          </cell>
          <cell r="F906">
            <v>1.75</v>
          </cell>
          <cell r="G906">
            <v>6.1725000000000003</v>
          </cell>
          <cell r="H906">
            <v>0.144125</v>
          </cell>
          <cell r="I906">
            <v>225</v>
          </cell>
          <cell r="J906">
            <v>0</v>
          </cell>
          <cell r="K906">
            <v>231.31662500000002</v>
          </cell>
          <cell r="L906">
            <v>0</v>
          </cell>
          <cell r="M906">
            <v>0</v>
          </cell>
        </row>
        <row r="907">
          <cell r="A907" t="str">
            <v>A26</v>
          </cell>
          <cell r="B907" t="str">
            <v>Suministro y colocación de Tapa metálica</v>
          </cell>
          <cell r="C907" t="str">
            <v>m2</v>
          </cell>
          <cell r="F907">
            <v>1.75</v>
          </cell>
          <cell r="G907">
            <v>6.1725000000000003</v>
          </cell>
          <cell r="H907">
            <v>0.144125</v>
          </cell>
          <cell r="I907">
            <v>300</v>
          </cell>
          <cell r="J907">
            <v>0</v>
          </cell>
          <cell r="K907">
            <v>306.31662499999999</v>
          </cell>
          <cell r="L907">
            <v>0</v>
          </cell>
          <cell r="M907">
            <v>0</v>
          </cell>
        </row>
        <row r="908">
          <cell r="A908" t="str">
            <v>A27</v>
          </cell>
          <cell r="B908" t="str">
            <v>Relleno estructural</v>
          </cell>
          <cell r="C908" t="str">
            <v>m3</v>
          </cell>
          <cell r="F908">
            <v>1.2875000000000001</v>
          </cell>
          <cell r="G908">
            <v>4.2321666666666697</v>
          </cell>
          <cell r="H908">
            <v>6.8350416666666636</v>
          </cell>
          <cell r="I908">
            <v>0</v>
          </cell>
          <cell r="J908">
            <v>0</v>
          </cell>
          <cell r="K908">
            <v>11.067208333333333</v>
          </cell>
          <cell r="L908">
            <v>0</v>
          </cell>
          <cell r="M908">
            <v>0</v>
          </cell>
        </row>
        <row r="909">
          <cell r="A909" t="str">
            <v>A28</v>
          </cell>
          <cell r="B909" t="str">
            <v>Bermas de Seguridad</v>
          </cell>
          <cell r="C909" t="str">
            <v>m3</v>
          </cell>
          <cell r="F909">
            <v>0.1</v>
          </cell>
          <cell r="G909">
            <v>0.499</v>
          </cell>
          <cell r="H909">
            <v>3.5649500000000001</v>
          </cell>
          <cell r="I909">
            <v>2.85</v>
          </cell>
          <cell r="J909">
            <v>0</v>
          </cell>
          <cell r="K909">
            <v>6.9139499999999998</v>
          </cell>
          <cell r="L909">
            <v>0</v>
          </cell>
          <cell r="M909">
            <v>0</v>
          </cell>
        </row>
        <row r="910">
          <cell r="A910" t="str">
            <v>A29</v>
          </cell>
          <cell r="B910" t="str">
            <v>Cama de Arena</v>
          </cell>
          <cell r="C910" t="str">
            <v>m3</v>
          </cell>
          <cell r="F910">
            <v>1.3416666666666666</v>
          </cell>
          <cell r="G910">
            <v>4.5181666666666702</v>
          </cell>
          <cell r="H910">
            <v>8.3767083333333332</v>
          </cell>
          <cell r="I910">
            <v>3.1349999999999998</v>
          </cell>
          <cell r="J910">
            <v>0</v>
          </cell>
          <cell r="K910">
            <v>16.029875000000004</v>
          </cell>
          <cell r="L910">
            <v>0</v>
          </cell>
          <cell r="M910">
            <v>0</v>
          </cell>
        </row>
        <row r="911">
          <cell r="A911" t="str">
            <v>A30</v>
          </cell>
          <cell r="B911" t="str">
            <v>Concreto reforzado</v>
          </cell>
          <cell r="C911" t="str">
            <v>m3</v>
          </cell>
          <cell r="F911">
            <v>16.2</v>
          </cell>
          <cell r="G911">
            <v>56.207999999999998</v>
          </cell>
          <cell r="H911">
            <v>3.9517333333333298</v>
          </cell>
          <cell r="I911">
            <v>116.16</v>
          </cell>
          <cell r="J911">
            <v>0</v>
          </cell>
          <cell r="K911">
            <v>176.31973333333332</v>
          </cell>
          <cell r="L911">
            <v>0</v>
          </cell>
          <cell r="M911">
            <v>0</v>
          </cell>
        </row>
        <row r="912">
          <cell r="A912" t="str">
            <v>A31</v>
          </cell>
          <cell r="B912" t="str">
            <v>Alcantarillas 800mm</v>
          </cell>
          <cell r="C912" t="str">
            <v>ml</v>
          </cell>
          <cell r="F912">
            <v>8</v>
          </cell>
          <cell r="G912">
            <v>25.88</v>
          </cell>
          <cell r="H912">
            <v>1.294</v>
          </cell>
          <cell r="I912">
            <v>60</v>
          </cell>
          <cell r="J912">
            <v>0</v>
          </cell>
          <cell r="K912">
            <v>87.173999999999992</v>
          </cell>
          <cell r="L912">
            <v>0</v>
          </cell>
          <cell r="M912">
            <v>0</v>
          </cell>
        </row>
        <row r="913">
          <cell r="A913" t="str">
            <v>A32</v>
          </cell>
          <cell r="B913" t="str">
            <v>Alcantarillas 600mm</v>
          </cell>
          <cell r="C913" t="str">
            <v>ml</v>
          </cell>
          <cell r="F913">
            <v>6.666666666666667</v>
          </cell>
          <cell r="G913">
            <v>21.566666666666698</v>
          </cell>
          <cell r="H913">
            <v>1.07833333333333</v>
          </cell>
          <cell r="I913">
            <v>50</v>
          </cell>
          <cell r="J913">
            <v>0</v>
          </cell>
          <cell r="K913">
            <v>72.645000000000024</v>
          </cell>
          <cell r="L913">
            <v>0</v>
          </cell>
          <cell r="M913">
            <v>0</v>
          </cell>
        </row>
        <row r="914">
          <cell r="A914" t="str">
            <v>A33</v>
          </cell>
          <cell r="B914" t="str">
            <v>Alcantarillas 1350mm</v>
          </cell>
          <cell r="C914" t="str">
            <v>ml</v>
          </cell>
          <cell r="F914">
            <v>12.5</v>
          </cell>
          <cell r="G914">
            <v>39.924999999999997</v>
          </cell>
          <cell r="H914">
            <v>1.9962500000000001</v>
          </cell>
          <cell r="I914">
            <v>160</v>
          </cell>
          <cell r="J914">
            <v>0</v>
          </cell>
          <cell r="K914">
            <v>201.92125000000001</v>
          </cell>
          <cell r="L914">
            <v>0</v>
          </cell>
          <cell r="M914">
            <v>0</v>
          </cell>
        </row>
        <row r="915">
          <cell r="A915" t="str">
            <v>A34</v>
          </cell>
          <cell r="B915" t="str">
            <v>Alcantarillas 1000mm</v>
          </cell>
          <cell r="C915" t="str">
            <v>ml</v>
          </cell>
          <cell r="F915">
            <v>8.8888888888888893</v>
          </cell>
          <cell r="G915">
            <v>28.755555555555599</v>
          </cell>
          <cell r="H915">
            <v>1.43777777777778</v>
          </cell>
          <cell r="I915">
            <v>78</v>
          </cell>
          <cell r="J915">
            <v>0</v>
          </cell>
          <cell r="K915">
            <v>108.19333333333338</v>
          </cell>
          <cell r="L915">
            <v>0</v>
          </cell>
          <cell r="M915">
            <v>0</v>
          </cell>
        </row>
        <row r="916">
          <cell r="A916" t="str">
            <v>A35</v>
          </cell>
          <cell r="B916" t="str">
            <v>Alcantarillas 1600mm</v>
          </cell>
          <cell r="C916" t="str">
            <v>ml</v>
          </cell>
          <cell r="F916">
            <v>12.5</v>
          </cell>
          <cell r="G916">
            <v>39.924999999999997</v>
          </cell>
          <cell r="H916">
            <v>1.9962500000000001</v>
          </cell>
          <cell r="I916">
            <v>215</v>
          </cell>
          <cell r="J916">
            <v>0</v>
          </cell>
          <cell r="K916">
            <v>256.92124999999999</v>
          </cell>
          <cell r="L916">
            <v>0</v>
          </cell>
          <cell r="M916">
            <v>0</v>
          </cell>
        </row>
        <row r="917">
          <cell r="A917" t="str">
            <v>A36</v>
          </cell>
          <cell r="B917" t="str">
            <v>Tubería para buzón CMP 2000mm Diam</v>
          </cell>
          <cell r="C917" t="str">
            <v>ml</v>
          </cell>
          <cell r="F917">
            <v>20</v>
          </cell>
          <cell r="G917">
            <v>63.3333333333333</v>
          </cell>
          <cell r="H917">
            <v>3.1666666666666701</v>
          </cell>
          <cell r="I917">
            <v>335</v>
          </cell>
          <cell r="J917">
            <v>0</v>
          </cell>
          <cell r="K917">
            <v>401.5</v>
          </cell>
          <cell r="L917">
            <v>0</v>
          </cell>
          <cell r="M917">
            <v>0</v>
          </cell>
        </row>
        <row r="918">
          <cell r="A918" t="str">
            <v>A37</v>
          </cell>
          <cell r="B918" t="str">
            <v>Alcantarillas 300mm</v>
          </cell>
          <cell r="F918">
            <v>6.666666666666667</v>
          </cell>
          <cell r="G918">
            <v>21.566666666666698</v>
          </cell>
          <cell r="H918">
            <v>1.07833333333333</v>
          </cell>
          <cell r="I918">
            <v>26</v>
          </cell>
          <cell r="J918">
            <v>0</v>
          </cell>
          <cell r="K918">
            <v>48.645000000000032</v>
          </cell>
          <cell r="L918">
            <v>0</v>
          </cell>
          <cell r="M918">
            <v>0</v>
          </cell>
        </row>
        <row r="919">
          <cell r="A919" t="str">
            <v>A20</v>
          </cell>
          <cell r="B919" t="str">
            <v>Geotextil 400g/m2 Non Woven</v>
          </cell>
          <cell r="C919" t="str">
            <v>m2</v>
          </cell>
          <cell r="F919">
            <v>0.37356321839080464</v>
          </cell>
          <cell r="G919">
            <v>1.1715517241379301</v>
          </cell>
          <cell r="H919">
            <v>0.445182471264368</v>
          </cell>
          <cell r="I919">
            <v>0.8</v>
          </cell>
          <cell r="J919">
            <v>0</v>
          </cell>
          <cell r="K919">
            <v>2.4167341954022983</v>
          </cell>
          <cell r="L919">
            <v>0</v>
          </cell>
          <cell r="M919">
            <v>0</v>
          </cell>
        </row>
        <row r="920">
          <cell r="A920" t="str">
            <v>A38</v>
          </cell>
          <cell r="B920" t="str">
            <v>Excavación y eliminación de material para cunetas en roca</v>
          </cell>
          <cell r="C920" t="str">
            <v>m3</v>
          </cell>
          <cell r="F920">
            <v>0.28461538461538466</v>
          </cell>
          <cell r="G920">
            <v>1.41576923076923</v>
          </cell>
          <cell r="H920">
            <v>7.0169423076923119</v>
          </cell>
          <cell r="I920">
            <v>0</v>
          </cell>
          <cell r="J920">
            <v>11.5</v>
          </cell>
          <cell r="K920">
            <v>19.932711538461543</v>
          </cell>
          <cell r="L920">
            <v>0</v>
          </cell>
          <cell r="M920">
            <v>0</v>
          </cell>
        </row>
        <row r="921">
          <cell r="A921" t="str">
            <v>A39</v>
          </cell>
          <cell r="B921" t="str">
            <v>Excavación y eliminación de material para cunetas en suelo común</v>
          </cell>
          <cell r="C921" t="str">
            <v>m3</v>
          </cell>
          <cell r="D921">
            <v>20</v>
          </cell>
          <cell r="E921">
            <v>1.7205919237521947</v>
          </cell>
          <cell r="F921">
            <v>0.1957264957264957</v>
          </cell>
          <cell r="G921">
            <v>0.98510256410256403</v>
          </cell>
          <cell r="H921">
            <v>4.9954089743589778</v>
          </cell>
          <cell r="I921">
            <v>0</v>
          </cell>
          <cell r="J921">
            <v>0</v>
          </cell>
          <cell r="K921">
            <v>5.9805115384615419</v>
          </cell>
          <cell r="L921">
            <v>10.290019852983741</v>
          </cell>
          <cell r="M921">
            <v>205.80039705967482</v>
          </cell>
        </row>
        <row r="922">
          <cell r="A922" t="str">
            <v>A21</v>
          </cell>
          <cell r="B922" t="str">
            <v>Excavación y perfilado de zanjas</v>
          </cell>
          <cell r="C922" t="str">
            <v>m3</v>
          </cell>
          <cell r="F922">
            <v>1.2887346226726417</v>
          </cell>
          <cell r="G922">
            <v>4.4896263901299003</v>
          </cell>
          <cell r="H922">
            <v>6.5119556758310146</v>
          </cell>
          <cell r="I922">
            <v>0</v>
          </cell>
          <cell r="J922">
            <v>3.45</v>
          </cell>
          <cell r="K922">
            <v>14.451582065960915</v>
          </cell>
          <cell r="L922">
            <v>0</v>
          </cell>
          <cell r="M922">
            <v>0</v>
          </cell>
        </row>
        <row r="923">
          <cell r="A923" t="str">
            <v>2.14</v>
          </cell>
          <cell r="B923" t="str">
            <v>PROCESS PLANT DUST CONTROL WATER TANK SITE</v>
          </cell>
        </row>
        <row r="924">
          <cell r="A924" t="str">
            <v>2.14.a</v>
          </cell>
          <cell r="B924" t="str">
            <v>Clear and Grub</v>
          </cell>
          <cell r="C924" t="str">
            <v>Ls</v>
          </cell>
        </row>
        <row r="925">
          <cell r="A925" t="str">
            <v>2.14.b</v>
          </cell>
          <cell r="B925" t="str">
            <v>Cut unsuitable soil to waste (includes organic soil)</v>
          </cell>
          <cell r="C925" t="str">
            <v>m3</v>
          </cell>
          <cell r="D925">
            <v>80</v>
          </cell>
          <cell r="F925">
            <v>8.5693528693528691</v>
          </cell>
          <cell r="G925">
            <v>0.55812014652014652</v>
          </cell>
          <cell r="H925">
            <v>3.8748328693528693</v>
          </cell>
          <cell r="I925">
            <v>0</v>
          </cell>
          <cell r="J925">
            <v>0</v>
          </cell>
          <cell r="L925">
            <v>4.43</v>
          </cell>
          <cell r="M925">
            <v>354.4</v>
          </cell>
        </row>
        <row r="926">
          <cell r="A926" t="str">
            <v>A01</v>
          </cell>
          <cell r="B926" t="str">
            <v>Excavación de Topsoil y Unsuitable (e&gt;1m)</v>
          </cell>
          <cell r="C926" t="str">
            <v>m3</v>
          </cell>
          <cell r="D926">
            <v>80</v>
          </cell>
          <cell r="E926">
            <v>1.5</v>
          </cell>
          <cell r="F926">
            <v>1.7142857142857144E-2</v>
          </cell>
          <cell r="G926">
            <v>8.5542857142857004E-2</v>
          </cell>
          <cell r="H926">
            <v>0.81924857142857199</v>
          </cell>
          <cell r="I926">
            <v>0</v>
          </cell>
          <cell r="J926">
            <v>0</v>
          </cell>
          <cell r="K926">
            <v>0.90479142857142902</v>
          </cell>
          <cell r="L926">
            <v>1.3571871428571436</v>
          </cell>
          <cell r="M926">
            <v>108.57497142857149</v>
          </cell>
        </row>
        <row r="927">
          <cell r="A927" t="str">
            <v>A02</v>
          </cell>
          <cell r="B927" t="str">
            <v>Excavación de Topsoil y Unsuitable (e&lt;1m)</v>
          </cell>
          <cell r="C927" t="str">
            <v>m3</v>
          </cell>
          <cell r="F927">
            <v>1.4285714285714285E-2</v>
          </cell>
          <cell r="G927">
            <v>6.9214285714286006E-2</v>
          </cell>
          <cell r="H927">
            <v>0.57488928571428499</v>
          </cell>
          <cell r="I927">
            <v>0</v>
          </cell>
          <cell r="J927">
            <v>0</v>
          </cell>
          <cell r="K927">
            <v>0.644103571428571</v>
          </cell>
          <cell r="L927">
            <v>0</v>
          </cell>
          <cell r="M927">
            <v>0</v>
          </cell>
        </row>
        <row r="928">
          <cell r="A928" t="str">
            <v>A03</v>
          </cell>
          <cell r="B928" t="str">
            <v>Carguío de Topsoil &amp; Unsuitable con excavadora</v>
          </cell>
          <cell r="C928" t="str">
            <v>m3</v>
          </cell>
          <cell r="D928">
            <v>80</v>
          </cell>
          <cell r="E928">
            <v>1.5</v>
          </cell>
          <cell r="F928">
            <v>1.3461538461538462E-2</v>
          </cell>
          <cell r="G928">
            <v>7.1076923076922996E-2</v>
          </cell>
          <cell r="H928">
            <v>0.70142307692307704</v>
          </cell>
          <cell r="I928">
            <v>0</v>
          </cell>
          <cell r="J928">
            <v>0</v>
          </cell>
          <cell r="K928">
            <v>0.77250000000000008</v>
          </cell>
          <cell r="L928">
            <v>1.1587500000000002</v>
          </cell>
          <cell r="M928">
            <v>92.700000000000017</v>
          </cell>
        </row>
        <row r="929">
          <cell r="A929" t="str">
            <v>A04</v>
          </cell>
          <cell r="B929" t="str">
            <v>Acarreo d&lt;1km (sin esponj)</v>
          </cell>
          <cell r="C929" t="str">
            <v>m3</v>
          </cell>
          <cell r="D929">
            <v>80</v>
          </cell>
          <cell r="E929">
            <v>2</v>
          </cell>
          <cell r="F929">
            <v>1.9444444444444441E-2</v>
          </cell>
          <cell r="G929">
            <v>0.102666666666667</v>
          </cell>
          <cell r="H929">
            <v>0.50555555555555498</v>
          </cell>
          <cell r="I929">
            <v>0</v>
          </cell>
          <cell r="J929">
            <v>0</v>
          </cell>
          <cell r="K929">
            <v>0.608222222222222</v>
          </cell>
          <cell r="L929">
            <v>1.216444444444444</v>
          </cell>
          <cell r="M929">
            <v>97.31555555555552</v>
          </cell>
        </row>
        <row r="930">
          <cell r="A930" t="str">
            <v>A05</v>
          </cell>
          <cell r="B930" t="str">
            <v>Sobreacarreo (d&gt;1km) (sin esponj)</v>
          </cell>
          <cell r="C930" t="str">
            <v>m3-km</v>
          </cell>
          <cell r="D930">
            <v>100</v>
          </cell>
          <cell r="E930">
            <v>2</v>
          </cell>
          <cell r="F930">
            <v>8.9285714285714263E-3</v>
          </cell>
          <cell r="G930">
            <v>4.7142857142857E-2</v>
          </cell>
          <cell r="H930">
            <v>0.23308571428571401</v>
          </cell>
          <cell r="I930">
            <v>0</v>
          </cell>
          <cell r="J930">
            <v>0</v>
          </cell>
          <cell r="K930">
            <v>0.28022857142857105</v>
          </cell>
          <cell r="L930">
            <v>0.5604571428571421</v>
          </cell>
          <cell r="M930">
            <v>56.045714285714212</v>
          </cell>
        </row>
        <row r="931">
          <cell r="A931" t="str">
            <v>2.14.c</v>
          </cell>
          <cell r="B931" t="str">
            <v>Cut and Fill Soil or Ripable Rock, within sub-Item work zone</v>
          </cell>
          <cell r="C931" t="str">
            <v>m3</v>
          </cell>
          <cell r="D931">
            <v>50</v>
          </cell>
          <cell r="F931">
            <v>4.6458333333333339</v>
          </cell>
          <cell r="G931">
            <v>0.47113374999999996</v>
          </cell>
          <cell r="H931">
            <v>3.7516384208333373</v>
          </cell>
          <cell r="I931">
            <v>0</v>
          </cell>
          <cell r="J931">
            <v>0</v>
          </cell>
          <cell r="L931">
            <v>4.22</v>
          </cell>
          <cell r="M931">
            <v>211</v>
          </cell>
        </row>
        <row r="932">
          <cell r="A932" t="str">
            <v>A06</v>
          </cell>
          <cell r="B932" t="str">
            <v>Excavación de roca ripeable</v>
          </cell>
          <cell r="C932" t="str">
            <v>m3</v>
          </cell>
          <cell r="D932">
            <v>50</v>
          </cell>
          <cell r="E932">
            <v>1.1000000000000001</v>
          </cell>
          <cell r="F932">
            <v>3.3333333333333333E-2</v>
          </cell>
          <cell r="G932">
            <v>0.16439999999999999</v>
          </cell>
          <cell r="H932">
            <v>1.5519306666666701</v>
          </cell>
          <cell r="I932">
            <v>0</v>
          </cell>
          <cell r="J932">
            <v>0</v>
          </cell>
          <cell r="K932">
            <v>1.7163306666666702</v>
          </cell>
          <cell r="L932">
            <v>1.8879637333333374</v>
          </cell>
          <cell r="M932">
            <v>94.398186666666874</v>
          </cell>
        </row>
        <row r="933">
          <cell r="A933" t="str">
            <v>A07</v>
          </cell>
          <cell r="B933" t="str">
            <v>Empuje de material d&lt;60m</v>
          </cell>
          <cell r="C933" t="str">
            <v>m3</v>
          </cell>
          <cell r="D933">
            <v>50</v>
          </cell>
          <cell r="E933">
            <v>1.1000000000000001</v>
          </cell>
          <cell r="F933">
            <v>1.2500000000000001E-2</v>
          </cell>
          <cell r="G933">
            <v>6.0562499999999998E-2</v>
          </cell>
          <cell r="H933">
            <v>0.50302812500000005</v>
          </cell>
          <cell r="I933">
            <v>0</v>
          </cell>
          <cell r="J933">
            <v>0</v>
          </cell>
          <cell r="K933">
            <v>0.56359062500000001</v>
          </cell>
          <cell r="L933">
            <v>0.61994968750000001</v>
          </cell>
          <cell r="M933">
            <v>30.997484374999999</v>
          </cell>
        </row>
        <row r="934">
          <cell r="A934" t="str">
            <v>A08</v>
          </cell>
          <cell r="B934" t="str">
            <v>Relleno masivo compactado</v>
          </cell>
          <cell r="C934" t="str">
            <v>m3</v>
          </cell>
          <cell r="D934">
            <v>50</v>
          </cell>
          <cell r="E934">
            <v>1</v>
          </cell>
          <cell r="F934">
            <v>4.2499999999999996E-2</v>
          </cell>
          <cell r="G934">
            <v>0.22367500000000001</v>
          </cell>
          <cell r="H934">
            <v>1.49118375</v>
          </cell>
          <cell r="I934">
            <v>0</v>
          </cell>
          <cell r="J934">
            <v>0</v>
          </cell>
          <cell r="K934">
            <v>1.7148587500000001</v>
          </cell>
          <cell r="L934">
            <v>1.7148587500000001</v>
          </cell>
          <cell r="M934">
            <v>85.742937500000011</v>
          </cell>
        </row>
        <row r="935">
          <cell r="A935" t="str">
            <v>2.14.d</v>
          </cell>
          <cell r="B935" t="str">
            <v xml:space="preserve">Cut and Fill Soil or Ripable Rock to Other sub-Item work zone </v>
          </cell>
          <cell r="C935" t="str">
            <v>m3</v>
          </cell>
          <cell r="D935">
            <v>100</v>
          </cell>
          <cell r="F935">
            <v>12.736388888888888</v>
          </cell>
          <cell r="G935">
            <v>0.65776383333333388</v>
          </cell>
          <cell r="H935">
            <v>4.996090436111114</v>
          </cell>
          <cell r="I935">
            <v>0</v>
          </cell>
          <cell r="J935">
            <v>0</v>
          </cell>
          <cell r="L935">
            <v>5.65</v>
          </cell>
          <cell r="M935">
            <v>565</v>
          </cell>
        </row>
        <row r="936">
          <cell r="A936" t="str">
            <v>A06</v>
          </cell>
          <cell r="B936" t="str">
            <v>Excavación de roca ripeable</v>
          </cell>
          <cell r="C936" t="str">
            <v>m3</v>
          </cell>
          <cell r="D936">
            <v>100</v>
          </cell>
          <cell r="E936">
            <v>1.2</v>
          </cell>
          <cell r="F936">
            <v>3.3333333333333333E-2</v>
          </cell>
          <cell r="G936">
            <v>0.16439999999999999</v>
          </cell>
          <cell r="H936">
            <v>1.5519306666666701</v>
          </cell>
          <cell r="I936">
            <v>0</v>
          </cell>
          <cell r="J936">
            <v>0</v>
          </cell>
          <cell r="K936">
            <v>1.7163306666666702</v>
          </cell>
          <cell r="L936">
            <v>2.059596800000004</v>
          </cell>
          <cell r="M936">
            <v>205.95968000000039</v>
          </cell>
        </row>
        <row r="937">
          <cell r="A937" t="str">
            <v>A09</v>
          </cell>
          <cell r="B937" t="str">
            <v>Carguío de material común &amp; roca ripeable con excavadora</v>
          </cell>
          <cell r="C937" t="str">
            <v>m3</v>
          </cell>
          <cell r="D937">
            <v>100</v>
          </cell>
          <cell r="E937">
            <v>1.2</v>
          </cell>
          <cell r="F937">
            <v>8.0000000000000002E-3</v>
          </cell>
          <cell r="G937">
            <v>4.224E-2</v>
          </cell>
          <cell r="H937">
            <v>0.57259199999999999</v>
          </cell>
          <cell r="I937">
            <v>0</v>
          </cell>
          <cell r="J937">
            <v>0</v>
          </cell>
          <cell r="K937">
            <v>0.61483199999999993</v>
          </cell>
          <cell r="L937">
            <v>0.73779839999999985</v>
          </cell>
          <cell r="M937">
            <v>73.779839999999979</v>
          </cell>
        </row>
        <row r="938">
          <cell r="A938" t="str">
            <v>A08</v>
          </cell>
          <cell r="B938" t="str">
            <v>Relleno masivo compactado</v>
          </cell>
          <cell r="C938" t="str">
            <v>m3</v>
          </cell>
          <cell r="D938">
            <v>100</v>
          </cell>
          <cell r="E938">
            <v>1.1000000000000001</v>
          </cell>
          <cell r="F938">
            <v>4.2499999999999996E-2</v>
          </cell>
          <cell r="G938">
            <v>0.22367500000000001</v>
          </cell>
          <cell r="H938">
            <v>1.49118375</v>
          </cell>
          <cell r="I938">
            <v>0</v>
          </cell>
          <cell r="J938">
            <v>0</v>
          </cell>
          <cell r="K938">
            <v>1.7148587500000001</v>
          </cell>
          <cell r="L938">
            <v>1.8863446250000002</v>
          </cell>
          <cell r="M938">
            <v>188.63446250000001</v>
          </cell>
        </row>
        <row r="939">
          <cell r="A939" t="str">
            <v>A04</v>
          </cell>
          <cell r="B939" t="str">
            <v>Acarreo d&lt;1km (sin esponj)</v>
          </cell>
          <cell r="C939" t="str">
            <v>m3</v>
          </cell>
          <cell r="D939">
            <v>100</v>
          </cell>
          <cell r="E939">
            <v>1.595</v>
          </cell>
          <cell r="F939">
            <v>1.9444444444444441E-2</v>
          </cell>
          <cell r="G939">
            <v>0.102666666666667</v>
          </cell>
          <cell r="H939">
            <v>0.50555555555555498</v>
          </cell>
          <cell r="I939">
            <v>0</v>
          </cell>
          <cell r="J939">
            <v>0</v>
          </cell>
          <cell r="K939">
            <v>0.608222222222222</v>
          </cell>
          <cell r="L939">
            <v>0.97011444444444406</v>
          </cell>
          <cell r="M939">
            <v>97.011444444444408</v>
          </cell>
        </row>
        <row r="940">
          <cell r="A940" t="str">
            <v>A05</v>
          </cell>
          <cell r="B940" t="str">
            <v>Sobreacarreo (d&gt;1km) (sin esponj)</v>
          </cell>
          <cell r="C940" t="str">
            <v>m3-km</v>
          </cell>
          <cell r="D940">
            <v>100</v>
          </cell>
          <cell r="F940">
            <v>8.9285714285714263E-3</v>
          </cell>
          <cell r="G940">
            <v>4.7142857142857E-2</v>
          </cell>
          <cell r="H940">
            <v>0.23308571428571401</v>
          </cell>
          <cell r="I940">
            <v>0</v>
          </cell>
          <cell r="J940">
            <v>0</v>
          </cell>
          <cell r="K940">
            <v>0.28022857142857105</v>
          </cell>
          <cell r="L940">
            <v>0</v>
          </cell>
          <cell r="M940">
            <v>0</v>
          </cell>
        </row>
        <row r="941">
          <cell r="A941" t="str">
            <v>2.14.e</v>
          </cell>
          <cell r="B941" t="str">
            <v>Drill and blast bulk rock (without limit on thickness, broken to fine or coarse fragments as required depending on end-use Applies to locations other than trenches and ditches).</v>
          </cell>
          <cell r="C941" t="str">
            <v>m3</v>
          </cell>
          <cell r="D941">
            <v>50</v>
          </cell>
          <cell r="F941">
            <v>5.0434782608695663</v>
          </cell>
          <cell r="G941">
            <v>0</v>
          </cell>
          <cell r="H941">
            <v>0</v>
          </cell>
          <cell r="I941">
            <v>0</v>
          </cell>
          <cell r="J941">
            <v>3.6720000000000006</v>
          </cell>
          <cell r="L941">
            <v>3.67</v>
          </cell>
          <cell r="M941">
            <v>183.5</v>
          </cell>
        </row>
        <row r="942">
          <cell r="A942" t="str">
            <v>A11</v>
          </cell>
          <cell r="B942" t="str">
            <v>Perforación y voladura masiva (material fino)</v>
          </cell>
          <cell r="C942" t="str">
            <v>m3</v>
          </cell>
          <cell r="D942">
            <v>50</v>
          </cell>
          <cell r="F942">
            <v>7.4718196457326899E-2</v>
          </cell>
          <cell r="G942">
            <v>0</v>
          </cell>
          <cell r="H942">
            <v>0</v>
          </cell>
          <cell r="I942">
            <v>0</v>
          </cell>
          <cell r="J942">
            <v>2.78</v>
          </cell>
          <cell r="K942">
            <v>2.78</v>
          </cell>
          <cell r="L942">
            <v>0</v>
          </cell>
          <cell r="M942">
            <v>0</v>
          </cell>
        </row>
        <row r="943">
          <cell r="A943" t="str">
            <v>A12</v>
          </cell>
          <cell r="B943" t="str">
            <v>Perforación y voladura masiva (material grueso)</v>
          </cell>
          <cell r="C943" t="str">
            <v>m3</v>
          </cell>
          <cell r="D943">
            <v>50</v>
          </cell>
          <cell r="E943">
            <v>1.35</v>
          </cell>
          <cell r="F943">
            <v>7.4718196457326899E-2</v>
          </cell>
          <cell r="G943">
            <v>0</v>
          </cell>
          <cell r="H943">
            <v>0</v>
          </cell>
          <cell r="I943">
            <v>0</v>
          </cell>
          <cell r="J943">
            <v>2.72</v>
          </cell>
          <cell r="K943">
            <v>2.72</v>
          </cell>
          <cell r="L943">
            <v>3.6720000000000006</v>
          </cell>
          <cell r="M943">
            <v>183.60000000000002</v>
          </cell>
        </row>
        <row r="944">
          <cell r="A944" t="str">
            <v>2.14.f</v>
          </cell>
          <cell r="B944" t="str">
            <v xml:space="preserve">Excavate and Fill (fine blasted) broken rock </v>
          </cell>
          <cell r="C944" t="str">
            <v>m3</v>
          </cell>
          <cell r="D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L944">
            <v>0</v>
          </cell>
          <cell r="M944">
            <v>0</v>
          </cell>
        </row>
        <row r="945">
          <cell r="A945" t="str">
            <v>A13</v>
          </cell>
          <cell r="B945" t="str">
            <v>Remoción de Material fino volado</v>
          </cell>
          <cell r="C945" t="str">
            <v>m3</v>
          </cell>
          <cell r="D945">
            <v>0</v>
          </cell>
          <cell r="F945">
            <v>2.4E-2</v>
          </cell>
          <cell r="G945">
            <v>0.11976000000000001</v>
          </cell>
          <cell r="H945">
            <v>1.1023720000000001</v>
          </cell>
          <cell r="I945">
            <v>0</v>
          </cell>
          <cell r="J945">
            <v>0</v>
          </cell>
          <cell r="K945">
            <v>1.2221320000000002</v>
          </cell>
          <cell r="L945">
            <v>0</v>
          </cell>
          <cell r="M945">
            <v>0</v>
          </cell>
        </row>
        <row r="946">
          <cell r="A946" t="str">
            <v>A07</v>
          </cell>
          <cell r="B946" t="str">
            <v>Empuje de material d&lt;60m</v>
          </cell>
          <cell r="C946" t="str">
            <v>m3</v>
          </cell>
          <cell r="D946">
            <v>0</v>
          </cell>
          <cell r="F946">
            <v>1.2500000000000001E-2</v>
          </cell>
          <cell r="G946">
            <v>6.0562499999999998E-2</v>
          </cell>
          <cell r="H946">
            <v>0.50302812500000005</v>
          </cell>
          <cell r="I946">
            <v>0</v>
          </cell>
          <cell r="J946">
            <v>0</v>
          </cell>
          <cell r="K946">
            <v>0.56359062500000001</v>
          </cell>
          <cell r="L946">
            <v>0</v>
          </cell>
          <cell r="M946">
            <v>0</v>
          </cell>
        </row>
        <row r="947">
          <cell r="A947" t="str">
            <v>A08</v>
          </cell>
          <cell r="B947" t="str">
            <v>Relleno masivo compactado</v>
          </cell>
          <cell r="C947" t="str">
            <v>m3</v>
          </cell>
          <cell r="D947">
            <v>0</v>
          </cell>
          <cell r="F947">
            <v>4.2499999999999996E-2</v>
          </cell>
          <cell r="G947">
            <v>0.22367500000000001</v>
          </cell>
          <cell r="H947">
            <v>1.49118375</v>
          </cell>
          <cell r="I947">
            <v>0</v>
          </cell>
          <cell r="J947">
            <v>0</v>
          </cell>
          <cell r="K947">
            <v>1.7148587500000001</v>
          </cell>
          <cell r="L947">
            <v>0</v>
          </cell>
          <cell r="M947">
            <v>0</v>
          </cell>
        </row>
        <row r="948">
          <cell r="A948" t="str">
            <v>2.14.g</v>
          </cell>
          <cell r="B948" t="str">
            <v xml:space="preserve">Excavate (fine or coarse blasted) broken rock to surplus stockpile </v>
          </cell>
          <cell r="C948" t="str">
            <v>m3</v>
          </cell>
          <cell r="D948">
            <v>50</v>
          </cell>
          <cell r="F948">
            <v>3.3870186052563103</v>
          </cell>
          <cell r="G948">
            <v>0.35041916471506673</v>
          </cell>
          <cell r="H948">
            <v>2.6571304327348453</v>
          </cell>
          <cell r="I948">
            <v>0</v>
          </cell>
          <cell r="J948">
            <v>0</v>
          </cell>
          <cell r="L948">
            <v>3.01</v>
          </cell>
          <cell r="M948">
            <v>150.5</v>
          </cell>
        </row>
        <row r="949">
          <cell r="A949" t="str">
            <v>A14</v>
          </cell>
          <cell r="B949" t="str">
            <v>Remoción de Material grueso volado</v>
          </cell>
          <cell r="C949" t="str">
            <v>m3</v>
          </cell>
          <cell r="D949">
            <v>50</v>
          </cell>
          <cell r="E949">
            <v>1</v>
          </cell>
          <cell r="F949">
            <v>2.5000000000000001E-2</v>
          </cell>
          <cell r="G949">
            <v>0.12475</v>
          </cell>
          <cell r="H949">
            <v>1.11859166666667</v>
          </cell>
          <cell r="I949">
            <v>0</v>
          </cell>
          <cell r="J949">
            <v>0</v>
          </cell>
          <cell r="K949">
            <v>1.2433416666666699</v>
          </cell>
          <cell r="L949">
            <v>1.2433416666666699</v>
          </cell>
          <cell r="M949">
            <v>62.167083333333494</v>
          </cell>
        </row>
        <row r="950">
          <cell r="A950" t="str">
            <v>A43</v>
          </cell>
          <cell r="B950" t="str">
            <v>Carguío de roca volada con excavadora</v>
          </cell>
          <cell r="C950" t="str">
            <v>m3</v>
          </cell>
          <cell r="D950">
            <v>50</v>
          </cell>
          <cell r="E950">
            <v>1</v>
          </cell>
          <cell r="F950">
            <v>8.1967213114754103E-3</v>
          </cell>
          <cell r="G950">
            <v>4.3278688524589999E-2</v>
          </cell>
          <cell r="H950">
            <v>0.58667213114754102</v>
          </cell>
          <cell r="I950">
            <v>0</v>
          </cell>
          <cell r="J950">
            <v>0</v>
          </cell>
          <cell r="K950">
            <v>0.62995081967213107</v>
          </cell>
          <cell r="L950">
            <v>0.62995081967213107</v>
          </cell>
          <cell r="M950">
            <v>31.497540983606555</v>
          </cell>
        </row>
        <row r="951">
          <cell r="A951" t="str">
            <v>A10</v>
          </cell>
          <cell r="B951" t="str">
            <v>Extendido de roca en botadero</v>
          </cell>
          <cell r="C951" t="str">
            <v>m3</v>
          </cell>
          <cell r="D951">
            <v>50</v>
          </cell>
          <cell r="E951">
            <v>1</v>
          </cell>
          <cell r="F951">
            <v>3.5714285714285713E-3</v>
          </cell>
          <cell r="G951">
            <v>1.8857142857142999E-2</v>
          </cell>
          <cell r="H951">
            <v>0.14619285714285699</v>
          </cell>
          <cell r="I951">
            <v>0</v>
          </cell>
          <cell r="J951">
            <v>0</v>
          </cell>
          <cell r="K951">
            <v>0.16504999999999997</v>
          </cell>
          <cell r="L951">
            <v>0.16504999999999997</v>
          </cell>
          <cell r="M951">
            <v>8.2524999999999995</v>
          </cell>
        </row>
        <row r="952">
          <cell r="A952" t="str">
            <v>A04</v>
          </cell>
          <cell r="B952" t="str">
            <v>Acarreo d&lt;1km (sin esponj)</v>
          </cell>
          <cell r="C952" t="str">
            <v>m3</v>
          </cell>
          <cell r="D952">
            <v>50</v>
          </cell>
          <cell r="E952">
            <v>1.4</v>
          </cell>
          <cell r="F952">
            <v>1.9444444444444441E-2</v>
          </cell>
          <cell r="G952">
            <v>0.102666666666667</v>
          </cell>
          <cell r="H952">
            <v>0.50555555555555498</v>
          </cell>
          <cell r="I952">
            <v>0</v>
          </cell>
          <cell r="J952">
            <v>0</v>
          </cell>
          <cell r="K952">
            <v>0.608222222222222</v>
          </cell>
          <cell r="L952">
            <v>0.85151111111111077</v>
          </cell>
          <cell r="M952">
            <v>42.575555555555539</v>
          </cell>
        </row>
        <row r="953">
          <cell r="A953" t="str">
            <v>A05</v>
          </cell>
          <cell r="B953" t="str">
            <v>Sobreacarreo (d&gt;1km) (sin esponj)</v>
          </cell>
          <cell r="C953" t="str">
            <v>m3-km</v>
          </cell>
          <cell r="D953">
            <v>15</v>
          </cell>
          <cell r="E953">
            <v>1.4</v>
          </cell>
          <cell r="F953">
            <v>8.9285714285714263E-3</v>
          </cell>
          <cell r="G953">
            <v>4.7142857142857E-2</v>
          </cell>
          <cell r="H953">
            <v>0.23308571428571401</v>
          </cell>
          <cell r="I953">
            <v>0</v>
          </cell>
          <cell r="J953">
            <v>0</v>
          </cell>
          <cell r="K953">
            <v>0.28022857142857105</v>
          </cell>
          <cell r="L953">
            <v>0.39231999999999945</v>
          </cell>
          <cell r="M953">
            <v>5.8847999999999914</v>
          </cell>
        </row>
        <row r="954">
          <cell r="A954" t="str">
            <v>2.14.h</v>
          </cell>
          <cell r="B954" t="str">
            <v>Supply and Install Backfill Granular A to roads/yards</v>
          </cell>
          <cell r="C954" t="str">
            <v>m3</v>
          </cell>
          <cell r="D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</row>
        <row r="955">
          <cell r="A955" t="str">
            <v>A15</v>
          </cell>
          <cell r="B955" t="str">
            <v>Suministro de material granular A</v>
          </cell>
          <cell r="C955" t="str">
            <v>m3</v>
          </cell>
          <cell r="F955">
            <v>0</v>
          </cell>
          <cell r="G955">
            <v>0</v>
          </cell>
          <cell r="H955">
            <v>0</v>
          </cell>
          <cell r="I955">
            <v>2.85</v>
          </cell>
          <cell r="J955">
            <v>0</v>
          </cell>
          <cell r="K955">
            <v>2.85</v>
          </cell>
          <cell r="L955">
            <v>0</v>
          </cell>
          <cell r="M955">
            <v>0</v>
          </cell>
        </row>
        <row r="956">
          <cell r="A956" t="str">
            <v>A16</v>
          </cell>
          <cell r="B956" t="str">
            <v>Colocación y compactación Mat Granular A</v>
          </cell>
          <cell r="C956" t="str">
            <v>m3</v>
          </cell>
          <cell r="F956">
            <v>0.37805555555555553</v>
          </cell>
          <cell r="G956">
            <v>1.4478</v>
          </cell>
          <cell r="H956">
            <v>3.0801342222222199</v>
          </cell>
          <cell r="I956">
            <v>0</v>
          </cell>
          <cell r="J956">
            <v>0</v>
          </cell>
          <cell r="K956">
            <v>4.5279342222222194</v>
          </cell>
          <cell r="L956">
            <v>0</v>
          </cell>
          <cell r="M956">
            <v>0</v>
          </cell>
        </row>
        <row r="957">
          <cell r="A957" t="str">
            <v>A04</v>
          </cell>
          <cell r="B957" t="str">
            <v>Acarreo d&lt;1km (sin esponj)</v>
          </cell>
          <cell r="C957" t="str">
            <v>m3</v>
          </cell>
          <cell r="F957">
            <v>1.9444444444444441E-2</v>
          </cell>
          <cell r="G957">
            <v>0.102666666666667</v>
          </cell>
          <cell r="H957">
            <v>0.50555555555555498</v>
          </cell>
          <cell r="I957">
            <v>0</v>
          </cell>
          <cell r="J957">
            <v>0</v>
          </cell>
          <cell r="K957">
            <v>0.608222222222222</v>
          </cell>
          <cell r="L957">
            <v>0</v>
          </cell>
          <cell r="M957">
            <v>0</v>
          </cell>
        </row>
        <row r="958">
          <cell r="A958" t="str">
            <v>A05</v>
          </cell>
          <cell r="B958" t="str">
            <v>Sobreacarreo (d&gt;1km) (sin esponj)</v>
          </cell>
          <cell r="C958" t="str">
            <v>m3-km</v>
          </cell>
          <cell r="F958">
            <v>8.9285714285714263E-3</v>
          </cell>
          <cell r="G958">
            <v>4.7142857142857E-2</v>
          </cell>
          <cell r="H958">
            <v>0.23308571428571401</v>
          </cell>
          <cell r="I958">
            <v>0</v>
          </cell>
          <cell r="J958">
            <v>0</v>
          </cell>
          <cell r="K958">
            <v>0.28022857142857105</v>
          </cell>
          <cell r="L958">
            <v>0</v>
          </cell>
          <cell r="M958">
            <v>0</v>
          </cell>
        </row>
        <row r="959">
          <cell r="A959" t="str">
            <v>2.14.i</v>
          </cell>
          <cell r="B959" t="str">
            <v>Supply and Install Backfill Granular B to roads/yards</v>
          </cell>
          <cell r="C959" t="str">
            <v>m3</v>
          </cell>
          <cell r="D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</row>
        <row r="960">
          <cell r="A960" t="str">
            <v>A40</v>
          </cell>
          <cell r="B960" t="str">
            <v>Suministro de material granular B</v>
          </cell>
          <cell r="C960" t="str">
            <v>m3</v>
          </cell>
          <cell r="F960">
            <v>0</v>
          </cell>
          <cell r="G960">
            <v>0</v>
          </cell>
          <cell r="H960">
            <v>0</v>
          </cell>
          <cell r="I960">
            <v>2.85</v>
          </cell>
          <cell r="J960">
            <v>0</v>
          </cell>
          <cell r="K960">
            <v>2.85</v>
          </cell>
          <cell r="L960">
            <v>0</v>
          </cell>
          <cell r="M960">
            <v>0</v>
          </cell>
        </row>
        <row r="961">
          <cell r="A961" t="str">
            <v>A41</v>
          </cell>
          <cell r="B961" t="str">
            <v>Colocación y compactación Mat Granular B</v>
          </cell>
          <cell r="C961" t="str">
            <v>m3</v>
          </cell>
          <cell r="F961">
            <v>0.10416666666666666</v>
          </cell>
          <cell r="G961">
            <v>0.53187499999999999</v>
          </cell>
          <cell r="H961">
            <v>2.3804166666666702</v>
          </cell>
          <cell r="I961">
            <v>0</v>
          </cell>
          <cell r="J961">
            <v>0</v>
          </cell>
          <cell r="K961">
            <v>2.9122916666666701</v>
          </cell>
          <cell r="L961">
            <v>0</v>
          </cell>
          <cell r="M961">
            <v>0</v>
          </cell>
        </row>
        <row r="962">
          <cell r="A962" t="str">
            <v>A04</v>
          </cell>
          <cell r="B962" t="str">
            <v>Acarreo d&lt;1km (sin esponj)</v>
          </cell>
          <cell r="C962" t="str">
            <v>m3</v>
          </cell>
          <cell r="F962">
            <v>1.9444444444444441E-2</v>
          </cell>
          <cell r="G962">
            <v>0.102666666666667</v>
          </cell>
          <cell r="H962">
            <v>0.50555555555555498</v>
          </cell>
          <cell r="I962">
            <v>0</v>
          </cell>
          <cell r="J962">
            <v>0</v>
          </cell>
          <cell r="K962">
            <v>0.608222222222222</v>
          </cell>
          <cell r="L962">
            <v>0</v>
          </cell>
          <cell r="M962">
            <v>0</v>
          </cell>
        </row>
        <row r="963">
          <cell r="A963" t="str">
            <v>A05</v>
          </cell>
          <cell r="B963" t="str">
            <v>Sobreacarreo (d&gt;1km) (sin esponj)</v>
          </cell>
          <cell r="C963" t="str">
            <v>m3-km</v>
          </cell>
          <cell r="F963">
            <v>8.9285714285714263E-3</v>
          </cell>
          <cell r="G963">
            <v>4.7142857142857E-2</v>
          </cell>
          <cell r="H963">
            <v>0.23308571428571401</v>
          </cell>
          <cell r="I963">
            <v>0</v>
          </cell>
          <cell r="J963">
            <v>0</v>
          </cell>
          <cell r="K963">
            <v>0.28022857142857105</v>
          </cell>
          <cell r="L963">
            <v>0</v>
          </cell>
          <cell r="M963">
            <v>0</v>
          </cell>
        </row>
        <row r="964">
          <cell r="A964" t="str">
            <v>2.14.j</v>
          </cell>
          <cell r="B964" t="str">
            <v>Supply and Install Riprap-Geotextile-Bedding to ditches and slopes, including rock/earth excavation and shaping of the site</v>
          </cell>
          <cell r="C964" t="str">
            <v>Ls</v>
          </cell>
          <cell r="D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L964">
            <v>0</v>
          </cell>
          <cell r="M964">
            <v>0</v>
          </cell>
        </row>
        <row r="965">
          <cell r="A965" t="str">
            <v>A19</v>
          </cell>
          <cell r="B965" t="str">
            <v>Rip rap</v>
          </cell>
          <cell r="C965" t="str">
            <v>m3</v>
          </cell>
          <cell r="F965">
            <v>2.7285714285714286</v>
          </cell>
          <cell r="G965">
            <v>8.8182857142857092</v>
          </cell>
          <cell r="H965">
            <v>4.8350057142857139</v>
          </cell>
          <cell r="I965">
            <v>2.85</v>
          </cell>
          <cell r="J965">
            <v>0</v>
          </cell>
          <cell r="K965">
            <v>16.503291428571423</v>
          </cell>
          <cell r="L965">
            <v>0</v>
          </cell>
          <cell r="M965">
            <v>0</v>
          </cell>
        </row>
        <row r="966">
          <cell r="A966" t="str">
            <v>A20</v>
          </cell>
          <cell r="B966" t="str">
            <v>Geotextil 400g/m2 Non Woven</v>
          </cell>
          <cell r="C966" t="str">
            <v>m2</v>
          </cell>
          <cell r="F966">
            <v>0.37356321839080464</v>
          </cell>
          <cell r="G966">
            <v>1.1715517241379301</v>
          </cell>
          <cell r="H966">
            <v>0.445182471264368</v>
          </cell>
          <cell r="I966">
            <v>0.8</v>
          </cell>
          <cell r="J966">
            <v>0</v>
          </cell>
          <cell r="K966">
            <v>2.4167341954022983</v>
          </cell>
          <cell r="L966">
            <v>0</v>
          </cell>
          <cell r="M966">
            <v>0</v>
          </cell>
        </row>
        <row r="967">
          <cell r="A967" t="str">
            <v>A21</v>
          </cell>
          <cell r="B967" t="str">
            <v>Excavación y perfilado de zanjas</v>
          </cell>
          <cell r="C967" t="str">
            <v>m3</v>
          </cell>
          <cell r="F967">
            <v>1.2887346226726417</v>
          </cell>
          <cell r="G967">
            <v>4.4896263901299003</v>
          </cell>
          <cell r="H967">
            <v>6.5119556758310146</v>
          </cell>
          <cell r="I967">
            <v>0</v>
          </cell>
          <cell r="J967">
            <v>3.45</v>
          </cell>
          <cell r="K967">
            <v>14.451582065960915</v>
          </cell>
          <cell r="L967">
            <v>0</v>
          </cell>
          <cell r="M967">
            <v>0</v>
          </cell>
        </row>
        <row r="968">
          <cell r="A968" t="str">
            <v>2.14.k</v>
          </cell>
          <cell r="B968" t="str">
            <v>Supply and Install Gabions-Geotextile-Bedding-Concrete Facing, complete including rock/earth excavation shaping &amp; backfill of the site</v>
          </cell>
          <cell r="C968" t="str">
            <v>Ls</v>
          </cell>
          <cell r="D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L968">
            <v>0</v>
          </cell>
          <cell r="M968">
            <v>0</v>
          </cell>
        </row>
        <row r="969">
          <cell r="A969" t="str">
            <v>A22</v>
          </cell>
          <cell r="B969" t="str">
            <v>Supply and Install Granular A Surfacing to roads/yards</v>
          </cell>
          <cell r="C969" t="str">
            <v>m3</v>
          </cell>
          <cell r="F969">
            <v>0.47959325396825392</v>
          </cell>
          <cell r="G969">
            <v>1.9839190476190467</v>
          </cell>
          <cell r="H969">
            <v>5.7282700952380896</v>
          </cell>
          <cell r="I969">
            <v>3.5625</v>
          </cell>
          <cell r="J969">
            <v>0</v>
          </cell>
          <cell r="K969">
            <v>11.274689142857136</v>
          </cell>
          <cell r="L969">
            <v>0</v>
          </cell>
          <cell r="M969">
            <v>0</v>
          </cell>
        </row>
        <row r="970">
          <cell r="A970" t="str">
            <v>A23</v>
          </cell>
          <cell r="B970" t="str">
            <v>Concrete Lining</v>
          </cell>
          <cell r="C970" t="str">
            <v>m3</v>
          </cell>
          <cell r="F970">
            <v>14.282608695652174</v>
          </cell>
          <cell r="G970">
            <v>49.431086956521703</v>
          </cell>
          <cell r="H970">
            <v>4.9527137681159399</v>
          </cell>
          <cell r="I970">
            <v>60</v>
          </cell>
          <cell r="J970">
            <v>0</v>
          </cell>
          <cell r="K970">
            <v>114.38380072463765</v>
          </cell>
          <cell r="L970">
            <v>0</v>
          </cell>
          <cell r="M970">
            <v>0</v>
          </cell>
        </row>
        <row r="971">
          <cell r="A971" t="str">
            <v>A24</v>
          </cell>
          <cell r="B971" t="str">
            <v>Gavión</v>
          </cell>
          <cell r="C971" t="str">
            <v>m3</v>
          </cell>
          <cell r="F971">
            <v>1.7583333333333333</v>
          </cell>
          <cell r="G971">
            <v>6.2273333333333296</v>
          </cell>
          <cell r="H971">
            <v>7.133083333333337</v>
          </cell>
          <cell r="I971">
            <v>19.350000000000001</v>
          </cell>
          <cell r="J971">
            <v>0</v>
          </cell>
          <cell r="K971">
            <v>32.710416666666674</v>
          </cell>
          <cell r="L971">
            <v>0</v>
          </cell>
          <cell r="M971">
            <v>0</v>
          </cell>
        </row>
        <row r="972">
          <cell r="A972" t="str">
            <v>A21</v>
          </cell>
          <cell r="B972" t="str">
            <v>Excavación y perfilado de zanjas</v>
          </cell>
          <cell r="C972" t="str">
            <v>m3</v>
          </cell>
          <cell r="F972">
            <v>1.2887346226726417</v>
          </cell>
          <cell r="G972">
            <v>4.4896263901299003</v>
          </cell>
          <cell r="H972">
            <v>6.5119556758310146</v>
          </cell>
          <cell r="I972">
            <v>0</v>
          </cell>
          <cell r="J972">
            <v>3.45</v>
          </cell>
          <cell r="K972">
            <v>14.451582065960915</v>
          </cell>
          <cell r="L972">
            <v>0</v>
          </cell>
          <cell r="M972">
            <v>0</v>
          </cell>
        </row>
        <row r="973">
          <cell r="A973" t="str">
            <v>2.14.l</v>
          </cell>
          <cell r="B973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973" t="str">
            <v>Ls</v>
          </cell>
          <cell r="D973">
            <v>1</v>
          </cell>
          <cell r="F973">
            <v>4.0860704823106291</v>
          </cell>
          <cell r="G973">
            <v>20.423227235267255</v>
          </cell>
          <cell r="H973">
            <v>102.18412344516216</v>
          </cell>
          <cell r="I973">
            <v>0</v>
          </cell>
          <cell r="J973">
            <v>97.825762169910149</v>
          </cell>
          <cell r="L973">
            <v>220.43</v>
          </cell>
          <cell r="M973">
            <v>220.43</v>
          </cell>
        </row>
        <row r="974">
          <cell r="A974" t="str">
            <v>A25</v>
          </cell>
          <cell r="B974" t="str">
            <v>Suministro y colocación de Grating</v>
          </cell>
          <cell r="C974" t="str">
            <v>m2</v>
          </cell>
          <cell r="F974">
            <v>1.75</v>
          </cell>
          <cell r="G974">
            <v>6.1725000000000003</v>
          </cell>
          <cell r="H974">
            <v>0.144125</v>
          </cell>
          <cell r="I974">
            <v>225</v>
          </cell>
          <cell r="J974">
            <v>0</v>
          </cell>
          <cell r="K974">
            <v>231.31662500000002</v>
          </cell>
          <cell r="L974">
            <v>0</v>
          </cell>
          <cell r="M974">
            <v>0</v>
          </cell>
        </row>
        <row r="975">
          <cell r="A975" t="str">
            <v>A26</v>
          </cell>
          <cell r="B975" t="str">
            <v>Suministro y colocación de Tapa metálica</v>
          </cell>
          <cell r="C975" t="str">
            <v>m2</v>
          </cell>
          <cell r="F975">
            <v>1.75</v>
          </cell>
          <cell r="G975">
            <v>6.1725000000000003</v>
          </cell>
          <cell r="H975">
            <v>0.144125</v>
          </cell>
          <cell r="I975">
            <v>300</v>
          </cell>
          <cell r="J975">
            <v>0</v>
          </cell>
          <cell r="K975">
            <v>306.31662499999999</v>
          </cell>
          <cell r="L975">
            <v>0</v>
          </cell>
          <cell r="M975">
            <v>0</v>
          </cell>
        </row>
        <row r="976">
          <cell r="A976" t="str">
            <v>A27</v>
          </cell>
          <cell r="B976" t="str">
            <v>Relleno estructural</v>
          </cell>
          <cell r="C976" t="str">
            <v>m3</v>
          </cell>
          <cell r="F976">
            <v>1.2875000000000001</v>
          </cell>
          <cell r="G976">
            <v>4.2321666666666697</v>
          </cell>
          <cell r="H976">
            <v>6.8350416666666636</v>
          </cell>
          <cell r="I976">
            <v>0</v>
          </cell>
          <cell r="J976">
            <v>0</v>
          </cell>
          <cell r="K976">
            <v>11.067208333333333</v>
          </cell>
          <cell r="L976">
            <v>0</v>
          </cell>
          <cell r="M976">
            <v>0</v>
          </cell>
        </row>
        <row r="977">
          <cell r="A977" t="str">
            <v>A28</v>
          </cell>
          <cell r="B977" t="str">
            <v>Bermas de Seguridad</v>
          </cell>
          <cell r="C977" t="str">
            <v>m3</v>
          </cell>
          <cell r="F977">
            <v>0.1</v>
          </cell>
          <cell r="G977">
            <v>0.499</v>
          </cell>
          <cell r="H977">
            <v>3.5649500000000001</v>
          </cell>
          <cell r="I977">
            <v>2.85</v>
          </cell>
          <cell r="J977">
            <v>0</v>
          </cell>
          <cell r="K977">
            <v>6.9139499999999998</v>
          </cell>
          <cell r="L977">
            <v>0</v>
          </cell>
          <cell r="M977">
            <v>0</v>
          </cell>
        </row>
        <row r="978">
          <cell r="A978" t="str">
            <v>A29</v>
          </cell>
          <cell r="B978" t="str">
            <v>Cama de Arena</v>
          </cell>
          <cell r="C978" t="str">
            <v>m3</v>
          </cell>
          <cell r="F978">
            <v>1.3416666666666666</v>
          </cell>
          <cell r="G978">
            <v>4.5181666666666702</v>
          </cell>
          <cell r="H978">
            <v>8.3767083333333332</v>
          </cell>
          <cell r="I978">
            <v>3.1349999999999998</v>
          </cell>
          <cell r="J978">
            <v>0</v>
          </cell>
          <cell r="K978">
            <v>16.029875000000004</v>
          </cell>
          <cell r="L978">
            <v>0</v>
          </cell>
          <cell r="M978">
            <v>0</v>
          </cell>
        </row>
        <row r="979">
          <cell r="A979" t="str">
            <v>A30</v>
          </cell>
          <cell r="B979" t="str">
            <v>Concreto reforzado</v>
          </cell>
          <cell r="C979" t="str">
            <v>m3</v>
          </cell>
          <cell r="F979">
            <v>16.2</v>
          </cell>
          <cell r="G979">
            <v>56.207999999999998</v>
          </cell>
          <cell r="H979">
            <v>3.9517333333333298</v>
          </cell>
          <cell r="I979">
            <v>116.16</v>
          </cell>
          <cell r="J979">
            <v>0</v>
          </cell>
          <cell r="K979">
            <v>176.31973333333332</v>
          </cell>
          <cell r="L979">
            <v>0</v>
          </cell>
          <cell r="M979">
            <v>0</v>
          </cell>
        </row>
        <row r="980">
          <cell r="A980" t="str">
            <v>A31</v>
          </cell>
          <cell r="B980" t="str">
            <v>Alcantarillas 800mm</v>
          </cell>
          <cell r="C980" t="str">
            <v>ml</v>
          </cell>
          <cell r="F980">
            <v>8</v>
          </cell>
          <cell r="G980">
            <v>25.88</v>
          </cell>
          <cell r="H980">
            <v>1.294</v>
          </cell>
          <cell r="I980">
            <v>60</v>
          </cell>
          <cell r="J980">
            <v>0</v>
          </cell>
          <cell r="K980">
            <v>87.173999999999992</v>
          </cell>
          <cell r="L980">
            <v>0</v>
          </cell>
          <cell r="M980">
            <v>0</v>
          </cell>
        </row>
        <row r="981">
          <cell r="A981" t="str">
            <v>A32</v>
          </cell>
          <cell r="B981" t="str">
            <v>Alcantarillas 600mm</v>
          </cell>
          <cell r="C981" t="str">
            <v>ml</v>
          </cell>
          <cell r="F981">
            <v>6.666666666666667</v>
          </cell>
          <cell r="G981">
            <v>21.566666666666698</v>
          </cell>
          <cell r="H981">
            <v>1.07833333333333</v>
          </cell>
          <cell r="I981">
            <v>50</v>
          </cell>
          <cell r="J981">
            <v>0</v>
          </cell>
          <cell r="K981">
            <v>72.645000000000024</v>
          </cell>
          <cell r="L981">
            <v>0</v>
          </cell>
          <cell r="M981">
            <v>0</v>
          </cell>
        </row>
        <row r="982">
          <cell r="A982" t="str">
            <v>A33</v>
          </cell>
          <cell r="B982" t="str">
            <v>Alcantarillas 1350mm</v>
          </cell>
          <cell r="C982" t="str">
            <v>ml</v>
          </cell>
          <cell r="F982">
            <v>12.5</v>
          </cell>
          <cell r="G982">
            <v>39.924999999999997</v>
          </cell>
          <cell r="H982">
            <v>1.9962500000000001</v>
          </cell>
          <cell r="I982">
            <v>160</v>
          </cell>
          <cell r="J982">
            <v>0</v>
          </cell>
          <cell r="K982">
            <v>201.92125000000001</v>
          </cell>
          <cell r="L982">
            <v>0</v>
          </cell>
          <cell r="M982">
            <v>0</v>
          </cell>
        </row>
        <row r="983">
          <cell r="A983" t="str">
            <v>A34</v>
          </cell>
          <cell r="B983" t="str">
            <v>Alcantarillas 1000mm</v>
          </cell>
          <cell r="C983" t="str">
            <v>ml</v>
          </cell>
          <cell r="F983">
            <v>8.8888888888888893</v>
          </cell>
          <cell r="G983">
            <v>28.755555555555599</v>
          </cell>
          <cell r="H983">
            <v>1.43777777777778</v>
          </cell>
          <cell r="I983">
            <v>78</v>
          </cell>
          <cell r="J983">
            <v>0</v>
          </cell>
          <cell r="K983">
            <v>108.19333333333338</v>
          </cell>
          <cell r="L983">
            <v>0</v>
          </cell>
          <cell r="M983">
            <v>0</v>
          </cell>
        </row>
        <row r="984">
          <cell r="A984" t="str">
            <v>A35</v>
          </cell>
          <cell r="B984" t="str">
            <v>Alcantarillas 1600mm</v>
          </cell>
          <cell r="C984" t="str">
            <v>ml</v>
          </cell>
          <cell r="F984">
            <v>12.5</v>
          </cell>
          <cell r="G984">
            <v>39.924999999999997</v>
          </cell>
          <cell r="H984">
            <v>1.9962500000000001</v>
          </cell>
          <cell r="I984">
            <v>215</v>
          </cell>
          <cell r="J984">
            <v>0</v>
          </cell>
          <cell r="K984">
            <v>256.92124999999999</v>
          </cell>
          <cell r="L984">
            <v>0</v>
          </cell>
          <cell r="M984">
            <v>0</v>
          </cell>
        </row>
        <row r="985">
          <cell r="A985" t="str">
            <v>A36</v>
          </cell>
          <cell r="B985" t="str">
            <v>Tubería para buzón CMP 2000mm Diam</v>
          </cell>
          <cell r="C985" t="str">
            <v>ml</v>
          </cell>
          <cell r="F985">
            <v>20</v>
          </cell>
          <cell r="G985">
            <v>63.3333333333333</v>
          </cell>
          <cell r="H985">
            <v>3.1666666666666701</v>
          </cell>
          <cell r="I985">
            <v>335</v>
          </cell>
          <cell r="J985">
            <v>0</v>
          </cell>
          <cell r="K985">
            <v>401.5</v>
          </cell>
          <cell r="L985">
            <v>0</v>
          </cell>
          <cell r="M985">
            <v>0</v>
          </cell>
        </row>
        <row r="986">
          <cell r="A986" t="str">
            <v>A37</v>
          </cell>
          <cell r="B986" t="str">
            <v>Alcantarillas 300mm</v>
          </cell>
          <cell r="F986">
            <v>6.666666666666667</v>
          </cell>
          <cell r="G986">
            <v>21.566666666666698</v>
          </cell>
          <cell r="H986">
            <v>1.07833333333333</v>
          </cell>
          <cell r="I986">
            <v>26</v>
          </cell>
          <cell r="J986">
            <v>0</v>
          </cell>
          <cell r="K986">
            <v>48.645000000000032</v>
          </cell>
          <cell r="L986">
            <v>0</v>
          </cell>
          <cell r="M986">
            <v>0</v>
          </cell>
        </row>
        <row r="987">
          <cell r="A987" t="str">
            <v>A20</v>
          </cell>
          <cell r="B987" t="str">
            <v>Geotextil 400g/m2 Non Woven</v>
          </cell>
          <cell r="C987" t="str">
            <v>m2</v>
          </cell>
          <cell r="F987">
            <v>0.37356321839080464</v>
          </cell>
          <cell r="G987">
            <v>1.1715517241379301</v>
          </cell>
          <cell r="H987">
            <v>0.445182471264368</v>
          </cell>
          <cell r="I987">
            <v>0.8</v>
          </cell>
          <cell r="J987">
            <v>0</v>
          </cell>
          <cell r="K987">
            <v>2.4167341954022983</v>
          </cell>
          <cell r="L987">
            <v>0</v>
          </cell>
          <cell r="M987">
            <v>0</v>
          </cell>
        </row>
        <row r="988">
          <cell r="A988" t="str">
            <v>A38</v>
          </cell>
          <cell r="B988" t="str">
            <v>Excavación y eliminación de material para cunetas en roca</v>
          </cell>
          <cell r="C988" t="str">
            <v>m3</v>
          </cell>
          <cell r="D988">
            <v>7</v>
          </cell>
          <cell r="E988">
            <v>1.2152268592535422</v>
          </cell>
          <cell r="F988">
            <v>0.28461538461538466</v>
          </cell>
          <cell r="G988">
            <v>1.41576923076923</v>
          </cell>
          <cell r="H988">
            <v>7.0169423076923119</v>
          </cell>
          <cell r="I988">
            <v>0</v>
          </cell>
          <cell r="J988">
            <v>11.5</v>
          </cell>
          <cell r="K988">
            <v>19.932711538461543</v>
          </cell>
          <cell r="L988">
            <v>24.222766439291462</v>
          </cell>
          <cell r="M988">
            <v>169.55936507504023</v>
          </cell>
        </row>
        <row r="989">
          <cell r="A989" t="str">
            <v>A39</v>
          </cell>
          <cell r="B989" t="str">
            <v>Excavación y eliminación de material para cunetas en suelo común</v>
          </cell>
          <cell r="C989" t="str">
            <v>m3</v>
          </cell>
          <cell r="D989">
            <v>7</v>
          </cell>
          <cell r="E989">
            <v>1.2152268592535422</v>
          </cell>
          <cell r="F989">
            <v>0.1957264957264957</v>
          </cell>
          <cell r="G989">
            <v>0.98510256410256403</v>
          </cell>
          <cell r="H989">
            <v>4.9954089743589778</v>
          </cell>
          <cell r="I989">
            <v>0</v>
          </cell>
          <cell r="J989">
            <v>0</v>
          </cell>
          <cell r="K989">
            <v>5.9805115384615419</v>
          </cell>
          <cell r="L989">
            <v>7.2676782536141893</v>
          </cell>
          <cell r="M989">
            <v>50.873747775299321</v>
          </cell>
        </row>
        <row r="990">
          <cell r="A990" t="str">
            <v>A21</v>
          </cell>
          <cell r="B990" t="str">
            <v>Excavación y perfilado de zanjas</v>
          </cell>
          <cell r="C990" t="str">
            <v>m3</v>
          </cell>
          <cell r="F990">
            <v>1.2887346226726417</v>
          </cell>
          <cell r="G990">
            <v>4.4896263901299003</v>
          </cell>
          <cell r="H990">
            <v>6.5119556758310146</v>
          </cell>
          <cell r="I990">
            <v>0</v>
          </cell>
          <cell r="J990">
            <v>3.45</v>
          </cell>
          <cell r="K990">
            <v>14.451582065960915</v>
          </cell>
          <cell r="L990">
            <v>0</v>
          </cell>
          <cell r="M990">
            <v>0</v>
          </cell>
        </row>
        <row r="991">
          <cell r="A991" t="str">
            <v>2.15</v>
          </cell>
          <cell r="B991" t="str">
            <v>MINE MAINTENANCE FRESH/FIRE WATER TANK SITE</v>
          </cell>
        </row>
        <row r="992">
          <cell r="A992" t="str">
            <v>2.15.a</v>
          </cell>
          <cell r="B992" t="str">
            <v>Clear and Grub</v>
          </cell>
          <cell r="C992" t="str">
            <v>Ls</v>
          </cell>
        </row>
        <row r="993">
          <cell r="A993" t="str">
            <v>2.15.b</v>
          </cell>
          <cell r="B993" t="str">
            <v>Cut unsuitable soil to waste (includes organic soil)</v>
          </cell>
          <cell r="C993" t="str">
            <v>m3</v>
          </cell>
          <cell r="D993">
            <v>30</v>
          </cell>
          <cell r="F993">
            <v>4.0276442307692308</v>
          </cell>
          <cell r="G993">
            <v>0.70140824175824146</v>
          </cell>
          <cell r="H993">
            <v>4.5827706153846144</v>
          </cell>
          <cell r="I993">
            <v>0</v>
          </cell>
          <cell r="J993">
            <v>0</v>
          </cell>
          <cell r="L993">
            <v>5.28</v>
          </cell>
          <cell r="M993">
            <v>158.4</v>
          </cell>
        </row>
        <row r="994">
          <cell r="A994" t="str">
            <v>A01</v>
          </cell>
          <cell r="B994" t="str">
            <v>Excavación de Topsoil y Unsuitable (e&gt;1m)</v>
          </cell>
          <cell r="C994" t="str">
            <v>m3</v>
          </cell>
          <cell r="D994">
            <v>30</v>
          </cell>
          <cell r="E994">
            <v>1.5</v>
          </cell>
          <cell r="F994">
            <v>1.7142857142857144E-2</v>
          </cell>
          <cell r="G994">
            <v>8.5542857142857004E-2</v>
          </cell>
          <cell r="H994">
            <v>0.81924857142857199</v>
          </cell>
          <cell r="I994">
            <v>0</v>
          </cell>
          <cell r="J994">
            <v>0</v>
          </cell>
          <cell r="K994">
            <v>0.90479142857142902</v>
          </cell>
          <cell r="L994">
            <v>1.3571871428571436</v>
          </cell>
          <cell r="M994">
            <v>40.71561428571431</v>
          </cell>
        </row>
        <row r="995">
          <cell r="A995" t="str">
            <v>A02</v>
          </cell>
          <cell r="B995" t="str">
            <v>Excavación de Topsoil y Unsuitable (e&lt;1m)</v>
          </cell>
          <cell r="C995" t="str">
            <v>m3</v>
          </cell>
          <cell r="F995">
            <v>1.4285714285714285E-2</v>
          </cell>
          <cell r="G995">
            <v>6.9214285714286006E-2</v>
          </cell>
          <cell r="H995">
            <v>0.57488928571428499</v>
          </cell>
          <cell r="I995">
            <v>0</v>
          </cell>
          <cell r="J995">
            <v>0</v>
          </cell>
          <cell r="K995">
            <v>0.644103571428571</v>
          </cell>
          <cell r="L995">
            <v>0</v>
          </cell>
          <cell r="M995">
            <v>0</v>
          </cell>
        </row>
        <row r="996">
          <cell r="A996" t="str">
            <v>A03</v>
          </cell>
          <cell r="B996" t="str">
            <v>Carguío de Topsoil &amp; Unsuitable con excavadora</v>
          </cell>
          <cell r="C996" t="str">
            <v>m3</v>
          </cell>
          <cell r="D996">
            <v>30</v>
          </cell>
          <cell r="E996">
            <v>1.5</v>
          </cell>
          <cell r="F996">
            <v>1.3461538461538462E-2</v>
          </cell>
          <cell r="G996">
            <v>7.1076923076922996E-2</v>
          </cell>
          <cell r="H996">
            <v>0.70142307692307704</v>
          </cell>
          <cell r="I996">
            <v>0</v>
          </cell>
          <cell r="J996">
            <v>0</v>
          </cell>
          <cell r="K996">
            <v>0.77250000000000008</v>
          </cell>
          <cell r="L996">
            <v>1.1587500000000002</v>
          </cell>
          <cell r="M996">
            <v>34.762500000000003</v>
          </cell>
        </row>
        <row r="997">
          <cell r="A997" t="str">
            <v>A04</v>
          </cell>
          <cell r="B997" t="str">
            <v>Acarreo d&lt;1km (sin esponj)</v>
          </cell>
          <cell r="C997" t="str">
            <v>m3</v>
          </cell>
          <cell r="D997">
            <v>30</v>
          </cell>
          <cell r="E997">
            <v>2.25</v>
          </cell>
          <cell r="F997">
            <v>1.9444444444444441E-2</v>
          </cell>
          <cell r="G997">
            <v>0.102666666666667</v>
          </cell>
          <cell r="H997">
            <v>0.50555555555555498</v>
          </cell>
          <cell r="I997">
            <v>0</v>
          </cell>
          <cell r="J997">
            <v>0</v>
          </cell>
          <cell r="K997">
            <v>0.608222222222222</v>
          </cell>
          <cell r="L997">
            <v>1.3684999999999996</v>
          </cell>
          <cell r="M997">
            <v>41.054999999999986</v>
          </cell>
        </row>
        <row r="998">
          <cell r="A998" t="str">
            <v>A05</v>
          </cell>
          <cell r="B998" t="str">
            <v>Sobreacarreo (d&gt;1km) (sin esponj)</v>
          </cell>
          <cell r="C998" t="str">
            <v>m3-km</v>
          </cell>
          <cell r="D998">
            <v>66.600000000000009</v>
          </cell>
          <cell r="E998">
            <v>2.25</v>
          </cell>
          <cell r="F998">
            <v>8.9285714285714263E-3</v>
          </cell>
          <cell r="G998">
            <v>4.7142857142857E-2</v>
          </cell>
          <cell r="H998">
            <v>0.23308571428571401</v>
          </cell>
          <cell r="I998">
            <v>0</v>
          </cell>
          <cell r="J998">
            <v>0</v>
          </cell>
          <cell r="K998">
            <v>0.28022857142857105</v>
          </cell>
          <cell r="L998">
            <v>0.63051428571428492</v>
          </cell>
          <cell r="M998">
            <v>41.992251428571379</v>
          </cell>
        </row>
        <row r="999">
          <cell r="A999" t="str">
            <v>2.15.c</v>
          </cell>
          <cell r="B999" t="str">
            <v>Cut and Fill Soil or Ripable Rock, within sub-Item work zone</v>
          </cell>
          <cell r="C999" t="str">
            <v>m3</v>
          </cell>
          <cell r="D999">
            <v>100</v>
          </cell>
          <cell r="F999">
            <v>9.2916666666666679</v>
          </cell>
          <cell r="G999">
            <v>0.47113374999999996</v>
          </cell>
          <cell r="H999">
            <v>3.7516384208333373</v>
          </cell>
          <cell r="I999">
            <v>0</v>
          </cell>
          <cell r="J999">
            <v>0</v>
          </cell>
          <cell r="L999">
            <v>4.22</v>
          </cell>
          <cell r="M999">
            <v>422</v>
          </cell>
        </row>
        <row r="1000">
          <cell r="A1000" t="str">
            <v>A06</v>
          </cell>
          <cell r="B1000" t="str">
            <v>Excavación de roca ripeable</v>
          </cell>
          <cell r="C1000" t="str">
            <v>m3</v>
          </cell>
          <cell r="D1000">
            <v>100</v>
          </cell>
          <cell r="E1000">
            <v>1.1000000000000001</v>
          </cell>
          <cell r="F1000">
            <v>3.3333333333333333E-2</v>
          </cell>
          <cell r="G1000">
            <v>0.16439999999999999</v>
          </cell>
          <cell r="H1000">
            <v>1.5519306666666701</v>
          </cell>
          <cell r="I1000">
            <v>0</v>
          </cell>
          <cell r="J1000">
            <v>0</v>
          </cell>
          <cell r="K1000">
            <v>1.7163306666666702</v>
          </cell>
          <cell r="L1000">
            <v>1.8879637333333374</v>
          </cell>
          <cell r="M1000">
            <v>188.79637333333375</v>
          </cell>
        </row>
        <row r="1001">
          <cell r="A1001" t="str">
            <v>A07</v>
          </cell>
          <cell r="B1001" t="str">
            <v>Empuje de material d&lt;60m</v>
          </cell>
          <cell r="C1001" t="str">
            <v>m3</v>
          </cell>
          <cell r="D1001">
            <v>100</v>
          </cell>
          <cell r="E1001">
            <v>1.1000000000000001</v>
          </cell>
          <cell r="F1001">
            <v>1.2500000000000001E-2</v>
          </cell>
          <cell r="G1001">
            <v>6.0562499999999998E-2</v>
          </cell>
          <cell r="H1001">
            <v>0.50302812500000005</v>
          </cell>
          <cell r="I1001">
            <v>0</v>
          </cell>
          <cell r="J1001">
            <v>0</v>
          </cell>
          <cell r="K1001">
            <v>0.56359062500000001</v>
          </cell>
          <cell r="L1001">
            <v>0.61994968750000001</v>
          </cell>
          <cell r="M1001">
            <v>61.994968749999998</v>
          </cell>
        </row>
        <row r="1002">
          <cell r="A1002" t="str">
            <v>A08</v>
          </cell>
          <cell r="B1002" t="str">
            <v>Relleno masivo compactado</v>
          </cell>
          <cell r="C1002" t="str">
            <v>m3</v>
          </cell>
          <cell r="D1002">
            <v>100</v>
          </cell>
          <cell r="E1002">
            <v>1</v>
          </cell>
          <cell r="F1002">
            <v>4.2499999999999996E-2</v>
          </cell>
          <cell r="G1002">
            <v>0.22367500000000001</v>
          </cell>
          <cell r="H1002">
            <v>1.49118375</v>
          </cell>
          <cell r="I1002">
            <v>0</v>
          </cell>
          <cell r="J1002">
            <v>0</v>
          </cell>
          <cell r="K1002">
            <v>1.7148587500000001</v>
          </cell>
          <cell r="L1002">
            <v>1.7148587500000001</v>
          </cell>
          <cell r="M1002">
            <v>171.48587500000002</v>
          </cell>
        </row>
        <row r="1003">
          <cell r="A1003" t="str">
            <v>2.15.d</v>
          </cell>
          <cell r="B1003" t="str">
            <v xml:space="preserve">Cut and Fill Soil or Ripable Rock to Other sub-Item work zone </v>
          </cell>
          <cell r="C1003" t="str">
            <v>m3</v>
          </cell>
          <cell r="D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L1003">
            <v>0</v>
          </cell>
          <cell r="M1003">
            <v>0</v>
          </cell>
        </row>
        <row r="1004">
          <cell r="A1004" t="str">
            <v>A06</v>
          </cell>
          <cell r="B1004" t="str">
            <v>Excavación de roca ripeable</v>
          </cell>
          <cell r="C1004" t="str">
            <v>m3</v>
          </cell>
          <cell r="F1004">
            <v>3.3333333333333333E-2</v>
          </cell>
          <cell r="G1004">
            <v>0.16439999999999999</v>
          </cell>
          <cell r="H1004">
            <v>1.5519306666666701</v>
          </cell>
          <cell r="I1004">
            <v>0</v>
          </cell>
          <cell r="J1004">
            <v>0</v>
          </cell>
          <cell r="K1004">
            <v>1.7163306666666702</v>
          </cell>
          <cell r="L1004">
            <v>0</v>
          </cell>
          <cell r="M1004">
            <v>0</v>
          </cell>
        </row>
        <row r="1005">
          <cell r="A1005" t="str">
            <v>A09</v>
          </cell>
          <cell r="B1005" t="str">
            <v>Carguío de material común &amp; roca ripeable con excavadora</v>
          </cell>
          <cell r="C1005" t="str">
            <v>m3</v>
          </cell>
          <cell r="F1005">
            <v>8.0000000000000002E-3</v>
          </cell>
          <cell r="G1005">
            <v>4.224E-2</v>
          </cell>
          <cell r="H1005">
            <v>0.57259199999999999</v>
          </cell>
          <cell r="I1005">
            <v>0</v>
          </cell>
          <cell r="J1005">
            <v>0</v>
          </cell>
          <cell r="K1005">
            <v>0.61483199999999993</v>
          </cell>
          <cell r="L1005">
            <v>0</v>
          </cell>
          <cell r="M1005">
            <v>0</v>
          </cell>
        </row>
        <row r="1006">
          <cell r="A1006" t="str">
            <v>A08</v>
          </cell>
          <cell r="B1006" t="str">
            <v>Relleno masivo compactado</v>
          </cell>
          <cell r="C1006" t="str">
            <v>m3</v>
          </cell>
          <cell r="F1006">
            <v>4.2499999999999996E-2</v>
          </cell>
          <cell r="G1006">
            <v>0.22367500000000001</v>
          </cell>
          <cell r="H1006">
            <v>1.49118375</v>
          </cell>
          <cell r="I1006">
            <v>0</v>
          </cell>
          <cell r="J1006">
            <v>0</v>
          </cell>
          <cell r="K1006">
            <v>1.7148587500000001</v>
          </cell>
          <cell r="L1006">
            <v>0</v>
          </cell>
          <cell r="M1006">
            <v>0</v>
          </cell>
        </row>
        <row r="1007">
          <cell r="A1007" t="str">
            <v>A04</v>
          </cell>
          <cell r="B1007" t="str">
            <v>Acarreo d&lt;1km (sin esponj)</v>
          </cell>
          <cell r="C1007" t="str">
            <v>m3</v>
          </cell>
          <cell r="F1007">
            <v>1.9444444444444441E-2</v>
          </cell>
          <cell r="G1007">
            <v>0.102666666666667</v>
          </cell>
          <cell r="H1007">
            <v>0.50555555555555498</v>
          </cell>
          <cell r="I1007">
            <v>0</v>
          </cell>
          <cell r="J1007">
            <v>0</v>
          </cell>
          <cell r="K1007">
            <v>0.608222222222222</v>
          </cell>
          <cell r="L1007">
            <v>0</v>
          </cell>
          <cell r="M1007">
            <v>0</v>
          </cell>
        </row>
        <row r="1008">
          <cell r="A1008" t="str">
            <v>A05</v>
          </cell>
          <cell r="B1008" t="str">
            <v>Sobreacarreo (d&gt;1km) (sin esponj)</v>
          </cell>
          <cell r="C1008" t="str">
            <v>m3-km</v>
          </cell>
          <cell r="F1008">
            <v>8.9285714285714263E-3</v>
          </cell>
          <cell r="G1008">
            <v>4.7142857142857E-2</v>
          </cell>
          <cell r="H1008">
            <v>0.23308571428571401</v>
          </cell>
          <cell r="I1008">
            <v>0</v>
          </cell>
          <cell r="J1008">
            <v>0</v>
          </cell>
          <cell r="K1008">
            <v>0.28022857142857105</v>
          </cell>
          <cell r="L1008">
            <v>0</v>
          </cell>
          <cell r="M1008">
            <v>0</v>
          </cell>
        </row>
        <row r="1009">
          <cell r="A1009" t="str">
            <v>2.15.e</v>
          </cell>
          <cell r="B1009" t="str">
            <v>Drill and blast bulk rock (without limit on thickness, broken to fine or coarse fragments as required depending on end-use. Applies to locations other than trenches and ditches).</v>
          </cell>
          <cell r="C1009" t="str">
            <v>m3</v>
          </cell>
          <cell r="D1009">
            <v>1200</v>
          </cell>
          <cell r="F1009">
            <v>103.11111111111111</v>
          </cell>
          <cell r="G1009">
            <v>0</v>
          </cell>
          <cell r="H1009">
            <v>0</v>
          </cell>
          <cell r="I1009">
            <v>0</v>
          </cell>
          <cell r="J1009">
            <v>3.1280000000000001</v>
          </cell>
          <cell r="L1009">
            <v>3.13</v>
          </cell>
          <cell r="M1009">
            <v>3756</v>
          </cell>
        </row>
        <row r="1010">
          <cell r="A1010" t="str">
            <v>A11</v>
          </cell>
          <cell r="B1010" t="str">
            <v>Perforación y voladura masiva (material fino)</v>
          </cell>
          <cell r="C1010" t="str">
            <v>m3</v>
          </cell>
          <cell r="F1010">
            <v>7.4718196457326899E-2</v>
          </cell>
          <cell r="G1010">
            <v>0</v>
          </cell>
          <cell r="H1010">
            <v>0</v>
          </cell>
          <cell r="I1010">
            <v>0</v>
          </cell>
          <cell r="J1010">
            <v>2.78</v>
          </cell>
          <cell r="K1010">
            <v>2.78</v>
          </cell>
          <cell r="L1010">
            <v>0</v>
          </cell>
          <cell r="M1010">
            <v>0</v>
          </cell>
        </row>
        <row r="1011">
          <cell r="A1011" t="str">
            <v>A12</v>
          </cell>
          <cell r="B1011" t="str">
            <v>Perforación y voladura masiva (material grueso)</v>
          </cell>
          <cell r="C1011" t="str">
            <v>m3</v>
          </cell>
          <cell r="D1011">
            <v>1200</v>
          </cell>
          <cell r="E1011">
            <v>1.1499999999999999</v>
          </cell>
          <cell r="F1011">
            <v>7.4718196457326899E-2</v>
          </cell>
          <cell r="G1011">
            <v>0</v>
          </cell>
          <cell r="H1011">
            <v>0</v>
          </cell>
          <cell r="I1011">
            <v>0</v>
          </cell>
          <cell r="J1011">
            <v>2.72</v>
          </cell>
          <cell r="K1011">
            <v>2.72</v>
          </cell>
          <cell r="L1011">
            <v>3.1280000000000001</v>
          </cell>
          <cell r="M1011">
            <v>3753.6000000000004</v>
          </cell>
        </row>
        <row r="1012">
          <cell r="A1012" t="str">
            <v>2.15.f</v>
          </cell>
          <cell r="B1012" t="str">
            <v>Excavate and Fill (fine blasted) broken rock</v>
          </cell>
          <cell r="C1012" t="str">
            <v>m3</v>
          </cell>
          <cell r="D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L1012">
            <v>0</v>
          </cell>
          <cell r="M1012">
            <v>0</v>
          </cell>
        </row>
        <row r="1013">
          <cell r="A1013" t="str">
            <v>A13</v>
          </cell>
          <cell r="B1013" t="str">
            <v>Remoción de Material fino volado</v>
          </cell>
          <cell r="C1013" t="str">
            <v>m3</v>
          </cell>
          <cell r="D1013">
            <v>0</v>
          </cell>
          <cell r="F1013">
            <v>2.4E-2</v>
          </cell>
          <cell r="G1013">
            <v>0.11976000000000001</v>
          </cell>
          <cell r="H1013">
            <v>1.1023720000000001</v>
          </cell>
          <cell r="I1013">
            <v>0</v>
          </cell>
          <cell r="J1013">
            <v>0</v>
          </cell>
          <cell r="K1013">
            <v>1.2221320000000002</v>
          </cell>
          <cell r="L1013">
            <v>0</v>
          </cell>
          <cell r="M1013">
            <v>0</v>
          </cell>
        </row>
        <row r="1014">
          <cell r="A1014" t="str">
            <v>A07</v>
          </cell>
          <cell r="B1014" t="str">
            <v>Empuje de material d&lt;60m</v>
          </cell>
          <cell r="C1014" t="str">
            <v>m3</v>
          </cell>
          <cell r="D1014">
            <v>0</v>
          </cell>
          <cell r="F1014">
            <v>1.2500000000000001E-2</v>
          </cell>
          <cell r="G1014">
            <v>6.0562499999999998E-2</v>
          </cell>
          <cell r="H1014">
            <v>0.50302812500000005</v>
          </cell>
          <cell r="I1014">
            <v>0</v>
          </cell>
          <cell r="J1014">
            <v>0</v>
          </cell>
          <cell r="K1014">
            <v>0.56359062500000001</v>
          </cell>
          <cell r="L1014">
            <v>0</v>
          </cell>
          <cell r="M1014">
            <v>0</v>
          </cell>
        </row>
        <row r="1015">
          <cell r="A1015" t="str">
            <v>A08</v>
          </cell>
          <cell r="B1015" t="str">
            <v>Relleno masivo compactado</v>
          </cell>
          <cell r="C1015" t="str">
            <v>m3</v>
          </cell>
          <cell r="D1015">
            <v>0</v>
          </cell>
          <cell r="F1015">
            <v>4.2499999999999996E-2</v>
          </cell>
          <cell r="G1015">
            <v>0.22367500000000001</v>
          </cell>
          <cell r="H1015">
            <v>1.49118375</v>
          </cell>
          <cell r="I1015">
            <v>0</v>
          </cell>
          <cell r="J1015">
            <v>0</v>
          </cell>
          <cell r="K1015">
            <v>1.7148587500000001</v>
          </cell>
          <cell r="L1015">
            <v>0</v>
          </cell>
          <cell r="M1015">
            <v>0</v>
          </cell>
        </row>
        <row r="1016">
          <cell r="A1016" t="str">
            <v>2.15.g</v>
          </cell>
          <cell r="B1016" t="str">
            <v xml:space="preserve">Excavate (fine or coarse blasted) broken rock to Waste Rock Surplus Stockpile </v>
          </cell>
          <cell r="C1016" t="str">
            <v>m3</v>
          </cell>
          <cell r="D1016">
            <v>1200</v>
          </cell>
          <cell r="F1016">
            <v>114.28844652615142</v>
          </cell>
          <cell r="G1016">
            <v>0.49561916471506623</v>
          </cell>
          <cell r="H1016">
            <v>3.3750344327348438</v>
          </cell>
          <cell r="I1016">
            <v>0</v>
          </cell>
          <cell r="J1016">
            <v>0</v>
          </cell>
          <cell r="L1016">
            <v>3.87</v>
          </cell>
          <cell r="M1016">
            <v>4644</v>
          </cell>
        </row>
        <row r="1017">
          <cell r="A1017" t="str">
            <v>A14</v>
          </cell>
          <cell r="B1017" t="str">
            <v>Remoción de Material grueso volado</v>
          </cell>
          <cell r="C1017" t="str">
            <v>m3</v>
          </cell>
          <cell r="D1017">
            <v>1200</v>
          </cell>
          <cell r="E1017">
            <v>1</v>
          </cell>
          <cell r="F1017">
            <v>2.5000000000000001E-2</v>
          </cell>
          <cell r="G1017">
            <v>0.12475</v>
          </cell>
          <cell r="H1017">
            <v>1.11859166666667</v>
          </cell>
          <cell r="I1017">
            <v>0</v>
          </cell>
          <cell r="J1017">
            <v>0</v>
          </cell>
          <cell r="K1017">
            <v>1.2433416666666699</v>
          </cell>
          <cell r="L1017">
            <v>1.2433416666666699</v>
          </cell>
          <cell r="M1017">
            <v>1492.0100000000039</v>
          </cell>
        </row>
        <row r="1018">
          <cell r="A1018" t="str">
            <v>A43</v>
          </cell>
          <cell r="B1018" t="str">
            <v>Carguío de roca volada con excavadora</v>
          </cell>
          <cell r="C1018" t="str">
            <v>m3</v>
          </cell>
          <cell r="D1018">
            <v>1200</v>
          </cell>
          <cell r="E1018">
            <v>1</v>
          </cell>
          <cell r="F1018">
            <v>8.1967213114754103E-3</v>
          </cell>
          <cell r="G1018">
            <v>4.3278688524589999E-2</v>
          </cell>
          <cell r="H1018">
            <v>0.58667213114754102</v>
          </cell>
          <cell r="I1018">
            <v>0</v>
          </cell>
          <cell r="J1018">
            <v>0</v>
          </cell>
          <cell r="K1018">
            <v>0.62995081967213107</v>
          </cell>
          <cell r="L1018">
            <v>0.62995081967213107</v>
          </cell>
          <cell r="M1018">
            <v>755.94098360655732</v>
          </cell>
        </row>
        <row r="1019">
          <cell r="A1019" t="str">
            <v>A10</v>
          </cell>
          <cell r="B1019" t="str">
            <v>Extendido de roca en botadero</v>
          </cell>
          <cell r="C1019" t="str">
            <v>m3</v>
          </cell>
          <cell r="D1019">
            <v>1200</v>
          </cell>
          <cell r="E1019">
            <v>1</v>
          </cell>
          <cell r="F1019">
            <v>3.5714285714285713E-3</v>
          </cell>
          <cell r="G1019">
            <v>1.8857142857142999E-2</v>
          </cell>
          <cell r="H1019">
            <v>0.14619285714285699</v>
          </cell>
          <cell r="I1019">
            <v>0</v>
          </cell>
          <cell r="J1019">
            <v>0</v>
          </cell>
          <cell r="K1019">
            <v>0.16504999999999997</v>
          </cell>
          <cell r="L1019">
            <v>0.16504999999999997</v>
          </cell>
          <cell r="M1019">
            <v>198.05999999999997</v>
          </cell>
        </row>
        <row r="1020">
          <cell r="A1020" t="str">
            <v>A04</v>
          </cell>
          <cell r="B1020" t="str">
            <v>Acarreo d&lt;1km (sin esponj)</v>
          </cell>
          <cell r="C1020" t="str">
            <v>m3</v>
          </cell>
          <cell r="D1020">
            <v>1200</v>
          </cell>
          <cell r="E1020">
            <v>1.4</v>
          </cell>
          <cell r="F1020">
            <v>1.9444444444444441E-2</v>
          </cell>
          <cell r="G1020">
            <v>0.102666666666667</v>
          </cell>
          <cell r="H1020">
            <v>0.50555555555555498</v>
          </cell>
          <cell r="I1020">
            <v>0</v>
          </cell>
          <cell r="J1020">
            <v>0</v>
          </cell>
          <cell r="K1020">
            <v>0.608222222222222</v>
          </cell>
          <cell r="L1020">
            <v>0.85151111111111077</v>
          </cell>
          <cell r="M1020">
            <v>1021.8133333333329</v>
          </cell>
        </row>
        <row r="1021">
          <cell r="A1021" t="str">
            <v>A05</v>
          </cell>
          <cell r="B1021" t="str">
            <v>Sobreacarreo (d&gt;1km) (sin esponj)</v>
          </cell>
          <cell r="C1021" t="str">
            <v>m3-km</v>
          </cell>
          <cell r="D1021">
            <v>3000</v>
          </cell>
          <cell r="E1021">
            <v>1.4</v>
          </cell>
          <cell r="F1021">
            <v>8.9285714285714263E-3</v>
          </cell>
          <cell r="G1021">
            <v>4.7142857142857E-2</v>
          </cell>
          <cell r="H1021">
            <v>0.23308571428571401</v>
          </cell>
          <cell r="I1021">
            <v>0</v>
          </cell>
          <cell r="J1021">
            <v>0</v>
          </cell>
          <cell r="K1021">
            <v>0.28022857142857105</v>
          </cell>
          <cell r="L1021">
            <v>0.39231999999999945</v>
          </cell>
          <cell r="M1021">
            <v>1176.9599999999984</v>
          </cell>
        </row>
        <row r="1022">
          <cell r="A1022" t="str">
            <v>2.15.h</v>
          </cell>
          <cell r="B1022" t="str">
            <v>Supply and Install Backfill Granular A to roads/yards</v>
          </cell>
          <cell r="C1022" t="str">
            <v>m3</v>
          </cell>
          <cell r="D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</row>
        <row r="1023">
          <cell r="A1023" t="str">
            <v>A15</v>
          </cell>
          <cell r="B1023" t="str">
            <v>Suministro de material granular A</v>
          </cell>
          <cell r="C1023" t="str">
            <v>m3</v>
          </cell>
          <cell r="F1023">
            <v>0</v>
          </cell>
          <cell r="G1023">
            <v>0</v>
          </cell>
          <cell r="H1023">
            <v>0</v>
          </cell>
          <cell r="I1023">
            <v>2.85</v>
          </cell>
          <cell r="J1023">
            <v>0</v>
          </cell>
          <cell r="K1023">
            <v>2.85</v>
          </cell>
          <cell r="L1023">
            <v>0</v>
          </cell>
          <cell r="M1023">
            <v>0</v>
          </cell>
        </row>
        <row r="1024">
          <cell r="A1024" t="str">
            <v>A16</v>
          </cell>
          <cell r="B1024" t="str">
            <v>Colocación y compactación Mat Granular A</v>
          </cell>
          <cell r="C1024" t="str">
            <v>m3</v>
          </cell>
          <cell r="F1024">
            <v>0.37805555555555553</v>
          </cell>
          <cell r="G1024">
            <v>1.4478</v>
          </cell>
          <cell r="H1024">
            <v>3.0801342222222199</v>
          </cell>
          <cell r="I1024">
            <v>0</v>
          </cell>
          <cell r="J1024">
            <v>0</v>
          </cell>
          <cell r="K1024">
            <v>4.5279342222222194</v>
          </cell>
          <cell r="L1024">
            <v>0</v>
          </cell>
          <cell r="M1024">
            <v>0</v>
          </cell>
        </row>
        <row r="1025">
          <cell r="A1025" t="str">
            <v>A04</v>
          </cell>
          <cell r="B1025" t="str">
            <v>Acarreo d&lt;1km (sin esponj)</v>
          </cell>
          <cell r="C1025" t="str">
            <v>m3</v>
          </cell>
          <cell r="F1025">
            <v>1.9444444444444441E-2</v>
          </cell>
          <cell r="G1025">
            <v>0.102666666666667</v>
          </cell>
          <cell r="H1025">
            <v>0.50555555555555498</v>
          </cell>
          <cell r="I1025">
            <v>0</v>
          </cell>
          <cell r="J1025">
            <v>0</v>
          </cell>
          <cell r="K1025">
            <v>0.608222222222222</v>
          </cell>
          <cell r="L1025">
            <v>0</v>
          </cell>
          <cell r="M1025">
            <v>0</v>
          </cell>
        </row>
        <row r="1026">
          <cell r="A1026" t="str">
            <v>A05</v>
          </cell>
          <cell r="B1026" t="str">
            <v>Sobreacarreo (d&gt;1km) (sin esponj)</v>
          </cell>
          <cell r="C1026" t="str">
            <v>m3-km</v>
          </cell>
          <cell r="F1026">
            <v>8.9285714285714263E-3</v>
          </cell>
          <cell r="G1026">
            <v>4.7142857142857E-2</v>
          </cell>
          <cell r="H1026">
            <v>0.23308571428571401</v>
          </cell>
          <cell r="I1026">
            <v>0</v>
          </cell>
          <cell r="J1026">
            <v>0</v>
          </cell>
          <cell r="K1026">
            <v>0.28022857142857105</v>
          </cell>
          <cell r="L1026">
            <v>0</v>
          </cell>
          <cell r="M1026">
            <v>0</v>
          </cell>
        </row>
        <row r="1027">
          <cell r="A1027" t="str">
            <v>2.15.i</v>
          </cell>
          <cell r="B1027" t="str">
            <v>Supply and Install Backfill Granular B to roads/yards</v>
          </cell>
          <cell r="C1027" t="str">
            <v>m3</v>
          </cell>
          <cell r="D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</row>
        <row r="1028">
          <cell r="A1028" t="str">
            <v>A40</v>
          </cell>
          <cell r="B1028" t="str">
            <v>Suministro de material granular B</v>
          </cell>
          <cell r="C1028" t="str">
            <v>m3</v>
          </cell>
          <cell r="F1028">
            <v>0</v>
          </cell>
          <cell r="G1028">
            <v>0</v>
          </cell>
          <cell r="H1028">
            <v>0</v>
          </cell>
          <cell r="I1028">
            <v>2.85</v>
          </cell>
          <cell r="J1028">
            <v>0</v>
          </cell>
          <cell r="K1028">
            <v>2.85</v>
          </cell>
          <cell r="L1028">
            <v>0</v>
          </cell>
          <cell r="M1028">
            <v>0</v>
          </cell>
        </row>
        <row r="1029">
          <cell r="A1029" t="str">
            <v>A41</v>
          </cell>
          <cell r="B1029" t="str">
            <v>Colocación y compactación Mat Granular B</v>
          </cell>
          <cell r="C1029" t="str">
            <v>m3</v>
          </cell>
          <cell r="F1029">
            <v>0.10416666666666666</v>
          </cell>
          <cell r="G1029">
            <v>0.53187499999999999</v>
          </cell>
          <cell r="H1029">
            <v>2.3804166666666702</v>
          </cell>
          <cell r="I1029">
            <v>0</v>
          </cell>
          <cell r="J1029">
            <v>0</v>
          </cell>
          <cell r="K1029">
            <v>2.9122916666666701</v>
          </cell>
          <cell r="L1029">
            <v>0</v>
          </cell>
          <cell r="M1029">
            <v>0</v>
          </cell>
        </row>
        <row r="1030">
          <cell r="A1030" t="str">
            <v>A04</v>
          </cell>
          <cell r="B1030" t="str">
            <v>Acarreo d&lt;1km (sin esponj)</v>
          </cell>
          <cell r="C1030" t="str">
            <v>m3</v>
          </cell>
          <cell r="F1030">
            <v>1.9444444444444441E-2</v>
          </cell>
          <cell r="G1030">
            <v>0.102666666666667</v>
          </cell>
          <cell r="H1030">
            <v>0.50555555555555498</v>
          </cell>
          <cell r="I1030">
            <v>0</v>
          </cell>
          <cell r="J1030">
            <v>0</v>
          </cell>
          <cell r="K1030">
            <v>0.608222222222222</v>
          </cell>
          <cell r="L1030">
            <v>0</v>
          </cell>
          <cell r="M1030">
            <v>0</v>
          </cell>
        </row>
        <row r="1031">
          <cell r="A1031" t="str">
            <v>A05</v>
          </cell>
          <cell r="B1031" t="str">
            <v>Sobreacarreo (d&gt;1km) (sin esponj)</v>
          </cell>
          <cell r="C1031" t="str">
            <v>m3-km</v>
          </cell>
          <cell r="F1031">
            <v>8.9285714285714263E-3</v>
          </cell>
          <cell r="G1031">
            <v>4.7142857142857E-2</v>
          </cell>
          <cell r="H1031">
            <v>0.23308571428571401</v>
          </cell>
          <cell r="I1031">
            <v>0</v>
          </cell>
          <cell r="J1031">
            <v>0</v>
          </cell>
          <cell r="K1031">
            <v>0.28022857142857105</v>
          </cell>
          <cell r="L1031">
            <v>0</v>
          </cell>
          <cell r="M1031">
            <v>0</v>
          </cell>
        </row>
        <row r="1032">
          <cell r="A1032" t="str">
            <v>2.15.j</v>
          </cell>
          <cell r="B1032" t="str">
            <v>Supply and Install Riprap-Geotextile-Bedding to ditches and slopes, including rock/earth excavation and shaping of the site</v>
          </cell>
          <cell r="C1032" t="str">
            <v>Ls</v>
          </cell>
          <cell r="D1032">
            <v>1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L1032">
            <v>0</v>
          </cell>
          <cell r="M1032">
            <v>0</v>
          </cell>
        </row>
        <row r="1033">
          <cell r="A1033" t="str">
            <v>A19</v>
          </cell>
          <cell r="B1033" t="str">
            <v>Rip rap</v>
          </cell>
          <cell r="C1033" t="str">
            <v>m3</v>
          </cell>
          <cell r="F1033">
            <v>2.7285714285714286</v>
          </cell>
          <cell r="G1033">
            <v>8.8182857142857092</v>
          </cell>
          <cell r="H1033">
            <v>4.8350057142857139</v>
          </cell>
          <cell r="I1033">
            <v>2.85</v>
          </cell>
          <cell r="J1033">
            <v>0</v>
          </cell>
          <cell r="K1033">
            <v>16.503291428571423</v>
          </cell>
          <cell r="L1033">
            <v>0</v>
          </cell>
          <cell r="M1033">
            <v>0</v>
          </cell>
        </row>
        <row r="1034">
          <cell r="A1034" t="str">
            <v>A20</v>
          </cell>
          <cell r="B1034" t="str">
            <v>Geotextil 400g/m2 Non Woven</v>
          </cell>
          <cell r="C1034" t="str">
            <v>m2</v>
          </cell>
          <cell r="F1034">
            <v>0.37356321839080464</v>
          </cell>
          <cell r="G1034">
            <v>1.1715517241379301</v>
          </cell>
          <cell r="H1034">
            <v>0.445182471264368</v>
          </cell>
          <cell r="I1034">
            <v>0.8</v>
          </cell>
          <cell r="J1034">
            <v>0</v>
          </cell>
          <cell r="K1034">
            <v>2.4167341954022983</v>
          </cell>
          <cell r="L1034">
            <v>0</v>
          </cell>
          <cell r="M1034">
            <v>0</v>
          </cell>
        </row>
        <row r="1035">
          <cell r="A1035" t="str">
            <v>A21</v>
          </cell>
          <cell r="B1035" t="str">
            <v>Excavación y perfilado de zanjas</v>
          </cell>
          <cell r="C1035" t="str">
            <v>m3</v>
          </cell>
          <cell r="F1035">
            <v>1.2887346226726417</v>
          </cell>
          <cell r="G1035">
            <v>4.4896263901299003</v>
          </cell>
          <cell r="H1035">
            <v>6.5119556758310146</v>
          </cell>
          <cell r="I1035">
            <v>0</v>
          </cell>
          <cell r="J1035">
            <v>3.45</v>
          </cell>
          <cell r="K1035">
            <v>14.451582065960915</v>
          </cell>
          <cell r="L1035">
            <v>0</v>
          </cell>
          <cell r="M1035">
            <v>0</v>
          </cell>
        </row>
        <row r="1036">
          <cell r="A1036" t="str">
            <v>2.15.k</v>
          </cell>
          <cell r="B1036" t="str">
            <v>Supply and Install Gabions-Geotextile-Bedding-Concrete Facing, complete including rock/earth excavation shaping &amp; backfill of the site</v>
          </cell>
          <cell r="C1036" t="str">
            <v>Ls</v>
          </cell>
          <cell r="D1036">
            <v>1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L1036">
            <v>0</v>
          </cell>
          <cell r="M1036">
            <v>0</v>
          </cell>
        </row>
        <row r="1037">
          <cell r="A1037" t="str">
            <v>A22</v>
          </cell>
          <cell r="B1037" t="str">
            <v>Supply and Install Granular A Surfacing to roads/yards</v>
          </cell>
          <cell r="C1037" t="str">
            <v>m3</v>
          </cell>
          <cell r="F1037">
            <v>0.47959325396825392</v>
          </cell>
          <cell r="G1037">
            <v>1.9839190476190467</v>
          </cell>
          <cell r="H1037">
            <v>5.7282700952380896</v>
          </cell>
          <cell r="I1037">
            <v>3.5625</v>
          </cell>
          <cell r="J1037">
            <v>0</v>
          </cell>
          <cell r="K1037">
            <v>11.274689142857136</v>
          </cell>
          <cell r="L1037">
            <v>0</v>
          </cell>
          <cell r="M1037">
            <v>0</v>
          </cell>
        </row>
        <row r="1038">
          <cell r="A1038" t="str">
            <v>A23</v>
          </cell>
          <cell r="B1038" t="str">
            <v>Concrete Lining</v>
          </cell>
          <cell r="C1038" t="str">
            <v>m3</v>
          </cell>
          <cell r="F1038">
            <v>14.282608695652174</v>
          </cell>
          <cell r="G1038">
            <v>49.431086956521703</v>
          </cell>
          <cell r="H1038">
            <v>4.9527137681159399</v>
          </cell>
          <cell r="I1038">
            <v>60</v>
          </cell>
          <cell r="J1038">
            <v>0</v>
          </cell>
          <cell r="K1038">
            <v>114.38380072463765</v>
          </cell>
          <cell r="L1038">
            <v>0</v>
          </cell>
          <cell r="M1038">
            <v>0</v>
          </cell>
        </row>
        <row r="1039">
          <cell r="A1039" t="str">
            <v>A24</v>
          </cell>
          <cell r="B1039" t="str">
            <v>Gavión</v>
          </cell>
          <cell r="C1039" t="str">
            <v>m3</v>
          </cell>
          <cell r="F1039">
            <v>1.7583333333333333</v>
          </cell>
          <cell r="G1039">
            <v>6.2273333333333296</v>
          </cell>
          <cell r="H1039">
            <v>7.133083333333337</v>
          </cell>
          <cell r="I1039">
            <v>19.350000000000001</v>
          </cell>
          <cell r="J1039">
            <v>0</v>
          </cell>
          <cell r="K1039">
            <v>32.710416666666674</v>
          </cell>
          <cell r="L1039">
            <v>0</v>
          </cell>
          <cell r="M1039">
            <v>0</v>
          </cell>
        </row>
        <row r="1040">
          <cell r="A1040" t="str">
            <v>A21</v>
          </cell>
          <cell r="B1040" t="str">
            <v>Excavación y perfilado de zanjas</v>
          </cell>
          <cell r="C1040" t="str">
            <v>m3</v>
          </cell>
          <cell r="F1040">
            <v>1.2887346226726417</v>
          </cell>
          <cell r="G1040">
            <v>4.4896263901299003</v>
          </cell>
          <cell r="H1040">
            <v>6.5119556758310146</v>
          </cell>
          <cell r="I1040">
            <v>0</v>
          </cell>
          <cell r="J1040">
            <v>3.45</v>
          </cell>
          <cell r="K1040">
            <v>14.451582065960915</v>
          </cell>
          <cell r="L1040">
            <v>0</v>
          </cell>
          <cell r="M1040">
            <v>0</v>
          </cell>
        </row>
        <row r="1041">
          <cell r="A1041" t="str">
            <v>2.15.l</v>
          </cell>
          <cell r="B1041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041" t="str">
            <v>Ls</v>
          </cell>
          <cell r="D1041">
            <v>1</v>
          </cell>
          <cell r="F1041">
            <v>3.9352223470862113</v>
          </cell>
          <cell r="G1041">
            <v>19.575072242735583</v>
          </cell>
          <cell r="H1041">
            <v>97.01945035318677</v>
          </cell>
          <cell r="I1041">
            <v>0</v>
          </cell>
          <cell r="J1041">
            <v>159.0042542944293</v>
          </cell>
          <cell r="L1041">
            <v>275.60000000000002</v>
          </cell>
          <cell r="M1041">
            <v>275.60000000000002</v>
          </cell>
        </row>
        <row r="1042">
          <cell r="A1042" t="str">
            <v>A25</v>
          </cell>
          <cell r="B1042" t="str">
            <v>Suministro y colocación de Grating</v>
          </cell>
          <cell r="C1042" t="str">
            <v>m2</v>
          </cell>
          <cell r="F1042">
            <v>1.75</v>
          </cell>
          <cell r="G1042">
            <v>6.1725000000000003</v>
          </cell>
          <cell r="H1042">
            <v>0.144125</v>
          </cell>
          <cell r="I1042">
            <v>225</v>
          </cell>
          <cell r="J1042">
            <v>0</v>
          </cell>
          <cell r="K1042">
            <v>231.31662500000002</v>
          </cell>
          <cell r="L1042">
            <v>0</v>
          </cell>
          <cell r="M1042">
            <v>0</v>
          </cell>
        </row>
        <row r="1043">
          <cell r="A1043" t="str">
            <v>A26</v>
          </cell>
          <cell r="B1043" t="str">
            <v>Suministro y colocación de Tapa metálica</v>
          </cell>
          <cell r="C1043" t="str">
            <v>m2</v>
          </cell>
          <cell r="F1043">
            <v>1.75</v>
          </cell>
          <cell r="G1043">
            <v>6.1725000000000003</v>
          </cell>
          <cell r="H1043">
            <v>0.144125</v>
          </cell>
          <cell r="I1043">
            <v>300</v>
          </cell>
          <cell r="J1043">
            <v>0</v>
          </cell>
          <cell r="K1043">
            <v>306.31662499999999</v>
          </cell>
          <cell r="L1043">
            <v>0</v>
          </cell>
          <cell r="M1043">
            <v>0</v>
          </cell>
        </row>
        <row r="1044">
          <cell r="A1044" t="str">
            <v>A27</v>
          </cell>
          <cell r="B1044" t="str">
            <v>Relleno estructural</v>
          </cell>
          <cell r="C1044" t="str">
            <v>m3</v>
          </cell>
          <cell r="F1044">
            <v>1.2875000000000001</v>
          </cell>
          <cell r="G1044">
            <v>4.2321666666666697</v>
          </cell>
          <cell r="H1044">
            <v>6.8350416666666636</v>
          </cell>
          <cell r="I1044">
            <v>0</v>
          </cell>
          <cell r="J1044">
            <v>0</v>
          </cell>
          <cell r="K1044">
            <v>11.067208333333333</v>
          </cell>
          <cell r="L1044">
            <v>0</v>
          </cell>
          <cell r="M1044">
            <v>0</v>
          </cell>
        </row>
        <row r="1045">
          <cell r="A1045" t="str">
            <v>A28</v>
          </cell>
          <cell r="B1045" t="str">
            <v>Bermas de Seguridad</v>
          </cell>
          <cell r="C1045" t="str">
            <v>m3</v>
          </cell>
          <cell r="F1045">
            <v>0.1</v>
          </cell>
          <cell r="G1045">
            <v>0.499</v>
          </cell>
          <cell r="H1045">
            <v>3.5649500000000001</v>
          </cell>
          <cell r="I1045">
            <v>2.85</v>
          </cell>
          <cell r="J1045">
            <v>0</v>
          </cell>
          <cell r="K1045">
            <v>6.9139499999999998</v>
          </cell>
          <cell r="L1045">
            <v>0</v>
          </cell>
          <cell r="M1045">
            <v>0</v>
          </cell>
        </row>
        <row r="1046">
          <cell r="A1046" t="str">
            <v>A29</v>
          </cell>
          <cell r="B1046" t="str">
            <v>Cama de Arena</v>
          </cell>
          <cell r="C1046" t="str">
            <v>m3</v>
          </cell>
          <cell r="F1046">
            <v>1.3416666666666666</v>
          </cell>
          <cell r="G1046">
            <v>4.5181666666666702</v>
          </cell>
          <cell r="H1046">
            <v>8.3767083333333332</v>
          </cell>
          <cell r="I1046">
            <v>3.1349999999999998</v>
          </cell>
          <cell r="J1046">
            <v>0</v>
          </cell>
          <cell r="K1046">
            <v>16.029875000000004</v>
          </cell>
          <cell r="L1046">
            <v>0</v>
          </cell>
          <cell r="M1046">
            <v>0</v>
          </cell>
        </row>
        <row r="1047">
          <cell r="A1047" t="str">
            <v>A30</v>
          </cell>
          <cell r="B1047" t="str">
            <v>Concreto reforzado</v>
          </cell>
          <cell r="C1047" t="str">
            <v>m3</v>
          </cell>
          <cell r="F1047">
            <v>16.2</v>
          </cell>
          <cell r="G1047">
            <v>56.207999999999998</v>
          </cell>
          <cell r="H1047">
            <v>3.9517333333333298</v>
          </cell>
          <cell r="I1047">
            <v>116.16</v>
          </cell>
          <cell r="J1047">
            <v>0</v>
          </cell>
          <cell r="K1047">
            <v>176.31973333333332</v>
          </cell>
          <cell r="L1047">
            <v>0</v>
          </cell>
          <cell r="M1047">
            <v>0</v>
          </cell>
        </row>
        <row r="1048">
          <cell r="A1048" t="str">
            <v>A31</v>
          </cell>
          <cell r="B1048" t="str">
            <v>Alcantarillas 800mm</v>
          </cell>
          <cell r="C1048" t="str">
            <v>ml</v>
          </cell>
          <cell r="F1048">
            <v>8</v>
          </cell>
          <cell r="G1048">
            <v>25.88</v>
          </cell>
          <cell r="H1048">
            <v>1.294</v>
          </cell>
          <cell r="I1048">
            <v>60</v>
          </cell>
          <cell r="J1048">
            <v>0</v>
          </cell>
          <cell r="K1048">
            <v>87.173999999999992</v>
          </cell>
          <cell r="L1048">
            <v>0</v>
          </cell>
          <cell r="M1048">
            <v>0</v>
          </cell>
        </row>
        <row r="1049">
          <cell r="A1049" t="str">
            <v>A32</v>
          </cell>
          <cell r="B1049" t="str">
            <v>Alcantarillas 600mm</v>
          </cell>
          <cell r="C1049" t="str">
            <v>ml</v>
          </cell>
          <cell r="F1049">
            <v>6.666666666666667</v>
          </cell>
          <cell r="G1049">
            <v>21.566666666666698</v>
          </cell>
          <cell r="H1049">
            <v>1.07833333333333</v>
          </cell>
          <cell r="I1049">
            <v>50</v>
          </cell>
          <cell r="J1049">
            <v>0</v>
          </cell>
          <cell r="K1049">
            <v>72.645000000000024</v>
          </cell>
          <cell r="L1049">
            <v>0</v>
          </cell>
          <cell r="M1049">
            <v>0</v>
          </cell>
        </row>
        <row r="1050">
          <cell r="A1050" t="str">
            <v>A33</v>
          </cell>
          <cell r="B1050" t="str">
            <v>Alcantarillas 1350mm</v>
          </cell>
          <cell r="C1050" t="str">
            <v>ml</v>
          </cell>
          <cell r="F1050">
            <v>12.5</v>
          </cell>
          <cell r="G1050">
            <v>39.924999999999997</v>
          </cell>
          <cell r="H1050">
            <v>1.9962500000000001</v>
          </cell>
          <cell r="I1050">
            <v>160</v>
          </cell>
          <cell r="J1050">
            <v>0</v>
          </cell>
          <cell r="K1050">
            <v>201.92125000000001</v>
          </cell>
          <cell r="L1050">
            <v>0</v>
          </cell>
          <cell r="M1050">
            <v>0</v>
          </cell>
        </row>
        <row r="1051">
          <cell r="A1051" t="str">
            <v>A34</v>
          </cell>
          <cell r="B1051" t="str">
            <v>Alcantarillas 1000mm</v>
          </cell>
          <cell r="C1051" t="str">
            <v>ml</v>
          </cell>
          <cell r="F1051">
            <v>8.8888888888888893</v>
          </cell>
          <cell r="G1051">
            <v>28.755555555555599</v>
          </cell>
          <cell r="H1051">
            <v>1.43777777777778</v>
          </cell>
          <cell r="I1051">
            <v>78</v>
          </cell>
          <cell r="J1051">
            <v>0</v>
          </cell>
          <cell r="K1051">
            <v>108.19333333333338</v>
          </cell>
          <cell r="L1051">
            <v>0</v>
          </cell>
          <cell r="M1051">
            <v>0</v>
          </cell>
        </row>
        <row r="1052">
          <cell r="A1052" t="str">
            <v>A35</v>
          </cell>
          <cell r="B1052" t="str">
            <v>Alcantarillas 1600mm</v>
          </cell>
          <cell r="C1052" t="str">
            <v>ml</v>
          </cell>
          <cell r="F1052">
            <v>12.5</v>
          </cell>
          <cell r="G1052">
            <v>39.924999999999997</v>
          </cell>
          <cell r="H1052">
            <v>1.9962500000000001</v>
          </cell>
          <cell r="I1052">
            <v>215</v>
          </cell>
          <cell r="J1052">
            <v>0</v>
          </cell>
          <cell r="K1052">
            <v>256.92124999999999</v>
          </cell>
          <cell r="L1052">
            <v>0</v>
          </cell>
          <cell r="M1052">
            <v>0</v>
          </cell>
        </row>
        <row r="1053">
          <cell r="A1053" t="str">
            <v>A36</v>
          </cell>
          <cell r="B1053" t="str">
            <v>Tubería para buzón CMP 2000mm Diam</v>
          </cell>
          <cell r="C1053" t="str">
            <v>ml</v>
          </cell>
          <cell r="F1053">
            <v>20</v>
          </cell>
          <cell r="G1053">
            <v>63.3333333333333</v>
          </cell>
          <cell r="H1053">
            <v>3.1666666666666701</v>
          </cell>
          <cell r="I1053">
            <v>335</v>
          </cell>
          <cell r="J1053">
            <v>0</v>
          </cell>
          <cell r="K1053">
            <v>401.5</v>
          </cell>
          <cell r="L1053">
            <v>0</v>
          </cell>
          <cell r="M1053">
            <v>0</v>
          </cell>
        </row>
        <row r="1054">
          <cell r="A1054" t="str">
            <v>A37</v>
          </cell>
          <cell r="B1054" t="str">
            <v>Alcantarillas 300mm</v>
          </cell>
          <cell r="F1054">
            <v>6.666666666666667</v>
          </cell>
          <cell r="G1054">
            <v>21.566666666666698</v>
          </cell>
          <cell r="H1054">
            <v>1.07833333333333</v>
          </cell>
          <cell r="I1054">
            <v>26</v>
          </cell>
          <cell r="J1054">
            <v>0</v>
          </cell>
          <cell r="K1054">
            <v>48.645000000000032</v>
          </cell>
          <cell r="L1054">
            <v>0</v>
          </cell>
          <cell r="M1054">
            <v>0</v>
          </cell>
        </row>
        <row r="1055">
          <cell r="A1055" t="str">
            <v>A20</v>
          </cell>
          <cell r="B1055" t="str">
            <v>Geotextil 400g/m2 Non Woven</v>
          </cell>
          <cell r="C1055" t="str">
            <v>m2</v>
          </cell>
          <cell r="F1055">
            <v>0.37356321839080464</v>
          </cell>
          <cell r="G1055">
            <v>1.1715517241379301</v>
          </cell>
          <cell r="H1055">
            <v>0.445182471264368</v>
          </cell>
          <cell r="I1055">
            <v>0.8</v>
          </cell>
          <cell r="J1055">
            <v>0</v>
          </cell>
          <cell r="K1055">
            <v>2.4167341954022983</v>
          </cell>
          <cell r="L1055">
            <v>0</v>
          </cell>
          <cell r="M1055">
            <v>0</v>
          </cell>
        </row>
        <row r="1056">
          <cell r="A1056" t="str">
            <v>A38</v>
          </cell>
          <cell r="B1056" t="str">
            <v>Excavación y eliminación de material para cunetas en roca</v>
          </cell>
          <cell r="C1056" t="str">
            <v>m3</v>
          </cell>
          <cell r="D1056">
            <v>12.5</v>
          </cell>
          <cell r="E1056">
            <v>1.1061165516134213</v>
          </cell>
          <cell r="F1056">
            <v>0.28461538461538466</v>
          </cell>
          <cell r="G1056">
            <v>1.41576923076923</v>
          </cell>
          <cell r="H1056">
            <v>7.0169423076923119</v>
          </cell>
          <cell r="I1056">
            <v>0</v>
          </cell>
          <cell r="J1056">
            <v>11.5</v>
          </cell>
          <cell r="K1056">
            <v>19.932711538461543</v>
          </cell>
          <cell r="L1056">
            <v>22.047902151228136</v>
          </cell>
          <cell r="M1056">
            <v>275.5987768903517</v>
          </cell>
        </row>
        <row r="1057">
          <cell r="A1057" t="str">
            <v>A39</v>
          </cell>
          <cell r="B1057" t="str">
            <v>Excavación y eliminación de material para cunetas en suelo común</v>
          </cell>
          <cell r="C1057" t="str">
            <v>m3</v>
          </cell>
          <cell r="F1057">
            <v>0.1957264957264957</v>
          </cell>
          <cell r="G1057">
            <v>0.98510256410256403</v>
          </cell>
          <cell r="H1057">
            <v>4.9954089743589778</v>
          </cell>
          <cell r="I1057">
            <v>0</v>
          </cell>
          <cell r="J1057">
            <v>0</v>
          </cell>
          <cell r="K1057">
            <v>5.9805115384615419</v>
          </cell>
          <cell r="L1057">
            <v>0</v>
          </cell>
          <cell r="M1057">
            <v>0</v>
          </cell>
        </row>
        <row r="1058">
          <cell r="A1058" t="str">
            <v>A21</v>
          </cell>
          <cell r="B1058" t="str">
            <v>Excavación y perfilado de zanjas</v>
          </cell>
          <cell r="C1058" t="str">
            <v>m3</v>
          </cell>
          <cell r="F1058">
            <v>1.2887346226726417</v>
          </cell>
          <cell r="G1058">
            <v>4.4896263901299003</v>
          </cell>
          <cell r="H1058">
            <v>6.5119556758310146</v>
          </cell>
          <cell r="I1058">
            <v>0</v>
          </cell>
          <cell r="J1058">
            <v>3.45</v>
          </cell>
          <cell r="K1058">
            <v>14.451582065960915</v>
          </cell>
          <cell r="L1058">
            <v>0</v>
          </cell>
          <cell r="M1058">
            <v>0</v>
          </cell>
        </row>
        <row r="1059">
          <cell r="A1059" t="str">
            <v>2.16</v>
          </cell>
          <cell r="B1059" t="str">
            <v>MINE MAINTENANCE DUST CONTROL WATER TANK SITE</v>
          </cell>
        </row>
        <row r="1060">
          <cell r="A1060" t="str">
            <v>2.16.a</v>
          </cell>
          <cell r="B1060" t="str">
            <v>Clear and Grub</v>
          </cell>
          <cell r="C1060" t="str">
            <v>Ls</v>
          </cell>
        </row>
        <row r="1061">
          <cell r="A1061" t="str">
            <v>2.16.b</v>
          </cell>
          <cell r="B1061" t="str">
            <v>Cut unsuitable soil to waste (includes organic soil)</v>
          </cell>
          <cell r="C1061" t="str">
            <v>m3</v>
          </cell>
          <cell r="D1061">
            <v>30</v>
          </cell>
          <cell r="F1061">
            <v>4.2928228021978017</v>
          </cell>
          <cell r="G1061">
            <v>0.74807967032966993</v>
          </cell>
          <cell r="H1061">
            <v>4.8135254725274708</v>
          </cell>
          <cell r="I1061">
            <v>0</v>
          </cell>
          <cell r="J1061">
            <v>0</v>
          </cell>
          <cell r="L1061">
            <v>5.56</v>
          </cell>
          <cell r="M1061">
            <v>166.8</v>
          </cell>
        </row>
        <row r="1062">
          <cell r="A1062" t="str">
            <v>A01</v>
          </cell>
          <cell r="B1062" t="str">
            <v>Excavación de Topsoil y Unsuitable (e&gt;1m)</v>
          </cell>
          <cell r="C1062" t="str">
            <v>m3</v>
          </cell>
          <cell r="D1062">
            <v>30</v>
          </cell>
          <cell r="E1062">
            <v>1.5</v>
          </cell>
          <cell r="F1062">
            <v>1.7142857142857144E-2</v>
          </cell>
          <cell r="G1062">
            <v>8.5542857142857004E-2</v>
          </cell>
          <cell r="H1062">
            <v>0.81924857142857199</v>
          </cell>
          <cell r="I1062">
            <v>0</v>
          </cell>
          <cell r="J1062">
            <v>0</v>
          </cell>
          <cell r="K1062">
            <v>0.90479142857142902</v>
          </cell>
          <cell r="L1062">
            <v>1.3571871428571436</v>
          </cell>
          <cell r="M1062">
            <v>40.71561428571431</v>
          </cell>
        </row>
        <row r="1063">
          <cell r="A1063" t="str">
            <v>A02</v>
          </cell>
          <cell r="B1063" t="str">
            <v>Excavación de Topsoil y Unsuitable (e&lt;1m)</v>
          </cell>
          <cell r="C1063" t="str">
            <v>m3</v>
          </cell>
          <cell r="D1063">
            <v>0</v>
          </cell>
          <cell r="F1063">
            <v>1.4285714285714285E-2</v>
          </cell>
          <cell r="G1063">
            <v>6.9214285714286006E-2</v>
          </cell>
          <cell r="H1063">
            <v>0.57488928571428499</v>
          </cell>
          <cell r="I1063">
            <v>0</v>
          </cell>
          <cell r="J1063">
            <v>0</v>
          </cell>
          <cell r="K1063">
            <v>0.644103571428571</v>
          </cell>
          <cell r="L1063">
            <v>0</v>
          </cell>
          <cell r="M1063">
            <v>0</v>
          </cell>
        </row>
        <row r="1064">
          <cell r="A1064" t="str">
            <v>A03</v>
          </cell>
          <cell r="B1064" t="str">
            <v>Carguío de Topsoil &amp; Unsuitable con excavadora</v>
          </cell>
          <cell r="C1064" t="str">
            <v>m3</v>
          </cell>
          <cell r="D1064">
            <v>30</v>
          </cell>
          <cell r="E1064">
            <v>1.5</v>
          </cell>
          <cell r="F1064">
            <v>1.3461538461538462E-2</v>
          </cell>
          <cell r="G1064">
            <v>7.1076923076922996E-2</v>
          </cell>
          <cell r="H1064">
            <v>0.70142307692307704</v>
          </cell>
          <cell r="I1064">
            <v>0</v>
          </cell>
          <cell r="J1064">
            <v>0</v>
          </cell>
          <cell r="K1064">
            <v>0.77250000000000008</v>
          </cell>
          <cell r="L1064">
            <v>1.1587500000000002</v>
          </cell>
          <cell r="M1064">
            <v>34.762500000000003</v>
          </cell>
        </row>
        <row r="1065">
          <cell r="A1065" t="str">
            <v>A04</v>
          </cell>
          <cell r="B1065" t="str">
            <v>Acarreo d&lt;1km (sin esponj)</v>
          </cell>
          <cell r="C1065" t="str">
            <v>m3</v>
          </cell>
          <cell r="D1065">
            <v>30</v>
          </cell>
          <cell r="E1065">
            <v>2.25</v>
          </cell>
          <cell r="F1065">
            <v>1.9444444444444441E-2</v>
          </cell>
          <cell r="G1065">
            <v>0.102666666666667</v>
          </cell>
          <cell r="H1065">
            <v>0.50555555555555498</v>
          </cell>
          <cell r="I1065">
            <v>0</v>
          </cell>
          <cell r="J1065">
            <v>0</v>
          </cell>
          <cell r="K1065">
            <v>0.608222222222222</v>
          </cell>
          <cell r="L1065">
            <v>1.3684999999999996</v>
          </cell>
          <cell r="M1065">
            <v>41.054999999999986</v>
          </cell>
        </row>
        <row r="1066">
          <cell r="A1066" t="str">
            <v>A05</v>
          </cell>
          <cell r="B1066" t="str">
            <v>Sobreacarreo (d&gt;1km) (sin esponj)</v>
          </cell>
          <cell r="C1066" t="str">
            <v>m3-km</v>
          </cell>
          <cell r="D1066">
            <v>79.800000000000011</v>
          </cell>
          <cell r="E1066">
            <v>2.25</v>
          </cell>
          <cell r="F1066">
            <v>8.9285714285714263E-3</v>
          </cell>
          <cell r="G1066">
            <v>4.7142857142857E-2</v>
          </cell>
          <cell r="H1066">
            <v>0.23308571428571401</v>
          </cell>
          <cell r="I1066">
            <v>0</v>
          </cell>
          <cell r="J1066">
            <v>0</v>
          </cell>
          <cell r="K1066">
            <v>0.28022857142857105</v>
          </cell>
          <cell r="L1066">
            <v>0.63051428571428492</v>
          </cell>
          <cell r="M1066">
            <v>50.315039999999946</v>
          </cell>
        </row>
        <row r="1067">
          <cell r="A1067" t="str">
            <v>2.16.c</v>
          </cell>
          <cell r="B1067" t="str">
            <v>Cut and Fill Soil or Ripable Rock, within sub-Item work zone</v>
          </cell>
          <cell r="C1067" t="str">
            <v>m3</v>
          </cell>
          <cell r="D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L1067">
            <v>0</v>
          </cell>
          <cell r="M1067">
            <v>0</v>
          </cell>
        </row>
        <row r="1068">
          <cell r="A1068" t="str">
            <v>A06</v>
          </cell>
          <cell r="B1068" t="str">
            <v>Excavación de roca ripeable</v>
          </cell>
          <cell r="C1068" t="str">
            <v>m3</v>
          </cell>
          <cell r="D1068">
            <v>0</v>
          </cell>
          <cell r="F1068">
            <v>3.3333333333333333E-2</v>
          </cell>
          <cell r="G1068">
            <v>0.16439999999999999</v>
          </cell>
          <cell r="H1068">
            <v>1.5519306666666701</v>
          </cell>
          <cell r="I1068">
            <v>0</v>
          </cell>
          <cell r="J1068">
            <v>0</v>
          </cell>
          <cell r="K1068">
            <v>1.7163306666666702</v>
          </cell>
          <cell r="L1068">
            <v>0</v>
          </cell>
          <cell r="M1068">
            <v>0</v>
          </cell>
        </row>
        <row r="1069">
          <cell r="A1069" t="str">
            <v>A07</v>
          </cell>
          <cell r="B1069" t="str">
            <v>Empuje de material d&lt;60m</v>
          </cell>
          <cell r="C1069" t="str">
            <v>m3</v>
          </cell>
          <cell r="D1069">
            <v>0</v>
          </cell>
          <cell r="F1069">
            <v>1.2500000000000001E-2</v>
          </cell>
          <cell r="G1069">
            <v>6.0562499999999998E-2</v>
          </cell>
          <cell r="H1069">
            <v>0.50302812500000005</v>
          </cell>
          <cell r="I1069">
            <v>0</v>
          </cell>
          <cell r="J1069">
            <v>0</v>
          </cell>
          <cell r="K1069">
            <v>0.56359062500000001</v>
          </cell>
          <cell r="L1069">
            <v>0</v>
          </cell>
          <cell r="M1069">
            <v>0</v>
          </cell>
        </row>
        <row r="1070">
          <cell r="A1070" t="str">
            <v>A08</v>
          </cell>
          <cell r="B1070" t="str">
            <v>Relleno masivo compactado</v>
          </cell>
          <cell r="C1070" t="str">
            <v>m3</v>
          </cell>
          <cell r="D1070">
            <v>0</v>
          </cell>
          <cell r="F1070">
            <v>4.2499999999999996E-2</v>
          </cell>
          <cell r="G1070">
            <v>0.22367500000000001</v>
          </cell>
          <cell r="H1070">
            <v>1.49118375</v>
          </cell>
          <cell r="I1070">
            <v>0</v>
          </cell>
          <cell r="J1070">
            <v>0</v>
          </cell>
          <cell r="K1070">
            <v>1.7148587500000001</v>
          </cell>
          <cell r="L1070">
            <v>0</v>
          </cell>
          <cell r="M1070">
            <v>0</v>
          </cell>
        </row>
        <row r="1071">
          <cell r="A1071" t="str">
            <v>2.16.d</v>
          </cell>
          <cell r="B1071" t="str">
            <v xml:space="preserve">Cut and Fill Soil or Ripable Rock to Other sub-Item work zone </v>
          </cell>
          <cell r="C1071" t="str">
            <v>m3</v>
          </cell>
          <cell r="D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L1071">
            <v>0</v>
          </cell>
          <cell r="M1071">
            <v>0</v>
          </cell>
        </row>
        <row r="1072">
          <cell r="A1072" t="str">
            <v>A06</v>
          </cell>
          <cell r="B1072" t="str">
            <v>Excavación de roca ripeable</v>
          </cell>
          <cell r="C1072" t="str">
            <v>m3</v>
          </cell>
          <cell r="D1072">
            <v>0</v>
          </cell>
          <cell r="F1072">
            <v>3.3333333333333333E-2</v>
          </cell>
          <cell r="G1072">
            <v>0.16439999999999999</v>
          </cell>
          <cell r="H1072">
            <v>1.5519306666666701</v>
          </cell>
          <cell r="I1072">
            <v>0</v>
          </cell>
          <cell r="J1072">
            <v>0</v>
          </cell>
          <cell r="K1072">
            <v>1.7163306666666702</v>
          </cell>
          <cell r="L1072">
            <v>0</v>
          </cell>
          <cell r="M1072">
            <v>0</v>
          </cell>
        </row>
        <row r="1073">
          <cell r="A1073" t="str">
            <v>A09</v>
          </cell>
          <cell r="B1073" t="str">
            <v>Carguío de material común &amp; roca ripeable con excavadora</v>
          </cell>
          <cell r="C1073" t="str">
            <v>m3</v>
          </cell>
          <cell r="F1073">
            <v>8.0000000000000002E-3</v>
          </cell>
          <cell r="G1073">
            <v>4.224E-2</v>
          </cell>
          <cell r="H1073">
            <v>0.57259199999999999</v>
          </cell>
          <cell r="I1073">
            <v>0</v>
          </cell>
          <cell r="J1073">
            <v>0</v>
          </cell>
          <cell r="K1073">
            <v>0.61483199999999993</v>
          </cell>
          <cell r="L1073">
            <v>0</v>
          </cell>
          <cell r="M1073">
            <v>0</v>
          </cell>
        </row>
        <row r="1074">
          <cell r="A1074" t="str">
            <v>A08</v>
          </cell>
          <cell r="B1074" t="str">
            <v>Relleno masivo compactado</v>
          </cell>
          <cell r="C1074" t="str">
            <v>m3</v>
          </cell>
          <cell r="D1074">
            <v>0</v>
          </cell>
          <cell r="F1074">
            <v>4.2499999999999996E-2</v>
          </cell>
          <cell r="G1074">
            <v>0.22367500000000001</v>
          </cell>
          <cell r="H1074">
            <v>1.49118375</v>
          </cell>
          <cell r="I1074">
            <v>0</v>
          </cell>
          <cell r="J1074">
            <v>0</v>
          </cell>
          <cell r="K1074">
            <v>1.7148587500000001</v>
          </cell>
          <cell r="L1074">
            <v>0</v>
          </cell>
          <cell r="M1074">
            <v>0</v>
          </cell>
        </row>
        <row r="1075">
          <cell r="A1075" t="str">
            <v>A04</v>
          </cell>
          <cell r="B1075" t="str">
            <v>Acarreo d&lt;1km (sin esponj)</v>
          </cell>
          <cell r="C1075" t="str">
            <v>m3</v>
          </cell>
          <cell r="F1075">
            <v>1.9444444444444441E-2</v>
          </cell>
          <cell r="G1075">
            <v>0.102666666666667</v>
          </cell>
          <cell r="H1075">
            <v>0.50555555555555498</v>
          </cell>
          <cell r="I1075">
            <v>0</v>
          </cell>
          <cell r="J1075">
            <v>0</v>
          </cell>
          <cell r="K1075">
            <v>0.608222222222222</v>
          </cell>
          <cell r="L1075">
            <v>0</v>
          </cell>
          <cell r="M1075">
            <v>0</v>
          </cell>
        </row>
        <row r="1076">
          <cell r="A1076" t="str">
            <v>A05</v>
          </cell>
          <cell r="B1076" t="str">
            <v>Sobreacarreo (d&gt;1km) (sin esponj)</v>
          </cell>
          <cell r="C1076" t="str">
            <v>m3-km</v>
          </cell>
          <cell r="F1076">
            <v>8.9285714285714263E-3</v>
          </cell>
          <cell r="G1076">
            <v>4.7142857142857E-2</v>
          </cell>
          <cell r="H1076">
            <v>0.23308571428571401</v>
          </cell>
          <cell r="I1076">
            <v>0</v>
          </cell>
          <cell r="J1076">
            <v>0</v>
          </cell>
          <cell r="K1076">
            <v>0.28022857142857105</v>
          </cell>
          <cell r="L1076">
            <v>0</v>
          </cell>
          <cell r="M1076">
            <v>0</v>
          </cell>
        </row>
        <row r="1077">
          <cell r="A1077" t="str">
            <v>2.16.e</v>
          </cell>
          <cell r="B1077" t="str">
            <v>Drill and blast bulk rock (without limit on thickness, broken to fine or coarse fragments as required depending on end-use. Applies to locations other than trenches and ditches).</v>
          </cell>
          <cell r="C1077" t="str">
            <v>m3</v>
          </cell>
          <cell r="D1077">
            <v>400</v>
          </cell>
          <cell r="F1077">
            <v>35.864734299516911</v>
          </cell>
          <cell r="G1077">
            <v>0</v>
          </cell>
          <cell r="H1077">
            <v>0</v>
          </cell>
          <cell r="I1077">
            <v>0</v>
          </cell>
          <cell r="J1077">
            <v>3.2640000000000002</v>
          </cell>
          <cell r="L1077">
            <v>3.26</v>
          </cell>
          <cell r="M1077">
            <v>1304</v>
          </cell>
        </row>
        <row r="1078">
          <cell r="A1078" t="str">
            <v>A11</v>
          </cell>
          <cell r="B1078" t="str">
            <v>Perforación y voladura masiva (material fino)</v>
          </cell>
          <cell r="C1078" t="str">
            <v>m3</v>
          </cell>
          <cell r="F1078">
            <v>7.4718196457326899E-2</v>
          </cell>
          <cell r="G1078">
            <v>0</v>
          </cell>
          <cell r="H1078">
            <v>0</v>
          </cell>
          <cell r="I1078">
            <v>0</v>
          </cell>
          <cell r="J1078">
            <v>2.78</v>
          </cell>
          <cell r="K1078">
            <v>2.78</v>
          </cell>
          <cell r="L1078">
            <v>0</v>
          </cell>
          <cell r="M1078">
            <v>0</v>
          </cell>
        </row>
        <row r="1079">
          <cell r="A1079" t="str">
            <v>A12</v>
          </cell>
          <cell r="B1079" t="str">
            <v>Perforación y voladura masiva (material grueso)</v>
          </cell>
          <cell r="C1079" t="str">
            <v>m3</v>
          </cell>
          <cell r="D1079">
            <v>400</v>
          </cell>
          <cell r="E1079">
            <v>1.2</v>
          </cell>
          <cell r="F1079">
            <v>7.4718196457326899E-2</v>
          </cell>
          <cell r="G1079">
            <v>0</v>
          </cell>
          <cell r="H1079">
            <v>0</v>
          </cell>
          <cell r="I1079">
            <v>0</v>
          </cell>
          <cell r="J1079">
            <v>2.72</v>
          </cell>
          <cell r="K1079">
            <v>2.72</v>
          </cell>
          <cell r="L1079">
            <v>3.2640000000000002</v>
          </cell>
          <cell r="M1079">
            <v>1305.6000000000001</v>
          </cell>
        </row>
        <row r="1080">
          <cell r="A1080" t="str">
            <v>2.16.f</v>
          </cell>
          <cell r="B1080" t="str">
            <v xml:space="preserve">Excavate and Fill (fine blasted) broken rock </v>
          </cell>
          <cell r="C1080" t="str">
            <v>m3</v>
          </cell>
          <cell r="D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L1080">
            <v>0</v>
          </cell>
          <cell r="M1080">
            <v>0</v>
          </cell>
        </row>
        <row r="1081">
          <cell r="A1081" t="str">
            <v>A13</v>
          </cell>
          <cell r="B1081" t="str">
            <v>Remoción de Material fino volado</v>
          </cell>
          <cell r="C1081" t="str">
            <v>m3</v>
          </cell>
          <cell r="D1081">
            <v>0</v>
          </cell>
          <cell r="F1081">
            <v>2.4E-2</v>
          </cell>
          <cell r="G1081">
            <v>0.11976000000000001</v>
          </cell>
          <cell r="H1081">
            <v>1.1023720000000001</v>
          </cell>
          <cell r="I1081">
            <v>0</v>
          </cell>
          <cell r="J1081">
            <v>0</v>
          </cell>
          <cell r="K1081">
            <v>1.2221320000000002</v>
          </cell>
          <cell r="L1081">
            <v>0</v>
          </cell>
          <cell r="M1081">
            <v>0</v>
          </cell>
        </row>
        <row r="1082">
          <cell r="A1082" t="str">
            <v>A07</v>
          </cell>
          <cell r="B1082" t="str">
            <v>Empuje de material d&lt;60m</v>
          </cell>
          <cell r="C1082" t="str">
            <v>m3</v>
          </cell>
          <cell r="D1082">
            <v>0</v>
          </cell>
          <cell r="F1082">
            <v>1.2500000000000001E-2</v>
          </cell>
          <cell r="G1082">
            <v>6.0562499999999998E-2</v>
          </cell>
          <cell r="H1082">
            <v>0.50302812500000005</v>
          </cell>
          <cell r="I1082">
            <v>0</v>
          </cell>
          <cell r="J1082">
            <v>0</v>
          </cell>
          <cell r="K1082">
            <v>0.56359062500000001</v>
          </cell>
          <cell r="L1082">
            <v>0</v>
          </cell>
          <cell r="M1082">
            <v>0</v>
          </cell>
        </row>
        <row r="1083">
          <cell r="A1083" t="str">
            <v>A08</v>
          </cell>
          <cell r="B1083" t="str">
            <v>Relleno masivo compactado</v>
          </cell>
          <cell r="C1083" t="str">
            <v>m3</v>
          </cell>
          <cell r="D1083">
            <v>0</v>
          </cell>
          <cell r="F1083">
            <v>4.2499999999999996E-2</v>
          </cell>
          <cell r="G1083">
            <v>0.22367500000000001</v>
          </cell>
          <cell r="H1083">
            <v>1.49118375</v>
          </cell>
          <cell r="I1083">
            <v>0</v>
          </cell>
          <cell r="J1083">
            <v>0</v>
          </cell>
          <cell r="K1083">
            <v>1.7148587500000001</v>
          </cell>
          <cell r="L1083">
            <v>0</v>
          </cell>
          <cell r="M1083">
            <v>0</v>
          </cell>
        </row>
        <row r="1084">
          <cell r="A1084" t="str">
            <v>2.16.g</v>
          </cell>
          <cell r="B1084" t="str">
            <v xml:space="preserve">Excavate (fine or coarse blasted) broken rock to Waste Rock Surplus Sockpile </v>
          </cell>
          <cell r="C1084" t="str">
            <v>m3</v>
          </cell>
          <cell r="D1084">
            <v>400</v>
          </cell>
          <cell r="F1084">
            <v>37.596148842050482</v>
          </cell>
          <cell r="G1084">
            <v>0.48901916471506623</v>
          </cell>
          <cell r="H1084">
            <v>3.3424024327348438</v>
          </cell>
          <cell r="I1084">
            <v>0</v>
          </cell>
          <cell r="J1084">
            <v>0</v>
          </cell>
          <cell r="L1084">
            <v>3.83</v>
          </cell>
          <cell r="M1084">
            <v>1532</v>
          </cell>
        </row>
        <row r="1085">
          <cell r="A1085" t="str">
            <v>A14</v>
          </cell>
          <cell r="B1085" t="str">
            <v>Remoción de Material grueso volado</v>
          </cell>
          <cell r="C1085" t="str">
            <v>m3</v>
          </cell>
          <cell r="D1085">
            <v>400</v>
          </cell>
          <cell r="E1085">
            <v>1</v>
          </cell>
          <cell r="F1085">
            <v>2.5000000000000001E-2</v>
          </cell>
          <cell r="G1085">
            <v>0.12475</v>
          </cell>
          <cell r="H1085">
            <v>1.11859166666667</v>
          </cell>
          <cell r="I1085">
            <v>0</v>
          </cell>
          <cell r="J1085">
            <v>0</v>
          </cell>
          <cell r="K1085">
            <v>1.2433416666666699</v>
          </cell>
          <cell r="L1085">
            <v>1.2433416666666699</v>
          </cell>
          <cell r="M1085">
            <v>497.33666666666795</v>
          </cell>
        </row>
        <row r="1086">
          <cell r="A1086" t="str">
            <v>A43</v>
          </cell>
          <cell r="B1086" t="str">
            <v>Carguío de roca volada con excavadora</v>
          </cell>
          <cell r="C1086" t="str">
            <v>m3</v>
          </cell>
          <cell r="D1086">
            <v>400</v>
          </cell>
          <cell r="E1086">
            <v>1</v>
          </cell>
          <cell r="F1086">
            <v>8.1967213114754103E-3</v>
          </cell>
          <cell r="G1086">
            <v>4.3278688524589999E-2</v>
          </cell>
          <cell r="H1086">
            <v>0.58667213114754102</v>
          </cell>
          <cell r="I1086">
            <v>0</v>
          </cell>
          <cell r="J1086">
            <v>0</v>
          </cell>
          <cell r="K1086">
            <v>0.62995081967213107</v>
          </cell>
          <cell r="L1086">
            <v>0.62995081967213107</v>
          </cell>
          <cell r="M1086">
            <v>251.98032786885244</v>
          </cell>
        </row>
        <row r="1087">
          <cell r="A1087" t="str">
            <v>A10</v>
          </cell>
          <cell r="B1087" t="str">
            <v>Extendido de roca en botadero</v>
          </cell>
          <cell r="C1087" t="str">
            <v>m3</v>
          </cell>
          <cell r="D1087">
            <v>400</v>
          </cell>
          <cell r="E1087">
            <v>1</v>
          </cell>
          <cell r="F1087">
            <v>3.5714285714285713E-3</v>
          </cell>
          <cell r="G1087">
            <v>1.8857142857142999E-2</v>
          </cell>
          <cell r="H1087">
            <v>0.14619285714285699</v>
          </cell>
          <cell r="I1087">
            <v>0</v>
          </cell>
          <cell r="J1087">
            <v>0</v>
          </cell>
          <cell r="K1087">
            <v>0.16504999999999997</v>
          </cell>
          <cell r="L1087">
            <v>0.16504999999999997</v>
          </cell>
          <cell r="M1087">
            <v>66.02</v>
          </cell>
        </row>
        <row r="1088">
          <cell r="A1088" t="str">
            <v>A04</v>
          </cell>
          <cell r="B1088" t="str">
            <v>Acarreo d&lt;1km (sin esponj)</v>
          </cell>
          <cell r="C1088" t="str">
            <v>m3</v>
          </cell>
          <cell r="D1088">
            <v>400</v>
          </cell>
          <cell r="E1088">
            <v>1.4</v>
          </cell>
          <cell r="F1088">
            <v>1.9444444444444441E-2</v>
          </cell>
          <cell r="G1088">
            <v>0.102666666666667</v>
          </cell>
          <cell r="H1088">
            <v>0.50555555555555498</v>
          </cell>
          <cell r="I1088">
            <v>0</v>
          </cell>
          <cell r="J1088">
            <v>0</v>
          </cell>
          <cell r="K1088">
            <v>0.608222222222222</v>
          </cell>
          <cell r="L1088">
            <v>0.85151111111111077</v>
          </cell>
          <cell r="M1088">
            <v>340.60444444444431</v>
          </cell>
        </row>
        <row r="1089">
          <cell r="A1089" t="str">
            <v>A05</v>
          </cell>
          <cell r="B1089" t="str">
            <v>Sobreacarreo (d&gt;1km) (sin esponj)</v>
          </cell>
          <cell r="C1089" t="str">
            <v>m3-km</v>
          </cell>
          <cell r="D1089">
            <v>960</v>
          </cell>
          <cell r="E1089">
            <v>1.4</v>
          </cell>
          <cell r="F1089">
            <v>8.9285714285714263E-3</v>
          </cell>
          <cell r="G1089">
            <v>4.7142857142857E-2</v>
          </cell>
          <cell r="H1089">
            <v>0.23308571428571401</v>
          </cell>
          <cell r="I1089">
            <v>0</v>
          </cell>
          <cell r="J1089">
            <v>0</v>
          </cell>
          <cell r="K1089">
            <v>0.28022857142857105</v>
          </cell>
          <cell r="L1089">
            <v>0.39231999999999945</v>
          </cell>
          <cell r="M1089">
            <v>376.62719999999945</v>
          </cell>
        </row>
        <row r="1090">
          <cell r="A1090" t="str">
            <v>2.16.h</v>
          </cell>
          <cell r="B1090" t="str">
            <v>Supply and Install Backfill Granular A to roads/yards</v>
          </cell>
          <cell r="C1090" t="str">
            <v>m3</v>
          </cell>
          <cell r="D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</row>
        <row r="1091">
          <cell r="A1091" t="str">
            <v>A15</v>
          </cell>
          <cell r="B1091" t="str">
            <v>Suministro de material granular A</v>
          </cell>
          <cell r="C1091" t="str">
            <v>m3</v>
          </cell>
          <cell r="F1091">
            <v>0</v>
          </cell>
          <cell r="G1091">
            <v>0</v>
          </cell>
          <cell r="H1091">
            <v>0</v>
          </cell>
          <cell r="I1091">
            <v>2.85</v>
          </cell>
          <cell r="J1091">
            <v>0</v>
          </cell>
          <cell r="K1091">
            <v>2.85</v>
          </cell>
          <cell r="L1091">
            <v>0</v>
          </cell>
          <cell r="M1091">
            <v>0</v>
          </cell>
        </row>
        <row r="1092">
          <cell r="A1092" t="str">
            <v>A16</v>
          </cell>
          <cell r="B1092" t="str">
            <v>Colocación y compactación Mat Granular A</v>
          </cell>
          <cell r="C1092" t="str">
            <v>m3</v>
          </cell>
          <cell r="F1092">
            <v>0.37805555555555553</v>
          </cell>
          <cell r="G1092">
            <v>1.4478</v>
          </cell>
          <cell r="H1092">
            <v>3.0801342222222199</v>
          </cell>
          <cell r="I1092">
            <v>0</v>
          </cell>
          <cell r="J1092">
            <v>0</v>
          </cell>
          <cell r="K1092">
            <v>4.5279342222222194</v>
          </cell>
          <cell r="L1092">
            <v>0</v>
          </cell>
          <cell r="M1092">
            <v>0</v>
          </cell>
        </row>
        <row r="1093">
          <cell r="A1093" t="str">
            <v>A04</v>
          </cell>
          <cell r="B1093" t="str">
            <v>Acarreo d&lt;1km (sin esponj)</v>
          </cell>
          <cell r="C1093" t="str">
            <v>m3</v>
          </cell>
          <cell r="F1093">
            <v>1.9444444444444441E-2</v>
          </cell>
          <cell r="G1093">
            <v>0.102666666666667</v>
          </cell>
          <cell r="H1093">
            <v>0.50555555555555498</v>
          </cell>
          <cell r="I1093">
            <v>0</v>
          </cell>
          <cell r="J1093">
            <v>0</v>
          </cell>
          <cell r="K1093">
            <v>0.608222222222222</v>
          </cell>
          <cell r="L1093">
            <v>0</v>
          </cell>
          <cell r="M1093">
            <v>0</v>
          </cell>
        </row>
        <row r="1094">
          <cell r="A1094" t="str">
            <v>A05</v>
          </cell>
          <cell r="B1094" t="str">
            <v>Sobreacarreo (d&gt;1km) (sin esponj)</v>
          </cell>
          <cell r="C1094" t="str">
            <v>m3-km</v>
          </cell>
          <cell r="F1094">
            <v>8.9285714285714263E-3</v>
          </cell>
          <cell r="G1094">
            <v>4.7142857142857E-2</v>
          </cell>
          <cell r="H1094">
            <v>0.23308571428571401</v>
          </cell>
          <cell r="I1094">
            <v>0</v>
          </cell>
          <cell r="J1094">
            <v>0</v>
          </cell>
          <cell r="K1094">
            <v>0.28022857142857105</v>
          </cell>
          <cell r="L1094">
            <v>0</v>
          </cell>
          <cell r="M1094">
            <v>0</v>
          </cell>
        </row>
        <row r="1095">
          <cell r="A1095" t="str">
            <v>2.16.i</v>
          </cell>
          <cell r="B1095" t="str">
            <v>Supply and Install Backfill Granular B to roads/yards</v>
          </cell>
          <cell r="C1095" t="str">
            <v>m3</v>
          </cell>
          <cell r="D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</row>
        <row r="1096">
          <cell r="A1096" t="str">
            <v>A40</v>
          </cell>
          <cell r="B1096" t="str">
            <v>Suministro de material granular B</v>
          </cell>
          <cell r="C1096" t="str">
            <v>m3</v>
          </cell>
          <cell r="F1096">
            <v>0</v>
          </cell>
          <cell r="G1096">
            <v>0</v>
          </cell>
          <cell r="H1096">
            <v>0</v>
          </cell>
          <cell r="I1096">
            <v>2.85</v>
          </cell>
          <cell r="J1096">
            <v>0</v>
          </cell>
          <cell r="K1096">
            <v>2.85</v>
          </cell>
          <cell r="L1096">
            <v>0</v>
          </cell>
          <cell r="M1096">
            <v>0</v>
          </cell>
        </row>
        <row r="1097">
          <cell r="A1097" t="str">
            <v>A41</v>
          </cell>
          <cell r="B1097" t="str">
            <v>Colocación y compactación Mat Granular B</v>
          </cell>
          <cell r="C1097" t="str">
            <v>m3</v>
          </cell>
          <cell r="F1097">
            <v>0.10416666666666666</v>
          </cell>
          <cell r="G1097">
            <v>0.53187499999999999</v>
          </cell>
          <cell r="H1097">
            <v>2.3804166666666702</v>
          </cell>
          <cell r="I1097">
            <v>0</v>
          </cell>
          <cell r="J1097">
            <v>0</v>
          </cell>
          <cell r="K1097">
            <v>2.9122916666666701</v>
          </cell>
          <cell r="L1097">
            <v>0</v>
          </cell>
          <cell r="M1097">
            <v>0</v>
          </cell>
        </row>
        <row r="1098">
          <cell r="A1098" t="str">
            <v>A04</v>
          </cell>
          <cell r="B1098" t="str">
            <v>Acarreo d&lt;1km (sin esponj)</v>
          </cell>
          <cell r="C1098" t="str">
            <v>m3</v>
          </cell>
          <cell r="F1098">
            <v>1.9444444444444441E-2</v>
          </cell>
          <cell r="G1098">
            <v>0.102666666666667</v>
          </cell>
          <cell r="H1098">
            <v>0.50555555555555498</v>
          </cell>
          <cell r="I1098">
            <v>0</v>
          </cell>
          <cell r="J1098">
            <v>0</v>
          </cell>
          <cell r="K1098">
            <v>0.608222222222222</v>
          </cell>
          <cell r="L1098">
            <v>0</v>
          </cell>
          <cell r="M1098">
            <v>0</v>
          </cell>
        </row>
        <row r="1099">
          <cell r="A1099" t="str">
            <v>A05</v>
          </cell>
          <cell r="B1099" t="str">
            <v>Sobreacarreo (d&gt;1km) (sin esponj)</v>
          </cell>
          <cell r="C1099" t="str">
            <v>m3-km</v>
          </cell>
          <cell r="F1099">
            <v>8.9285714285714263E-3</v>
          </cell>
          <cell r="G1099">
            <v>4.7142857142857E-2</v>
          </cell>
          <cell r="H1099">
            <v>0.23308571428571401</v>
          </cell>
          <cell r="I1099">
            <v>0</v>
          </cell>
          <cell r="J1099">
            <v>0</v>
          </cell>
          <cell r="K1099">
            <v>0.28022857142857105</v>
          </cell>
          <cell r="L1099">
            <v>0</v>
          </cell>
          <cell r="M1099">
            <v>0</v>
          </cell>
        </row>
        <row r="1100">
          <cell r="A1100" t="str">
            <v>2.16.j</v>
          </cell>
          <cell r="B1100" t="str">
            <v>Supply and Install Riprap-Geotextile-Bedding to ditches and slopes, including rock/earth excavation and shaping of the site</v>
          </cell>
          <cell r="C1100" t="str">
            <v>Ls</v>
          </cell>
          <cell r="D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L1100">
            <v>0</v>
          </cell>
          <cell r="M1100">
            <v>0</v>
          </cell>
        </row>
        <row r="1101">
          <cell r="A1101" t="str">
            <v>A19</v>
          </cell>
          <cell r="B1101" t="str">
            <v>Rip rap</v>
          </cell>
          <cell r="C1101" t="str">
            <v>m3</v>
          </cell>
          <cell r="F1101">
            <v>2.7285714285714286</v>
          </cell>
          <cell r="G1101">
            <v>8.8182857142857092</v>
          </cell>
          <cell r="H1101">
            <v>4.8350057142857139</v>
          </cell>
          <cell r="I1101">
            <v>2.85</v>
          </cell>
          <cell r="J1101">
            <v>0</v>
          </cell>
          <cell r="K1101">
            <v>16.503291428571423</v>
          </cell>
          <cell r="L1101">
            <v>0</v>
          </cell>
          <cell r="M1101">
            <v>0</v>
          </cell>
        </row>
        <row r="1102">
          <cell r="A1102" t="str">
            <v>A20</v>
          </cell>
          <cell r="B1102" t="str">
            <v>Geotextil 400g/m2 Non Woven</v>
          </cell>
          <cell r="C1102" t="str">
            <v>m2</v>
          </cell>
          <cell r="F1102">
            <v>0.37356321839080464</v>
          </cell>
          <cell r="G1102">
            <v>1.1715517241379301</v>
          </cell>
          <cell r="H1102">
            <v>0.445182471264368</v>
          </cell>
          <cell r="I1102">
            <v>0.8</v>
          </cell>
          <cell r="J1102">
            <v>0</v>
          </cell>
          <cell r="K1102">
            <v>2.4167341954022983</v>
          </cell>
          <cell r="L1102">
            <v>0</v>
          </cell>
          <cell r="M1102">
            <v>0</v>
          </cell>
        </row>
        <row r="1103">
          <cell r="A1103" t="str">
            <v>A21</v>
          </cell>
          <cell r="B1103" t="str">
            <v>Excavación y perfilado de zanjas</v>
          </cell>
          <cell r="C1103" t="str">
            <v>m3</v>
          </cell>
          <cell r="F1103">
            <v>1.2887346226726417</v>
          </cell>
          <cell r="G1103">
            <v>4.4896263901299003</v>
          </cell>
          <cell r="H1103">
            <v>6.5119556758310146</v>
          </cell>
          <cell r="I1103">
            <v>0</v>
          </cell>
          <cell r="J1103">
            <v>3.45</v>
          </cell>
          <cell r="K1103">
            <v>14.451582065960915</v>
          </cell>
          <cell r="L1103">
            <v>0</v>
          </cell>
          <cell r="M1103">
            <v>0</v>
          </cell>
        </row>
        <row r="1104">
          <cell r="A1104" t="str">
            <v>2.16.k</v>
          </cell>
          <cell r="B1104" t="str">
            <v>Supply and Install Gabions-Geotextile-Bedding-Concrete Facing, complete including rock/earth excavation shaping &amp; backfill of the site</v>
          </cell>
          <cell r="C1104" t="str">
            <v>Ls</v>
          </cell>
          <cell r="D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L1104">
            <v>0</v>
          </cell>
          <cell r="M1104">
            <v>0</v>
          </cell>
        </row>
        <row r="1105">
          <cell r="A1105" t="str">
            <v>A22</v>
          </cell>
          <cell r="B1105" t="str">
            <v>Supply and Install Granular A Surfacing to roads/yards</v>
          </cell>
          <cell r="C1105" t="str">
            <v>m3</v>
          </cell>
          <cell r="F1105">
            <v>0.47959325396825392</v>
          </cell>
          <cell r="G1105">
            <v>1.9839190476190467</v>
          </cell>
          <cell r="H1105">
            <v>5.7282700952380896</v>
          </cell>
          <cell r="I1105">
            <v>3.5625</v>
          </cell>
          <cell r="J1105">
            <v>0</v>
          </cell>
          <cell r="K1105">
            <v>11.274689142857136</v>
          </cell>
          <cell r="L1105">
            <v>0</v>
          </cell>
          <cell r="M1105">
            <v>0</v>
          </cell>
        </row>
        <row r="1106">
          <cell r="A1106" t="str">
            <v>A23</v>
          </cell>
          <cell r="B1106" t="str">
            <v>Concrete Lining</v>
          </cell>
          <cell r="C1106" t="str">
            <v>m3</v>
          </cell>
          <cell r="F1106">
            <v>14.282608695652174</v>
          </cell>
          <cell r="G1106">
            <v>49.431086956521703</v>
          </cell>
          <cell r="H1106">
            <v>4.9527137681159399</v>
          </cell>
          <cell r="I1106">
            <v>60</v>
          </cell>
          <cell r="J1106">
            <v>0</v>
          </cell>
          <cell r="K1106">
            <v>114.38380072463765</v>
          </cell>
          <cell r="L1106">
            <v>0</v>
          </cell>
          <cell r="M1106">
            <v>0</v>
          </cell>
        </row>
        <row r="1107">
          <cell r="A1107" t="str">
            <v>A24</v>
          </cell>
          <cell r="B1107" t="str">
            <v>Gavión</v>
          </cell>
          <cell r="C1107" t="str">
            <v>m3</v>
          </cell>
          <cell r="F1107">
            <v>1.7583333333333333</v>
          </cell>
          <cell r="G1107">
            <v>6.2273333333333296</v>
          </cell>
          <cell r="H1107">
            <v>7.133083333333337</v>
          </cell>
          <cell r="I1107">
            <v>19.350000000000001</v>
          </cell>
          <cell r="J1107">
            <v>0</v>
          </cell>
          <cell r="K1107">
            <v>32.710416666666674</v>
          </cell>
          <cell r="L1107">
            <v>0</v>
          </cell>
          <cell r="M1107">
            <v>0</v>
          </cell>
        </row>
        <row r="1108">
          <cell r="A1108" t="str">
            <v>A21</v>
          </cell>
          <cell r="B1108" t="str">
            <v>Excavación y perfilado de zanjas</v>
          </cell>
          <cell r="C1108" t="str">
            <v>m3</v>
          </cell>
          <cell r="F1108">
            <v>1.2887346226726417</v>
          </cell>
          <cell r="G1108">
            <v>4.4896263901299003</v>
          </cell>
          <cell r="H1108">
            <v>6.5119556758310146</v>
          </cell>
          <cell r="I1108">
            <v>0</v>
          </cell>
          <cell r="J1108">
            <v>3.45</v>
          </cell>
          <cell r="K1108">
            <v>14.451582065960915</v>
          </cell>
          <cell r="L1108">
            <v>0</v>
          </cell>
          <cell r="M1108">
            <v>0</v>
          </cell>
        </row>
        <row r="1109">
          <cell r="A1109" t="str">
            <v>2.16.l</v>
          </cell>
          <cell r="B1109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109" t="str">
            <v>Ls</v>
          </cell>
          <cell r="D1109">
            <v>1</v>
          </cell>
          <cell r="F1109">
            <v>3.3298735284496672</v>
          </cell>
          <cell r="G1109">
            <v>16.563870889490833</v>
          </cell>
          <cell r="H1109">
            <v>82.095106955016448</v>
          </cell>
          <cell r="I1109">
            <v>0</v>
          </cell>
          <cell r="J1109">
            <v>134.54488986573651</v>
          </cell>
          <cell r="L1109">
            <v>233.2</v>
          </cell>
          <cell r="M1109">
            <v>233.2</v>
          </cell>
        </row>
        <row r="1110">
          <cell r="A1110" t="str">
            <v>A25</v>
          </cell>
          <cell r="B1110" t="str">
            <v>Suministro y colocación de Grating</v>
          </cell>
          <cell r="C1110" t="str">
            <v>m2</v>
          </cell>
          <cell r="F1110">
            <v>1.75</v>
          </cell>
          <cell r="G1110">
            <v>6.1725000000000003</v>
          </cell>
          <cell r="H1110">
            <v>0.144125</v>
          </cell>
          <cell r="I1110">
            <v>225</v>
          </cell>
          <cell r="J1110">
            <v>0</v>
          </cell>
          <cell r="K1110">
            <v>231.31662500000002</v>
          </cell>
          <cell r="L1110">
            <v>0</v>
          </cell>
          <cell r="M1110">
            <v>0</v>
          </cell>
        </row>
        <row r="1111">
          <cell r="A1111" t="str">
            <v>A26</v>
          </cell>
          <cell r="B1111" t="str">
            <v>Suministro y colocación de Tapa metálica</v>
          </cell>
          <cell r="C1111" t="str">
            <v>m2</v>
          </cell>
          <cell r="F1111">
            <v>1.75</v>
          </cell>
          <cell r="G1111">
            <v>6.1725000000000003</v>
          </cell>
          <cell r="H1111">
            <v>0.144125</v>
          </cell>
          <cell r="I1111">
            <v>300</v>
          </cell>
          <cell r="J1111">
            <v>0</v>
          </cell>
          <cell r="K1111">
            <v>306.31662499999999</v>
          </cell>
          <cell r="L1111">
            <v>0</v>
          </cell>
          <cell r="M1111">
            <v>0</v>
          </cell>
        </row>
        <row r="1112">
          <cell r="A1112" t="str">
            <v>A27</v>
          </cell>
          <cell r="B1112" t="str">
            <v>Relleno estructural</v>
          </cell>
          <cell r="C1112" t="str">
            <v>m3</v>
          </cell>
          <cell r="F1112">
            <v>1.2875000000000001</v>
          </cell>
          <cell r="G1112">
            <v>4.2321666666666697</v>
          </cell>
          <cell r="H1112">
            <v>6.8350416666666636</v>
          </cell>
          <cell r="I1112">
            <v>0</v>
          </cell>
          <cell r="J1112">
            <v>0</v>
          </cell>
          <cell r="K1112">
            <v>11.067208333333333</v>
          </cell>
          <cell r="L1112">
            <v>0</v>
          </cell>
          <cell r="M1112">
            <v>0</v>
          </cell>
        </row>
        <row r="1113">
          <cell r="A1113" t="str">
            <v>A28</v>
          </cell>
          <cell r="B1113" t="str">
            <v>Bermas de Seguridad</v>
          </cell>
          <cell r="C1113" t="str">
            <v>m3</v>
          </cell>
          <cell r="F1113">
            <v>0.1</v>
          </cell>
          <cell r="G1113">
            <v>0.499</v>
          </cell>
          <cell r="H1113">
            <v>3.5649500000000001</v>
          </cell>
          <cell r="I1113">
            <v>2.85</v>
          </cell>
          <cell r="J1113">
            <v>0</v>
          </cell>
          <cell r="K1113">
            <v>6.9139499999999998</v>
          </cell>
          <cell r="L1113">
            <v>0</v>
          </cell>
          <cell r="M1113">
            <v>0</v>
          </cell>
        </row>
        <row r="1114">
          <cell r="A1114" t="str">
            <v>A29</v>
          </cell>
          <cell r="B1114" t="str">
            <v>Cama de Arena</v>
          </cell>
          <cell r="C1114" t="str">
            <v>m3</v>
          </cell>
          <cell r="F1114">
            <v>1.3416666666666666</v>
          </cell>
          <cell r="G1114">
            <v>4.5181666666666702</v>
          </cell>
          <cell r="H1114">
            <v>8.3767083333333332</v>
          </cell>
          <cell r="I1114">
            <v>3.1349999999999998</v>
          </cell>
          <cell r="J1114">
            <v>0</v>
          </cell>
          <cell r="K1114">
            <v>16.029875000000004</v>
          </cell>
          <cell r="L1114">
            <v>0</v>
          </cell>
          <cell r="M1114">
            <v>0</v>
          </cell>
        </row>
        <row r="1115">
          <cell r="A1115" t="str">
            <v>A30</v>
          </cell>
          <cell r="B1115" t="str">
            <v>Concreto reforzado</v>
          </cell>
          <cell r="C1115" t="str">
            <v>m3</v>
          </cell>
          <cell r="F1115">
            <v>16.2</v>
          </cell>
          <cell r="G1115">
            <v>56.207999999999998</v>
          </cell>
          <cell r="H1115">
            <v>3.9517333333333298</v>
          </cell>
          <cell r="I1115">
            <v>116.16</v>
          </cell>
          <cell r="J1115">
            <v>0</v>
          </cell>
          <cell r="K1115">
            <v>176.31973333333332</v>
          </cell>
          <cell r="L1115">
            <v>0</v>
          </cell>
          <cell r="M1115">
            <v>0</v>
          </cell>
        </row>
        <row r="1116">
          <cell r="A1116" t="str">
            <v>A31</v>
          </cell>
          <cell r="B1116" t="str">
            <v>Alcantarillas 800mm</v>
          </cell>
          <cell r="C1116" t="str">
            <v>ml</v>
          </cell>
          <cell r="F1116">
            <v>8</v>
          </cell>
          <cell r="G1116">
            <v>25.88</v>
          </cell>
          <cell r="H1116">
            <v>1.294</v>
          </cell>
          <cell r="I1116">
            <v>60</v>
          </cell>
          <cell r="J1116">
            <v>0</v>
          </cell>
          <cell r="K1116">
            <v>87.173999999999992</v>
          </cell>
          <cell r="L1116">
            <v>0</v>
          </cell>
          <cell r="M1116">
            <v>0</v>
          </cell>
        </row>
        <row r="1117">
          <cell r="A1117" t="str">
            <v>A32</v>
          </cell>
          <cell r="B1117" t="str">
            <v>Alcantarillas 600mm</v>
          </cell>
          <cell r="C1117" t="str">
            <v>ml</v>
          </cell>
          <cell r="F1117">
            <v>6.666666666666667</v>
          </cell>
          <cell r="G1117">
            <v>21.566666666666698</v>
          </cell>
          <cell r="H1117">
            <v>1.07833333333333</v>
          </cell>
          <cell r="I1117">
            <v>50</v>
          </cell>
          <cell r="J1117">
            <v>0</v>
          </cell>
          <cell r="K1117">
            <v>72.645000000000024</v>
          </cell>
          <cell r="L1117">
            <v>0</v>
          </cell>
          <cell r="M1117">
            <v>0</v>
          </cell>
        </row>
        <row r="1118">
          <cell r="A1118" t="str">
            <v>A33</v>
          </cell>
          <cell r="B1118" t="str">
            <v>Alcantarillas 1350mm</v>
          </cell>
          <cell r="C1118" t="str">
            <v>ml</v>
          </cell>
          <cell r="F1118">
            <v>12.5</v>
          </cell>
          <cell r="G1118">
            <v>39.924999999999997</v>
          </cell>
          <cell r="H1118">
            <v>1.9962500000000001</v>
          </cell>
          <cell r="I1118">
            <v>160</v>
          </cell>
          <cell r="J1118">
            <v>0</v>
          </cell>
          <cell r="K1118">
            <v>201.92125000000001</v>
          </cell>
          <cell r="L1118">
            <v>0</v>
          </cell>
          <cell r="M1118">
            <v>0</v>
          </cell>
        </row>
        <row r="1119">
          <cell r="A1119" t="str">
            <v>A34</v>
          </cell>
          <cell r="B1119" t="str">
            <v>Alcantarillas 1000mm</v>
          </cell>
          <cell r="C1119" t="str">
            <v>ml</v>
          </cell>
          <cell r="F1119">
            <v>8.8888888888888893</v>
          </cell>
          <cell r="G1119">
            <v>28.755555555555599</v>
          </cell>
          <cell r="H1119">
            <v>1.43777777777778</v>
          </cell>
          <cell r="I1119">
            <v>78</v>
          </cell>
          <cell r="J1119">
            <v>0</v>
          </cell>
          <cell r="K1119">
            <v>108.19333333333338</v>
          </cell>
          <cell r="L1119">
            <v>0</v>
          </cell>
          <cell r="M1119">
            <v>0</v>
          </cell>
        </row>
        <row r="1120">
          <cell r="A1120" t="str">
            <v>A35</v>
          </cell>
          <cell r="B1120" t="str">
            <v>Alcantarillas 1600mm</v>
          </cell>
          <cell r="C1120" t="str">
            <v>ml</v>
          </cell>
          <cell r="F1120">
            <v>12.5</v>
          </cell>
          <cell r="G1120">
            <v>39.924999999999997</v>
          </cell>
          <cell r="H1120">
            <v>1.9962500000000001</v>
          </cell>
          <cell r="I1120">
            <v>215</v>
          </cell>
          <cell r="J1120">
            <v>0</v>
          </cell>
          <cell r="K1120">
            <v>256.92124999999999</v>
          </cell>
          <cell r="L1120">
            <v>0</v>
          </cell>
          <cell r="M1120">
            <v>0</v>
          </cell>
        </row>
        <row r="1121">
          <cell r="A1121" t="str">
            <v>A36</v>
          </cell>
          <cell r="B1121" t="str">
            <v>Tubería para buzón CMP 2000mm Diam</v>
          </cell>
          <cell r="C1121" t="str">
            <v>ml</v>
          </cell>
          <cell r="F1121">
            <v>20</v>
          </cell>
          <cell r="G1121">
            <v>63.3333333333333</v>
          </cell>
          <cell r="H1121">
            <v>3.1666666666666701</v>
          </cell>
          <cell r="I1121">
            <v>335</v>
          </cell>
          <cell r="J1121">
            <v>0</v>
          </cell>
          <cell r="K1121">
            <v>401.5</v>
          </cell>
          <cell r="L1121">
            <v>0</v>
          </cell>
          <cell r="M1121">
            <v>0</v>
          </cell>
        </row>
        <row r="1122">
          <cell r="A1122" t="str">
            <v>A37</v>
          </cell>
          <cell r="B1122" t="str">
            <v>Alcantarillas 300mm</v>
          </cell>
          <cell r="F1122">
            <v>6.666666666666667</v>
          </cell>
          <cell r="G1122">
            <v>21.566666666666698</v>
          </cell>
          <cell r="H1122">
            <v>1.07833333333333</v>
          </cell>
          <cell r="I1122">
            <v>26</v>
          </cell>
          <cell r="J1122">
            <v>0</v>
          </cell>
          <cell r="K1122">
            <v>48.645000000000032</v>
          </cell>
          <cell r="L1122">
            <v>0</v>
          </cell>
          <cell r="M1122">
            <v>0</v>
          </cell>
        </row>
        <row r="1123">
          <cell r="A1123" t="str">
            <v>A20</v>
          </cell>
          <cell r="B1123" t="str">
            <v>Geotextil 400g/m2 Non Woven</v>
          </cell>
          <cell r="C1123" t="str">
            <v>m2</v>
          </cell>
          <cell r="F1123">
            <v>0.37356321839080464</v>
          </cell>
          <cell r="G1123">
            <v>1.1715517241379301</v>
          </cell>
          <cell r="H1123">
            <v>0.445182471264368</v>
          </cell>
          <cell r="I1123">
            <v>0.8</v>
          </cell>
          <cell r="J1123">
            <v>0</v>
          </cell>
          <cell r="K1123">
            <v>2.4167341954022983</v>
          </cell>
          <cell r="L1123">
            <v>0</v>
          </cell>
          <cell r="M1123">
            <v>0</v>
          </cell>
        </row>
        <row r="1124">
          <cell r="A1124" t="str">
            <v>A38</v>
          </cell>
          <cell r="B1124" t="str">
            <v>Excavación y eliminación de material para cunetas en roca</v>
          </cell>
          <cell r="C1124" t="str">
            <v>m3</v>
          </cell>
          <cell r="D1124">
            <v>10.5</v>
          </cell>
          <cell r="E1124">
            <v>1.1142433943332217</v>
          </cell>
          <cell r="F1124">
            <v>0.28461538461538466</v>
          </cell>
          <cell r="G1124">
            <v>1.41576923076923</v>
          </cell>
          <cell r="H1124">
            <v>7.0169423076923119</v>
          </cell>
          <cell r="I1124">
            <v>0</v>
          </cell>
          <cell r="J1124">
            <v>11.5</v>
          </cell>
          <cell r="K1124">
            <v>19.932711538461543</v>
          </cell>
          <cell r="L1124">
            <v>22.209892162880365</v>
          </cell>
          <cell r="M1124">
            <v>233.20386771024383</v>
          </cell>
        </row>
        <row r="1125">
          <cell r="A1125" t="str">
            <v>A39</v>
          </cell>
          <cell r="B1125" t="str">
            <v>Excavación y eliminación de material para cunetas en suelo común</v>
          </cell>
          <cell r="C1125" t="str">
            <v>m3</v>
          </cell>
          <cell r="F1125">
            <v>0.1957264957264957</v>
          </cell>
          <cell r="G1125">
            <v>0.98510256410256403</v>
          </cell>
          <cell r="H1125">
            <v>4.9954089743589778</v>
          </cell>
          <cell r="I1125">
            <v>0</v>
          </cell>
          <cell r="J1125">
            <v>0</v>
          </cell>
          <cell r="K1125">
            <v>5.9805115384615419</v>
          </cell>
          <cell r="L1125">
            <v>0</v>
          </cell>
          <cell r="M1125">
            <v>0</v>
          </cell>
        </row>
        <row r="1126">
          <cell r="A1126" t="str">
            <v>A21</v>
          </cell>
          <cell r="B1126" t="str">
            <v>Excavación y perfilado de zanjas</v>
          </cell>
          <cell r="C1126" t="str">
            <v>m3</v>
          </cell>
          <cell r="F1126">
            <v>1.2887346226726417</v>
          </cell>
          <cell r="G1126">
            <v>4.4896263901299003</v>
          </cell>
          <cell r="H1126">
            <v>6.5119556758310146</v>
          </cell>
          <cell r="I1126">
            <v>0</v>
          </cell>
          <cell r="J1126">
            <v>3.45</v>
          </cell>
          <cell r="K1126">
            <v>14.451582065960915</v>
          </cell>
          <cell r="L1126">
            <v>0</v>
          </cell>
          <cell r="M1126">
            <v>0</v>
          </cell>
        </row>
        <row r="1127">
          <cell r="A1127" t="str">
            <v>2.17</v>
          </cell>
          <cell r="B1127" t="str">
            <v>PRIMARY CRUSHER &amp; SURGE STOCKPILE AREA</v>
          </cell>
        </row>
        <row r="1128">
          <cell r="A1128" t="str">
            <v>2.17.a</v>
          </cell>
          <cell r="B1128" t="str">
            <v>Clear and Grub</v>
          </cell>
          <cell r="C1128" t="str">
            <v>Ls</v>
          </cell>
        </row>
        <row r="1129">
          <cell r="A1129" t="str">
            <v>2.17.b</v>
          </cell>
          <cell r="B1129" t="str">
            <v>Cut unsuitable soil to waste (includes organic soil)</v>
          </cell>
          <cell r="C1129" t="str">
            <v>m3</v>
          </cell>
          <cell r="D1129">
            <v>2000</v>
          </cell>
          <cell r="F1129">
            <v>138.81891025641022</v>
          </cell>
          <cell r="G1129">
            <v>0.36026763736263784</v>
          </cell>
          <cell r="H1129">
            <v>2.3608491531135511</v>
          </cell>
          <cell r="I1129">
            <v>0</v>
          </cell>
          <cell r="J1129">
            <v>0</v>
          </cell>
          <cell r="L1129">
            <v>2.72</v>
          </cell>
          <cell r="M1129">
            <v>5440</v>
          </cell>
        </row>
        <row r="1130">
          <cell r="A1130" t="str">
            <v>A01</v>
          </cell>
          <cell r="B1130" t="str">
            <v>Excavación de Topsoil y Unsuitable (e&gt;1m)</v>
          </cell>
          <cell r="C1130" t="str">
            <v>m3</v>
          </cell>
          <cell r="F1130">
            <v>1.7142857142857144E-2</v>
          </cell>
          <cell r="G1130">
            <v>8.5542857142857004E-2</v>
          </cell>
          <cell r="H1130">
            <v>0.81924857142857199</v>
          </cell>
          <cell r="I1130">
            <v>0</v>
          </cell>
          <cell r="J1130">
            <v>0</v>
          </cell>
          <cell r="K1130">
            <v>0.90479142857142902</v>
          </cell>
          <cell r="L1130">
            <v>0</v>
          </cell>
          <cell r="M1130">
            <v>0</v>
          </cell>
        </row>
        <row r="1131">
          <cell r="A1131" t="str">
            <v>A02</v>
          </cell>
          <cell r="B1131" t="str">
            <v>Excavación de Topsoil y Unsuitable (e&lt;1m)</v>
          </cell>
          <cell r="C1131" t="str">
            <v>m3</v>
          </cell>
          <cell r="D1131">
            <v>2000</v>
          </cell>
          <cell r="E1131">
            <v>1</v>
          </cell>
          <cell r="F1131">
            <v>1.4285714285714285E-2</v>
          </cell>
          <cell r="G1131">
            <v>6.9214285714286006E-2</v>
          </cell>
          <cell r="H1131">
            <v>0.57488928571428499</v>
          </cell>
          <cell r="I1131">
            <v>0</v>
          </cell>
          <cell r="J1131">
            <v>0</v>
          </cell>
          <cell r="K1131">
            <v>0.644103571428571</v>
          </cell>
          <cell r="L1131">
            <v>0.644103571428571</v>
          </cell>
          <cell r="M1131">
            <v>1288.2071428571419</v>
          </cell>
        </row>
        <row r="1132">
          <cell r="A1132" t="str">
            <v>A03</v>
          </cell>
          <cell r="B1132" t="str">
            <v>Carguío de Topsoil &amp; Unsuitable con excavadora</v>
          </cell>
          <cell r="C1132" t="str">
            <v>m3</v>
          </cell>
          <cell r="D1132">
            <v>2000</v>
          </cell>
          <cell r="E1132">
            <v>1</v>
          </cell>
          <cell r="F1132">
            <v>1.3461538461538462E-2</v>
          </cell>
          <cell r="G1132">
            <v>7.1076923076922996E-2</v>
          </cell>
          <cell r="H1132">
            <v>0.70142307692307704</v>
          </cell>
          <cell r="I1132">
            <v>0</v>
          </cell>
          <cell r="J1132">
            <v>0</v>
          </cell>
          <cell r="K1132">
            <v>0.77250000000000008</v>
          </cell>
          <cell r="L1132">
            <v>0.77250000000000008</v>
          </cell>
          <cell r="M1132">
            <v>1545.0000000000002</v>
          </cell>
        </row>
        <row r="1133">
          <cell r="A1133" t="str">
            <v>A04</v>
          </cell>
          <cell r="B1133" t="str">
            <v>Acarreo d&lt;1km (sin esponj)</v>
          </cell>
          <cell r="C1133" t="str">
            <v>m3</v>
          </cell>
          <cell r="D1133">
            <v>2000</v>
          </cell>
          <cell r="E1133">
            <v>1.5</v>
          </cell>
          <cell r="F1133">
            <v>1.9444444444444441E-2</v>
          </cell>
          <cell r="G1133">
            <v>0.102666666666667</v>
          </cell>
          <cell r="H1133">
            <v>0.50555555555555498</v>
          </cell>
          <cell r="I1133">
            <v>0</v>
          </cell>
          <cell r="J1133">
            <v>0</v>
          </cell>
          <cell r="K1133">
            <v>0.608222222222222</v>
          </cell>
          <cell r="L1133">
            <v>0.912333333333333</v>
          </cell>
          <cell r="M1133">
            <v>1824.6666666666661</v>
          </cell>
        </row>
        <row r="1134">
          <cell r="A1134" t="str">
            <v>A05</v>
          </cell>
          <cell r="B1134" t="str">
            <v>Sobreacarreo (d&gt;1km) (sin esponj)</v>
          </cell>
          <cell r="C1134" t="str">
            <v>m3-km</v>
          </cell>
          <cell r="D1134">
            <v>1866</v>
          </cell>
          <cell r="E1134">
            <v>1.5</v>
          </cell>
          <cell r="F1134">
            <v>8.9285714285714263E-3</v>
          </cell>
          <cell r="G1134">
            <v>4.7142857142857E-2</v>
          </cell>
          <cell r="H1134">
            <v>0.23308571428571401</v>
          </cell>
          <cell r="I1134">
            <v>0</v>
          </cell>
          <cell r="J1134">
            <v>0</v>
          </cell>
          <cell r="K1134">
            <v>0.28022857142857105</v>
          </cell>
          <cell r="L1134">
            <v>0.42034285714285657</v>
          </cell>
          <cell r="M1134">
            <v>784.35977142857041</v>
          </cell>
        </row>
        <row r="1135">
          <cell r="A1135" t="str">
            <v>2.17.c</v>
          </cell>
          <cell r="B1135" t="str">
            <v>Cut and Fill Soil or Ripable Rock, within sub-Item work zone</v>
          </cell>
          <cell r="C1135" t="str">
            <v>m3</v>
          </cell>
          <cell r="D1135">
            <v>15000</v>
          </cell>
          <cell r="F1135">
            <v>1460</v>
          </cell>
          <cell r="G1135">
            <v>0.49280799999999997</v>
          </cell>
          <cell r="H1135">
            <v>3.949374646666671</v>
          </cell>
          <cell r="I1135">
            <v>0</v>
          </cell>
          <cell r="J1135">
            <v>0</v>
          </cell>
          <cell r="L1135">
            <v>4.4400000000000004</v>
          </cell>
          <cell r="M1135">
            <v>66600</v>
          </cell>
        </row>
        <row r="1136">
          <cell r="A1136" t="str">
            <v>A06</v>
          </cell>
          <cell r="B1136" t="str">
            <v>Excavación de roca ripeable</v>
          </cell>
          <cell r="C1136" t="str">
            <v>m3</v>
          </cell>
          <cell r="D1136">
            <v>15000</v>
          </cell>
          <cell r="E1136">
            <v>1.1950000000000001</v>
          </cell>
          <cell r="F1136">
            <v>3.3333333333333333E-2</v>
          </cell>
          <cell r="G1136">
            <v>0.16439999999999999</v>
          </cell>
          <cell r="H1136">
            <v>1.5519306666666701</v>
          </cell>
          <cell r="I1136">
            <v>0</v>
          </cell>
          <cell r="J1136">
            <v>0</v>
          </cell>
          <cell r="K1136">
            <v>1.7163306666666702</v>
          </cell>
          <cell r="L1136">
            <v>2.0510151466666708</v>
          </cell>
          <cell r="M1136">
            <v>30765.227200000063</v>
          </cell>
        </row>
        <row r="1137">
          <cell r="A1137" t="str">
            <v>A07</v>
          </cell>
          <cell r="B1137" t="str">
            <v>Empuje de material d&lt;60m</v>
          </cell>
          <cell r="C1137" t="str">
            <v>m3</v>
          </cell>
          <cell r="D1137">
            <v>15000</v>
          </cell>
          <cell r="E1137">
            <v>1.2</v>
          </cell>
          <cell r="F1137">
            <v>1.2500000000000001E-2</v>
          </cell>
          <cell r="G1137">
            <v>6.0562499999999998E-2</v>
          </cell>
          <cell r="H1137">
            <v>0.50302812500000005</v>
          </cell>
          <cell r="I1137">
            <v>0</v>
          </cell>
          <cell r="J1137">
            <v>0</v>
          </cell>
          <cell r="K1137">
            <v>0.56359062500000001</v>
          </cell>
          <cell r="L1137">
            <v>0.67630875000000001</v>
          </cell>
          <cell r="M1137">
            <v>10144.63125</v>
          </cell>
        </row>
        <row r="1138">
          <cell r="A1138" t="str">
            <v>A08</v>
          </cell>
          <cell r="B1138" t="str">
            <v>Relleno masivo compactado</v>
          </cell>
          <cell r="C1138" t="str">
            <v>m3</v>
          </cell>
          <cell r="D1138">
            <v>15000</v>
          </cell>
          <cell r="E1138">
            <v>1</v>
          </cell>
          <cell r="F1138">
            <v>4.2499999999999996E-2</v>
          </cell>
          <cell r="G1138">
            <v>0.22367500000000001</v>
          </cell>
          <cell r="H1138">
            <v>1.49118375</v>
          </cell>
          <cell r="I1138">
            <v>0</v>
          </cell>
          <cell r="J1138">
            <v>0</v>
          </cell>
          <cell r="K1138">
            <v>1.7148587500000001</v>
          </cell>
          <cell r="L1138">
            <v>1.7148587500000001</v>
          </cell>
          <cell r="M1138">
            <v>25722.881250000002</v>
          </cell>
        </row>
        <row r="1139">
          <cell r="A1139" t="str">
            <v>2.17.d</v>
          </cell>
          <cell r="B1139" t="str">
            <v xml:space="preserve">Cut and Fill Soil or Ripable Rock to Other sub-Item work zone </v>
          </cell>
          <cell r="C1139" t="str">
            <v>m3</v>
          </cell>
          <cell r="D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L1139">
            <v>0</v>
          </cell>
          <cell r="M1139">
            <v>0</v>
          </cell>
        </row>
        <row r="1140">
          <cell r="A1140" t="str">
            <v>A06</v>
          </cell>
          <cell r="B1140" t="str">
            <v>Excavación de roca ripeable</v>
          </cell>
          <cell r="C1140" t="str">
            <v>m3</v>
          </cell>
          <cell r="F1140">
            <v>3.3333333333333333E-2</v>
          </cell>
          <cell r="G1140">
            <v>0.16439999999999999</v>
          </cell>
          <cell r="H1140">
            <v>1.5519306666666701</v>
          </cell>
          <cell r="I1140">
            <v>0</v>
          </cell>
          <cell r="J1140">
            <v>0</v>
          </cell>
          <cell r="K1140">
            <v>1.7163306666666702</v>
          </cell>
          <cell r="L1140">
            <v>0</v>
          </cell>
          <cell r="M1140">
            <v>0</v>
          </cell>
        </row>
        <row r="1141">
          <cell r="A1141" t="str">
            <v>A09</v>
          </cell>
          <cell r="B1141" t="str">
            <v>Carguío de material común &amp; roca ripeable con excavadora</v>
          </cell>
          <cell r="C1141" t="str">
            <v>m3</v>
          </cell>
          <cell r="F1141">
            <v>8.0000000000000002E-3</v>
          </cell>
          <cell r="G1141">
            <v>4.224E-2</v>
          </cell>
          <cell r="H1141">
            <v>0.57259199999999999</v>
          </cell>
          <cell r="I1141">
            <v>0</v>
          </cell>
          <cell r="J1141">
            <v>0</v>
          </cell>
          <cell r="K1141">
            <v>0.61483199999999993</v>
          </cell>
          <cell r="L1141">
            <v>0</v>
          </cell>
          <cell r="M1141">
            <v>0</v>
          </cell>
        </row>
        <row r="1142">
          <cell r="A1142" t="str">
            <v>A08</v>
          </cell>
          <cell r="B1142" t="str">
            <v>Relleno masivo compactado</v>
          </cell>
          <cell r="C1142" t="str">
            <v>m3</v>
          </cell>
          <cell r="F1142">
            <v>4.2499999999999996E-2</v>
          </cell>
          <cell r="G1142">
            <v>0.22367500000000001</v>
          </cell>
          <cell r="H1142">
            <v>1.49118375</v>
          </cell>
          <cell r="I1142">
            <v>0</v>
          </cell>
          <cell r="J1142">
            <v>0</v>
          </cell>
          <cell r="K1142">
            <v>1.7148587500000001</v>
          </cell>
          <cell r="L1142">
            <v>0</v>
          </cell>
          <cell r="M1142">
            <v>0</v>
          </cell>
        </row>
        <row r="1143">
          <cell r="A1143" t="str">
            <v>A04</v>
          </cell>
          <cell r="B1143" t="str">
            <v>Acarreo d&lt;1km (sin esponj)</v>
          </cell>
          <cell r="C1143" t="str">
            <v>m3</v>
          </cell>
          <cell r="F1143">
            <v>1.9444444444444441E-2</v>
          </cell>
          <cell r="G1143">
            <v>0.102666666666667</v>
          </cell>
          <cell r="H1143">
            <v>0.50555555555555498</v>
          </cell>
          <cell r="I1143">
            <v>0</v>
          </cell>
          <cell r="J1143">
            <v>0</v>
          </cell>
          <cell r="K1143">
            <v>0.608222222222222</v>
          </cell>
          <cell r="L1143">
            <v>0</v>
          </cell>
          <cell r="M1143">
            <v>0</v>
          </cell>
        </row>
        <row r="1144">
          <cell r="A1144" t="str">
            <v>A05</v>
          </cell>
          <cell r="B1144" t="str">
            <v>Sobreacarreo (d&gt;1km) (sin esponj)</v>
          </cell>
          <cell r="C1144" t="str">
            <v>m3-km</v>
          </cell>
          <cell r="F1144">
            <v>8.9285714285714263E-3</v>
          </cell>
          <cell r="G1144">
            <v>4.7142857142857E-2</v>
          </cell>
          <cell r="H1144">
            <v>0.23308571428571401</v>
          </cell>
          <cell r="I1144">
            <v>0</v>
          </cell>
          <cell r="J1144">
            <v>0</v>
          </cell>
          <cell r="K1144">
            <v>0.28022857142857105</v>
          </cell>
          <cell r="L1144">
            <v>0</v>
          </cell>
          <cell r="M1144">
            <v>0</v>
          </cell>
        </row>
        <row r="1145">
          <cell r="A1145" t="str">
            <v>2.17.e</v>
          </cell>
          <cell r="B1145" t="str">
            <v>Drill and blast bulk rock (without limit on thickness, broken to fine or coarse fragments as required depending on end-use. Applies to locations other than trenches and ditches).</v>
          </cell>
          <cell r="C1145" t="str">
            <v>m3</v>
          </cell>
          <cell r="D1145">
            <v>40000</v>
          </cell>
          <cell r="F1145">
            <v>3076.2975845410629</v>
          </cell>
          <cell r="G1145">
            <v>0</v>
          </cell>
          <cell r="H1145">
            <v>0</v>
          </cell>
          <cell r="I1145">
            <v>0</v>
          </cell>
          <cell r="J1145">
            <v>2.8170540000000002</v>
          </cell>
          <cell r="L1145">
            <v>2.82</v>
          </cell>
          <cell r="M1145">
            <v>112800</v>
          </cell>
        </row>
        <row r="1146">
          <cell r="A1146" t="str">
            <v>A11</v>
          </cell>
          <cell r="B1146" t="str">
            <v>Perforación y voladura masiva (material fino)</v>
          </cell>
          <cell r="C1146" t="str">
            <v>m3</v>
          </cell>
          <cell r="D1146">
            <v>40000</v>
          </cell>
          <cell r="E1146">
            <v>0.28930000000000006</v>
          </cell>
          <cell r="F1146">
            <v>7.4718196457326899E-2</v>
          </cell>
          <cell r="G1146">
            <v>0</v>
          </cell>
          <cell r="H1146">
            <v>0</v>
          </cell>
          <cell r="I1146">
            <v>0</v>
          </cell>
          <cell r="J1146">
            <v>2.78</v>
          </cell>
          <cell r="K1146">
            <v>2.78</v>
          </cell>
          <cell r="L1146">
            <v>0.80425400000000014</v>
          </cell>
          <cell r="M1146">
            <v>32170.160000000007</v>
          </cell>
        </row>
        <row r="1147">
          <cell r="A1147" t="str">
            <v>A12</v>
          </cell>
          <cell r="B1147" t="str">
            <v>Perforación y voladura masiva (material grueso)</v>
          </cell>
          <cell r="C1147" t="str">
            <v>m3</v>
          </cell>
          <cell r="D1147">
            <v>40000</v>
          </cell>
          <cell r="E1147">
            <v>0.74</v>
          </cell>
          <cell r="F1147">
            <v>7.4718196457326899E-2</v>
          </cell>
          <cell r="G1147">
            <v>0</v>
          </cell>
          <cell r="H1147">
            <v>0</v>
          </cell>
          <cell r="I1147">
            <v>0</v>
          </cell>
          <cell r="J1147">
            <v>2.72</v>
          </cell>
          <cell r="K1147">
            <v>2.72</v>
          </cell>
          <cell r="L1147">
            <v>2.0127999999999999</v>
          </cell>
          <cell r="M1147">
            <v>80512</v>
          </cell>
        </row>
        <row r="1148">
          <cell r="A1148" t="str">
            <v>2.17.f</v>
          </cell>
          <cell r="B1148" t="str">
            <v xml:space="preserve">Excavate and Fill (fine blasted) broken rock </v>
          </cell>
          <cell r="C1148" t="str">
            <v>m3</v>
          </cell>
          <cell r="D1148">
            <v>5000</v>
          </cell>
          <cell r="F1148">
            <v>431.73</v>
          </cell>
          <cell r="G1148">
            <v>0.44047279</v>
          </cell>
          <cell r="H1148">
            <v>3.4268891755000004</v>
          </cell>
          <cell r="I1148">
            <v>0</v>
          </cell>
          <cell r="J1148">
            <v>0</v>
          </cell>
          <cell r="L1148">
            <v>3.87</v>
          </cell>
          <cell r="M1148">
            <v>19350</v>
          </cell>
        </row>
        <row r="1149">
          <cell r="A1149" t="str">
            <v>A13</v>
          </cell>
          <cell r="B1149" t="str">
            <v>Remoción de Material fino volado</v>
          </cell>
          <cell r="C1149" t="str">
            <v>m3</v>
          </cell>
          <cell r="D1149">
            <v>5000</v>
          </cell>
          <cell r="E1149">
            <v>1.254</v>
          </cell>
          <cell r="F1149">
            <v>2.4E-2</v>
          </cell>
          <cell r="G1149">
            <v>0.11976000000000001</v>
          </cell>
          <cell r="H1149">
            <v>1.1023720000000001</v>
          </cell>
          <cell r="I1149">
            <v>0</v>
          </cell>
          <cell r="J1149">
            <v>0</v>
          </cell>
          <cell r="K1149">
            <v>1.2221320000000002</v>
          </cell>
          <cell r="L1149">
            <v>1.5325535280000002</v>
          </cell>
          <cell r="M1149">
            <v>7662.7676400000009</v>
          </cell>
        </row>
        <row r="1150">
          <cell r="A1150" t="str">
            <v>A07</v>
          </cell>
          <cell r="B1150" t="str">
            <v>Empuje de material d&lt;60m</v>
          </cell>
          <cell r="C1150" t="str">
            <v>m3</v>
          </cell>
          <cell r="D1150">
            <v>5000</v>
          </cell>
          <cell r="E1150">
            <v>1.1000000000000001</v>
          </cell>
          <cell r="F1150">
            <v>1.2500000000000001E-2</v>
          </cell>
          <cell r="G1150">
            <v>6.0562499999999998E-2</v>
          </cell>
          <cell r="H1150">
            <v>0.50302812500000005</v>
          </cell>
          <cell r="I1150">
            <v>0</v>
          </cell>
          <cell r="J1150">
            <v>0</v>
          </cell>
          <cell r="K1150">
            <v>0.56359062500000001</v>
          </cell>
          <cell r="L1150">
            <v>0.61994968750000001</v>
          </cell>
          <cell r="M1150">
            <v>3099.7484374999999</v>
          </cell>
        </row>
        <row r="1151">
          <cell r="A1151" t="str">
            <v>A08</v>
          </cell>
          <cell r="B1151" t="str">
            <v>Relleno masivo compactado</v>
          </cell>
          <cell r="C1151" t="str">
            <v>m3</v>
          </cell>
          <cell r="D1151">
            <v>5000</v>
          </cell>
          <cell r="E1151">
            <v>1</v>
          </cell>
          <cell r="F1151">
            <v>4.2499999999999996E-2</v>
          </cell>
          <cell r="G1151">
            <v>0.22367500000000001</v>
          </cell>
          <cell r="H1151">
            <v>1.49118375</v>
          </cell>
          <cell r="I1151">
            <v>0</v>
          </cell>
          <cell r="J1151">
            <v>0</v>
          </cell>
          <cell r="K1151">
            <v>1.7148587500000001</v>
          </cell>
          <cell r="L1151">
            <v>1.7148587500000001</v>
          </cell>
          <cell r="M1151">
            <v>8574.2937500000007</v>
          </cell>
        </row>
        <row r="1152">
          <cell r="A1152" t="str">
            <v>2.17.g</v>
          </cell>
          <cell r="B1152" t="str">
            <v xml:space="preserve">Excavate (fine or coarse blasted) broken rock to Waste Rock Surplus Stockpile </v>
          </cell>
          <cell r="C1152" t="str">
            <v>m3</v>
          </cell>
          <cell r="D1152">
            <v>35000</v>
          </cell>
          <cell r="F1152">
            <v>2720.9130236794172</v>
          </cell>
          <cell r="G1152">
            <v>0.40321916471506658</v>
          </cell>
          <cell r="H1152">
            <v>2.9181864327348443</v>
          </cell>
          <cell r="I1152">
            <v>0</v>
          </cell>
          <cell r="J1152">
            <v>0</v>
          </cell>
          <cell r="L1152">
            <v>3.32</v>
          </cell>
          <cell r="M1152">
            <v>116200</v>
          </cell>
        </row>
        <row r="1153">
          <cell r="A1153" t="str">
            <v>A14</v>
          </cell>
          <cell r="B1153" t="str">
            <v>Remoción de Material grueso volado</v>
          </cell>
          <cell r="C1153" t="str">
            <v>m3</v>
          </cell>
          <cell r="D1153">
            <v>35000</v>
          </cell>
          <cell r="E1153">
            <v>1</v>
          </cell>
          <cell r="F1153">
            <v>2.5000000000000001E-2</v>
          </cell>
          <cell r="G1153">
            <v>0.12475</v>
          </cell>
          <cell r="H1153">
            <v>1.11859166666667</v>
          </cell>
          <cell r="I1153">
            <v>0</v>
          </cell>
          <cell r="J1153">
            <v>0</v>
          </cell>
          <cell r="K1153">
            <v>1.2433416666666699</v>
          </cell>
          <cell r="L1153">
            <v>1.2433416666666699</v>
          </cell>
          <cell r="M1153">
            <v>43516.958333333445</v>
          </cell>
        </row>
        <row r="1154">
          <cell r="A1154" t="str">
            <v>A43</v>
          </cell>
          <cell r="B1154" t="str">
            <v>Carguío de roca volada con excavadora</v>
          </cell>
          <cell r="C1154" t="str">
            <v>m3</v>
          </cell>
          <cell r="D1154">
            <v>35000</v>
          </cell>
          <cell r="E1154">
            <v>1</v>
          </cell>
          <cell r="F1154">
            <v>8.1967213114754103E-3</v>
          </cell>
          <cell r="G1154">
            <v>4.3278688524589999E-2</v>
          </cell>
          <cell r="H1154">
            <v>0.58667213114754102</v>
          </cell>
          <cell r="I1154">
            <v>0</v>
          </cell>
          <cell r="J1154">
            <v>0</v>
          </cell>
          <cell r="K1154">
            <v>0.62995081967213107</v>
          </cell>
          <cell r="L1154">
            <v>0.62995081967213107</v>
          </cell>
          <cell r="M1154">
            <v>22048.278688524588</v>
          </cell>
        </row>
        <row r="1155">
          <cell r="A1155" t="str">
            <v>A10</v>
          </cell>
          <cell r="B1155" t="str">
            <v>Extendido de roca en botadero</v>
          </cell>
          <cell r="C1155" t="str">
            <v>m3</v>
          </cell>
          <cell r="D1155">
            <v>35000</v>
          </cell>
          <cell r="E1155">
            <v>1</v>
          </cell>
          <cell r="F1155">
            <v>3.5714285714285713E-3</v>
          </cell>
          <cell r="G1155">
            <v>1.8857142857142999E-2</v>
          </cell>
          <cell r="H1155">
            <v>0.14619285714285699</v>
          </cell>
          <cell r="I1155">
            <v>0</v>
          </cell>
          <cell r="J1155">
            <v>0</v>
          </cell>
          <cell r="K1155">
            <v>0.16504999999999997</v>
          </cell>
          <cell r="L1155">
            <v>0.16504999999999997</v>
          </cell>
          <cell r="M1155">
            <v>5776.7499999999991</v>
          </cell>
        </row>
        <row r="1156">
          <cell r="A1156" t="str">
            <v>A04</v>
          </cell>
          <cell r="B1156" t="str">
            <v>Acarreo d&lt;1km (sin esponj)</v>
          </cell>
          <cell r="C1156" t="str">
            <v>m3</v>
          </cell>
          <cell r="D1156">
            <v>35000</v>
          </cell>
          <cell r="E1156">
            <v>1.4</v>
          </cell>
          <cell r="F1156">
            <v>1.9444444444444441E-2</v>
          </cell>
          <cell r="G1156">
            <v>0.102666666666667</v>
          </cell>
          <cell r="H1156">
            <v>0.50555555555555498</v>
          </cell>
          <cell r="I1156">
            <v>0</v>
          </cell>
          <cell r="J1156">
            <v>0</v>
          </cell>
          <cell r="K1156">
            <v>0.608222222222222</v>
          </cell>
          <cell r="L1156">
            <v>0.85151111111111077</v>
          </cell>
          <cell r="M1156">
            <v>29802.888888888876</v>
          </cell>
        </row>
        <row r="1157">
          <cell r="A1157" t="str">
            <v>A05</v>
          </cell>
          <cell r="B1157" t="str">
            <v>Sobreacarreo (d&gt;1km) (sin esponj)</v>
          </cell>
          <cell r="C1157" t="str">
            <v>m3-km</v>
          </cell>
          <cell r="D1157">
            <v>38500</v>
          </cell>
          <cell r="E1157">
            <v>1.4</v>
          </cell>
          <cell r="F1157">
            <v>8.9285714285714263E-3</v>
          </cell>
          <cell r="G1157">
            <v>4.7142857142857E-2</v>
          </cell>
          <cell r="H1157">
            <v>0.23308571428571401</v>
          </cell>
          <cell r="I1157">
            <v>0</v>
          </cell>
          <cell r="J1157">
            <v>0</v>
          </cell>
          <cell r="K1157">
            <v>0.28022857142857105</v>
          </cell>
          <cell r="L1157">
            <v>0.39231999999999945</v>
          </cell>
          <cell r="M1157">
            <v>15104.319999999978</v>
          </cell>
        </row>
        <row r="1158">
          <cell r="A1158" t="str">
            <v>2.17.h</v>
          </cell>
          <cell r="B1158" t="str">
            <v>Supply and Install Backfill Granular A to roads/yards</v>
          </cell>
          <cell r="C1158" t="str">
            <v>m3</v>
          </cell>
          <cell r="D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A1159" t="str">
            <v>A15</v>
          </cell>
          <cell r="B1159" t="str">
            <v>Suministro de material granular A</v>
          </cell>
          <cell r="C1159" t="str">
            <v>m3</v>
          </cell>
          <cell r="F1159">
            <v>0</v>
          </cell>
          <cell r="G1159">
            <v>0</v>
          </cell>
          <cell r="H1159">
            <v>0</v>
          </cell>
          <cell r="I1159">
            <v>2.85</v>
          </cell>
          <cell r="J1159">
            <v>0</v>
          </cell>
          <cell r="K1159">
            <v>2.85</v>
          </cell>
          <cell r="L1159">
            <v>0</v>
          </cell>
          <cell r="M1159">
            <v>0</v>
          </cell>
        </row>
        <row r="1160">
          <cell r="A1160" t="str">
            <v>A16</v>
          </cell>
          <cell r="B1160" t="str">
            <v>Colocación y compactación Mat Granular A</v>
          </cell>
          <cell r="C1160" t="str">
            <v>m3</v>
          </cell>
          <cell r="F1160">
            <v>0.37805555555555553</v>
          </cell>
          <cell r="G1160">
            <v>1.4478</v>
          </cell>
          <cell r="H1160">
            <v>3.0801342222222199</v>
          </cell>
          <cell r="I1160">
            <v>0</v>
          </cell>
          <cell r="J1160">
            <v>0</v>
          </cell>
          <cell r="K1160">
            <v>4.5279342222222194</v>
          </cell>
          <cell r="L1160">
            <v>0</v>
          </cell>
          <cell r="M1160">
            <v>0</v>
          </cell>
        </row>
        <row r="1161">
          <cell r="A1161" t="str">
            <v>A04</v>
          </cell>
          <cell r="B1161" t="str">
            <v>Acarreo d&lt;1km (sin esponj)</v>
          </cell>
          <cell r="C1161" t="str">
            <v>m3</v>
          </cell>
          <cell r="F1161">
            <v>1.9444444444444441E-2</v>
          </cell>
          <cell r="G1161">
            <v>0.102666666666667</v>
          </cell>
          <cell r="H1161">
            <v>0.50555555555555498</v>
          </cell>
          <cell r="I1161">
            <v>0</v>
          </cell>
          <cell r="J1161">
            <v>0</v>
          </cell>
          <cell r="K1161">
            <v>0.608222222222222</v>
          </cell>
          <cell r="L1161">
            <v>0</v>
          </cell>
          <cell r="M1161">
            <v>0</v>
          </cell>
        </row>
        <row r="1162">
          <cell r="A1162" t="str">
            <v>A05</v>
          </cell>
          <cell r="B1162" t="str">
            <v>Sobreacarreo (d&gt;1km) (sin esponj)</v>
          </cell>
          <cell r="C1162" t="str">
            <v>m3-km</v>
          </cell>
          <cell r="F1162">
            <v>8.9285714285714263E-3</v>
          </cell>
          <cell r="G1162">
            <v>4.7142857142857E-2</v>
          </cell>
          <cell r="H1162">
            <v>0.23308571428571401</v>
          </cell>
          <cell r="I1162">
            <v>0</v>
          </cell>
          <cell r="J1162">
            <v>0</v>
          </cell>
          <cell r="K1162">
            <v>0.28022857142857105</v>
          </cell>
          <cell r="L1162">
            <v>0</v>
          </cell>
          <cell r="M1162">
            <v>0</v>
          </cell>
        </row>
        <row r="1163">
          <cell r="A1163" t="str">
            <v>2.17.i</v>
          </cell>
          <cell r="B1163" t="str">
            <v>Supply and Install Backfill Granular B to roads/yards</v>
          </cell>
          <cell r="C1163" t="str">
            <v>m3</v>
          </cell>
          <cell r="D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</row>
        <row r="1164">
          <cell r="A1164" t="str">
            <v>A40</v>
          </cell>
          <cell r="B1164" t="str">
            <v>Suministro de material granular B</v>
          </cell>
          <cell r="C1164" t="str">
            <v>m3</v>
          </cell>
          <cell r="F1164">
            <v>0</v>
          </cell>
          <cell r="G1164">
            <v>0</v>
          </cell>
          <cell r="H1164">
            <v>0</v>
          </cell>
          <cell r="I1164">
            <v>2.85</v>
          </cell>
          <cell r="J1164">
            <v>0</v>
          </cell>
          <cell r="K1164">
            <v>2.85</v>
          </cell>
          <cell r="L1164">
            <v>0</v>
          </cell>
          <cell r="M1164">
            <v>0</v>
          </cell>
        </row>
        <row r="1165">
          <cell r="A1165" t="str">
            <v>A41</v>
          </cell>
          <cell r="B1165" t="str">
            <v>Colocación y compactación Mat Granular B</v>
          </cell>
          <cell r="C1165" t="str">
            <v>m3</v>
          </cell>
          <cell r="F1165">
            <v>0.10416666666666666</v>
          </cell>
          <cell r="G1165">
            <v>0.53187499999999999</v>
          </cell>
          <cell r="H1165">
            <v>2.3804166666666702</v>
          </cell>
          <cell r="I1165">
            <v>0</v>
          </cell>
          <cell r="J1165">
            <v>0</v>
          </cell>
          <cell r="K1165">
            <v>2.9122916666666701</v>
          </cell>
          <cell r="L1165">
            <v>0</v>
          </cell>
          <cell r="M1165">
            <v>0</v>
          </cell>
        </row>
        <row r="1166">
          <cell r="A1166" t="str">
            <v>A04</v>
          </cell>
          <cell r="B1166" t="str">
            <v>Acarreo d&lt;1km (sin esponj)</v>
          </cell>
          <cell r="C1166" t="str">
            <v>m3</v>
          </cell>
          <cell r="F1166">
            <v>1.9444444444444441E-2</v>
          </cell>
          <cell r="G1166">
            <v>0.102666666666667</v>
          </cell>
          <cell r="H1166">
            <v>0.50555555555555498</v>
          </cell>
          <cell r="I1166">
            <v>0</v>
          </cell>
          <cell r="J1166">
            <v>0</v>
          </cell>
          <cell r="K1166">
            <v>0.608222222222222</v>
          </cell>
          <cell r="L1166">
            <v>0</v>
          </cell>
          <cell r="M1166">
            <v>0</v>
          </cell>
        </row>
        <row r="1167">
          <cell r="A1167" t="str">
            <v>A05</v>
          </cell>
          <cell r="B1167" t="str">
            <v>Sobreacarreo (d&gt;1km) (sin esponj)</v>
          </cell>
          <cell r="C1167" t="str">
            <v>m3-km</v>
          </cell>
          <cell r="F1167">
            <v>8.9285714285714263E-3</v>
          </cell>
          <cell r="G1167">
            <v>4.7142857142857E-2</v>
          </cell>
          <cell r="H1167">
            <v>0.23308571428571401</v>
          </cell>
          <cell r="I1167">
            <v>0</v>
          </cell>
          <cell r="J1167">
            <v>0</v>
          </cell>
          <cell r="K1167">
            <v>0.28022857142857105</v>
          </cell>
          <cell r="L1167">
            <v>0</v>
          </cell>
          <cell r="M1167">
            <v>0</v>
          </cell>
        </row>
        <row r="1168">
          <cell r="A1168" t="str">
            <v>2.17.j</v>
          </cell>
          <cell r="B1168" t="str">
            <v>Supply and Install Riprap-Geotextile-Bedding to ditches and slopes, including rock/earth excavation and shaping of the site</v>
          </cell>
          <cell r="C1168" t="str">
            <v>Ls</v>
          </cell>
          <cell r="D1168">
            <v>1</v>
          </cell>
          <cell r="F1168">
            <v>2175.0226217139693</v>
          </cell>
          <cell r="G1168">
            <v>7157.0454523979588</v>
          </cell>
          <cell r="H1168">
            <v>5792.7605404918686</v>
          </cell>
          <cell r="I1168">
            <v>2031.3928498923774</v>
          </cell>
          <cell r="J1168">
            <v>1777.3010484331141</v>
          </cell>
          <cell r="L1168">
            <v>16758.5</v>
          </cell>
          <cell r="M1168">
            <v>16758.5</v>
          </cell>
        </row>
        <row r="1169">
          <cell r="A1169" t="str">
            <v>A19</v>
          </cell>
          <cell r="B1169" t="str">
            <v>Rip rap</v>
          </cell>
          <cell r="C1169" t="str">
            <v>m3</v>
          </cell>
          <cell r="D1169">
            <v>375</v>
          </cell>
          <cell r="E1169">
            <v>1.0732494253823153</v>
          </cell>
          <cell r="F1169">
            <v>2.7285714285714286</v>
          </cell>
          <cell r="G1169">
            <v>8.8182857142857092</v>
          </cell>
          <cell r="H1169">
            <v>4.8350057142857139</v>
          </cell>
          <cell r="I1169">
            <v>2.85</v>
          </cell>
          <cell r="J1169">
            <v>0</v>
          </cell>
          <cell r="K1169">
            <v>16.503291428571423</v>
          </cell>
          <cell r="L1169">
            <v>17.712148042631167</v>
          </cell>
          <cell r="M1169">
            <v>6642.0555159866881</v>
          </cell>
        </row>
        <row r="1170">
          <cell r="A1170" t="str">
            <v>A20</v>
          </cell>
          <cell r="B1170" t="str">
            <v>Geotextil 400g/m2 Non Woven</v>
          </cell>
          <cell r="C1170" t="str">
            <v>m2</v>
          </cell>
          <cell r="D1170">
            <v>1030</v>
          </cell>
          <cell r="E1170">
            <v>1.0732494253823153</v>
          </cell>
          <cell r="F1170">
            <v>0.37356321839080464</v>
          </cell>
          <cell r="G1170">
            <v>1.1715517241379301</v>
          </cell>
          <cell r="H1170">
            <v>0.445182471264368</v>
          </cell>
          <cell r="I1170">
            <v>0.8</v>
          </cell>
          <cell r="J1170">
            <v>0</v>
          </cell>
          <cell r="K1170">
            <v>2.4167341954022983</v>
          </cell>
          <cell r="L1170">
            <v>2.5937585865173087</v>
          </cell>
          <cell r="M1170">
            <v>2671.5713441128278</v>
          </cell>
        </row>
        <row r="1171">
          <cell r="A1171" t="str">
            <v>A21</v>
          </cell>
          <cell r="B1171" t="str">
            <v>Excavación y perfilado de zanjas</v>
          </cell>
          <cell r="C1171" t="str">
            <v>m3</v>
          </cell>
          <cell r="D1171">
            <v>480</v>
          </cell>
          <cell r="E1171">
            <v>1.0732494253823153</v>
          </cell>
          <cell r="F1171">
            <v>1.2887346226726417</v>
          </cell>
          <cell r="G1171">
            <v>4.4896263901299003</v>
          </cell>
          <cell r="H1171">
            <v>6.5119556758310146</v>
          </cell>
          <cell r="I1171">
            <v>0</v>
          </cell>
          <cell r="J1171">
            <v>3.45</v>
          </cell>
          <cell r="K1171">
            <v>14.451582065960915</v>
          </cell>
          <cell r="L1171">
            <v>15.510152148157925</v>
          </cell>
          <cell r="M1171">
            <v>7444.8730311158042</v>
          </cell>
        </row>
        <row r="1172">
          <cell r="A1172" t="str">
            <v>2.17.k</v>
          </cell>
          <cell r="B1172" t="str">
            <v>Supply and Install Gabions-Geotextile-Bedding-Concrete Facing, complete including rock/earth excavation shaping &amp; backfill of the site</v>
          </cell>
          <cell r="C1172" t="str">
            <v>Ls</v>
          </cell>
          <cell r="D1172">
            <v>1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L1172">
            <v>0</v>
          </cell>
          <cell r="M1172">
            <v>0</v>
          </cell>
        </row>
        <row r="1173">
          <cell r="A1173" t="str">
            <v>A22</v>
          </cell>
          <cell r="B1173" t="str">
            <v>Supply and Install Granular A Surfacing to roads/yards</v>
          </cell>
          <cell r="C1173" t="str">
            <v>m3</v>
          </cell>
          <cell r="F1173">
            <v>0.47959325396825392</v>
          </cell>
          <cell r="G1173">
            <v>1.9839190476190467</v>
          </cell>
          <cell r="H1173">
            <v>5.7282700952380896</v>
          </cell>
          <cell r="I1173">
            <v>3.5625</v>
          </cell>
          <cell r="J1173">
            <v>0</v>
          </cell>
          <cell r="K1173">
            <v>11.274689142857136</v>
          </cell>
          <cell r="L1173">
            <v>0</v>
          </cell>
          <cell r="M1173">
            <v>0</v>
          </cell>
        </row>
        <row r="1174">
          <cell r="A1174" t="str">
            <v>A23</v>
          </cell>
          <cell r="B1174" t="str">
            <v>Concrete Lining</v>
          </cell>
          <cell r="C1174" t="str">
            <v>m3</v>
          </cell>
          <cell r="F1174">
            <v>14.282608695652174</v>
          </cell>
          <cell r="G1174">
            <v>49.431086956521703</v>
          </cell>
          <cell r="H1174">
            <v>4.9527137681159399</v>
          </cell>
          <cell r="I1174">
            <v>60</v>
          </cell>
          <cell r="J1174">
            <v>0</v>
          </cell>
          <cell r="K1174">
            <v>114.38380072463765</v>
          </cell>
          <cell r="L1174">
            <v>0</v>
          </cell>
          <cell r="M1174">
            <v>0</v>
          </cell>
        </row>
        <row r="1175">
          <cell r="A1175" t="str">
            <v>A24</v>
          </cell>
          <cell r="B1175" t="str">
            <v>Gavión</v>
          </cell>
          <cell r="C1175" t="str">
            <v>m3</v>
          </cell>
          <cell r="F1175">
            <v>1.7583333333333333</v>
          </cell>
          <cell r="G1175">
            <v>6.2273333333333296</v>
          </cell>
          <cell r="H1175">
            <v>7.133083333333337</v>
          </cell>
          <cell r="I1175">
            <v>19.350000000000001</v>
          </cell>
          <cell r="J1175">
            <v>0</v>
          </cell>
          <cell r="K1175">
            <v>32.710416666666674</v>
          </cell>
          <cell r="L1175">
            <v>0</v>
          </cell>
          <cell r="M1175">
            <v>0</v>
          </cell>
        </row>
        <row r="1176">
          <cell r="A1176" t="str">
            <v>A21</v>
          </cell>
          <cell r="B1176" t="str">
            <v>Excavación y perfilado de zanjas</v>
          </cell>
          <cell r="C1176" t="str">
            <v>m3</v>
          </cell>
          <cell r="F1176">
            <v>1.2887346226726417</v>
          </cell>
          <cell r="G1176">
            <v>4.4896263901299003</v>
          </cell>
          <cell r="H1176">
            <v>6.5119556758310146</v>
          </cell>
          <cell r="I1176">
            <v>0</v>
          </cell>
          <cell r="J1176">
            <v>3.45</v>
          </cell>
          <cell r="K1176">
            <v>14.451582065960915</v>
          </cell>
          <cell r="L1176">
            <v>0</v>
          </cell>
          <cell r="M1176">
            <v>0</v>
          </cell>
        </row>
        <row r="1177">
          <cell r="A1177" t="str">
            <v>2.17.l</v>
          </cell>
          <cell r="B1177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177" t="str">
            <v>Ls</v>
          </cell>
          <cell r="D1177">
            <v>1</v>
          </cell>
          <cell r="F1177">
            <v>3654.5230321606432</v>
          </cell>
          <cell r="G1177">
            <v>12429.552399328009</v>
          </cell>
          <cell r="H1177">
            <v>4969.7830749794957</v>
          </cell>
          <cell r="I1177">
            <v>24489.311280998689</v>
          </cell>
          <cell r="J1177">
            <v>1897.8513678553109</v>
          </cell>
          <cell r="L1177">
            <v>43786.5</v>
          </cell>
          <cell r="M1177">
            <v>43786.5</v>
          </cell>
        </row>
        <row r="1178">
          <cell r="A1178" t="str">
            <v>A25</v>
          </cell>
          <cell r="B1178" t="str">
            <v>Suministro y colocación de Grating</v>
          </cell>
          <cell r="C1178" t="str">
            <v>m2</v>
          </cell>
          <cell r="D1178">
            <v>1.5</v>
          </cell>
          <cell r="E1178">
            <v>1.0412022317132414</v>
          </cell>
          <cell r="F1178">
            <v>1.75</v>
          </cell>
          <cell r="G1178">
            <v>6.1725000000000003</v>
          </cell>
          <cell r="H1178">
            <v>0.144125</v>
          </cell>
          <cell r="I1178">
            <v>225</v>
          </cell>
          <cell r="J1178">
            <v>0</v>
          </cell>
          <cell r="K1178">
            <v>231.31662500000002</v>
          </cell>
          <cell r="L1178">
            <v>240.847386182375</v>
          </cell>
          <cell r="M1178">
            <v>361.27107927356252</v>
          </cell>
        </row>
        <row r="1179">
          <cell r="A1179" t="str">
            <v>A26</v>
          </cell>
          <cell r="B1179" t="str">
            <v>Suministro y colocación de Tapa metálica</v>
          </cell>
          <cell r="C1179" t="str">
            <v>m2</v>
          </cell>
          <cell r="F1179">
            <v>1.75</v>
          </cell>
          <cell r="G1179">
            <v>6.1725000000000003</v>
          </cell>
          <cell r="H1179">
            <v>0.144125</v>
          </cell>
          <cell r="I1179">
            <v>300</v>
          </cell>
          <cell r="J1179">
            <v>0</v>
          </cell>
          <cell r="K1179">
            <v>306.31662499999999</v>
          </cell>
          <cell r="L1179">
            <v>0</v>
          </cell>
          <cell r="M1179">
            <v>0</v>
          </cell>
        </row>
        <row r="1180">
          <cell r="A1180" t="str">
            <v>A27</v>
          </cell>
          <cell r="B1180" t="str">
            <v>Relleno estructural</v>
          </cell>
          <cell r="C1180" t="str">
            <v>m3</v>
          </cell>
          <cell r="F1180">
            <v>1.2875000000000001</v>
          </cell>
          <cell r="G1180">
            <v>4.2321666666666697</v>
          </cell>
          <cell r="H1180">
            <v>6.8350416666666636</v>
          </cell>
          <cell r="I1180">
            <v>0</v>
          </cell>
          <cell r="J1180">
            <v>0</v>
          </cell>
          <cell r="K1180">
            <v>11.067208333333333</v>
          </cell>
          <cell r="L1180">
            <v>0</v>
          </cell>
          <cell r="M1180">
            <v>0</v>
          </cell>
        </row>
        <row r="1181">
          <cell r="A1181" t="str">
            <v>A28</v>
          </cell>
          <cell r="B1181" t="str">
            <v>Bermas de Seguridad</v>
          </cell>
          <cell r="C1181" t="str">
            <v>m3</v>
          </cell>
          <cell r="D1181">
            <v>503</v>
          </cell>
          <cell r="E1181">
            <v>1.0412022317132414</v>
          </cell>
          <cell r="F1181">
            <v>0.1</v>
          </cell>
          <cell r="G1181">
            <v>0.499</v>
          </cell>
          <cell r="H1181">
            <v>3.5649500000000001</v>
          </cell>
          <cell r="I1181">
            <v>2.85</v>
          </cell>
          <cell r="J1181">
            <v>0</v>
          </cell>
          <cell r="K1181">
            <v>6.9139499999999998</v>
          </cell>
          <cell r="L1181">
            <v>7.1988201699537653</v>
          </cell>
          <cell r="M1181">
            <v>3621.006545486744</v>
          </cell>
        </row>
        <row r="1182">
          <cell r="A1182" t="str">
            <v>A29</v>
          </cell>
          <cell r="B1182" t="str">
            <v>Cama de Arena</v>
          </cell>
          <cell r="C1182" t="str">
            <v>m3</v>
          </cell>
          <cell r="D1182">
            <v>1.3</v>
          </cell>
          <cell r="E1182">
            <v>1.0412022317132414</v>
          </cell>
          <cell r="F1182">
            <v>1.3416666666666666</v>
          </cell>
          <cell r="G1182">
            <v>4.5181666666666702</v>
          </cell>
          <cell r="H1182">
            <v>8.3767083333333332</v>
          </cell>
          <cell r="I1182">
            <v>3.1349999999999998</v>
          </cell>
          <cell r="J1182">
            <v>0</v>
          </cell>
          <cell r="K1182">
            <v>16.029875000000004</v>
          </cell>
          <cell r="L1182">
            <v>16.690341624084301</v>
          </cell>
          <cell r="M1182">
            <v>21.697444111309593</v>
          </cell>
        </row>
        <row r="1183">
          <cell r="A1183" t="str">
            <v>A30</v>
          </cell>
          <cell r="B1183" t="str">
            <v>Concreto reforzado</v>
          </cell>
          <cell r="C1183" t="str">
            <v>m3</v>
          </cell>
          <cell r="D1183">
            <v>10</v>
          </cell>
          <cell r="E1183">
            <v>1.0412022317132414</v>
          </cell>
          <cell r="F1183">
            <v>16.2</v>
          </cell>
          <cell r="G1183">
            <v>56.207999999999998</v>
          </cell>
          <cell r="H1183">
            <v>3.9517333333333298</v>
          </cell>
          <cell r="I1183">
            <v>116.16</v>
          </cell>
          <cell r="J1183">
            <v>0</v>
          </cell>
          <cell r="K1183">
            <v>176.31973333333332</v>
          </cell>
          <cell r="L1183">
            <v>183.58449984175027</v>
          </cell>
          <cell r="M1183">
            <v>1835.8449984175027</v>
          </cell>
        </row>
        <row r="1184">
          <cell r="A1184" t="str">
            <v>A46</v>
          </cell>
          <cell r="B1184" t="str">
            <v>Concreto de relleno</v>
          </cell>
          <cell r="C1184" t="str">
            <v>ml</v>
          </cell>
          <cell r="D1184">
            <v>174</v>
          </cell>
          <cell r="E1184">
            <v>1.0412022317132414</v>
          </cell>
          <cell r="F1184">
            <v>10.006226151181954</v>
          </cell>
          <cell r="G1184">
            <v>34.316450429899803</v>
          </cell>
          <cell r="H1184">
            <v>3.1123646208762503</v>
          </cell>
          <cell r="I1184">
            <v>60</v>
          </cell>
          <cell r="J1184">
            <v>0</v>
          </cell>
          <cell r="K1184">
            <v>97.428815050776052</v>
          </cell>
          <cell r="L1184">
            <v>101.44309966404467</v>
          </cell>
          <cell r="M1184">
            <v>17651.099341543773</v>
          </cell>
        </row>
        <row r="1185">
          <cell r="A1185" t="str">
            <v>A32</v>
          </cell>
          <cell r="B1185" t="str">
            <v>Alcantarillas 600mm</v>
          </cell>
          <cell r="C1185" t="str">
            <v>ml</v>
          </cell>
          <cell r="D1185">
            <v>105</v>
          </cell>
          <cell r="E1185">
            <v>1.0412022317132414</v>
          </cell>
          <cell r="F1185">
            <v>6.666666666666667</v>
          </cell>
          <cell r="G1185">
            <v>21.566666666666698</v>
          </cell>
          <cell r="H1185">
            <v>1.07833333333333</v>
          </cell>
          <cell r="I1185">
            <v>50</v>
          </cell>
          <cell r="J1185">
            <v>0</v>
          </cell>
          <cell r="K1185">
            <v>72.645000000000024</v>
          </cell>
          <cell r="L1185">
            <v>75.638136122808447</v>
          </cell>
          <cell r="M1185">
            <v>7942.0042928948869</v>
          </cell>
        </row>
        <row r="1186">
          <cell r="A1186" t="str">
            <v>A33</v>
          </cell>
          <cell r="B1186" t="str">
            <v>Alcantarillas 1350mm</v>
          </cell>
          <cell r="C1186" t="str">
            <v>ml</v>
          </cell>
          <cell r="F1186">
            <v>12.5</v>
          </cell>
          <cell r="G1186">
            <v>39.924999999999997</v>
          </cell>
          <cell r="H1186">
            <v>1.9962500000000001</v>
          </cell>
          <cell r="I1186">
            <v>160</v>
          </cell>
          <cell r="J1186">
            <v>0</v>
          </cell>
          <cell r="K1186">
            <v>201.92125000000001</v>
          </cell>
          <cell r="L1186">
            <v>0</v>
          </cell>
          <cell r="M1186">
            <v>0</v>
          </cell>
        </row>
        <row r="1187">
          <cell r="A1187" t="str">
            <v>A34</v>
          </cell>
          <cell r="B1187" t="str">
            <v>Alcantarillas 1000mm</v>
          </cell>
          <cell r="C1187" t="str">
            <v>ml</v>
          </cell>
          <cell r="D1187">
            <v>52</v>
          </cell>
          <cell r="E1187">
            <v>1.0412022317132414</v>
          </cell>
          <cell r="F1187">
            <v>8.8888888888888893</v>
          </cell>
          <cell r="G1187">
            <v>28.755555555555599</v>
          </cell>
          <cell r="H1187">
            <v>1.43777777777778</v>
          </cell>
          <cell r="I1187">
            <v>78</v>
          </cell>
          <cell r="J1187">
            <v>0</v>
          </cell>
          <cell r="K1187">
            <v>108.19333333333338</v>
          </cell>
          <cell r="L1187">
            <v>112.65114012316135</v>
          </cell>
          <cell r="M1187">
            <v>5857.8592864043903</v>
          </cell>
        </row>
        <row r="1188">
          <cell r="A1188" t="str">
            <v>A35</v>
          </cell>
          <cell r="B1188" t="str">
            <v>Alcantarillas 1600mm</v>
          </cell>
          <cell r="C1188" t="str">
            <v>ml</v>
          </cell>
          <cell r="F1188">
            <v>12.5</v>
          </cell>
          <cell r="G1188">
            <v>39.924999999999997</v>
          </cell>
          <cell r="H1188">
            <v>1.9962500000000001</v>
          </cell>
          <cell r="I1188">
            <v>215</v>
          </cell>
          <cell r="J1188">
            <v>0</v>
          </cell>
          <cell r="K1188">
            <v>256.92124999999999</v>
          </cell>
          <cell r="L1188">
            <v>0</v>
          </cell>
          <cell r="M1188">
            <v>0</v>
          </cell>
        </row>
        <row r="1189">
          <cell r="A1189" t="str">
            <v>A36</v>
          </cell>
          <cell r="B1189" t="str">
            <v>Tubería para buzón CMP 2000mm Diam</v>
          </cell>
          <cell r="C1189" t="str">
            <v>ml</v>
          </cell>
          <cell r="D1189">
            <v>2.5</v>
          </cell>
          <cell r="E1189">
            <v>1.0412022317132414</v>
          </cell>
          <cell r="F1189">
            <v>20</v>
          </cell>
          <cell r="G1189">
            <v>63.3333333333333</v>
          </cell>
          <cell r="H1189">
            <v>3.1666666666666701</v>
          </cell>
          <cell r="I1189">
            <v>335</v>
          </cell>
          <cell r="J1189">
            <v>0</v>
          </cell>
          <cell r="K1189">
            <v>401.5</v>
          </cell>
          <cell r="L1189">
            <v>418.04269603286644</v>
          </cell>
          <cell r="M1189">
            <v>1045.1067400821662</v>
          </cell>
        </row>
        <row r="1190">
          <cell r="A1190" t="str">
            <v>A37</v>
          </cell>
          <cell r="B1190" t="str">
            <v>Alcantarillas 300mm</v>
          </cell>
          <cell r="F1190">
            <v>6.666666666666667</v>
          </cell>
          <cell r="G1190">
            <v>21.566666666666698</v>
          </cell>
          <cell r="H1190">
            <v>1.07833333333333</v>
          </cell>
          <cell r="I1190">
            <v>26</v>
          </cell>
          <cell r="J1190">
            <v>0</v>
          </cell>
          <cell r="K1190">
            <v>48.645000000000032</v>
          </cell>
          <cell r="L1190">
            <v>0</v>
          </cell>
          <cell r="M1190">
            <v>0</v>
          </cell>
        </row>
        <row r="1191">
          <cell r="A1191" t="str">
            <v>A20</v>
          </cell>
          <cell r="B1191" t="str">
            <v>Geotextil 400g/m2 Non Woven</v>
          </cell>
          <cell r="C1191" t="str">
            <v>m2</v>
          </cell>
          <cell r="F1191">
            <v>0.37356321839080464</v>
          </cell>
          <cell r="G1191">
            <v>1.1715517241379301</v>
          </cell>
          <cell r="H1191">
            <v>0.445182471264368</v>
          </cell>
          <cell r="I1191">
            <v>0.8</v>
          </cell>
          <cell r="J1191">
            <v>0</v>
          </cell>
          <cell r="K1191">
            <v>2.4167341954022983</v>
          </cell>
          <cell r="L1191">
            <v>0</v>
          </cell>
          <cell r="M1191">
            <v>0</v>
          </cell>
        </row>
        <row r="1192">
          <cell r="A1192" t="str">
            <v>A38</v>
          </cell>
          <cell r="B1192" t="str">
            <v>Excavación y eliminación de material para cunetas en roca</v>
          </cell>
          <cell r="C1192" t="str">
            <v>m3</v>
          </cell>
          <cell r="D1192">
            <v>85</v>
          </cell>
          <cell r="E1192">
            <v>1.0412022317132414</v>
          </cell>
          <cell r="F1192">
            <v>0.28461538461538466</v>
          </cell>
          <cell r="G1192">
            <v>1.41576923076923</v>
          </cell>
          <cell r="H1192">
            <v>7.0169423076923119</v>
          </cell>
          <cell r="I1192">
            <v>0</v>
          </cell>
          <cell r="J1192">
            <v>11.5</v>
          </cell>
          <cell r="K1192">
            <v>19.932711538461543</v>
          </cell>
          <cell r="L1192">
            <v>20.753983737942438</v>
          </cell>
          <cell r="M1192">
            <v>1764.0886177251073</v>
          </cell>
        </row>
        <row r="1193">
          <cell r="A1193" t="str">
            <v>A39</v>
          </cell>
          <cell r="B1193" t="str">
            <v>Excavación y eliminación de material para cunetas en suelo común</v>
          </cell>
          <cell r="C1193" t="str">
            <v>m3</v>
          </cell>
          <cell r="F1193">
            <v>0.1957264957264957</v>
          </cell>
          <cell r="G1193">
            <v>0.98510256410256403</v>
          </cell>
          <cell r="H1193">
            <v>4.9954089743589778</v>
          </cell>
          <cell r="I1193">
            <v>0</v>
          </cell>
          <cell r="J1193">
            <v>0</v>
          </cell>
          <cell r="K1193">
            <v>5.9805115384615419</v>
          </cell>
          <cell r="L1193">
            <v>0</v>
          </cell>
          <cell r="M1193">
            <v>0</v>
          </cell>
        </row>
        <row r="1194">
          <cell r="A1194" t="str">
            <v>A21</v>
          </cell>
          <cell r="B1194" t="str">
            <v>Excavación y perfilado de zanjas</v>
          </cell>
          <cell r="C1194" t="str">
            <v>m3</v>
          </cell>
          <cell r="D1194">
            <v>245</v>
          </cell>
          <cell r="E1194">
            <v>1.0412022317132414</v>
          </cell>
          <cell r="F1194">
            <v>1.2887346226726417</v>
          </cell>
          <cell r="G1194">
            <v>4.4896263901299003</v>
          </cell>
          <cell r="H1194">
            <v>6.5119556758310146</v>
          </cell>
          <cell r="I1194">
            <v>0</v>
          </cell>
          <cell r="J1194">
            <v>3.45</v>
          </cell>
          <cell r="K1194">
            <v>14.451582065960915</v>
          </cell>
          <cell r="L1194">
            <v>15.047019498865561</v>
          </cell>
          <cell r="M1194">
            <v>3686.5197772220627</v>
          </cell>
        </row>
        <row r="1195">
          <cell r="A1195" t="str">
            <v>2.18</v>
          </cell>
          <cell r="B1195" t="str">
            <v>SECONDARY CRUSHER &amp; CONVEYOR RIGHT OF WAY</v>
          </cell>
        </row>
        <row r="1196">
          <cell r="A1196" t="str">
            <v>2.18.a</v>
          </cell>
          <cell r="B1196" t="str">
            <v>Clear and Grub</v>
          </cell>
          <cell r="C1196" t="str">
            <v>Ls</v>
          </cell>
        </row>
        <row r="1197">
          <cell r="A1197" t="str">
            <v>2.18.b</v>
          </cell>
          <cell r="B1197" t="str">
            <v>Cut unsuitable soil to waste (includes organic soil)</v>
          </cell>
          <cell r="C1197" t="str">
            <v>m3</v>
          </cell>
          <cell r="D1197">
            <v>4000</v>
          </cell>
          <cell r="F1197">
            <v>292.65567765567761</v>
          </cell>
          <cell r="G1197">
            <v>0.38133406593406599</v>
          </cell>
          <cell r="H1197">
            <v>2.6286335531135525</v>
          </cell>
          <cell r="I1197">
            <v>0</v>
          </cell>
          <cell r="J1197">
            <v>0</v>
          </cell>
          <cell r="L1197">
            <v>3.01</v>
          </cell>
          <cell r="M1197">
            <v>12040</v>
          </cell>
        </row>
        <row r="1198">
          <cell r="A1198" t="str">
            <v>A01</v>
          </cell>
          <cell r="B1198" t="str">
            <v>Excavación de Topsoil y Unsuitable (e&gt;1m)</v>
          </cell>
          <cell r="C1198" t="str">
            <v>m3</v>
          </cell>
          <cell r="D1198">
            <v>4000</v>
          </cell>
          <cell r="E1198">
            <v>1</v>
          </cell>
          <cell r="F1198">
            <v>1.7142857142857144E-2</v>
          </cell>
          <cell r="G1198">
            <v>8.5542857142857004E-2</v>
          </cell>
          <cell r="H1198">
            <v>0.81924857142857199</v>
          </cell>
          <cell r="I1198">
            <v>0</v>
          </cell>
          <cell r="J1198">
            <v>0</v>
          </cell>
          <cell r="K1198">
            <v>0.90479142857142902</v>
          </cell>
          <cell r="L1198">
            <v>0.90479142857142902</v>
          </cell>
          <cell r="M1198">
            <v>3619.1657142857161</v>
          </cell>
        </row>
        <row r="1199">
          <cell r="A1199" t="str">
            <v>A02</v>
          </cell>
          <cell r="B1199" t="str">
            <v>Excavación de Topsoil y Unsuitable (e&lt;1m)</v>
          </cell>
          <cell r="C1199" t="str">
            <v>m3</v>
          </cell>
          <cell r="F1199">
            <v>1.4285714285714285E-2</v>
          </cell>
          <cell r="G1199">
            <v>6.9214285714286006E-2</v>
          </cell>
          <cell r="H1199">
            <v>0.57488928571428499</v>
          </cell>
          <cell r="I1199">
            <v>0</v>
          </cell>
          <cell r="J1199">
            <v>0</v>
          </cell>
          <cell r="K1199">
            <v>0.644103571428571</v>
          </cell>
          <cell r="L1199">
            <v>0</v>
          </cell>
          <cell r="M1199">
            <v>0</v>
          </cell>
        </row>
        <row r="1200">
          <cell r="A1200" t="str">
            <v>A03</v>
          </cell>
          <cell r="B1200" t="str">
            <v>Carguío de Topsoil &amp; Unsuitable con excavadora</v>
          </cell>
          <cell r="C1200" t="str">
            <v>m3</v>
          </cell>
          <cell r="D1200">
            <v>4000</v>
          </cell>
          <cell r="E1200">
            <v>1</v>
          </cell>
          <cell r="F1200">
            <v>1.3461538461538462E-2</v>
          </cell>
          <cell r="G1200">
            <v>7.1076923076922996E-2</v>
          </cell>
          <cell r="H1200">
            <v>0.70142307692307704</v>
          </cell>
          <cell r="I1200">
            <v>0</v>
          </cell>
          <cell r="J1200">
            <v>0</v>
          </cell>
          <cell r="K1200">
            <v>0.77250000000000008</v>
          </cell>
          <cell r="L1200">
            <v>0.77250000000000008</v>
          </cell>
          <cell r="M1200">
            <v>3090.0000000000005</v>
          </cell>
        </row>
        <row r="1201">
          <cell r="A1201" t="str">
            <v>A04</v>
          </cell>
          <cell r="B1201" t="str">
            <v>Acarreo d&lt;1km (sin esponj)</v>
          </cell>
          <cell r="C1201" t="str">
            <v>m3</v>
          </cell>
          <cell r="D1201">
            <v>4000</v>
          </cell>
          <cell r="E1201">
            <v>1.5</v>
          </cell>
          <cell r="F1201">
            <v>1.9444444444444441E-2</v>
          </cell>
          <cell r="G1201">
            <v>0.102666666666667</v>
          </cell>
          <cell r="H1201">
            <v>0.50555555555555498</v>
          </cell>
          <cell r="I1201">
            <v>0</v>
          </cell>
          <cell r="J1201">
            <v>0</v>
          </cell>
          <cell r="K1201">
            <v>0.608222222222222</v>
          </cell>
          <cell r="L1201">
            <v>0.912333333333333</v>
          </cell>
          <cell r="M1201">
            <v>3649.3333333333321</v>
          </cell>
        </row>
        <row r="1202">
          <cell r="A1202" t="str">
            <v>A05</v>
          </cell>
          <cell r="B1202" t="str">
            <v>Sobreacarreo (d&gt;1km) (sin esponj)</v>
          </cell>
          <cell r="C1202" t="str">
            <v>m3-km</v>
          </cell>
          <cell r="D1202">
            <v>4000</v>
          </cell>
          <cell r="E1202">
            <v>1.5</v>
          </cell>
          <cell r="F1202">
            <v>8.9285714285714263E-3</v>
          </cell>
          <cell r="G1202">
            <v>4.7142857142857E-2</v>
          </cell>
          <cell r="H1202">
            <v>0.23308571428571401</v>
          </cell>
          <cell r="I1202">
            <v>0</v>
          </cell>
          <cell r="J1202">
            <v>0</v>
          </cell>
          <cell r="K1202">
            <v>0.28022857142857105</v>
          </cell>
          <cell r="L1202">
            <v>0.42034285714285657</v>
          </cell>
          <cell r="M1202">
            <v>1681.3714285714263</v>
          </cell>
        </row>
        <row r="1203">
          <cell r="A1203" t="str">
            <v>2.18.c</v>
          </cell>
          <cell r="B1203" t="str">
            <v>Cut and Fill Soil or Ripable Rock, within sub-Item work zone</v>
          </cell>
          <cell r="C1203" t="str">
            <v>m3</v>
          </cell>
          <cell r="D1203">
            <v>15000</v>
          </cell>
          <cell r="F1203">
            <v>1460</v>
          </cell>
          <cell r="G1203">
            <v>0.49280799999999997</v>
          </cell>
          <cell r="H1203">
            <v>3.949374646666671</v>
          </cell>
          <cell r="I1203">
            <v>0</v>
          </cell>
          <cell r="J1203">
            <v>0</v>
          </cell>
          <cell r="L1203">
            <v>4.4400000000000004</v>
          </cell>
          <cell r="M1203">
            <v>66600</v>
          </cell>
        </row>
        <row r="1204">
          <cell r="A1204" t="str">
            <v>A06</v>
          </cell>
          <cell r="B1204" t="str">
            <v>Excavación de roca ripeable</v>
          </cell>
          <cell r="C1204" t="str">
            <v>m3</v>
          </cell>
          <cell r="D1204">
            <v>15000</v>
          </cell>
          <cell r="E1204">
            <v>1.1950000000000001</v>
          </cell>
          <cell r="F1204">
            <v>3.3333333333333333E-2</v>
          </cell>
          <cell r="G1204">
            <v>0.16439999999999999</v>
          </cell>
          <cell r="H1204">
            <v>1.5519306666666701</v>
          </cell>
          <cell r="I1204">
            <v>0</v>
          </cell>
          <cell r="J1204">
            <v>0</v>
          </cell>
          <cell r="K1204">
            <v>1.7163306666666702</v>
          </cell>
          <cell r="L1204">
            <v>2.0510151466666708</v>
          </cell>
          <cell r="M1204">
            <v>30765.227200000063</v>
          </cell>
        </row>
        <row r="1205">
          <cell r="A1205" t="str">
            <v>A07</v>
          </cell>
          <cell r="B1205" t="str">
            <v>Empuje de material d&lt;60m</v>
          </cell>
          <cell r="C1205" t="str">
            <v>m3</v>
          </cell>
          <cell r="D1205">
            <v>15000</v>
          </cell>
          <cell r="E1205">
            <v>1.2</v>
          </cell>
          <cell r="F1205">
            <v>1.2500000000000001E-2</v>
          </cell>
          <cell r="G1205">
            <v>6.0562499999999998E-2</v>
          </cell>
          <cell r="H1205">
            <v>0.50302812500000005</v>
          </cell>
          <cell r="I1205">
            <v>0</v>
          </cell>
          <cell r="J1205">
            <v>0</v>
          </cell>
          <cell r="K1205">
            <v>0.56359062500000001</v>
          </cell>
          <cell r="L1205">
            <v>0.67630875000000001</v>
          </cell>
          <cell r="M1205">
            <v>10144.63125</v>
          </cell>
        </row>
        <row r="1206">
          <cell r="A1206" t="str">
            <v>A08</v>
          </cell>
          <cell r="B1206" t="str">
            <v>Relleno masivo compactado</v>
          </cell>
          <cell r="C1206" t="str">
            <v>m3</v>
          </cell>
          <cell r="D1206">
            <v>15000</v>
          </cell>
          <cell r="E1206">
            <v>1</v>
          </cell>
          <cell r="F1206">
            <v>4.2499999999999996E-2</v>
          </cell>
          <cell r="G1206">
            <v>0.22367500000000001</v>
          </cell>
          <cell r="H1206">
            <v>1.49118375</v>
          </cell>
          <cell r="I1206">
            <v>0</v>
          </cell>
          <cell r="J1206">
            <v>0</v>
          </cell>
          <cell r="K1206">
            <v>1.7148587500000001</v>
          </cell>
          <cell r="L1206">
            <v>1.7148587500000001</v>
          </cell>
          <cell r="M1206">
            <v>25722.881250000002</v>
          </cell>
        </row>
        <row r="1207">
          <cell r="A1207" t="str">
            <v>2.18.d</v>
          </cell>
          <cell r="B1207" t="str">
            <v xml:space="preserve">Cut and Dispose Soil or Ripable Rock to Waste Rock Disposal Site </v>
          </cell>
          <cell r="C1207" t="str">
            <v>m3</v>
          </cell>
          <cell r="D1207">
            <v>8000</v>
          </cell>
          <cell r="F1207">
            <v>702.01587301587301</v>
          </cell>
          <cell r="G1207">
            <v>0.45173047619047657</v>
          </cell>
          <cell r="H1207">
            <v>3.3863933015873036</v>
          </cell>
          <cell r="I1207">
            <v>0</v>
          </cell>
          <cell r="J1207">
            <v>0</v>
          </cell>
          <cell r="L1207">
            <v>3.84</v>
          </cell>
          <cell r="M1207">
            <v>30720</v>
          </cell>
        </row>
        <row r="1208">
          <cell r="A1208" t="str">
            <v>A06</v>
          </cell>
          <cell r="B1208" t="str">
            <v>Excavación de roca ripeable</v>
          </cell>
          <cell r="C1208" t="str">
            <v>m3</v>
          </cell>
          <cell r="D1208">
            <v>8000</v>
          </cell>
          <cell r="E1208">
            <v>1</v>
          </cell>
          <cell r="F1208">
            <v>3.3333333333333333E-2</v>
          </cell>
          <cell r="G1208">
            <v>0.16439999999999999</v>
          </cell>
          <cell r="H1208">
            <v>1.5519306666666701</v>
          </cell>
          <cell r="I1208">
            <v>0</v>
          </cell>
          <cell r="J1208">
            <v>0</v>
          </cell>
          <cell r="K1208">
            <v>1.7163306666666702</v>
          </cell>
          <cell r="L1208">
            <v>1.7163306666666702</v>
          </cell>
          <cell r="M1208">
            <v>13730.645333333361</v>
          </cell>
        </row>
        <row r="1209">
          <cell r="A1209" t="str">
            <v>A09</v>
          </cell>
          <cell r="B1209" t="str">
            <v>Carguío de material común &amp; roca ripeable con excavadora</v>
          </cell>
          <cell r="C1209" t="str">
            <v>m3</v>
          </cell>
          <cell r="D1209">
            <v>8000</v>
          </cell>
          <cell r="E1209">
            <v>1</v>
          </cell>
          <cell r="F1209">
            <v>8.0000000000000002E-3</v>
          </cell>
          <cell r="G1209">
            <v>4.224E-2</v>
          </cell>
          <cell r="H1209">
            <v>0.57259199999999999</v>
          </cell>
          <cell r="I1209">
            <v>0</v>
          </cell>
          <cell r="J1209">
            <v>0</v>
          </cell>
          <cell r="K1209">
            <v>0.61483199999999993</v>
          </cell>
          <cell r="L1209">
            <v>0.61483199999999993</v>
          </cell>
          <cell r="M1209">
            <v>4918.655999999999</v>
          </cell>
        </row>
        <row r="1210">
          <cell r="A1210" t="str">
            <v>A10</v>
          </cell>
          <cell r="B1210" t="str">
            <v>Extendido de roca en botadero</v>
          </cell>
          <cell r="C1210" t="str">
            <v>m3</v>
          </cell>
          <cell r="D1210">
            <v>8000</v>
          </cell>
          <cell r="E1210">
            <v>1</v>
          </cell>
          <cell r="F1210">
            <v>3.5714285714285713E-3</v>
          </cell>
          <cell r="G1210">
            <v>1.8857142857142999E-2</v>
          </cell>
          <cell r="H1210">
            <v>0.14619285714285699</v>
          </cell>
          <cell r="I1210">
            <v>0</v>
          </cell>
          <cell r="J1210">
            <v>0</v>
          </cell>
          <cell r="K1210">
            <v>0.16504999999999997</v>
          </cell>
          <cell r="L1210">
            <v>0.16504999999999997</v>
          </cell>
          <cell r="M1210">
            <v>1320.3999999999999</v>
          </cell>
        </row>
        <row r="1211">
          <cell r="A1211" t="str">
            <v>A04</v>
          </cell>
          <cell r="B1211" t="str">
            <v>Acarreo d&lt;1km (sin esponj)</v>
          </cell>
          <cell r="C1211" t="str">
            <v>m3</v>
          </cell>
          <cell r="D1211">
            <v>8000</v>
          </cell>
          <cell r="E1211">
            <v>1.4</v>
          </cell>
          <cell r="F1211">
            <v>1.9444444444444441E-2</v>
          </cell>
          <cell r="G1211">
            <v>0.102666666666667</v>
          </cell>
          <cell r="H1211">
            <v>0.50555555555555498</v>
          </cell>
          <cell r="I1211">
            <v>0</v>
          </cell>
          <cell r="J1211">
            <v>0</v>
          </cell>
          <cell r="K1211">
            <v>0.608222222222222</v>
          </cell>
          <cell r="L1211">
            <v>0.85151111111111077</v>
          </cell>
          <cell r="M1211">
            <v>6812.0888888888858</v>
          </cell>
        </row>
        <row r="1212">
          <cell r="A1212" t="str">
            <v>A05</v>
          </cell>
          <cell r="B1212" t="str">
            <v>Sobreacarreo (d&gt;1km) (sin esponj)</v>
          </cell>
          <cell r="C1212" t="str">
            <v>m3-km</v>
          </cell>
          <cell r="D1212">
            <v>10000</v>
          </cell>
          <cell r="E1212">
            <v>1.4</v>
          </cell>
          <cell r="F1212">
            <v>8.9285714285714263E-3</v>
          </cell>
          <cell r="G1212">
            <v>4.7142857142857E-2</v>
          </cell>
          <cell r="H1212">
            <v>0.23308571428571401</v>
          </cell>
          <cell r="I1212">
            <v>0</v>
          </cell>
          <cell r="J1212">
            <v>0</v>
          </cell>
          <cell r="K1212">
            <v>0.28022857142857105</v>
          </cell>
          <cell r="L1212">
            <v>0.39231999999999945</v>
          </cell>
          <cell r="M1212">
            <v>3923.1999999999944</v>
          </cell>
        </row>
        <row r="1213">
          <cell r="A1213" t="str">
            <v>2.18.e</v>
          </cell>
          <cell r="B1213" t="str">
            <v>Drill and blast bulk rock (without limit on thickness, broken to fine or coarse fragments as required depending on end-use. Applies to locations other than trenches and ditches).</v>
          </cell>
          <cell r="C1213" t="str">
            <v>m3</v>
          </cell>
          <cell r="D1213">
            <v>50000</v>
          </cell>
          <cell r="F1213">
            <v>3845.3719806763288</v>
          </cell>
          <cell r="G1213">
            <v>0</v>
          </cell>
          <cell r="H1213">
            <v>0</v>
          </cell>
          <cell r="I1213">
            <v>0</v>
          </cell>
          <cell r="J1213">
            <v>2.8170540000000002</v>
          </cell>
          <cell r="L1213">
            <v>2.82</v>
          </cell>
          <cell r="M1213">
            <v>141000</v>
          </cell>
        </row>
        <row r="1214">
          <cell r="A1214" t="str">
            <v>A11</v>
          </cell>
          <cell r="B1214" t="str">
            <v>Perforación y voladura masiva (material fino)</v>
          </cell>
          <cell r="C1214" t="str">
            <v>m3</v>
          </cell>
          <cell r="D1214">
            <v>50000</v>
          </cell>
          <cell r="E1214">
            <v>0.28930000000000006</v>
          </cell>
          <cell r="F1214">
            <v>7.4718196457326899E-2</v>
          </cell>
          <cell r="G1214">
            <v>0</v>
          </cell>
          <cell r="H1214">
            <v>0</v>
          </cell>
          <cell r="I1214">
            <v>0</v>
          </cell>
          <cell r="J1214">
            <v>2.78</v>
          </cell>
          <cell r="K1214">
            <v>2.78</v>
          </cell>
          <cell r="L1214">
            <v>0.80425400000000014</v>
          </cell>
          <cell r="M1214">
            <v>40212.700000000004</v>
          </cell>
        </row>
        <row r="1215">
          <cell r="A1215" t="str">
            <v>A12</v>
          </cell>
          <cell r="B1215" t="str">
            <v>Perforación y voladura masiva (material grueso)</v>
          </cell>
          <cell r="C1215" t="str">
            <v>m3</v>
          </cell>
          <cell r="D1215">
            <v>50000</v>
          </cell>
          <cell r="E1215">
            <v>0.74</v>
          </cell>
          <cell r="F1215">
            <v>7.4718196457326899E-2</v>
          </cell>
          <cell r="G1215">
            <v>0</v>
          </cell>
          <cell r="H1215">
            <v>0</v>
          </cell>
          <cell r="I1215">
            <v>0</v>
          </cell>
          <cell r="J1215">
            <v>2.72</v>
          </cell>
          <cell r="K1215">
            <v>2.72</v>
          </cell>
          <cell r="L1215">
            <v>2.0127999999999999</v>
          </cell>
          <cell r="M1215">
            <v>100640</v>
          </cell>
        </row>
        <row r="1216">
          <cell r="A1216" t="str">
            <v>2.18.f</v>
          </cell>
          <cell r="B1216" t="str">
            <v xml:space="preserve">Excavate and Fill (fine blasted) broken rock, within work area </v>
          </cell>
          <cell r="C1216" t="str">
            <v>m3</v>
          </cell>
          <cell r="D1216">
            <v>2000</v>
          </cell>
          <cell r="F1216">
            <v>172.69200000000001</v>
          </cell>
          <cell r="G1216">
            <v>0.44047279000000006</v>
          </cell>
          <cell r="H1216">
            <v>3.4268891755000004</v>
          </cell>
          <cell r="I1216">
            <v>0</v>
          </cell>
          <cell r="J1216">
            <v>0</v>
          </cell>
          <cell r="L1216">
            <v>3.87</v>
          </cell>
          <cell r="M1216">
            <v>7740</v>
          </cell>
        </row>
        <row r="1217">
          <cell r="A1217" t="str">
            <v>A13</v>
          </cell>
          <cell r="B1217" t="str">
            <v>Remoción de Material fino volado</v>
          </cell>
          <cell r="C1217" t="str">
            <v>m3</v>
          </cell>
          <cell r="D1217">
            <v>2000</v>
          </cell>
          <cell r="E1217">
            <v>1.254</v>
          </cell>
          <cell r="F1217">
            <v>2.4E-2</v>
          </cell>
          <cell r="G1217">
            <v>0.11976000000000001</v>
          </cell>
          <cell r="H1217">
            <v>1.1023720000000001</v>
          </cell>
          <cell r="I1217">
            <v>0</v>
          </cell>
          <cell r="J1217">
            <v>0</v>
          </cell>
          <cell r="K1217">
            <v>1.2221320000000002</v>
          </cell>
          <cell r="L1217">
            <v>1.5325535280000002</v>
          </cell>
          <cell r="M1217">
            <v>3065.1070560000003</v>
          </cell>
        </row>
        <row r="1218">
          <cell r="A1218" t="str">
            <v>A07</v>
          </cell>
          <cell r="B1218" t="str">
            <v>Empuje de material d&lt;60m</v>
          </cell>
          <cell r="C1218" t="str">
            <v>m3</v>
          </cell>
          <cell r="D1218">
            <v>2000</v>
          </cell>
          <cell r="E1218">
            <v>1.1000000000000001</v>
          </cell>
          <cell r="F1218">
            <v>1.2500000000000001E-2</v>
          </cell>
          <cell r="G1218">
            <v>6.0562499999999998E-2</v>
          </cell>
          <cell r="H1218">
            <v>0.50302812500000005</v>
          </cell>
          <cell r="I1218">
            <v>0</v>
          </cell>
          <cell r="J1218">
            <v>0</v>
          </cell>
          <cell r="K1218">
            <v>0.56359062500000001</v>
          </cell>
          <cell r="L1218">
            <v>0.61994968750000001</v>
          </cell>
          <cell r="M1218">
            <v>1239.899375</v>
          </cell>
        </row>
        <row r="1219">
          <cell r="A1219" t="str">
            <v>A08</v>
          </cell>
          <cell r="B1219" t="str">
            <v>Relleno masivo compactado</v>
          </cell>
          <cell r="C1219" t="str">
            <v>m3</v>
          </cell>
          <cell r="D1219">
            <v>2000</v>
          </cell>
          <cell r="E1219">
            <v>1</v>
          </cell>
          <cell r="F1219">
            <v>4.2499999999999996E-2</v>
          </cell>
          <cell r="G1219">
            <v>0.22367500000000001</v>
          </cell>
          <cell r="H1219">
            <v>1.49118375</v>
          </cell>
          <cell r="I1219">
            <v>0</v>
          </cell>
          <cell r="J1219">
            <v>0</v>
          </cell>
          <cell r="K1219">
            <v>1.7148587500000001</v>
          </cell>
          <cell r="L1219">
            <v>1.7148587500000001</v>
          </cell>
          <cell r="M1219">
            <v>3429.7175000000002</v>
          </cell>
        </row>
        <row r="1220">
          <cell r="A1220" t="str">
            <v>2.18.g</v>
          </cell>
          <cell r="B1220" t="str">
            <v xml:space="preserve">Excavate (fine or coarse blasted) broken rock to Waste Surplus Stockpile </v>
          </cell>
          <cell r="C1220" t="str">
            <v>m3</v>
          </cell>
          <cell r="D1220">
            <v>15000</v>
          </cell>
          <cell r="F1220">
            <v>1184.855581576893</v>
          </cell>
          <cell r="G1220">
            <v>0.40981916471506652</v>
          </cell>
          <cell r="H1220">
            <v>2.9508184327348448</v>
          </cell>
          <cell r="I1220">
            <v>0</v>
          </cell>
          <cell r="J1220">
            <v>0</v>
          </cell>
          <cell r="L1220">
            <v>3.36</v>
          </cell>
          <cell r="M1220">
            <v>50400</v>
          </cell>
        </row>
        <row r="1221">
          <cell r="A1221" t="str">
            <v>A14</v>
          </cell>
          <cell r="B1221" t="str">
            <v>Remoción de Material grueso volado</v>
          </cell>
          <cell r="C1221" t="str">
            <v>m3</v>
          </cell>
          <cell r="D1221">
            <v>15000</v>
          </cell>
          <cell r="E1221">
            <v>1</v>
          </cell>
          <cell r="F1221">
            <v>2.5000000000000001E-2</v>
          </cell>
          <cell r="G1221">
            <v>0.12475</v>
          </cell>
          <cell r="H1221">
            <v>1.11859166666667</v>
          </cell>
          <cell r="I1221">
            <v>0</v>
          </cell>
          <cell r="J1221">
            <v>0</v>
          </cell>
          <cell r="K1221">
            <v>1.2433416666666699</v>
          </cell>
          <cell r="L1221">
            <v>1.2433416666666699</v>
          </cell>
          <cell r="M1221">
            <v>18650.125000000047</v>
          </cell>
        </row>
        <row r="1222">
          <cell r="A1222" t="str">
            <v>A43</v>
          </cell>
          <cell r="B1222" t="str">
            <v>Carguío de roca volada con excavadora</v>
          </cell>
          <cell r="C1222" t="str">
            <v>m3</v>
          </cell>
          <cell r="D1222">
            <v>15000</v>
          </cell>
          <cell r="E1222">
            <v>1</v>
          </cell>
          <cell r="F1222">
            <v>8.1967213114754103E-3</v>
          </cell>
          <cell r="G1222">
            <v>4.3278688524589999E-2</v>
          </cell>
          <cell r="H1222">
            <v>0.58667213114754102</v>
          </cell>
          <cell r="I1222">
            <v>0</v>
          </cell>
          <cell r="J1222">
            <v>0</v>
          </cell>
          <cell r="K1222">
            <v>0.62995081967213107</v>
          </cell>
          <cell r="L1222">
            <v>0.62995081967213107</v>
          </cell>
          <cell r="M1222">
            <v>9449.2622950819659</v>
          </cell>
        </row>
        <row r="1223">
          <cell r="A1223" t="str">
            <v>A10</v>
          </cell>
          <cell r="B1223" t="str">
            <v>Extendido de roca en botadero</v>
          </cell>
          <cell r="C1223" t="str">
            <v>m3</v>
          </cell>
          <cell r="D1223">
            <v>15000</v>
          </cell>
          <cell r="E1223">
            <v>1</v>
          </cell>
          <cell r="F1223">
            <v>3.5714285714285713E-3</v>
          </cell>
          <cell r="G1223">
            <v>1.8857142857142999E-2</v>
          </cell>
          <cell r="H1223">
            <v>0.14619285714285699</v>
          </cell>
          <cell r="I1223">
            <v>0</v>
          </cell>
          <cell r="J1223">
            <v>0</v>
          </cell>
          <cell r="K1223">
            <v>0.16504999999999997</v>
          </cell>
          <cell r="L1223">
            <v>0.16504999999999997</v>
          </cell>
          <cell r="M1223">
            <v>2475.7499999999995</v>
          </cell>
        </row>
        <row r="1224">
          <cell r="A1224" t="str">
            <v>A04</v>
          </cell>
          <cell r="B1224" t="str">
            <v>Acarreo d&lt;1km (sin esponj)</v>
          </cell>
          <cell r="C1224" t="str">
            <v>m3</v>
          </cell>
          <cell r="D1224">
            <v>15000</v>
          </cell>
          <cell r="E1224">
            <v>1.4</v>
          </cell>
          <cell r="F1224">
            <v>1.9444444444444441E-2</v>
          </cell>
          <cell r="G1224">
            <v>0.102666666666667</v>
          </cell>
          <cell r="H1224">
            <v>0.50555555555555498</v>
          </cell>
          <cell r="I1224">
            <v>0</v>
          </cell>
          <cell r="J1224">
            <v>0</v>
          </cell>
          <cell r="K1224">
            <v>0.608222222222222</v>
          </cell>
          <cell r="L1224">
            <v>0.85151111111111077</v>
          </cell>
          <cell r="M1224">
            <v>12772.666666666662</v>
          </cell>
        </row>
        <row r="1225">
          <cell r="A1225" t="str">
            <v>A05</v>
          </cell>
          <cell r="B1225" t="str">
            <v>Sobreacarreo (d&gt;1km) (sin esponj)</v>
          </cell>
          <cell r="C1225" t="str">
            <v>m3-km</v>
          </cell>
          <cell r="D1225">
            <v>18000</v>
          </cell>
          <cell r="E1225">
            <v>1.4</v>
          </cell>
          <cell r="F1225">
            <v>8.9285714285714263E-3</v>
          </cell>
          <cell r="G1225">
            <v>4.7142857142857E-2</v>
          </cell>
          <cell r="H1225">
            <v>0.23308571428571401</v>
          </cell>
          <cell r="I1225">
            <v>0</v>
          </cell>
          <cell r="J1225">
            <v>0</v>
          </cell>
          <cell r="K1225">
            <v>0.28022857142857105</v>
          </cell>
          <cell r="L1225">
            <v>0.39231999999999945</v>
          </cell>
          <cell r="M1225">
            <v>7061.7599999999902</v>
          </cell>
        </row>
        <row r="1226">
          <cell r="A1226" t="str">
            <v>2.18.h</v>
          </cell>
          <cell r="B1226" t="str">
            <v>Supply and Install Backfill Granular A to roads/yards</v>
          </cell>
          <cell r="C1226" t="str">
            <v>m3</v>
          </cell>
          <cell r="D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</row>
        <row r="1227">
          <cell r="A1227" t="str">
            <v>A15</v>
          </cell>
          <cell r="B1227" t="str">
            <v>Suministro de material granular A</v>
          </cell>
          <cell r="C1227" t="str">
            <v>m3</v>
          </cell>
          <cell r="F1227">
            <v>0</v>
          </cell>
          <cell r="G1227">
            <v>0</v>
          </cell>
          <cell r="H1227">
            <v>0</v>
          </cell>
          <cell r="I1227">
            <v>2.85</v>
          </cell>
          <cell r="J1227">
            <v>0</v>
          </cell>
          <cell r="K1227">
            <v>2.85</v>
          </cell>
          <cell r="L1227">
            <v>0</v>
          </cell>
          <cell r="M1227">
            <v>0</v>
          </cell>
        </row>
        <row r="1228">
          <cell r="A1228" t="str">
            <v>A16</v>
          </cell>
          <cell r="B1228" t="str">
            <v>Colocación y compactación Mat Granular A</v>
          </cell>
          <cell r="C1228" t="str">
            <v>m3</v>
          </cell>
          <cell r="F1228">
            <v>0.37805555555555553</v>
          </cell>
          <cell r="G1228">
            <v>1.4478</v>
          </cell>
          <cell r="H1228">
            <v>3.0801342222222199</v>
          </cell>
          <cell r="I1228">
            <v>0</v>
          </cell>
          <cell r="J1228">
            <v>0</v>
          </cell>
          <cell r="K1228">
            <v>4.5279342222222194</v>
          </cell>
          <cell r="L1228">
            <v>0</v>
          </cell>
          <cell r="M1228">
            <v>0</v>
          </cell>
        </row>
        <row r="1229">
          <cell r="A1229" t="str">
            <v>A04</v>
          </cell>
          <cell r="B1229" t="str">
            <v>Acarreo d&lt;1km (sin esponj)</v>
          </cell>
          <cell r="C1229" t="str">
            <v>m3</v>
          </cell>
          <cell r="F1229">
            <v>1.9444444444444441E-2</v>
          </cell>
          <cell r="G1229">
            <v>0.102666666666667</v>
          </cell>
          <cell r="H1229">
            <v>0.50555555555555498</v>
          </cell>
          <cell r="I1229">
            <v>0</v>
          </cell>
          <cell r="J1229">
            <v>0</v>
          </cell>
          <cell r="K1229">
            <v>0.608222222222222</v>
          </cell>
          <cell r="L1229">
            <v>0</v>
          </cell>
          <cell r="M1229">
            <v>0</v>
          </cell>
        </row>
        <row r="1230">
          <cell r="A1230" t="str">
            <v>A05</v>
          </cell>
          <cell r="B1230" t="str">
            <v>Sobreacarreo (d&gt;1km) (sin esponj)</v>
          </cell>
          <cell r="C1230" t="str">
            <v>m3-km</v>
          </cell>
          <cell r="F1230">
            <v>8.9285714285714263E-3</v>
          </cell>
          <cell r="G1230">
            <v>4.7142857142857E-2</v>
          </cell>
          <cell r="H1230">
            <v>0.23308571428571401</v>
          </cell>
          <cell r="I1230">
            <v>0</v>
          </cell>
          <cell r="J1230">
            <v>0</v>
          </cell>
          <cell r="K1230">
            <v>0.28022857142857105</v>
          </cell>
          <cell r="L1230">
            <v>0</v>
          </cell>
          <cell r="M1230">
            <v>0</v>
          </cell>
        </row>
        <row r="1231">
          <cell r="A1231" t="str">
            <v>2.18.i</v>
          </cell>
          <cell r="B1231" t="str">
            <v>Supply and Install Backfill Granular B to roads/yards</v>
          </cell>
          <cell r="C1231" t="str">
            <v>m3</v>
          </cell>
          <cell r="D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</row>
        <row r="1232">
          <cell r="A1232" t="str">
            <v>A40</v>
          </cell>
          <cell r="B1232" t="str">
            <v>Suministro de material granular B</v>
          </cell>
          <cell r="C1232" t="str">
            <v>m3</v>
          </cell>
          <cell r="F1232">
            <v>0</v>
          </cell>
          <cell r="G1232">
            <v>0</v>
          </cell>
          <cell r="H1232">
            <v>0</v>
          </cell>
          <cell r="I1232">
            <v>2.85</v>
          </cell>
          <cell r="J1232">
            <v>0</v>
          </cell>
          <cell r="K1232">
            <v>2.85</v>
          </cell>
          <cell r="L1232">
            <v>0</v>
          </cell>
          <cell r="M1232">
            <v>0</v>
          </cell>
        </row>
        <row r="1233">
          <cell r="A1233" t="str">
            <v>A41</v>
          </cell>
          <cell r="B1233" t="str">
            <v>Colocación y compactación Mat Granular B</v>
          </cell>
          <cell r="C1233" t="str">
            <v>m3</v>
          </cell>
          <cell r="F1233">
            <v>0.10416666666666666</v>
          </cell>
          <cell r="G1233">
            <v>0.53187499999999999</v>
          </cell>
          <cell r="H1233">
            <v>2.3804166666666702</v>
          </cell>
          <cell r="I1233">
            <v>0</v>
          </cell>
          <cell r="J1233">
            <v>0</v>
          </cell>
          <cell r="K1233">
            <v>2.9122916666666701</v>
          </cell>
          <cell r="L1233">
            <v>0</v>
          </cell>
          <cell r="M1233">
            <v>0</v>
          </cell>
        </row>
        <row r="1234">
          <cell r="A1234" t="str">
            <v>A04</v>
          </cell>
          <cell r="B1234" t="str">
            <v>Acarreo d&lt;1km (sin esponj)</v>
          </cell>
          <cell r="C1234" t="str">
            <v>m3</v>
          </cell>
          <cell r="F1234">
            <v>1.9444444444444441E-2</v>
          </cell>
          <cell r="G1234">
            <v>0.102666666666667</v>
          </cell>
          <cell r="H1234">
            <v>0.50555555555555498</v>
          </cell>
          <cell r="I1234">
            <v>0</v>
          </cell>
          <cell r="J1234">
            <v>0</v>
          </cell>
          <cell r="K1234">
            <v>0.608222222222222</v>
          </cell>
          <cell r="L1234">
            <v>0</v>
          </cell>
          <cell r="M1234">
            <v>0</v>
          </cell>
        </row>
        <row r="1235">
          <cell r="A1235" t="str">
            <v>A05</v>
          </cell>
          <cell r="B1235" t="str">
            <v>Sobreacarreo (d&gt;1km) (sin esponj)</v>
          </cell>
          <cell r="C1235" t="str">
            <v>m3-km</v>
          </cell>
          <cell r="F1235">
            <v>8.9285714285714263E-3</v>
          </cell>
          <cell r="G1235">
            <v>4.7142857142857E-2</v>
          </cell>
          <cell r="H1235">
            <v>0.23308571428571401</v>
          </cell>
          <cell r="I1235">
            <v>0</v>
          </cell>
          <cell r="J1235">
            <v>0</v>
          </cell>
          <cell r="K1235">
            <v>0.28022857142857105</v>
          </cell>
          <cell r="L1235">
            <v>0</v>
          </cell>
          <cell r="M1235">
            <v>0</v>
          </cell>
        </row>
        <row r="1236">
          <cell r="A1236" t="str">
            <v>2.18.j</v>
          </cell>
          <cell r="B1236" t="str">
            <v>Supply and Install Riprap-Geotextile-Bedding to ditches and slopes, including rock/earth excavation and shaping of the site</v>
          </cell>
          <cell r="C1236" t="str">
            <v>Ls</v>
          </cell>
          <cell r="D1236">
            <v>1</v>
          </cell>
          <cell r="F1236">
            <v>835.63176128129851</v>
          </cell>
          <cell r="G1236">
            <v>2728.3040731938313</v>
          </cell>
          <cell r="H1236">
            <v>1973.2206308551235</v>
          </cell>
          <cell r="I1236">
            <v>896.82167773197716</v>
          </cell>
          <cell r="J1236">
            <v>495.65560377423515</v>
          </cell>
          <cell r="L1236">
            <v>6094</v>
          </cell>
          <cell r="M1236">
            <v>6094</v>
          </cell>
        </row>
        <row r="1237">
          <cell r="A1237" t="str">
            <v>A19</v>
          </cell>
          <cell r="B1237" t="str">
            <v>Rip rap</v>
          </cell>
          <cell r="C1237" t="str">
            <v>m3</v>
          </cell>
          <cell r="D1237">
            <v>150</v>
          </cell>
          <cell r="E1237">
            <v>1.105140699608105</v>
          </cell>
          <cell r="F1237">
            <v>2.7285714285714286</v>
          </cell>
          <cell r="G1237">
            <v>8.8182857142857092</v>
          </cell>
          <cell r="H1237">
            <v>4.8350057142857139</v>
          </cell>
          <cell r="I1237">
            <v>2.85</v>
          </cell>
          <cell r="J1237">
            <v>0</v>
          </cell>
          <cell r="K1237">
            <v>16.503291428571423</v>
          </cell>
          <cell r="L1237">
            <v>18.238459035207864</v>
          </cell>
          <cell r="M1237">
            <v>2735.7688552811796</v>
          </cell>
        </row>
        <row r="1238">
          <cell r="A1238" t="str">
            <v>A20</v>
          </cell>
          <cell r="B1238" t="str">
            <v>Geotextil 400g/m2 Non Woven</v>
          </cell>
          <cell r="C1238" t="str">
            <v>m2</v>
          </cell>
          <cell r="D1238">
            <v>480</v>
          </cell>
          <cell r="E1238">
            <v>1.105140699608105</v>
          </cell>
          <cell r="F1238">
            <v>0.37356321839080464</v>
          </cell>
          <cell r="G1238">
            <v>1.1715517241379301</v>
          </cell>
          <cell r="H1238">
            <v>0.445182471264368</v>
          </cell>
          <cell r="I1238">
            <v>0.8</v>
          </cell>
          <cell r="J1238">
            <v>0</v>
          </cell>
          <cell r="K1238">
            <v>2.4167341954022983</v>
          </cell>
          <cell r="L1238">
            <v>2.6708313194737268</v>
          </cell>
          <cell r="M1238">
            <v>1281.9990333473888</v>
          </cell>
        </row>
        <row r="1239">
          <cell r="A1239" t="str">
            <v>A21</v>
          </cell>
          <cell r="B1239" t="str">
            <v>Excavación y perfilado de zanjas</v>
          </cell>
          <cell r="C1239" t="str">
            <v>m3</v>
          </cell>
          <cell r="D1239">
            <v>130</v>
          </cell>
          <cell r="E1239">
            <v>1.105140699608105</v>
          </cell>
          <cell r="F1239">
            <v>1.2887346226726417</v>
          </cell>
          <cell r="G1239">
            <v>4.4896263901299003</v>
          </cell>
          <cell r="H1239">
            <v>6.5119556758310146</v>
          </cell>
          <cell r="I1239">
            <v>0</v>
          </cell>
          <cell r="J1239">
            <v>3.45</v>
          </cell>
          <cell r="K1239">
            <v>14.451582065960915</v>
          </cell>
          <cell r="L1239">
            <v>15.971031514819989</v>
          </cell>
          <cell r="M1239">
            <v>2076.2340969265988</v>
          </cell>
        </row>
        <row r="1240">
          <cell r="A1240" t="str">
            <v>2.18.k</v>
          </cell>
          <cell r="B1240" t="str">
            <v>Supply and Install Gabions-Geotextile-Bedding-Concrete Facing, complete including rock/earth excavation shaping &amp; backfill of the site</v>
          </cell>
          <cell r="C1240" t="str">
            <v>Ls</v>
          </cell>
          <cell r="D1240">
            <v>1</v>
          </cell>
          <cell r="F1240">
            <v>88.843294241048895</v>
          </cell>
          <cell r="G1240">
            <v>309.53785854591194</v>
          </cell>
          <cell r="H1240">
            <v>441.54255690810311</v>
          </cell>
          <cell r="I1240">
            <v>212.77526616289651</v>
          </cell>
          <cell r="J1240">
            <v>168.20836114836092</v>
          </cell>
          <cell r="L1240">
            <v>1132.06</v>
          </cell>
          <cell r="M1240">
            <v>1132.06</v>
          </cell>
        </row>
        <row r="1241">
          <cell r="A1241" t="str">
            <v>A29</v>
          </cell>
          <cell r="B1241" t="str">
            <v>Supply and Install Granular A Surfacing to roads/yards</v>
          </cell>
          <cell r="C1241" t="str">
            <v>m3</v>
          </cell>
          <cell r="D1241">
            <v>5.7</v>
          </cell>
          <cell r="E1241">
            <v>1.1080919706743144</v>
          </cell>
          <cell r="F1241">
            <v>1.3416666666666666</v>
          </cell>
          <cell r="G1241">
            <v>4.5181666666666702</v>
          </cell>
          <cell r="H1241">
            <v>8.3767083333333332</v>
          </cell>
          <cell r="I1241">
            <v>3.1349999999999998</v>
          </cell>
          <cell r="J1241">
            <v>0</v>
          </cell>
          <cell r="K1241">
            <v>16.029875000000004</v>
          </cell>
          <cell r="L1241">
            <v>17.762575778412931</v>
          </cell>
          <cell r="M1241">
            <v>101.24668193695371</v>
          </cell>
        </row>
        <row r="1242">
          <cell r="A1242" t="str">
            <v>A23</v>
          </cell>
          <cell r="B1242" t="str">
            <v>Concrete Lining</v>
          </cell>
          <cell r="C1242" t="str">
            <v>m3</v>
          </cell>
          <cell r="F1242">
            <v>14.282608695652174</v>
          </cell>
          <cell r="G1242">
            <v>49.431086956521703</v>
          </cell>
          <cell r="H1242">
            <v>4.9527137681159399</v>
          </cell>
          <cell r="I1242">
            <v>60</v>
          </cell>
          <cell r="J1242">
            <v>0</v>
          </cell>
          <cell r="K1242">
            <v>114.38380072463765</v>
          </cell>
          <cell r="L1242">
            <v>0</v>
          </cell>
          <cell r="M1242">
            <v>0</v>
          </cell>
        </row>
        <row r="1243">
          <cell r="A1243" t="str">
            <v>A24</v>
          </cell>
          <cell r="B1243" t="str">
            <v>Gavión</v>
          </cell>
          <cell r="C1243" t="str">
            <v>m3</v>
          </cell>
          <cell r="D1243">
            <v>9</v>
          </cell>
          <cell r="E1243">
            <v>1.1080919706743144</v>
          </cell>
          <cell r="F1243">
            <v>1.7583333333333333</v>
          </cell>
          <cell r="G1243">
            <v>6.2273333333333296</v>
          </cell>
          <cell r="H1243">
            <v>7.133083333333337</v>
          </cell>
          <cell r="I1243">
            <v>19.350000000000001</v>
          </cell>
          <cell r="J1243">
            <v>0</v>
          </cell>
          <cell r="K1243">
            <v>32.710416666666674</v>
          </cell>
          <cell r="L1243">
            <v>36.246150065744615</v>
          </cell>
          <cell r="M1243">
            <v>326.21535059170151</v>
          </cell>
        </row>
        <row r="1244">
          <cell r="A1244" t="str">
            <v>A21</v>
          </cell>
          <cell r="B1244" t="str">
            <v>Excavación y perfilado de zanjas</v>
          </cell>
          <cell r="C1244" t="str">
            <v>m3</v>
          </cell>
          <cell r="D1244">
            <v>44</v>
          </cell>
          <cell r="E1244">
            <v>1.1080919706743144</v>
          </cell>
          <cell r="F1244">
            <v>1.2887346226726417</v>
          </cell>
          <cell r="G1244">
            <v>4.4896263901299003</v>
          </cell>
          <cell r="H1244">
            <v>6.5119556758310146</v>
          </cell>
          <cell r="I1244">
            <v>0</v>
          </cell>
          <cell r="J1244">
            <v>3.45</v>
          </cell>
          <cell r="K1244">
            <v>14.451582065960915</v>
          </cell>
          <cell r="L1244">
            <v>16.013682050832209</v>
          </cell>
          <cell r="M1244">
            <v>704.60201023661716</v>
          </cell>
        </row>
        <row r="1245">
          <cell r="A1245" t="str">
            <v>2.18.l</v>
          </cell>
          <cell r="B1245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245" t="str">
            <v>Ls</v>
          </cell>
          <cell r="D1245">
            <v>1</v>
          </cell>
          <cell r="F1245">
            <v>6258.0679551706944</v>
          </cell>
          <cell r="G1245">
            <v>21339.729620113663</v>
          </cell>
          <cell r="H1245">
            <v>8225.5539820158901</v>
          </cell>
          <cell r="I1245">
            <v>39701.048878985464</v>
          </cell>
          <cell r="J1245">
            <v>4988.2474995464117</v>
          </cell>
          <cell r="L1245">
            <v>74254.58</v>
          </cell>
          <cell r="M1245">
            <v>74254.58</v>
          </cell>
        </row>
        <row r="1246">
          <cell r="A1246" t="str">
            <v>A25</v>
          </cell>
          <cell r="B1246" t="str">
            <v>Suministro y colocación de Grating</v>
          </cell>
          <cell r="C1246" t="str">
            <v>m2</v>
          </cell>
          <cell r="D1246">
            <v>2.2000000000000002</v>
          </cell>
          <cell r="E1246">
            <v>0.87539990339953699</v>
          </cell>
          <cell r="F1246">
            <v>1.75</v>
          </cell>
          <cell r="G1246">
            <v>6.1725000000000003</v>
          </cell>
          <cell r="H1246">
            <v>0.144125</v>
          </cell>
          <cell r="I1246">
            <v>225</v>
          </cell>
          <cell r="J1246">
            <v>0</v>
          </cell>
          <cell r="K1246">
            <v>231.31662500000002</v>
          </cell>
          <cell r="L1246">
            <v>202.49455117970695</v>
          </cell>
          <cell r="M1246">
            <v>445.48801259535531</v>
          </cell>
        </row>
        <row r="1247">
          <cell r="A1247" t="str">
            <v>A26</v>
          </cell>
          <cell r="B1247" t="str">
            <v>Suministro y colocación de Tapa metálica</v>
          </cell>
          <cell r="C1247" t="str">
            <v>m2</v>
          </cell>
          <cell r="F1247">
            <v>1.75</v>
          </cell>
          <cell r="G1247">
            <v>6.1725000000000003</v>
          </cell>
          <cell r="H1247">
            <v>0.144125</v>
          </cell>
          <cell r="I1247">
            <v>300</v>
          </cell>
          <cell r="J1247">
            <v>0</v>
          </cell>
          <cell r="K1247">
            <v>306.31662499999999</v>
          </cell>
          <cell r="L1247">
            <v>0</v>
          </cell>
          <cell r="M1247">
            <v>0</v>
          </cell>
        </row>
        <row r="1248">
          <cell r="A1248" t="str">
            <v>A27</v>
          </cell>
          <cell r="B1248" t="str">
            <v>Relleno estructural</v>
          </cell>
          <cell r="C1248" t="str">
            <v>m3</v>
          </cell>
          <cell r="F1248">
            <v>1.2875000000000001</v>
          </cell>
          <cell r="G1248">
            <v>4.2321666666666697</v>
          </cell>
          <cell r="H1248">
            <v>6.8350416666666636</v>
          </cell>
          <cell r="I1248">
            <v>0</v>
          </cell>
          <cell r="J1248">
            <v>0</v>
          </cell>
          <cell r="K1248">
            <v>11.067208333333333</v>
          </cell>
          <cell r="L1248">
            <v>0</v>
          </cell>
          <cell r="M1248">
            <v>0</v>
          </cell>
        </row>
        <row r="1249">
          <cell r="A1249" t="str">
            <v>A28</v>
          </cell>
          <cell r="B1249" t="str">
            <v>Bermas de Seguridad</v>
          </cell>
          <cell r="C1249" t="str">
            <v>m3</v>
          </cell>
          <cell r="F1249">
            <v>0.1</v>
          </cell>
          <cell r="G1249">
            <v>0.499</v>
          </cell>
          <cell r="H1249">
            <v>3.5649500000000001</v>
          </cell>
          <cell r="I1249">
            <v>2.85</v>
          </cell>
          <cell r="J1249">
            <v>0</v>
          </cell>
          <cell r="K1249">
            <v>6.9139499999999998</v>
          </cell>
          <cell r="L1249">
            <v>0</v>
          </cell>
          <cell r="M1249">
            <v>0</v>
          </cell>
        </row>
        <row r="1250">
          <cell r="A1250" t="str">
            <v>A29</v>
          </cell>
          <cell r="B1250" t="str">
            <v>Relleno localizado tipo B</v>
          </cell>
          <cell r="C1250" t="str">
            <v>m3</v>
          </cell>
          <cell r="D1250">
            <v>40</v>
          </cell>
          <cell r="E1250">
            <v>0.87539990339953699</v>
          </cell>
          <cell r="F1250">
            <v>1.3416666666666666</v>
          </cell>
          <cell r="G1250">
            <v>4.5181666666666702</v>
          </cell>
          <cell r="H1250">
            <v>8.3767083333333332</v>
          </cell>
          <cell r="I1250">
            <v>3.1349999999999998</v>
          </cell>
          <cell r="J1250">
            <v>0</v>
          </cell>
          <cell r="K1250">
            <v>16.029875000000004</v>
          </cell>
          <cell r="L1250">
            <v>14.032551026506656</v>
          </cell>
          <cell r="M1250">
            <v>561.30204106026622</v>
          </cell>
        </row>
        <row r="1251">
          <cell r="A1251" t="str">
            <v>A30</v>
          </cell>
          <cell r="B1251" t="str">
            <v>Concreto reforzado</v>
          </cell>
          <cell r="C1251" t="str">
            <v>m3</v>
          </cell>
          <cell r="D1251">
            <v>25</v>
          </cell>
          <cell r="E1251">
            <v>0.87539990339953699</v>
          </cell>
          <cell r="F1251">
            <v>16.2</v>
          </cell>
          <cell r="G1251">
            <v>56.207999999999998</v>
          </cell>
          <cell r="H1251">
            <v>3.9517333333333298</v>
          </cell>
          <cell r="I1251">
            <v>116.16</v>
          </cell>
          <cell r="J1251">
            <v>0</v>
          </cell>
          <cell r="K1251">
            <v>176.31973333333332</v>
          </cell>
          <cell r="L1251">
            <v>154.3502775274321</v>
          </cell>
          <cell r="M1251">
            <v>3858.7569381858025</v>
          </cell>
        </row>
        <row r="1252">
          <cell r="A1252" t="str">
            <v>A46</v>
          </cell>
          <cell r="B1252" t="str">
            <v>Concreto de relleno</v>
          </cell>
          <cell r="C1252" t="str">
            <v>ml</v>
          </cell>
          <cell r="D1252">
            <v>360</v>
          </cell>
          <cell r="E1252">
            <v>0.87539990339953699</v>
          </cell>
          <cell r="F1252">
            <v>10.006226151181954</v>
          </cell>
          <cell r="G1252">
            <v>34.316450429899803</v>
          </cell>
          <cell r="H1252">
            <v>3.1123646208762503</v>
          </cell>
          <cell r="I1252">
            <v>60</v>
          </cell>
          <cell r="J1252">
            <v>0</v>
          </cell>
          <cell r="K1252">
            <v>97.428815050776052</v>
          </cell>
          <cell r="L1252">
            <v>85.289175283780708</v>
          </cell>
          <cell r="M1252">
            <v>30704.103102161054</v>
          </cell>
        </row>
        <row r="1253">
          <cell r="A1253" t="str">
            <v>A32</v>
          </cell>
          <cell r="B1253" t="str">
            <v>Alcantarillas 600mm</v>
          </cell>
          <cell r="C1253" t="str">
            <v>ml</v>
          </cell>
          <cell r="D1253">
            <v>45</v>
          </cell>
          <cell r="E1253">
            <v>0.87539990339953699</v>
          </cell>
          <cell r="F1253">
            <v>6.666666666666667</v>
          </cell>
          <cell r="G1253">
            <v>21.566666666666698</v>
          </cell>
          <cell r="H1253">
            <v>1.07833333333333</v>
          </cell>
          <cell r="I1253">
            <v>50</v>
          </cell>
          <cell r="J1253">
            <v>0</v>
          </cell>
          <cell r="K1253">
            <v>72.645000000000024</v>
          </cell>
          <cell r="L1253">
            <v>63.593425982459387</v>
          </cell>
          <cell r="M1253">
            <v>2861.7041692106723</v>
          </cell>
        </row>
        <row r="1254">
          <cell r="A1254" t="str">
            <v>A33</v>
          </cell>
          <cell r="B1254" t="str">
            <v>Alcantarillas 1350mm</v>
          </cell>
          <cell r="C1254" t="str">
            <v>ml</v>
          </cell>
          <cell r="F1254">
            <v>12.5</v>
          </cell>
          <cell r="G1254">
            <v>39.924999999999997</v>
          </cell>
          <cell r="H1254">
            <v>1.9962500000000001</v>
          </cell>
          <cell r="I1254">
            <v>160</v>
          </cell>
          <cell r="J1254">
            <v>0</v>
          </cell>
          <cell r="K1254">
            <v>201.92125000000001</v>
          </cell>
          <cell r="L1254">
            <v>0</v>
          </cell>
          <cell r="M1254">
            <v>0</v>
          </cell>
        </row>
        <row r="1255">
          <cell r="A1255" t="str">
            <v>A34</v>
          </cell>
          <cell r="B1255" t="str">
            <v>Alcantarillas 1000mm</v>
          </cell>
          <cell r="C1255" t="str">
            <v>ml</v>
          </cell>
          <cell r="D1255">
            <v>206</v>
          </cell>
          <cell r="E1255">
            <v>0.87539990339953699</v>
          </cell>
          <cell r="F1255">
            <v>8.8888888888888893</v>
          </cell>
          <cell r="G1255">
            <v>28.755555555555599</v>
          </cell>
          <cell r="H1255">
            <v>1.43777777777778</v>
          </cell>
          <cell r="I1255">
            <v>78</v>
          </cell>
          <cell r="J1255">
            <v>0</v>
          </cell>
          <cell r="K1255">
            <v>108.19333333333338</v>
          </cell>
          <cell r="L1255">
            <v>94.712433548473953</v>
          </cell>
          <cell r="M1255">
            <v>19510.761310985636</v>
          </cell>
        </row>
        <row r="1256">
          <cell r="A1256" t="str">
            <v>A35</v>
          </cell>
          <cell r="B1256" t="str">
            <v>Alcantarillas 1600mm</v>
          </cell>
          <cell r="C1256" t="str">
            <v>ml</v>
          </cell>
          <cell r="F1256">
            <v>12.5</v>
          </cell>
          <cell r="G1256">
            <v>39.924999999999997</v>
          </cell>
          <cell r="H1256">
            <v>1.9962500000000001</v>
          </cell>
          <cell r="I1256">
            <v>215</v>
          </cell>
          <cell r="J1256">
            <v>0</v>
          </cell>
          <cell r="K1256">
            <v>256.92124999999999</v>
          </cell>
          <cell r="L1256">
            <v>0</v>
          </cell>
          <cell r="M1256">
            <v>0</v>
          </cell>
        </row>
        <row r="1257">
          <cell r="A1257" t="str">
            <v>A36</v>
          </cell>
          <cell r="B1257" t="str">
            <v>Tubería para buzón CMP 2000mm Diam</v>
          </cell>
          <cell r="C1257" t="str">
            <v>ml</v>
          </cell>
          <cell r="D1257">
            <v>5.7</v>
          </cell>
          <cell r="E1257">
            <v>0.87539990339953699</v>
          </cell>
          <cell r="F1257">
            <v>20</v>
          </cell>
          <cell r="G1257">
            <v>63.3333333333333</v>
          </cell>
          <cell r="H1257">
            <v>3.1666666666666701</v>
          </cell>
          <cell r="I1257">
            <v>335</v>
          </cell>
          <cell r="J1257">
            <v>0</v>
          </cell>
          <cell r="K1257">
            <v>401.5</v>
          </cell>
          <cell r="L1257">
            <v>351.47306121491408</v>
          </cell>
          <cell r="M1257">
            <v>2003.3964489250104</v>
          </cell>
        </row>
        <row r="1258">
          <cell r="A1258" t="str">
            <v>A37</v>
          </cell>
          <cell r="B1258" t="str">
            <v>Alcantarillas 300mm</v>
          </cell>
          <cell r="F1258">
            <v>6.666666666666667</v>
          </cell>
          <cell r="G1258">
            <v>21.566666666666698</v>
          </cell>
          <cell r="H1258">
            <v>1.07833333333333</v>
          </cell>
          <cell r="I1258">
            <v>26</v>
          </cell>
          <cell r="J1258">
            <v>0</v>
          </cell>
          <cell r="K1258">
            <v>48.645000000000032</v>
          </cell>
          <cell r="L1258">
            <v>0</v>
          </cell>
          <cell r="M1258">
            <v>0</v>
          </cell>
        </row>
        <row r="1259">
          <cell r="A1259" t="str">
            <v>A20</v>
          </cell>
          <cell r="B1259" t="str">
            <v>Geotextil 400g/m2 Non Woven</v>
          </cell>
          <cell r="C1259" t="str">
            <v>m2</v>
          </cell>
          <cell r="F1259">
            <v>0.37356321839080464</v>
          </cell>
          <cell r="G1259">
            <v>1.1715517241379301</v>
          </cell>
          <cell r="H1259">
            <v>0.445182471264368</v>
          </cell>
          <cell r="I1259">
            <v>0.8</v>
          </cell>
          <cell r="J1259">
            <v>0</v>
          </cell>
          <cell r="K1259">
            <v>2.4167341954022983</v>
          </cell>
          <cell r="L1259">
            <v>0</v>
          </cell>
          <cell r="M1259">
            <v>0</v>
          </cell>
        </row>
        <row r="1260">
          <cell r="A1260" t="str">
            <v>A38</v>
          </cell>
          <cell r="B1260" t="str">
            <v>Excavación y eliminación de material para cunetas en roca</v>
          </cell>
          <cell r="C1260" t="str">
            <v>m3</v>
          </cell>
          <cell r="D1260">
            <v>338</v>
          </cell>
          <cell r="E1260">
            <v>0.87539990339953699</v>
          </cell>
          <cell r="F1260">
            <v>0.28461538461538466</v>
          </cell>
          <cell r="G1260">
            <v>1.41576923076923</v>
          </cell>
          <cell r="H1260">
            <v>7.0169423076923119</v>
          </cell>
          <cell r="I1260">
            <v>0</v>
          </cell>
          <cell r="J1260">
            <v>11.5</v>
          </cell>
          <cell r="K1260">
            <v>19.932711538461543</v>
          </cell>
          <cell r="L1260">
            <v>17.449093755260073</v>
          </cell>
          <cell r="M1260">
            <v>5897.7936892779044</v>
          </cell>
        </row>
        <row r="1261">
          <cell r="A1261" t="str">
            <v>A39</v>
          </cell>
          <cell r="B1261" t="str">
            <v>Excavación y eliminación de material para cunetas en suelo común</v>
          </cell>
          <cell r="C1261" t="str">
            <v>m3</v>
          </cell>
          <cell r="D1261">
            <v>338</v>
          </cell>
          <cell r="E1261">
            <v>0.87539990339953699</v>
          </cell>
          <cell r="F1261">
            <v>0.1957264957264957</v>
          </cell>
          <cell r="G1261">
            <v>0.98510256410256403</v>
          </cell>
          <cell r="H1261">
            <v>4.9954089743589778</v>
          </cell>
          <cell r="I1261">
            <v>0</v>
          </cell>
          <cell r="J1261">
            <v>0</v>
          </cell>
          <cell r="K1261">
            <v>5.9805115384615419</v>
          </cell>
          <cell r="L1261">
            <v>5.2353392230490501</v>
          </cell>
          <cell r="M1261">
            <v>1769.544657390579</v>
          </cell>
        </row>
        <row r="1262">
          <cell r="A1262" t="str">
            <v>A21</v>
          </cell>
          <cell r="B1262" t="str">
            <v>Excavación y perfilado de zanjas</v>
          </cell>
          <cell r="C1262" t="str">
            <v>m3</v>
          </cell>
          <cell r="D1262">
            <v>525</v>
          </cell>
          <cell r="E1262">
            <v>0.87539990339953699</v>
          </cell>
          <cell r="F1262">
            <v>1.2887346226726417</v>
          </cell>
          <cell r="G1262">
            <v>4.4896263901299003</v>
          </cell>
          <cell r="H1262">
            <v>6.5119556758310146</v>
          </cell>
          <cell r="I1262">
            <v>0</v>
          </cell>
          <cell r="J1262">
            <v>3.45</v>
          </cell>
          <cell r="K1262">
            <v>14.451582065960915</v>
          </cell>
          <cell r="L1262">
            <v>12.650913544512667</v>
          </cell>
          <cell r="M1262">
            <v>6641.7296108691498</v>
          </cell>
        </row>
        <row r="1263">
          <cell r="A1263" t="str">
            <v>2.19</v>
          </cell>
          <cell r="B1263" t="str">
            <v>MINE MAINTENANCE SITE &amp; CRUSHED ORE LOADOUT</v>
          </cell>
        </row>
        <row r="1264">
          <cell r="A1264" t="str">
            <v>2.19.a</v>
          </cell>
          <cell r="B1264" t="str">
            <v>Clear and Grub</v>
          </cell>
          <cell r="C1264" t="str">
            <v>Ls</v>
          </cell>
        </row>
        <row r="1265">
          <cell r="A1265" t="str">
            <v>2.19.b</v>
          </cell>
          <cell r="B1265" t="str">
            <v>Cut unsuitable soil to waste (includes organic soil)</v>
          </cell>
          <cell r="C1265" t="str">
            <v>m3</v>
          </cell>
          <cell r="D1265">
            <v>20000</v>
          </cell>
          <cell r="F1265">
            <v>1516.8498168498168</v>
          </cell>
          <cell r="G1265">
            <v>0.39547692307692311</v>
          </cell>
          <cell r="H1265">
            <v>2.6985592673992671</v>
          </cell>
          <cell r="I1265">
            <v>0</v>
          </cell>
          <cell r="J1265">
            <v>0</v>
          </cell>
          <cell r="L1265">
            <v>3.09</v>
          </cell>
          <cell r="M1265">
            <v>61800</v>
          </cell>
        </row>
        <row r="1266">
          <cell r="A1266" t="str">
            <v>A01</v>
          </cell>
          <cell r="B1266" t="str">
            <v>Excavación de Topsoil y Unsuitable (e&gt;1m)</v>
          </cell>
          <cell r="C1266" t="str">
            <v>m3</v>
          </cell>
          <cell r="D1266">
            <v>20000</v>
          </cell>
          <cell r="E1266">
            <v>1</v>
          </cell>
          <cell r="F1266">
            <v>1.7142857142857144E-2</v>
          </cell>
          <cell r="G1266">
            <v>8.5542857142857004E-2</v>
          </cell>
          <cell r="H1266">
            <v>0.81924857142857199</v>
          </cell>
          <cell r="I1266">
            <v>0</v>
          </cell>
          <cell r="J1266">
            <v>0</v>
          </cell>
          <cell r="K1266">
            <v>0.90479142857142902</v>
          </cell>
          <cell r="L1266">
            <v>0.90479142857142902</v>
          </cell>
          <cell r="M1266">
            <v>18095.828571428581</v>
          </cell>
        </row>
        <row r="1267">
          <cell r="A1267" t="str">
            <v>A02</v>
          </cell>
          <cell r="B1267" t="str">
            <v>Excavación de Topsoil y Unsuitable (e&lt;1m)</v>
          </cell>
          <cell r="C1267" t="str">
            <v>m3</v>
          </cell>
          <cell r="D1267">
            <v>0</v>
          </cell>
          <cell r="F1267">
            <v>1.4285714285714285E-2</v>
          </cell>
          <cell r="G1267">
            <v>6.9214285714286006E-2</v>
          </cell>
          <cell r="H1267">
            <v>0.57488928571428499</v>
          </cell>
          <cell r="I1267">
            <v>0</v>
          </cell>
          <cell r="J1267">
            <v>0</v>
          </cell>
          <cell r="K1267">
            <v>0.644103571428571</v>
          </cell>
          <cell r="L1267">
            <v>0</v>
          </cell>
          <cell r="M1267">
            <v>0</v>
          </cell>
        </row>
        <row r="1268">
          <cell r="A1268" t="str">
            <v>A03</v>
          </cell>
          <cell r="B1268" t="str">
            <v>Carguío de Topsoil &amp; Unsuitable con excavadora</v>
          </cell>
          <cell r="C1268" t="str">
            <v>m3</v>
          </cell>
          <cell r="D1268">
            <v>20000</v>
          </cell>
          <cell r="E1268">
            <v>1</v>
          </cell>
          <cell r="F1268">
            <v>1.3461538461538462E-2</v>
          </cell>
          <cell r="G1268">
            <v>7.1076923076922996E-2</v>
          </cell>
          <cell r="H1268">
            <v>0.70142307692307704</v>
          </cell>
          <cell r="I1268">
            <v>0</v>
          </cell>
          <cell r="J1268">
            <v>0</v>
          </cell>
          <cell r="K1268">
            <v>0.77250000000000008</v>
          </cell>
          <cell r="L1268">
            <v>0.77250000000000008</v>
          </cell>
          <cell r="M1268">
            <v>15450.000000000002</v>
          </cell>
        </row>
        <row r="1269">
          <cell r="A1269" t="str">
            <v>A04</v>
          </cell>
          <cell r="B1269" t="str">
            <v>Acarreo d&lt;1km (sin esponj)</v>
          </cell>
          <cell r="C1269" t="str">
            <v>m3</v>
          </cell>
          <cell r="D1269">
            <v>20000</v>
          </cell>
          <cell r="E1269">
            <v>1.5</v>
          </cell>
          <cell r="F1269">
            <v>1.9444444444444441E-2</v>
          </cell>
          <cell r="G1269">
            <v>0.102666666666667</v>
          </cell>
          <cell r="H1269">
            <v>0.50555555555555498</v>
          </cell>
          <cell r="I1269">
            <v>0</v>
          </cell>
          <cell r="J1269">
            <v>0</v>
          </cell>
          <cell r="K1269">
            <v>0.608222222222222</v>
          </cell>
          <cell r="L1269">
            <v>0.912333333333333</v>
          </cell>
          <cell r="M1269">
            <v>18246.666666666661</v>
          </cell>
        </row>
        <row r="1270">
          <cell r="A1270" t="str">
            <v>A05</v>
          </cell>
          <cell r="B1270" t="str">
            <v>Sobreacarreo (d&gt;1km) (sin esponj)</v>
          </cell>
          <cell r="C1270" t="str">
            <v>m3-km</v>
          </cell>
          <cell r="D1270">
            <v>24000</v>
          </cell>
          <cell r="E1270">
            <v>1.5</v>
          </cell>
          <cell r="F1270">
            <v>8.9285714285714263E-3</v>
          </cell>
          <cell r="G1270">
            <v>4.7142857142857E-2</v>
          </cell>
          <cell r="H1270">
            <v>0.23308571428571401</v>
          </cell>
          <cell r="I1270">
            <v>0</v>
          </cell>
          <cell r="J1270">
            <v>0</v>
          </cell>
          <cell r="K1270">
            <v>0.28022857142857105</v>
          </cell>
          <cell r="L1270">
            <v>0.42034285714285657</v>
          </cell>
          <cell r="M1270">
            <v>10088.228571428557</v>
          </cell>
        </row>
        <row r="1271">
          <cell r="A1271" t="str">
            <v>2.19.c</v>
          </cell>
          <cell r="B1271" t="str">
            <v>Cut and Fill Soil or Ripable Rock, within sub-Item work zone</v>
          </cell>
          <cell r="C1271" t="str">
            <v>m3</v>
          </cell>
          <cell r="D1271">
            <v>31000</v>
          </cell>
          <cell r="F1271">
            <v>3017.333333333333</v>
          </cell>
          <cell r="G1271">
            <v>0.49280799999999997</v>
          </cell>
          <cell r="H1271">
            <v>3.949374646666671</v>
          </cell>
          <cell r="I1271">
            <v>0</v>
          </cell>
          <cell r="J1271">
            <v>0</v>
          </cell>
          <cell r="L1271">
            <v>4.4400000000000004</v>
          </cell>
          <cell r="M1271">
            <v>137640</v>
          </cell>
        </row>
        <row r="1272">
          <cell r="A1272" t="str">
            <v>A06</v>
          </cell>
          <cell r="B1272" t="str">
            <v>Excavación de roca ripeable</v>
          </cell>
          <cell r="C1272" t="str">
            <v>m3</v>
          </cell>
          <cell r="D1272">
            <v>31000</v>
          </cell>
          <cell r="E1272">
            <v>1.1950000000000001</v>
          </cell>
          <cell r="F1272">
            <v>3.3333333333333333E-2</v>
          </cell>
          <cell r="G1272">
            <v>0.16439999999999999</v>
          </cell>
          <cell r="H1272">
            <v>1.5519306666666701</v>
          </cell>
          <cell r="I1272">
            <v>0</v>
          </cell>
          <cell r="J1272">
            <v>0</v>
          </cell>
          <cell r="K1272">
            <v>1.7163306666666702</v>
          </cell>
          <cell r="L1272">
            <v>2.0510151466666708</v>
          </cell>
          <cell r="M1272">
            <v>63581.469546666798</v>
          </cell>
        </row>
        <row r="1273">
          <cell r="A1273" t="str">
            <v>A07</v>
          </cell>
          <cell r="B1273" t="str">
            <v>Empuje de material d&lt;60m</v>
          </cell>
          <cell r="C1273" t="str">
            <v>m3</v>
          </cell>
          <cell r="D1273">
            <v>31000</v>
          </cell>
          <cell r="E1273">
            <v>1.2</v>
          </cell>
          <cell r="F1273">
            <v>1.2500000000000001E-2</v>
          </cell>
          <cell r="G1273">
            <v>6.0562499999999998E-2</v>
          </cell>
          <cell r="H1273">
            <v>0.50302812500000005</v>
          </cell>
          <cell r="I1273">
            <v>0</v>
          </cell>
          <cell r="J1273">
            <v>0</v>
          </cell>
          <cell r="K1273">
            <v>0.56359062500000001</v>
          </cell>
          <cell r="L1273">
            <v>0.67630875000000001</v>
          </cell>
          <cell r="M1273">
            <v>20965.571250000001</v>
          </cell>
        </row>
        <row r="1274">
          <cell r="A1274" t="str">
            <v>A08</v>
          </cell>
          <cell r="B1274" t="str">
            <v>Relleno masivo compactado</v>
          </cell>
          <cell r="C1274" t="str">
            <v>m3</v>
          </cell>
          <cell r="D1274">
            <v>31000</v>
          </cell>
          <cell r="E1274">
            <v>1</v>
          </cell>
          <cell r="F1274">
            <v>4.2499999999999996E-2</v>
          </cell>
          <cell r="G1274">
            <v>0.22367500000000001</v>
          </cell>
          <cell r="H1274">
            <v>1.49118375</v>
          </cell>
          <cell r="I1274">
            <v>0</v>
          </cell>
          <cell r="J1274">
            <v>0</v>
          </cell>
          <cell r="K1274">
            <v>1.7148587500000001</v>
          </cell>
          <cell r="L1274">
            <v>1.7148587500000001</v>
          </cell>
          <cell r="M1274">
            <v>53160.621250000004</v>
          </cell>
        </row>
        <row r="1275">
          <cell r="A1275" t="str">
            <v>2.19.d</v>
          </cell>
          <cell r="B1275" t="str">
            <v xml:space="preserve">Cut and Fill Soil or Ripable Rock to Other sub-Item work zone </v>
          </cell>
          <cell r="C1275" t="str">
            <v>m3</v>
          </cell>
          <cell r="D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L1275">
            <v>0</v>
          </cell>
          <cell r="M1275">
            <v>0</v>
          </cell>
        </row>
        <row r="1276">
          <cell r="A1276" t="str">
            <v>A06</v>
          </cell>
          <cell r="B1276" t="str">
            <v>Excavación de roca ripeable</v>
          </cell>
          <cell r="C1276" t="str">
            <v>m3</v>
          </cell>
          <cell r="F1276">
            <v>3.3333333333333333E-2</v>
          </cell>
          <cell r="G1276">
            <v>0.16439999999999999</v>
          </cell>
          <cell r="H1276">
            <v>1.5519306666666701</v>
          </cell>
          <cell r="I1276">
            <v>0</v>
          </cell>
          <cell r="J1276">
            <v>0</v>
          </cell>
          <cell r="K1276">
            <v>1.7163306666666702</v>
          </cell>
          <cell r="L1276">
            <v>0</v>
          </cell>
          <cell r="M1276">
            <v>0</v>
          </cell>
        </row>
        <row r="1277">
          <cell r="A1277" t="str">
            <v>A09</v>
          </cell>
          <cell r="B1277" t="str">
            <v>Carguío de material común &amp; roca ripeable con excavadora</v>
          </cell>
          <cell r="C1277" t="str">
            <v>m3</v>
          </cell>
          <cell r="F1277">
            <v>8.0000000000000002E-3</v>
          </cell>
          <cell r="G1277">
            <v>4.224E-2</v>
          </cell>
          <cell r="H1277">
            <v>0.57259199999999999</v>
          </cell>
          <cell r="I1277">
            <v>0</v>
          </cell>
          <cell r="J1277">
            <v>0</v>
          </cell>
          <cell r="K1277">
            <v>0.61483199999999993</v>
          </cell>
          <cell r="L1277">
            <v>0</v>
          </cell>
          <cell r="M1277">
            <v>0</v>
          </cell>
        </row>
        <row r="1278">
          <cell r="A1278" t="str">
            <v>A08</v>
          </cell>
          <cell r="B1278" t="str">
            <v>Relleno masivo compactado</v>
          </cell>
          <cell r="C1278" t="str">
            <v>m3</v>
          </cell>
          <cell r="F1278">
            <v>4.2499999999999996E-2</v>
          </cell>
          <cell r="G1278">
            <v>0.22367500000000001</v>
          </cell>
          <cell r="H1278">
            <v>1.49118375</v>
          </cell>
          <cell r="I1278">
            <v>0</v>
          </cell>
          <cell r="J1278">
            <v>0</v>
          </cell>
          <cell r="K1278">
            <v>1.7148587500000001</v>
          </cell>
          <cell r="L1278">
            <v>0</v>
          </cell>
          <cell r="M1278">
            <v>0</v>
          </cell>
        </row>
        <row r="1279">
          <cell r="A1279" t="str">
            <v>A04</v>
          </cell>
          <cell r="B1279" t="str">
            <v>Acarreo d&lt;1km (sin esponj)</v>
          </cell>
          <cell r="C1279" t="str">
            <v>m3</v>
          </cell>
          <cell r="F1279">
            <v>1.9444444444444441E-2</v>
          </cell>
          <cell r="G1279">
            <v>0.102666666666667</v>
          </cell>
          <cell r="H1279">
            <v>0.50555555555555498</v>
          </cell>
          <cell r="I1279">
            <v>0</v>
          </cell>
          <cell r="J1279">
            <v>0</v>
          </cell>
          <cell r="K1279">
            <v>0.608222222222222</v>
          </cell>
          <cell r="L1279">
            <v>0</v>
          </cell>
          <cell r="M1279">
            <v>0</v>
          </cell>
        </row>
        <row r="1280">
          <cell r="A1280" t="str">
            <v>A05</v>
          </cell>
          <cell r="B1280" t="str">
            <v>Sobreacarreo (d&gt;1km) (sin esponj)</v>
          </cell>
          <cell r="C1280" t="str">
            <v>m3-km</v>
          </cell>
          <cell r="F1280">
            <v>8.9285714285714263E-3</v>
          </cell>
          <cell r="G1280">
            <v>4.7142857142857E-2</v>
          </cell>
          <cell r="H1280">
            <v>0.23308571428571401</v>
          </cell>
          <cell r="I1280">
            <v>0</v>
          </cell>
          <cell r="J1280">
            <v>0</v>
          </cell>
          <cell r="K1280">
            <v>0.28022857142857105</v>
          </cell>
          <cell r="L1280">
            <v>0</v>
          </cell>
          <cell r="M1280">
            <v>0</v>
          </cell>
        </row>
        <row r="1281">
          <cell r="A1281" t="str">
            <v>2.19.e</v>
          </cell>
          <cell r="B1281" t="str">
            <v>Drill and blast bulk rock (without limit on thickness, broken to fine or coarse fragments as required depending on end-use. Applies to locations other than trenches and ditches).</v>
          </cell>
          <cell r="C1281" t="str">
            <v>m3</v>
          </cell>
          <cell r="D1281">
            <v>204000</v>
          </cell>
          <cell r="F1281">
            <v>15689.117681159421</v>
          </cell>
          <cell r="G1281">
            <v>0</v>
          </cell>
          <cell r="H1281">
            <v>0</v>
          </cell>
          <cell r="I1281">
            <v>0</v>
          </cell>
          <cell r="J1281">
            <v>2.8170540000000002</v>
          </cell>
          <cell r="L1281">
            <v>2.82</v>
          </cell>
          <cell r="M1281">
            <v>575280</v>
          </cell>
        </row>
        <row r="1282">
          <cell r="A1282" t="str">
            <v>A11</v>
          </cell>
          <cell r="B1282" t="str">
            <v>Perforación y voladura masiva (material fino)</v>
          </cell>
          <cell r="C1282" t="str">
            <v>m3</v>
          </cell>
          <cell r="D1282">
            <v>204000</v>
          </cell>
          <cell r="E1282">
            <v>0.28930000000000006</v>
          </cell>
          <cell r="F1282">
            <v>7.4718196457326899E-2</v>
          </cell>
          <cell r="G1282">
            <v>0</v>
          </cell>
          <cell r="H1282">
            <v>0</v>
          </cell>
          <cell r="I1282">
            <v>0</v>
          </cell>
          <cell r="J1282">
            <v>2.78</v>
          </cell>
          <cell r="K1282">
            <v>2.78</v>
          </cell>
          <cell r="L1282">
            <v>0.80425400000000014</v>
          </cell>
          <cell r="M1282">
            <v>164067.81600000002</v>
          </cell>
        </row>
        <row r="1283">
          <cell r="A1283" t="str">
            <v>A12</v>
          </cell>
          <cell r="B1283" t="str">
            <v>Perforación y voladura masiva (material grueso)</v>
          </cell>
          <cell r="C1283" t="str">
            <v>m3</v>
          </cell>
          <cell r="D1283">
            <v>204000</v>
          </cell>
          <cell r="E1283">
            <v>0.74</v>
          </cell>
          <cell r="F1283">
            <v>7.4718196457326899E-2</v>
          </cell>
          <cell r="G1283">
            <v>0</v>
          </cell>
          <cell r="H1283">
            <v>0</v>
          </cell>
          <cell r="I1283">
            <v>0</v>
          </cell>
          <cell r="J1283">
            <v>2.72</v>
          </cell>
          <cell r="K1283">
            <v>2.72</v>
          </cell>
          <cell r="L1283">
            <v>2.0127999999999999</v>
          </cell>
          <cell r="M1283">
            <v>410611.20000000001</v>
          </cell>
        </row>
        <row r="1284">
          <cell r="A1284" t="str">
            <v>2.19.f</v>
          </cell>
          <cell r="B1284" t="str">
            <v xml:space="preserve">Excavate and Fill (fine blasted) broken rock </v>
          </cell>
          <cell r="C1284" t="str">
            <v>m3</v>
          </cell>
          <cell r="D1284">
            <v>191000</v>
          </cell>
          <cell r="F1284">
            <v>15786.150000000001</v>
          </cell>
          <cell r="G1284">
            <v>0.42202975000000009</v>
          </cell>
          <cell r="H1284">
            <v>3.2571238875000006</v>
          </cell>
          <cell r="I1284">
            <v>0</v>
          </cell>
          <cell r="J1284">
            <v>0</v>
          </cell>
          <cell r="L1284">
            <v>3.68</v>
          </cell>
          <cell r="M1284">
            <v>702880</v>
          </cell>
        </row>
        <row r="1285">
          <cell r="A1285" t="str">
            <v>A13</v>
          </cell>
          <cell r="B1285" t="str">
            <v>Remoción de Material fino volado</v>
          </cell>
          <cell r="C1285" t="str">
            <v>m3</v>
          </cell>
          <cell r="D1285">
            <v>191000</v>
          </cell>
          <cell r="E1285">
            <v>1.1000000000000001</v>
          </cell>
          <cell r="F1285">
            <v>2.4E-2</v>
          </cell>
          <cell r="G1285">
            <v>0.11976000000000001</v>
          </cell>
          <cell r="H1285">
            <v>1.1023720000000001</v>
          </cell>
          <cell r="I1285">
            <v>0</v>
          </cell>
          <cell r="J1285">
            <v>0</v>
          </cell>
          <cell r="K1285">
            <v>1.2221320000000002</v>
          </cell>
          <cell r="L1285">
            <v>1.3443452000000002</v>
          </cell>
          <cell r="M1285">
            <v>256769.93320000006</v>
          </cell>
        </row>
        <row r="1286">
          <cell r="A1286" t="str">
            <v>A07</v>
          </cell>
          <cell r="B1286" t="str">
            <v>Empuje de material d&lt;60m</v>
          </cell>
          <cell r="C1286" t="str">
            <v>m3</v>
          </cell>
          <cell r="D1286">
            <v>191000</v>
          </cell>
          <cell r="E1286">
            <v>1.1000000000000001</v>
          </cell>
          <cell r="F1286">
            <v>1.2500000000000001E-2</v>
          </cell>
          <cell r="G1286">
            <v>6.0562499999999998E-2</v>
          </cell>
          <cell r="H1286">
            <v>0.50302812500000005</v>
          </cell>
          <cell r="I1286">
            <v>0</v>
          </cell>
          <cell r="J1286">
            <v>0</v>
          </cell>
          <cell r="K1286">
            <v>0.56359062500000001</v>
          </cell>
          <cell r="L1286">
            <v>0.61994968750000001</v>
          </cell>
          <cell r="M1286">
            <v>118410.39031250001</v>
          </cell>
        </row>
        <row r="1287">
          <cell r="A1287" t="str">
            <v>A08</v>
          </cell>
          <cell r="B1287" t="str">
            <v>Relleno masivo compactado</v>
          </cell>
          <cell r="C1287" t="str">
            <v>m3</v>
          </cell>
          <cell r="D1287">
            <v>191000</v>
          </cell>
          <cell r="E1287">
            <v>1</v>
          </cell>
          <cell r="F1287">
            <v>4.2499999999999996E-2</v>
          </cell>
          <cell r="G1287">
            <v>0.22367500000000001</v>
          </cell>
          <cell r="H1287">
            <v>1.49118375</v>
          </cell>
          <cell r="I1287">
            <v>0</v>
          </cell>
          <cell r="J1287">
            <v>0</v>
          </cell>
          <cell r="K1287">
            <v>1.7148587500000001</v>
          </cell>
          <cell r="L1287">
            <v>1.7148587500000001</v>
          </cell>
          <cell r="M1287">
            <v>327538.02124999999</v>
          </cell>
        </row>
        <row r="1288">
          <cell r="A1288" t="str">
            <v>2.19.g</v>
          </cell>
          <cell r="B1288" t="str">
            <v xml:space="preserve">Excavate (fine or coarse blasted) broken rock to Waste Surplus Stockpile </v>
          </cell>
          <cell r="C1288" t="str">
            <v>m3</v>
          </cell>
          <cell r="D1288">
            <v>14000</v>
          </cell>
          <cell r="F1288">
            <v>1158.3652094717668</v>
          </cell>
          <cell r="G1288">
            <v>0.4296191647150665</v>
          </cell>
          <cell r="H1288">
            <v>3.0487144327348443</v>
          </cell>
          <cell r="I1288">
            <v>0</v>
          </cell>
          <cell r="J1288">
            <v>0</v>
          </cell>
          <cell r="L1288">
            <v>3.48</v>
          </cell>
          <cell r="M1288">
            <v>48720</v>
          </cell>
        </row>
        <row r="1289">
          <cell r="A1289" t="str">
            <v>A14</v>
          </cell>
          <cell r="B1289" t="str">
            <v>Remoción de Material grueso volado</v>
          </cell>
          <cell r="C1289" t="str">
            <v>m3</v>
          </cell>
          <cell r="D1289">
            <v>14000</v>
          </cell>
          <cell r="E1289">
            <v>1</v>
          </cell>
          <cell r="F1289">
            <v>2.5000000000000001E-2</v>
          </cell>
          <cell r="G1289">
            <v>0.12475</v>
          </cell>
          <cell r="H1289">
            <v>1.11859166666667</v>
          </cell>
          <cell r="I1289">
            <v>0</v>
          </cell>
          <cell r="J1289">
            <v>0</v>
          </cell>
          <cell r="K1289">
            <v>1.2433416666666699</v>
          </cell>
          <cell r="L1289">
            <v>1.2433416666666699</v>
          </cell>
          <cell r="M1289">
            <v>17406.78333333338</v>
          </cell>
        </row>
        <row r="1290">
          <cell r="A1290" t="str">
            <v>A43</v>
          </cell>
          <cell r="B1290" t="str">
            <v>Carguío de roca volada con excavadora</v>
          </cell>
          <cell r="C1290" t="str">
            <v>m3</v>
          </cell>
          <cell r="D1290">
            <v>14000</v>
          </cell>
          <cell r="E1290">
            <v>1</v>
          </cell>
          <cell r="F1290">
            <v>8.1967213114754103E-3</v>
          </cell>
          <cell r="G1290">
            <v>4.3278688524589999E-2</v>
          </cell>
          <cell r="H1290">
            <v>0.58667213114754102</v>
          </cell>
          <cell r="I1290">
            <v>0</v>
          </cell>
          <cell r="J1290">
            <v>0</v>
          </cell>
          <cell r="K1290">
            <v>0.62995081967213107</v>
          </cell>
          <cell r="L1290">
            <v>0.62995081967213107</v>
          </cell>
          <cell r="M1290">
            <v>8819.3114754098351</v>
          </cell>
        </row>
        <row r="1291">
          <cell r="A1291" t="str">
            <v>A10</v>
          </cell>
          <cell r="B1291" t="str">
            <v>Extendido de roca en botadero</v>
          </cell>
          <cell r="C1291" t="str">
            <v>m3</v>
          </cell>
          <cell r="D1291">
            <v>14000</v>
          </cell>
          <cell r="E1291">
            <v>1</v>
          </cell>
          <cell r="F1291">
            <v>3.5714285714285713E-3</v>
          </cell>
          <cell r="G1291">
            <v>1.8857142857142999E-2</v>
          </cell>
          <cell r="H1291">
            <v>0.14619285714285699</v>
          </cell>
          <cell r="I1291">
            <v>0</v>
          </cell>
          <cell r="J1291">
            <v>0</v>
          </cell>
          <cell r="K1291">
            <v>0.16504999999999997</v>
          </cell>
          <cell r="L1291">
            <v>0.16504999999999997</v>
          </cell>
          <cell r="M1291">
            <v>2310.6999999999998</v>
          </cell>
        </row>
        <row r="1292">
          <cell r="A1292" t="str">
            <v>A04</v>
          </cell>
          <cell r="B1292" t="str">
            <v>Acarreo d&lt;1km (sin esponj)</v>
          </cell>
          <cell r="C1292" t="str">
            <v>m3</v>
          </cell>
          <cell r="D1292">
            <v>14000</v>
          </cell>
          <cell r="E1292">
            <v>1.4</v>
          </cell>
          <cell r="F1292">
            <v>1.9444444444444441E-2</v>
          </cell>
          <cell r="G1292">
            <v>0.102666666666667</v>
          </cell>
          <cell r="H1292">
            <v>0.50555555555555498</v>
          </cell>
          <cell r="I1292">
            <v>0</v>
          </cell>
          <cell r="J1292">
            <v>0</v>
          </cell>
          <cell r="K1292">
            <v>0.608222222222222</v>
          </cell>
          <cell r="L1292">
            <v>0.85151111111111077</v>
          </cell>
          <cell r="M1292">
            <v>11921.155555555551</v>
          </cell>
        </row>
        <row r="1293">
          <cell r="A1293" t="str">
            <v>A05</v>
          </cell>
          <cell r="B1293" t="str">
            <v>Sobreacarreo (d&gt;1km) (sin esponj)</v>
          </cell>
          <cell r="C1293" t="str">
            <v>m3-km</v>
          </cell>
          <cell r="D1293">
            <v>21000</v>
          </cell>
          <cell r="E1293">
            <v>1.4</v>
          </cell>
          <cell r="F1293">
            <v>8.9285714285714263E-3</v>
          </cell>
          <cell r="G1293">
            <v>4.7142857142857E-2</v>
          </cell>
          <cell r="H1293">
            <v>0.23308571428571401</v>
          </cell>
          <cell r="I1293">
            <v>0</v>
          </cell>
          <cell r="J1293">
            <v>0</v>
          </cell>
          <cell r="K1293">
            <v>0.28022857142857105</v>
          </cell>
          <cell r="L1293">
            <v>0.39231999999999945</v>
          </cell>
          <cell r="M1293">
            <v>8238.7199999999884</v>
          </cell>
        </row>
        <row r="1294">
          <cell r="A1294" t="str">
            <v>2.19.h</v>
          </cell>
          <cell r="B1294" t="str">
            <v>Supply and Install Backfill Granular A to roads/yards</v>
          </cell>
          <cell r="C1294" t="str">
            <v>m3</v>
          </cell>
          <cell r="D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</row>
        <row r="1295">
          <cell r="A1295" t="str">
            <v>A15</v>
          </cell>
          <cell r="B1295" t="str">
            <v>Suministro de material granular A</v>
          </cell>
          <cell r="C1295" t="str">
            <v>m3</v>
          </cell>
          <cell r="F1295">
            <v>0</v>
          </cell>
          <cell r="G1295">
            <v>0</v>
          </cell>
          <cell r="H1295">
            <v>0</v>
          </cell>
          <cell r="I1295">
            <v>2.85</v>
          </cell>
          <cell r="J1295">
            <v>0</v>
          </cell>
          <cell r="K1295">
            <v>2.85</v>
          </cell>
          <cell r="L1295">
            <v>0</v>
          </cell>
          <cell r="M1295">
            <v>0</v>
          </cell>
        </row>
        <row r="1296">
          <cell r="A1296" t="str">
            <v>A16</v>
          </cell>
          <cell r="B1296" t="str">
            <v>Colocación y compactación Mat Granular A</v>
          </cell>
          <cell r="C1296" t="str">
            <v>m3</v>
          </cell>
          <cell r="F1296">
            <v>0.37805555555555553</v>
          </cell>
          <cell r="G1296">
            <v>1.4478</v>
          </cell>
          <cell r="H1296">
            <v>3.0801342222222199</v>
          </cell>
          <cell r="I1296">
            <v>0</v>
          </cell>
          <cell r="J1296">
            <v>0</v>
          </cell>
          <cell r="K1296">
            <v>4.5279342222222194</v>
          </cell>
          <cell r="L1296">
            <v>0</v>
          </cell>
          <cell r="M1296">
            <v>0</v>
          </cell>
        </row>
        <row r="1297">
          <cell r="A1297" t="str">
            <v>A04</v>
          </cell>
          <cell r="B1297" t="str">
            <v>Acarreo d&lt;1km (sin esponj)</v>
          </cell>
          <cell r="C1297" t="str">
            <v>m3</v>
          </cell>
          <cell r="F1297">
            <v>1.9444444444444441E-2</v>
          </cell>
          <cell r="G1297">
            <v>0.102666666666667</v>
          </cell>
          <cell r="H1297">
            <v>0.50555555555555498</v>
          </cell>
          <cell r="I1297">
            <v>0</v>
          </cell>
          <cell r="J1297">
            <v>0</v>
          </cell>
          <cell r="K1297">
            <v>0.608222222222222</v>
          </cell>
          <cell r="L1297">
            <v>0</v>
          </cell>
          <cell r="M1297">
            <v>0</v>
          </cell>
        </row>
        <row r="1298">
          <cell r="A1298" t="str">
            <v>A05</v>
          </cell>
          <cell r="B1298" t="str">
            <v>Sobreacarreo (d&gt;1km) (sin esponj)</v>
          </cell>
          <cell r="C1298" t="str">
            <v>m3-km</v>
          </cell>
          <cell r="F1298">
            <v>8.9285714285714263E-3</v>
          </cell>
          <cell r="G1298">
            <v>4.7142857142857E-2</v>
          </cell>
          <cell r="H1298">
            <v>0.23308571428571401</v>
          </cell>
          <cell r="I1298">
            <v>0</v>
          </cell>
          <cell r="J1298">
            <v>0</v>
          </cell>
          <cell r="K1298">
            <v>0.28022857142857105</v>
          </cell>
          <cell r="L1298">
            <v>0</v>
          </cell>
          <cell r="M1298">
            <v>0</v>
          </cell>
        </row>
        <row r="1299">
          <cell r="A1299" t="str">
            <v>2.19.I</v>
          </cell>
          <cell r="B1299" t="str">
            <v>Supply and Install Backfill Granular C to roads/yards</v>
          </cell>
          <cell r="C1299" t="str">
            <v>m3</v>
          </cell>
          <cell r="D1299">
            <v>27500</v>
          </cell>
          <cell r="F1299">
            <v>4841.8278769841263</v>
          </cell>
          <cell r="G1299">
            <v>0.91409523809523674</v>
          </cell>
          <cell r="H1299">
            <v>4.3769531746031758</v>
          </cell>
          <cell r="I1299">
            <v>5.4439000000000002</v>
          </cell>
          <cell r="J1299">
            <v>0</v>
          </cell>
          <cell r="K1299">
            <v>10.734948412698412</v>
          </cell>
          <cell r="L1299">
            <v>10.73</v>
          </cell>
          <cell r="M1299">
            <v>295075</v>
          </cell>
        </row>
        <row r="1300">
          <cell r="A1300" t="str">
            <v>A17</v>
          </cell>
          <cell r="B1300" t="str">
            <v>Suministro de material granular C</v>
          </cell>
          <cell r="C1300" t="str">
            <v>m3</v>
          </cell>
          <cell r="D1300">
            <v>27500</v>
          </cell>
          <cell r="E1300">
            <v>1.254</v>
          </cell>
          <cell r="F1300">
            <v>0</v>
          </cell>
          <cell r="G1300">
            <v>0</v>
          </cell>
          <cell r="H1300">
            <v>0</v>
          </cell>
          <cell r="I1300">
            <v>2.85</v>
          </cell>
          <cell r="J1300">
            <v>0</v>
          </cell>
          <cell r="K1300">
            <v>2.85</v>
          </cell>
          <cell r="L1300">
            <v>3.5739000000000001</v>
          </cell>
          <cell r="M1300">
            <v>98282.25</v>
          </cell>
        </row>
        <row r="1301">
          <cell r="A1301" t="str">
            <v>A18</v>
          </cell>
          <cell r="B1301" t="str">
            <v>Colocación y compactación Mat Granular C</v>
          </cell>
          <cell r="C1301" t="str">
            <v>m3</v>
          </cell>
          <cell r="D1301">
            <v>27500</v>
          </cell>
          <cell r="E1301">
            <v>1</v>
          </cell>
          <cell r="F1301">
            <v>8.9285714285714274E-2</v>
          </cell>
          <cell r="G1301">
            <v>0.45589285714285699</v>
          </cell>
          <cell r="H1301">
            <v>2.1146428571428602</v>
          </cell>
          <cell r="I1301">
            <v>0</v>
          </cell>
          <cell r="J1301">
            <v>0</v>
          </cell>
          <cell r="K1301">
            <v>2.5705357142857173</v>
          </cell>
          <cell r="L1301">
            <v>2.5705357142857173</v>
          </cell>
          <cell r="M1301">
            <v>70689.732142857218</v>
          </cell>
        </row>
        <row r="1302">
          <cell r="A1302" t="str">
            <v>A42</v>
          </cell>
          <cell r="B1302" t="str">
            <v>Aplicación de Cloruro de Calcio</v>
          </cell>
          <cell r="C1302" t="str">
            <v>m2</v>
          </cell>
          <cell r="D1302">
            <v>27500</v>
          </cell>
          <cell r="E1302">
            <v>2.5</v>
          </cell>
          <cell r="F1302">
            <v>2.2222222222222222E-3</v>
          </cell>
          <cell r="G1302">
            <v>1.1733333333333E-2</v>
          </cell>
          <cell r="H1302">
            <v>5.7777777777777997E-2</v>
          </cell>
          <cell r="I1302">
            <v>0.748</v>
          </cell>
          <cell r="J1302">
            <v>0</v>
          </cell>
          <cell r="K1302">
            <v>0.81751111111111108</v>
          </cell>
          <cell r="L1302">
            <v>2.0437777777777777</v>
          </cell>
          <cell r="M1302">
            <v>56203.888888888883</v>
          </cell>
        </row>
        <row r="1303">
          <cell r="A1303" t="str">
            <v>A04</v>
          </cell>
          <cell r="B1303" t="str">
            <v>Acarreo d&lt;1km (sin esponj)</v>
          </cell>
          <cell r="C1303" t="str">
            <v>m3</v>
          </cell>
          <cell r="D1303">
            <v>27500</v>
          </cell>
          <cell r="E1303">
            <v>1.25</v>
          </cell>
          <cell r="F1303">
            <v>1.9444444444444441E-2</v>
          </cell>
          <cell r="G1303">
            <v>0.102666666666667</v>
          </cell>
          <cell r="H1303">
            <v>0.50555555555555498</v>
          </cell>
          <cell r="I1303">
            <v>0</v>
          </cell>
          <cell r="J1303">
            <v>0</v>
          </cell>
          <cell r="K1303">
            <v>0.608222222222222</v>
          </cell>
          <cell r="L1303">
            <v>0.7602777777777775</v>
          </cell>
          <cell r="M1303">
            <v>20907.63888888888</v>
          </cell>
        </row>
        <row r="1304">
          <cell r="A1304" t="str">
            <v>A05</v>
          </cell>
          <cell r="B1304" t="str">
            <v>Sobreacarreo (d&gt;1km) (sin esponj)</v>
          </cell>
          <cell r="C1304" t="str">
            <v>m3-km</v>
          </cell>
          <cell r="D1304">
            <v>140250</v>
          </cell>
          <cell r="E1304">
            <v>1.25</v>
          </cell>
          <cell r="F1304">
            <v>8.9285714285714263E-3</v>
          </cell>
          <cell r="G1304">
            <v>4.7142857142857E-2</v>
          </cell>
          <cell r="H1304">
            <v>0.23308571428571401</v>
          </cell>
          <cell r="I1304">
            <v>0</v>
          </cell>
          <cell r="J1304">
            <v>0</v>
          </cell>
          <cell r="K1304">
            <v>0.28022857142857105</v>
          </cell>
          <cell r="L1304">
            <v>0.35028571428571381</v>
          </cell>
          <cell r="M1304">
            <v>49127.571428571362</v>
          </cell>
        </row>
        <row r="1305">
          <cell r="A1305" t="str">
            <v>2.19.j</v>
          </cell>
          <cell r="B1305" t="str">
            <v>Supply and Install Riprap-Geotextile-Bedding to ditches and slopes, including rock/earth excavation and shaping of the site</v>
          </cell>
          <cell r="C1305" t="str">
            <v>Ls</v>
          </cell>
          <cell r="D1305">
            <v>1</v>
          </cell>
          <cell r="F1305">
            <v>2594.372663438528</v>
          </cell>
          <cell r="G1305">
            <v>8607.0377107387794</v>
          </cell>
          <cell r="H1305">
            <v>7538.8580393269222</v>
          </cell>
          <cell r="I1305">
            <v>1834.0398376584262</v>
          </cell>
          <cell r="J1305">
            <v>2431.6608284488238</v>
          </cell>
          <cell r="L1305">
            <v>20411.599999999999</v>
          </cell>
          <cell r="M1305">
            <v>20411.599999999999</v>
          </cell>
        </row>
        <row r="1306">
          <cell r="A1306" t="str">
            <v>A19</v>
          </cell>
          <cell r="B1306" t="str">
            <v>Rip rap</v>
          </cell>
          <cell r="C1306" t="str">
            <v>m3</v>
          </cell>
          <cell r="D1306">
            <v>560</v>
          </cell>
          <cell r="E1306">
            <v>1.0598935723869778</v>
          </cell>
          <cell r="F1306">
            <v>2.7285714285714286</v>
          </cell>
          <cell r="G1306">
            <v>8.8182857142857092</v>
          </cell>
          <cell r="H1306">
            <v>4.8350057142857139</v>
          </cell>
          <cell r="I1306">
            <v>2.85</v>
          </cell>
          <cell r="J1306">
            <v>0</v>
          </cell>
          <cell r="K1306">
            <v>16.503291428571423</v>
          </cell>
          <cell r="L1306">
            <v>17.491732508371957</v>
          </cell>
          <cell r="M1306">
            <v>9795.3702046882954</v>
          </cell>
        </row>
        <row r="1307">
          <cell r="A1307" t="str">
            <v>A20</v>
          </cell>
          <cell r="B1307" t="str">
            <v>Geotextil 400g/m2 Non Woven</v>
          </cell>
          <cell r="C1307" t="str">
            <v>m2</v>
          </cell>
          <cell r="D1307">
            <v>168</v>
          </cell>
          <cell r="E1307">
            <v>1.0598935723869778</v>
          </cell>
          <cell r="F1307">
            <v>0.37356321839080464</v>
          </cell>
          <cell r="G1307">
            <v>1.1715517241379301</v>
          </cell>
          <cell r="H1307">
            <v>0.445182471264368</v>
          </cell>
          <cell r="I1307">
            <v>0.8</v>
          </cell>
          <cell r="J1307">
            <v>0</v>
          </cell>
          <cell r="K1307">
            <v>2.4167341954022983</v>
          </cell>
          <cell r="L1307">
            <v>2.5614810398747103</v>
          </cell>
          <cell r="M1307">
            <v>430.32881469895131</v>
          </cell>
        </row>
        <row r="1308">
          <cell r="A1308" t="str">
            <v>A21</v>
          </cell>
          <cell r="B1308" t="str">
            <v>Excavación y perfilado de zanjas</v>
          </cell>
          <cell r="C1308" t="str">
            <v>m3</v>
          </cell>
          <cell r="D1308">
            <v>665</v>
          </cell>
          <cell r="E1308">
            <v>1.0598935723869778</v>
          </cell>
          <cell r="F1308">
            <v>1.2887346226726417</v>
          </cell>
          <cell r="G1308">
            <v>4.4896263901299003</v>
          </cell>
          <cell r="H1308">
            <v>6.5119556758310146</v>
          </cell>
          <cell r="I1308">
            <v>0</v>
          </cell>
          <cell r="J1308">
            <v>3.45</v>
          </cell>
          <cell r="K1308">
            <v>14.451582065960915</v>
          </cell>
          <cell r="L1308">
            <v>15.317138942534894</v>
          </cell>
          <cell r="M1308">
            <v>10185.897396785705</v>
          </cell>
        </row>
        <row r="1309">
          <cell r="A1309" t="str">
            <v>2.19.k</v>
          </cell>
          <cell r="B1309" t="str">
            <v>Supply and Install Gabions-Geotextile-Bedding-Concrete Facing, complete including rock/earth excavation shaping &amp; backfill of the site</v>
          </cell>
          <cell r="C1309" t="str">
            <v>Ls</v>
          </cell>
          <cell r="D1309">
            <v>1</v>
          </cell>
          <cell r="F1309">
            <v>357.60670139566213</v>
          </cell>
          <cell r="G1309">
            <v>1254.401061239337</v>
          </cell>
          <cell r="H1309">
            <v>1306.1394348642652</v>
          </cell>
          <cell r="I1309">
            <v>1697.2714795724764</v>
          </cell>
          <cell r="J1309">
            <v>388.62363394889951</v>
          </cell>
          <cell r="L1309">
            <v>4646.4399999999996</v>
          </cell>
          <cell r="M1309">
            <v>4646.4399999999996</v>
          </cell>
        </row>
        <row r="1310">
          <cell r="A1310" t="str">
            <v>A22</v>
          </cell>
          <cell r="B1310" t="str">
            <v>Relleno localizado tipo A</v>
          </cell>
          <cell r="C1310" t="str">
            <v>m3</v>
          </cell>
          <cell r="D1310">
            <v>13</v>
          </cell>
          <cell r="E1310">
            <v>0.97951766590774925</v>
          </cell>
          <cell r="F1310">
            <v>0.47959325396825392</v>
          </cell>
          <cell r="G1310">
            <v>1.9839190476190467</v>
          </cell>
          <cell r="H1310">
            <v>5.7282700952380896</v>
          </cell>
          <cell r="I1310">
            <v>3.5625</v>
          </cell>
          <cell r="J1310">
            <v>0</v>
          </cell>
          <cell r="K1310">
            <v>11.274689142857136</v>
          </cell>
          <cell r="L1310">
            <v>11.043757193046865</v>
          </cell>
          <cell r="M1310">
            <v>143.56884350960925</v>
          </cell>
        </row>
        <row r="1311">
          <cell r="A1311" t="str">
            <v>A23</v>
          </cell>
          <cell r="B1311" t="str">
            <v>Concrete Lining</v>
          </cell>
          <cell r="C1311" t="str">
            <v>m3</v>
          </cell>
          <cell r="D1311">
            <v>6.5</v>
          </cell>
          <cell r="E1311">
            <v>0.97951766590774925</v>
          </cell>
          <cell r="F1311">
            <v>14.282608695652174</v>
          </cell>
          <cell r="G1311">
            <v>49.431086956521703</v>
          </cell>
          <cell r="H1311">
            <v>4.9527137681159399</v>
          </cell>
          <cell r="I1311">
            <v>60</v>
          </cell>
          <cell r="J1311">
            <v>0</v>
          </cell>
          <cell r="K1311">
            <v>114.38380072463765</v>
          </cell>
          <cell r="L1311">
            <v>112.04095350345419</v>
          </cell>
          <cell r="M1311">
            <v>728.26619777245219</v>
          </cell>
        </row>
        <row r="1312">
          <cell r="A1312" t="str">
            <v>A24</v>
          </cell>
          <cell r="B1312" t="str">
            <v>Gavión</v>
          </cell>
          <cell r="C1312" t="str">
            <v>m3</v>
          </cell>
          <cell r="D1312">
            <v>67</v>
          </cell>
          <cell r="E1312">
            <v>0.97951766590774925</v>
          </cell>
          <cell r="F1312">
            <v>1.7583333333333333</v>
          </cell>
          <cell r="G1312">
            <v>6.2273333333333296</v>
          </cell>
          <cell r="H1312">
            <v>7.133083333333337</v>
          </cell>
          <cell r="I1312">
            <v>19.350000000000001</v>
          </cell>
          <cell r="J1312">
            <v>0</v>
          </cell>
          <cell r="K1312">
            <v>32.710416666666674</v>
          </cell>
          <cell r="L1312">
            <v>32.040430984203283</v>
          </cell>
          <cell r="M1312">
            <v>2146.7088759416201</v>
          </cell>
        </row>
        <row r="1313">
          <cell r="A1313" t="str">
            <v>A21</v>
          </cell>
          <cell r="B1313" t="str">
            <v>Excavación y perfilado de zanjas</v>
          </cell>
          <cell r="C1313" t="str">
            <v>m3</v>
          </cell>
          <cell r="D1313">
            <v>115</v>
          </cell>
          <cell r="E1313">
            <v>0.97951766590774925</v>
          </cell>
          <cell r="F1313">
            <v>1.2887346226726417</v>
          </cell>
          <cell r="G1313">
            <v>4.4896263901299003</v>
          </cell>
          <cell r="H1313">
            <v>6.5119556758310146</v>
          </cell>
          <cell r="I1313">
            <v>0</v>
          </cell>
          <cell r="J1313">
            <v>3.45</v>
          </cell>
          <cell r="K1313">
            <v>14.451582065960915</v>
          </cell>
          <cell r="L1313">
            <v>14.155579933924324</v>
          </cell>
          <cell r="M1313">
            <v>1627.8916924012972</v>
          </cell>
        </row>
        <row r="1314">
          <cell r="A1314" t="str">
            <v>2.19.l</v>
          </cell>
          <cell r="B1314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314" t="str">
            <v>Ls</v>
          </cell>
          <cell r="D1314">
            <v>1</v>
          </cell>
          <cell r="F1314">
            <v>5499.9604417054607</v>
          </cell>
          <cell r="G1314">
            <v>18257.203355273901</v>
          </cell>
          <cell r="H1314">
            <v>11112.058872234375</v>
          </cell>
          <cell r="I1314">
            <v>32549.011653084439</v>
          </cell>
          <cell r="J1314">
            <v>2957.4269707258268</v>
          </cell>
          <cell r="L1314">
            <v>64875.7</v>
          </cell>
          <cell r="M1314">
            <v>64875.7</v>
          </cell>
        </row>
        <row r="1315">
          <cell r="A1315" t="str">
            <v>A25</v>
          </cell>
          <cell r="B1315" t="str">
            <v>Suministro y colocación de Grating</v>
          </cell>
          <cell r="C1315" t="str">
            <v>m2</v>
          </cell>
          <cell r="D1315">
            <v>2</v>
          </cell>
          <cell r="E1315">
            <v>0.97411955557504171</v>
          </cell>
          <cell r="F1315">
            <v>1.75</v>
          </cell>
          <cell r="G1315">
            <v>6.1725000000000003</v>
          </cell>
          <cell r="H1315">
            <v>0.144125</v>
          </cell>
          <cell r="I1315">
            <v>225</v>
          </cell>
          <cell r="J1315">
            <v>0</v>
          </cell>
          <cell r="K1315">
            <v>231.31662500000002</v>
          </cell>
          <cell r="L1315">
            <v>225.3300479421186</v>
          </cell>
          <cell r="M1315">
            <v>450.66009588423719</v>
          </cell>
        </row>
        <row r="1316">
          <cell r="A1316" t="str">
            <v>A26</v>
          </cell>
          <cell r="B1316" t="str">
            <v>Suministro y colocación de Tapa metálica</v>
          </cell>
          <cell r="C1316" t="str">
            <v>m2</v>
          </cell>
          <cell r="D1316">
            <v>1.5</v>
          </cell>
          <cell r="E1316">
            <v>0.97411955557504171</v>
          </cell>
          <cell r="F1316">
            <v>1.75</v>
          </cell>
          <cell r="G1316">
            <v>6.1725000000000003</v>
          </cell>
          <cell r="H1316">
            <v>0.144125</v>
          </cell>
          <cell r="I1316">
            <v>300</v>
          </cell>
          <cell r="J1316">
            <v>0</v>
          </cell>
          <cell r="K1316">
            <v>306.31662499999999</v>
          </cell>
          <cell r="L1316">
            <v>298.3890146102467</v>
          </cell>
          <cell r="M1316">
            <v>447.58352191537006</v>
          </cell>
        </row>
        <row r="1317">
          <cell r="A1317" t="str">
            <v>A27</v>
          </cell>
          <cell r="B1317" t="str">
            <v>Relleno estructural</v>
          </cell>
          <cell r="C1317" t="str">
            <v>m3</v>
          </cell>
          <cell r="F1317">
            <v>1.2875000000000001</v>
          </cell>
          <cell r="G1317">
            <v>4.2321666666666697</v>
          </cell>
          <cell r="H1317">
            <v>6.8350416666666636</v>
          </cell>
          <cell r="I1317">
            <v>0</v>
          </cell>
          <cell r="J1317">
            <v>0</v>
          </cell>
          <cell r="K1317">
            <v>11.067208333333333</v>
          </cell>
          <cell r="L1317">
            <v>0</v>
          </cell>
          <cell r="M1317">
            <v>0</v>
          </cell>
        </row>
        <row r="1318">
          <cell r="A1318" t="str">
            <v>A28</v>
          </cell>
          <cell r="B1318" t="str">
            <v>Bermas de Seguridad</v>
          </cell>
          <cell r="C1318" t="str">
            <v>m3</v>
          </cell>
          <cell r="F1318">
            <v>0.1</v>
          </cell>
          <cell r="G1318">
            <v>0.499</v>
          </cell>
          <cell r="H1318">
            <v>3.5649500000000001</v>
          </cell>
          <cell r="I1318">
            <v>2.85</v>
          </cell>
          <cell r="J1318">
            <v>0</v>
          </cell>
          <cell r="K1318">
            <v>6.9139499999999998</v>
          </cell>
          <cell r="L1318">
            <v>0</v>
          </cell>
          <cell r="M1318">
            <v>0</v>
          </cell>
        </row>
        <row r="1319">
          <cell r="A1319" t="str">
            <v>A29</v>
          </cell>
          <cell r="B1319" t="str">
            <v>Relleno localizado tipo B</v>
          </cell>
          <cell r="C1319" t="str">
            <v>m3</v>
          </cell>
          <cell r="D1319">
            <v>585</v>
          </cell>
          <cell r="E1319">
            <v>0.97411955557504171</v>
          </cell>
          <cell r="F1319">
            <v>1.3416666666666666</v>
          </cell>
          <cell r="G1319">
            <v>4.5181666666666702</v>
          </cell>
          <cell r="H1319">
            <v>8.3767083333333332</v>
          </cell>
          <cell r="I1319">
            <v>3.1349999999999998</v>
          </cell>
          <cell r="J1319">
            <v>0</v>
          </cell>
          <cell r="K1319">
            <v>16.029875000000004</v>
          </cell>
          <cell r="L1319">
            <v>15.615014710923475</v>
          </cell>
          <cell r="M1319">
            <v>9134.7836058902321</v>
          </cell>
        </row>
        <row r="1320">
          <cell r="A1320" t="str">
            <v>A30</v>
          </cell>
          <cell r="B1320" t="str">
            <v>Concreto reforzado</v>
          </cell>
          <cell r="C1320" t="str">
            <v>m3</v>
          </cell>
          <cell r="D1320">
            <v>30</v>
          </cell>
          <cell r="E1320">
            <v>0.97411955557504171</v>
          </cell>
          <cell r="F1320">
            <v>16.2</v>
          </cell>
          <cell r="G1320">
            <v>56.207999999999998</v>
          </cell>
          <cell r="H1320">
            <v>3.9517333333333298</v>
          </cell>
          <cell r="I1320">
            <v>116.16</v>
          </cell>
          <cell r="J1320">
            <v>0</v>
          </cell>
          <cell r="K1320">
            <v>176.31973333333332</v>
          </cell>
          <cell r="L1320">
            <v>171.75650027377651</v>
          </cell>
          <cell r="M1320">
            <v>5152.6950082132953</v>
          </cell>
        </row>
        <row r="1321">
          <cell r="A1321" t="str">
            <v>A31</v>
          </cell>
          <cell r="B1321" t="str">
            <v>Alcantarillas 800mm</v>
          </cell>
          <cell r="C1321" t="str">
            <v>ml</v>
          </cell>
          <cell r="D1321">
            <v>96</v>
          </cell>
          <cell r="E1321">
            <v>0.97411955557504171</v>
          </cell>
          <cell r="F1321">
            <v>8</v>
          </cell>
          <cell r="G1321">
            <v>25.88</v>
          </cell>
          <cell r="H1321">
            <v>1.294</v>
          </cell>
          <cell r="I1321">
            <v>60</v>
          </cell>
          <cell r="J1321">
            <v>0</v>
          </cell>
          <cell r="K1321">
            <v>87.173999999999992</v>
          </cell>
          <cell r="L1321">
            <v>84.917898137698671</v>
          </cell>
          <cell r="M1321">
            <v>8152.1182212190724</v>
          </cell>
        </row>
        <row r="1322">
          <cell r="A1322" t="str">
            <v>A32</v>
          </cell>
          <cell r="B1322" t="str">
            <v>Alcantarillas 600mm</v>
          </cell>
          <cell r="C1322" t="str">
            <v>ml</v>
          </cell>
          <cell r="D1322">
            <v>81</v>
          </cell>
          <cell r="E1322">
            <v>0.97411955557504171</v>
          </cell>
          <cell r="F1322">
            <v>6.666666666666667</v>
          </cell>
          <cell r="G1322">
            <v>21.566666666666698</v>
          </cell>
          <cell r="H1322">
            <v>1.07833333333333</v>
          </cell>
          <cell r="I1322">
            <v>50</v>
          </cell>
          <cell r="J1322">
            <v>0</v>
          </cell>
          <cell r="K1322">
            <v>72.645000000000024</v>
          </cell>
          <cell r="L1322">
            <v>70.764915114748931</v>
          </cell>
          <cell r="M1322">
            <v>5731.9581242946633</v>
          </cell>
        </row>
        <row r="1323">
          <cell r="A1323" t="str">
            <v>A33</v>
          </cell>
          <cell r="B1323" t="str">
            <v>Alcantarillas 1350mm</v>
          </cell>
          <cell r="C1323" t="str">
            <v>ml</v>
          </cell>
          <cell r="D1323">
            <v>4.5</v>
          </cell>
          <cell r="E1323">
            <v>0.97411955557504171</v>
          </cell>
          <cell r="F1323">
            <v>12.5</v>
          </cell>
          <cell r="G1323">
            <v>39.924999999999997</v>
          </cell>
          <cell r="H1323">
            <v>1.9962500000000001</v>
          </cell>
          <cell r="I1323">
            <v>160</v>
          </cell>
          <cell r="J1323">
            <v>0</v>
          </cell>
          <cell r="K1323">
            <v>201.92125000000001</v>
          </cell>
          <cell r="L1323">
            <v>196.69543831115689</v>
          </cell>
          <cell r="M1323">
            <v>885.12947240020605</v>
          </cell>
        </row>
        <row r="1324">
          <cell r="A1324" t="str">
            <v>A34</v>
          </cell>
          <cell r="B1324" t="str">
            <v>Alcantarillas 1000mm</v>
          </cell>
          <cell r="C1324" t="str">
            <v>ml</v>
          </cell>
          <cell r="D1324">
            <v>180</v>
          </cell>
          <cell r="E1324">
            <v>0.97411955557504171</v>
          </cell>
          <cell r="F1324">
            <v>8.8888888888888893</v>
          </cell>
          <cell r="G1324">
            <v>28.755555555555599</v>
          </cell>
          <cell r="H1324">
            <v>1.43777777777778</v>
          </cell>
          <cell r="I1324">
            <v>78</v>
          </cell>
          <cell r="J1324">
            <v>0</v>
          </cell>
          <cell r="K1324">
            <v>108.19333333333338</v>
          </cell>
          <cell r="L1324">
            <v>105.39324178284906</v>
          </cell>
          <cell r="M1324">
            <v>18970.783520912832</v>
          </cell>
        </row>
        <row r="1325">
          <cell r="A1325" t="str">
            <v>A35</v>
          </cell>
          <cell r="B1325" t="str">
            <v>Alcantarillas 1600mm</v>
          </cell>
          <cell r="C1325" t="str">
            <v>ml</v>
          </cell>
          <cell r="F1325">
            <v>12.5</v>
          </cell>
          <cell r="G1325">
            <v>39.924999999999997</v>
          </cell>
          <cell r="H1325">
            <v>1.9962500000000001</v>
          </cell>
          <cell r="I1325">
            <v>215</v>
          </cell>
          <cell r="J1325">
            <v>0</v>
          </cell>
          <cell r="K1325">
            <v>256.92124999999999</v>
          </cell>
          <cell r="L1325">
            <v>0</v>
          </cell>
          <cell r="M1325">
            <v>0</v>
          </cell>
        </row>
        <row r="1326">
          <cell r="A1326" t="str">
            <v>A36</v>
          </cell>
          <cell r="B1326" t="str">
            <v>Tubería para buzón CMP 2000mm Diam</v>
          </cell>
          <cell r="C1326" t="str">
            <v>ml</v>
          </cell>
          <cell r="D1326">
            <v>7</v>
          </cell>
          <cell r="E1326">
            <v>0.97411955557504171</v>
          </cell>
          <cell r="F1326">
            <v>20</v>
          </cell>
          <cell r="G1326">
            <v>63.3333333333333</v>
          </cell>
          <cell r="H1326">
            <v>3.1666666666666701</v>
          </cell>
          <cell r="I1326">
            <v>335</v>
          </cell>
          <cell r="J1326">
            <v>0</v>
          </cell>
          <cell r="K1326">
            <v>401.5</v>
          </cell>
          <cell r="L1326">
            <v>391.10900156337925</v>
          </cell>
          <cell r="M1326">
            <v>2737.763010943655</v>
          </cell>
        </row>
        <row r="1327">
          <cell r="A1327" t="str">
            <v>A37</v>
          </cell>
          <cell r="B1327" t="str">
            <v>Alcantarillas 300mm</v>
          </cell>
          <cell r="F1327">
            <v>6.666666666666667</v>
          </cell>
          <cell r="G1327">
            <v>21.566666666666698</v>
          </cell>
          <cell r="H1327">
            <v>1.07833333333333</v>
          </cell>
          <cell r="I1327">
            <v>26</v>
          </cell>
          <cell r="J1327">
            <v>0</v>
          </cell>
          <cell r="K1327">
            <v>48.645000000000032</v>
          </cell>
          <cell r="L1327">
            <v>0</v>
          </cell>
          <cell r="M1327">
            <v>0</v>
          </cell>
        </row>
        <row r="1328">
          <cell r="A1328" t="str">
            <v>A20</v>
          </cell>
          <cell r="B1328" t="str">
            <v>Geotextil 400g/m2 Non Woven</v>
          </cell>
          <cell r="C1328" t="str">
            <v>m2</v>
          </cell>
          <cell r="D1328">
            <v>350</v>
          </cell>
          <cell r="E1328">
            <v>0.97411955557504171</v>
          </cell>
          <cell r="F1328">
            <v>0.37356321839080464</v>
          </cell>
          <cell r="G1328">
            <v>1.1715517241379301</v>
          </cell>
          <cell r="H1328">
            <v>0.445182471264368</v>
          </cell>
          <cell r="I1328">
            <v>0.8</v>
          </cell>
          <cell r="J1328">
            <v>0</v>
          </cell>
          <cell r="K1328">
            <v>2.4167341954022983</v>
          </cell>
          <cell r="L1328">
            <v>2.3541880403682929</v>
          </cell>
          <cell r="M1328">
            <v>823.96581412890248</v>
          </cell>
        </row>
        <row r="1329">
          <cell r="A1329" t="str">
            <v>A38</v>
          </cell>
          <cell r="B1329" t="str">
            <v>Excavación y eliminación de material para cunetas en roca</v>
          </cell>
          <cell r="C1329" t="str">
            <v>m3</v>
          </cell>
          <cell r="F1329">
            <v>0.28461538461538466</v>
          </cell>
          <cell r="G1329">
            <v>1.41576923076923</v>
          </cell>
          <cell r="H1329">
            <v>7.0169423076923119</v>
          </cell>
          <cell r="I1329">
            <v>0</v>
          </cell>
          <cell r="J1329">
            <v>11.5</v>
          </cell>
          <cell r="K1329">
            <v>19.932711538461543</v>
          </cell>
          <cell r="L1329">
            <v>0</v>
          </cell>
          <cell r="M1329">
            <v>0</v>
          </cell>
        </row>
        <row r="1330">
          <cell r="A1330" t="str">
            <v>A39</v>
          </cell>
          <cell r="B1330" t="str">
            <v>Excavación y eliminación de material para cunetas en suelo común</v>
          </cell>
          <cell r="C1330" t="str">
            <v>m3</v>
          </cell>
          <cell r="F1330">
            <v>0.1957264957264957</v>
          </cell>
          <cell r="G1330">
            <v>0.98510256410256403</v>
          </cell>
          <cell r="H1330">
            <v>4.9954089743589778</v>
          </cell>
          <cell r="I1330">
            <v>0</v>
          </cell>
          <cell r="J1330">
            <v>0</v>
          </cell>
          <cell r="K1330">
            <v>5.9805115384615419</v>
          </cell>
          <cell r="L1330">
            <v>0</v>
          </cell>
          <cell r="M1330">
            <v>0</v>
          </cell>
        </row>
        <row r="1331">
          <cell r="A1331" t="str">
            <v>A21</v>
          </cell>
          <cell r="B1331" t="str">
            <v>Excavación y perfilado de zanjas</v>
          </cell>
          <cell r="C1331" t="str">
            <v>m3</v>
          </cell>
          <cell r="D1331">
            <v>880</v>
          </cell>
          <cell r="E1331">
            <v>0.97411955557504171</v>
          </cell>
          <cell r="F1331">
            <v>1.2887346226726417</v>
          </cell>
          <cell r="G1331">
            <v>4.4896263901299003</v>
          </cell>
          <cell r="H1331">
            <v>6.5119556758310146</v>
          </cell>
          <cell r="I1331">
            <v>0</v>
          </cell>
          <cell r="J1331">
            <v>3.45</v>
          </cell>
          <cell r="K1331">
            <v>14.451582065960915</v>
          </cell>
          <cell r="L1331">
            <v>14.07756869945009</v>
          </cell>
          <cell r="M1331">
            <v>12388.26045551608</v>
          </cell>
        </row>
        <row r="1332">
          <cell r="A1332" t="str">
            <v>2.20</v>
          </cell>
          <cell r="B1332" t="str">
            <v>PROCESS PLANT SITE</v>
          </cell>
        </row>
        <row r="1333">
          <cell r="A1333" t="str">
            <v>2.20.a</v>
          </cell>
          <cell r="B1333" t="str">
            <v>Clear and Grub</v>
          </cell>
          <cell r="C1333" t="str">
            <v>Ls</v>
          </cell>
        </row>
        <row r="1334">
          <cell r="A1334" t="str">
            <v>2.20.b</v>
          </cell>
          <cell r="B1334" t="str">
            <v>Cut unsuitable soil to waste (includes organic soil)</v>
          </cell>
          <cell r="C1334" t="str">
            <v>m3</v>
          </cell>
          <cell r="D1334">
            <v>24000</v>
          </cell>
          <cell r="F1334">
            <v>1407.0769230769229</v>
          </cell>
          <cell r="G1334">
            <v>0.30408835164835213</v>
          </cell>
          <cell r="H1334">
            <v>2.1812612673992664</v>
          </cell>
          <cell r="I1334">
            <v>0</v>
          </cell>
          <cell r="J1334">
            <v>0</v>
          </cell>
          <cell r="L1334">
            <v>2.4900000000000002</v>
          </cell>
          <cell r="M1334">
            <v>59760</v>
          </cell>
        </row>
        <row r="1335">
          <cell r="A1335" t="str">
            <v>A01</v>
          </cell>
          <cell r="B1335" t="str">
            <v>Excavación de Topsoil y Unsuitable (e&gt;1m)</v>
          </cell>
          <cell r="C1335" t="str">
            <v>m3</v>
          </cell>
          <cell r="D1335">
            <v>14400</v>
          </cell>
          <cell r="E1335">
            <v>1</v>
          </cell>
          <cell r="F1335">
            <v>1.7142857142857144E-2</v>
          </cell>
          <cell r="G1335">
            <v>8.5542857142857004E-2</v>
          </cell>
          <cell r="H1335">
            <v>0.81924857142857199</v>
          </cell>
          <cell r="I1335">
            <v>0</v>
          </cell>
          <cell r="J1335">
            <v>0</v>
          </cell>
          <cell r="K1335">
            <v>0.90479142857142902</v>
          </cell>
          <cell r="L1335">
            <v>0.90479142857142902</v>
          </cell>
          <cell r="M1335">
            <v>13028.996571428577</v>
          </cell>
        </row>
        <row r="1336">
          <cell r="A1336" t="str">
            <v>A02</v>
          </cell>
          <cell r="B1336" t="str">
            <v>Excavación de Topsoil y Unsuitable (e&lt;1m)</v>
          </cell>
          <cell r="C1336" t="str">
            <v>m3</v>
          </cell>
          <cell r="D1336">
            <v>9600</v>
          </cell>
          <cell r="E1336">
            <v>1</v>
          </cell>
          <cell r="F1336">
            <v>1.4285714285714285E-2</v>
          </cell>
          <cell r="G1336">
            <v>6.9214285714286006E-2</v>
          </cell>
          <cell r="H1336">
            <v>0.57488928571428499</v>
          </cell>
          <cell r="I1336">
            <v>0</v>
          </cell>
          <cell r="J1336">
            <v>0</v>
          </cell>
          <cell r="K1336">
            <v>0.644103571428571</v>
          </cell>
          <cell r="L1336">
            <v>0.644103571428571</v>
          </cell>
          <cell r="M1336">
            <v>6183.394285714282</v>
          </cell>
        </row>
        <row r="1337">
          <cell r="A1337" t="str">
            <v>A03</v>
          </cell>
          <cell r="B1337" t="str">
            <v>Carguío de Topsoil &amp; Unsuitable con excavadora</v>
          </cell>
          <cell r="C1337" t="str">
            <v>m3</v>
          </cell>
          <cell r="D1337">
            <v>24000</v>
          </cell>
          <cell r="E1337">
            <v>1</v>
          </cell>
          <cell r="F1337">
            <v>1.3461538461538462E-2</v>
          </cell>
          <cell r="G1337">
            <v>7.1076923076922996E-2</v>
          </cell>
          <cell r="H1337">
            <v>0.70142307692307704</v>
          </cell>
          <cell r="I1337">
            <v>0</v>
          </cell>
          <cell r="J1337">
            <v>0</v>
          </cell>
          <cell r="K1337">
            <v>0.77250000000000008</v>
          </cell>
          <cell r="L1337">
            <v>0.77250000000000008</v>
          </cell>
          <cell r="M1337">
            <v>18540</v>
          </cell>
        </row>
        <row r="1338">
          <cell r="A1338" t="str">
            <v>A04</v>
          </cell>
          <cell r="B1338" t="str">
            <v>Acarreo d&lt;1km (sin esponj)</v>
          </cell>
          <cell r="C1338" t="str">
            <v>m3</v>
          </cell>
          <cell r="D1338">
            <v>24000</v>
          </cell>
          <cell r="E1338">
            <v>1.5</v>
          </cell>
          <cell r="F1338">
            <v>1.9444444444444441E-2</v>
          </cell>
          <cell r="G1338">
            <v>0.102666666666667</v>
          </cell>
          <cell r="H1338">
            <v>0.50555555555555498</v>
          </cell>
          <cell r="I1338">
            <v>0</v>
          </cell>
          <cell r="J1338">
            <v>0</v>
          </cell>
          <cell r="K1338">
            <v>0.608222222222222</v>
          </cell>
          <cell r="L1338">
            <v>0.912333333333333</v>
          </cell>
          <cell r="M1338">
            <v>21895.999999999993</v>
          </cell>
        </row>
        <row r="1339">
          <cell r="A1339" t="str">
            <v>A05</v>
          </cell>
          <cell r="B1339" t="str">
            <v>Sobreacarreo (d&gt;1km) (sin esponj)</v>
          </cell>
          <cell r="C1339" t="str">
            <v>m3-km</v>
          </cell>
          <cell r="F1339">
            <v>8.9285714285714263E-3</v>
          </cell>
          <cell r="G1339">
            <v>4.7142857142857E-2</v>
          </cell>
          <cell r="H1339">
            <v>0.23308571428571401</v>
          </cell>
          <cell r="I1339">
            <v>0</v>
          </cell>
          <cell r="J1339">
            <v>0</v>
          </cell>
          <cell r="K1339">
            <v>0.28022857142857105</v>
          </cell>
          <cell r="L1339">
            <v>0</v>
          </cell>
          <cell r="M1339">
            <v>0</v>
          </cell>
        </row>
        <row r="1340">
          <cell r="A1340" t="str">
            <v>2.20.c</v>
          </cell>
          <cell r="B1340" t="str">
            <v>Cut and Fill Soil or Ripable Rock, within sub-Item work zone</v>
          </cell>
          <cell r="C1340" t="str">
            <v>m3</v>
          </cell>
          <cell r="D1340">
            <v>32000</v>
          </cell>
          <cell r="F1340">
            <v>3114.6666666666661</v>
          </cell>
          <cell r="G1340">
            <v>0.49280799999999997</v>
          </cell>
          <cell r="H1340">
            <v>3.9493746466666706</v>
          </cell>
          <cell r="I1340">
            <v>0</v>
          </cell>
          <cell r="J1340">
            <v>0</v>
          </cell>
          <cell r="L1340">
            <v>4.4400000000000004</v>
          </cell>
          <cell r="M1340">
            <v>142080</v>
          </cell>
        </row>
        <row r="1341">
          <cell r="A1341" t="str">
            <v>A06</v>
          </cell>
          <cell r="B1341" t="str">
            <v>Excavación de roca ripeable</v>
          </cell>
          <cell r="C1341" t="str">
            <v>m3</v>
          </cell>
          <cell r="D1341">
            <v>32000</v>
          </cell>
          <cell r="E1341">
            <v>1.1950000000000001</v>
          </cell>
          <cell r="F1341">
            <v>3.3333333333333333E-2</v>
          </cell>
          <cell r="G1341">
            <v>0.16439999999999999</v>
          </cell>
          <cell r="H1341">
            <v>1.5519306666666701</v>
          </cell>
          <cell r="I1341">
            <v>0</v>
          </cell>
          <cell r="J1341">
            <v>0</v>
          </cell>
          <cell r="K1341">
            <v>1.7163306666666702</v>
          </cell>
          <cell r="L1341">
            <v>2.0510151466666708</v>
          </cell>
          <cell r="M1341">
            <v>65632.484693333463</v>
          </cell>
        </row>
        <row r="1342">
          <cell r="A1342" t="str">
            <v>A07</v>
          </cell>
          <cell r="B1342" t="str">
            <v>Empuje de material d&lt;60m</v>
          </cell>
          <cell r="C1342" t="str">
            <v>m3</v>
          </cell>
          <cell r="D1342">
            <v>32000</v>
          </cell>
          <cell r="E1342">
            <v>1.2</v>
          </cell>
          <cell r="F1342">
            <v>1.2500000000000001E-2</v>
          </cell>
          <cell r="G1342">
            <v>6.0562499999999998E-2</v>
          </cell>
          <cell r="H1342">
            <v>0.50302812500000005</v>
          </cell>
          <cell r="I1342">
            <v>0</v>
          </cell>
          <cell r="J1342">
            <v>0</v>
          </cell>
          <cell r="K1342">
            <v>0.56359062500000001</v>
          </cell>
          <cell r="L1342">
            <v>0.67630875000000001</v>
          </cell>
          <cell r="M1342">
            <v>21641.88</v>
          </cell>
        </row>
        <row r="1343">
          <cell r="A1343" t="str">
            <v>A08</v>
          </cell>
          <cell r="B1343" t="str">
            <v>Relleno masivo compactado</v>
          </cell>
          <cell r="C1343" t="str">
            <v>m3</v>
          </cell>
          <cell r="D1343">
            <v>32000</v>
          </cell>
          <cell r="E1343">
            <v>1</v>
          </cell>
          <cell r="F1343">
            <v>4.2499999999999996E-2</v>
          </cell>
          <cell r="G1343">
            <v>0.22367500000000001</v>
          </cell>
          <cell r="H1343">
            <v>1.49118375</v>
          </cell>
          <cell r="I1343">
            <v>0</v>
          </cell>
          <cell r="J1343">
            <v>0</v>
          </cell>
          <cell r="K1343">
            <v>1.7148587500000001</v>
          </cell>
          <cell r="L1343">
            <v>1.7148587500000001</v>
          </cell>
          <cell r="M1343">
            <v>54875.48</v>
          </cell>
        </row>
        <row r="1344">
          <cell r="A1344" t="str">
            <v>2.20.d</v>
          </cell>
          <cell r="B1344" t="str">
            <v>Imported Fill Soil or Ripable Rock from Other sub-Item work zones or from General (Granular) Fill  Source No. 3</v>
          </cell>
          <cell r="C1344" t="str">
            <v>m3</v>
          </cell>
          <cell r="D1344">
            <v>32000</v>
          </cell>
          <cell r="F1344">
            <v>4518.057142857142</v>
          </cell>
          <cell r="G1344">
            <v>0.73089242857142878</v>
          </cell>
          <cell r="H1344">
            <v>5.3156274871428595</v>
          </cell>
          <cell r="I1344">
            <v>0</v>
          </cell>
          <cell r="J1344">
            <v>0</v>
          </cell>
          <cell r="L1344">
            <v>6.05</v>
          </cell>
          <cell r="M1344">
            <v>193600</v>
          </cell>
        </row>
        <row r="1345">
          <cell r="A1345" t="str">
            <v>A06</v>
          </cell>
          <cell r="B1345" t="str">
            <v>Excavación de roca ripeable</v>
          </cell>
          <cell r="C1345" t="str">
            <v>m3</v>
          </cell>
          <cell r="D1345">
            <v>32000</v>
          </cell>
          <cell r="E1345">
            <v>1.1950000000000001</v>
          </cell>
          <cell r="F1345">
            <v>3.3333333333333333E-2</v>
          </cell>
          <cell r="G1345">
            <v>0.16439999999999999</v>
          </cell>
          <cell r="H1345">
            <v>1.5519306666666701</v>
          </cell>
          <cell r="I1345">
            <v>0</v>
          </cell>
          <cell r="J1345">
            <v>0</v>
          </cell>
          <cell r="K1345">
            <v>1.7163306666666702</v>
          </cell>
          <cell r="L1345">
            <v>2.0510151466666708</v>
          </cell>
          <cell r="M1345">
            <v>65632.484693333463</v>
          </cell>
        </row>
        <row r="1346">
          <cell r="A1346" t="str">
            <v>A08</v>
          </cell>
          <cell r="B1346" t="str">
            <v>Relleno masivo compactado</v>
          </cell>
          <cell r="C1346" t="str">
            <v>m3</v>
          </cell>
          <cell r="D1346">
            <v>32000</v>
          </cell>
          <cell r="E1346">
            <v>1</v>
          </cell>
          <cell r="F1346">
            <v>4.2499999999999996E-2</v>
          </cell>
          <cell r="G1346">
            <v>0.22367500000000001</v>
          </cell>
          <cell r="H1346">
            <v>1.49118375</v>
          </cell>
          <cell r="I1346">
            <v>0</v>
          </cell>
          <cell r="J1346">
            <v>0</v>
          </cell>
          <cell r="K1346">
            <v>1.7148587500000001</v>
          </cell>
          <cell r="L1346">
            <v>1.7148587500000001</v>
          </cell>
          <cell r="M1346">
            <v>54875.48</v>
          </cell>
        </row>
        <row r="1347">
          <cell r="A1347" t="str">
            <v>A09</v>
          </cell>
          <cell r="B1347" t="str">
            <v>Carguío de material común &amp; roca ripeable con cargador</v>
          </cell>
          <cell r="C1347" t="str">
            <v>m3</v>
          </cell>
          <cell r="D1347">
            <v>32000</v>
          </cell>
          <cell r="E1347">
            <v>1.2</v>
          </cell>
          <cell r="F1347">
            <v>8.0000000000000002E-3</v>
          </cell>
          <cell r="G1347">
            <v>4.224E-2</v>
          </cell>
          <cell r="H1347">
            <v>0.57259199999999999</v>
          </cell>
          <cell r="I1347">
            <v>0</v>
          </cell>
          <cell r="J1347">
            <v>0</v>
          </cell>
          <cell r="K1347">
            <v>0.61483199999999993</v>
          </cell>
          <cell r="L1347">
            <v>0.73779839999999985</v>
          </cell>
          <cell r="M1347">
            <v>23609.548799999997</v>
          </cell>
        </row>
        <row r="1348">
          <cell r="A1348" t="str">
            <v>A04</v>
          </cell>
          <cell r="B1348" t="str">
            <v>Acarreo d&lt;1km (sin esponj)</v>
          </cell>
          <cell r="C1348" t="str">
            <v>m3</v>
          </cell>
          <cell r="D1348">
            <v>32000</v>
          </cell>
          <cell r="E1348">
            <v>1.5</v>
          </cell>
          <cell r="F1348">
            <v>1.9444444444444441E-2</v>
          </cell>
          <cell r="G1348">
            <v>0.102666666666667</v>
          </cell>
          <cell r="H1348">
            <v>0.50555555555555498</v>
          </cell>
          <cell r="I1348">
            <v>0</v>
          </cell>
          <cell r="J1348">
            <v>0</v>
          </cell>
          <cell r="K1348">
            <v>0.608222222222222</v>
          </cell>
          <cell r="L1348">
            <v>0.912333333333333</v>
          </cell>
          <cell r="M1348">
            <v>29194.666666666657</v>
          </cell>
        </row>
        <row r="1349">
          <cell r="A1349" t="str">
            <v>A05</v>
          </cell>
          <cell r="B1349" t="str">
            <v>Sobreacarreo (d&gt;1km) (sin esponj)</v>
          </cell>
          <cell r="C1349" t="str">
            <v>m3-km</v>
          </cell>
          <cell r="D1349">
            <v>48000</v>
          </cell>
          <cell r="E1349">
            <v>1.5</v>
          </cell>
          <cell r="F1349">
            <v>8.9285714285714263E-3</v>
          </cell>
          <cell r="G1349">
            <v>4.7142857142857E-2</v>
          </cell>
          <cell r="H1349">
            <v>0.23308571428571401</v>
          </cell>
          <cell r="I1349">
            <v>0</v>
          </cell>
          <cell r="J1349">
            <v>0</v>
          </cell>
          <cell r="K1349">
            <v>0.28022857142857105</v>
          </cell>
          <cell r="L1349">
            <v>0.42034285714285657</v>
          </cell>
          <cell r="M1349">
            <v>20176.457142857114</v>
          </cell>
        </row>
        <row r="1350">
          <cell r="A1350" t="str">
            <v>2.20.e</v>
          </cell>
          <cell r="B1350" t="str">
            <v>Drill and blast bulk rock (without limit on thickness, broken to fine or coarse fragments as required depending on end-use. Applies to locations other than trenches and ditches).</v>
          </cell>
          <cell r="C1350" t="str">
            <v>m3</v>
          </cell>
          <cell r="D1350">
            <v>37500</v>
          </cell>
          <cell r="F1350">
            <v>2885.9903381642512</v>
          </cell>
          <cell r="G1350">
            <v>0</v>
          </cell>
          <cell r="H1350">
            <v>0</v>
          </cell>
          <cell r="I1350">
            <v>0</v>
          </cell>
          <cell r="J1350">
            <v>2.8633999999999999</v>
          </cell>
          <cell r="L1350">
            <v>2.86</v>
          </cell>
          <cell r="M1350">
            <v>107250</v>
          </cell>
        </row>
        <row r="1351">
          <cell r="A1351" t="str">
            <v>A11</v>
          </cell>
          <cell r="B1351" t="str">
            <v>Perforación y voladura masiva (material fino)</v>
          </cell>
          <cell r="C1351" t="str">
            <v>m3</v>
          </cell>
          <cell r="D1351">
            <v>37500</v>
          </cell>
          <cell r="E1351">
            <v>1.03</v>
          </cell>
          <cell r="F1351">
            <v>7.4718196457326899E-2</v>
          </cell>
          <cell r="G1351">
            <v>0</v>
          </cell>
          <cell r="H1351">
            <v>0</v>
          </cell>
          <cell r="I1351">
            <v>0</v>
          </cell>
          <cell r="J1351">
            <v>2.78</v>
          </cell>
          <cell r="K1351">
            <v>2.78</v>
          </cell>
          <cell r="L1351">
            <v>2.8633999999999999</v>
          </cell>
          <cell r="M1351">
            <v>107377.5</v>
          </cell>
        </row>
        <row r="1352">
          <cell r="A1352" t="str">
            <v>A12</v>
          </cell>
          <cell r="B1352" t="str">
            <v>Perforación y voladura masiva (material grueso)</v>
          </cell>
          <cell r="C1352" t="str">
            <v>m3</v>
          </cell>
          <cell r="D1352">
            <v>37500</v>
          </cell>
          <cell r="F1352">
            <v>7.4718196457326899E-2</v>
          </cell>
          <cell r="G1352">
            <v>0</v>
          </cell>
          <cell r="H1352">
            <v>0</v>
          </cell>
          <cell r="I1352">
            <v>0</v>
          </cell>
          <cell r="J1352">
            <v>2.72</v>
          </cell>
          <cell r="K1352">
            <v>2.72</v>
          </cell>
          <cell r="L1352">
            <v>0</v>
          </cell>
          <cell r="M1352">
            <v>0</v>
          </cell>
        </row>
        <row r="1353">
          <cell r="A1353" t="str">
            <v>2.20.f</v>
          </cell>
          <cell r="B1353" t="str">
            <v>Excavate and Fill (fine blasted) broken rock</v>
          </cell>
          <cell r="C1353" t="str">
            <v>m3</v>
          </cell>
          <cell r="D1353">
            <v>37000</v>
          </cell>
          <cell r="F1353">
            <v>3058.05</v>
          </cell>
          <cell r="G1353">
            <v>0.42202975000000004</v>
          </cell>
          <cell r="H1353">
            <v>3.2571238875000006</v>
          </cell>
          <cell r="I1353">
            <v>0</v>
          </cell>
          <cell r="J1353">
            <v>0</v>
          </cell>
          <cell r="L1353">
            <v>3.68</v>
          </cell>
          <cell r="M1353">
            <v>136160</v>
          </cell>
        </row>
        <row r="1354">
          <cell r="A1354" t="str">
            <v>A13</v>
          </cell>
          <cell r="B1354" t="str">
            <v>Remoción de Material fino volado</v>
          </cell>
          <cell r="C1354" t="str">
            <v>m3</v>
          </cell>
          <cell r="D1354">
            <v>37000</v>
          </cell>
          <cell r="E1354">
            <v>1.1000000000000001</v>
          </cell>
          <cell r="F1354">
            <v>2.4E-2</v>
          </cell>
          <cell r="G1354">
            <v>0.11976000000000001</v>
          </cell>
          <cell r="H1354">
            <v>1.1023720000000001</v>
          </cell>
          <cell r="I1354">
            <v>0</v>
          </cell>
          <cell r="J1354">
            <v>0</v>
          </cell>
          <cell r="K1354">
            <v>1.2221320000000002</v>
          </cell>
          <cell r="L1354">
            <v>1.3443452000000002</v>
          </cell>
          <cell r="M1354">
            <v>49740.772400000009</v>
          </cell>
        </row>
        <row r="1355">
          <cell r="A1355" t="str">
            <v>A07</v>
          </cell>
          <cell r="B1355" t="str">
            <v>Empuje de material d&lt;60m</v>
          </cell>
          <cell r="C1355" t="str">
            <v>m3</v>
          </cell>
          <cell r="D1355">
            <v>37000</v>
          </cell>
          <cell r="E1355">
            <v>1.1000000000000001</v>
          </cell>
          <cell r="F1355">
            <v>1.2500000000000001E-2</v>
          </cell>
          <cell r="G1355">
            <v>6.0562499999999998E-2</v>
          </cell>
          <cell r="H1355">
            <v>0.50302812500000005</v>
          </cell>
          <cell r="I1355">
            <v>0</v>
          </cell>
          <cell r="J1355">
            <v>0</v>
          </cell>
          <cell r="K1355">
            <v>0.56359062500000001</v>
          </cell>
          <cell r="L1355">
            <v>0.61994968750000001</v>
          </cell>
          <cell r="M1355">
            <v>22938.138437500002</v>
          </cell>
        </row>
        <row r="1356">
          <cell r="A1356" t="str">
            <v>A08</v>
          </cell>
          <cell r="B1356" t="str">
            <v>Relleno masivo compactado</v>
          </cell>
          <cell r="C1356" t="str">
            <v>m3</v>
          </cell>
          <cell r="D1356">
            <v>37000</v>
          </cell>
          <cell r="E1356">
            <v>1</v>
          </cell>
          <cell r="F1356">
            <v>4.2499999999999996E-2</v>
          </cell>
          <cell r="G1356">
            <v>0.22367500000000001</v>
          </cell>
          <cell r="H1356">
            <v>1.49118375</v>
          </cell>
          <cell r="I1356">
            <v>0</v>
          </cell>
          <cell r="J1356">
            <v>0</v>
          </cell>
          <cell r="K1356">
            <v>1.7148587500000001</v>
          </cell>
          <cell r="L1356">
            <v>1.7148587500000001</v>
          </cell>
          <cell r="M1356">
            <v>63449.77375</v>
          </cell>
        </row>
        <row r="1357">
          <cell r="A1357" t="str">
            <v>2.20.g</v>
          </cell>
          <cell r="B1357" t="str">
            <v xml:space="preserve">Excavate (fine or coarse blasted) broken rock to surplus stockpile </v>
          </cell>
          <cell r="C1357" t="str">
            <v>m3</v>
          </cell>
          <cell r="D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L1357">
            <v>0</v>
          </cell>
          <cell r="M1357">
            <v>0</v>
          </cell>
        </row>
        <row r="1358">
          <cell r="A1358" t="str">
            <v>A14</v>
          </cell>
          <cell r="B1358" t="str">
            <v>Remoción de Material grueso volado</v>
          </cell>
          <cell r="C1358" t="str">
            <v>m3</v>
          </cell>
          <cell r="D1358">
            <v>0</v>
          </cell>
          <cell r="F1358">
            <v>2.5000000000000001E-2</v>
          </cell>
          <cell r="G1358">
            <v>0.12475</v>
          </cell>
          <cell r="H1358">
            <v>1.11859166666667</v>
          </cell>
          <cell r="I1358">
            <v>0</v>
          </cell>
          <cell r="J1358">
            <v>0</v>
          </cell>
          <cell r="K1358">
            <v>1.2433416666666699</v>
          </cell>
          <cell r="L1358">
            <v>0</v>
          </cell>
          <cell r="M1358">
            <v>0</v>
          </cell>
        </row>
        <row r="1359">
          <cell r="A1359" t="str">
            <v>A43</v>
          </cell>
          <cell r="B1359" t="str">
            <v>Carguío de roca volada con excavadora</v>
          </cell>
          <cell r="C1359" t="str">
            <v>m3</v>
          </cell>
          <cell r="D1359">
            <v>0</v>
          </cell>
          <cell r="F1359">
            <v>8.1967213114754103E-3</v>
          </cell>
          <cell r="G1359">
            <v>4.3278688524589999E-2</v>
          </cell>
          <cell r="H1359">
            <v>0.58667213114754102</v>
          </cell>
          <cell r="I1359">
            <v>0</v>
          </cell>
          <cell r="J1359">
            <v>0</v>
          </cell>
          <cell r="K1359">
            <v>0.62995081967213107</v>
          </cell>
          <cell r="L1359">
            <v>0</v>
          </cell>
          <cell r="M1359">
            <v>0</v>
          </cell>
        </row>
        <row r="1360">
          <cell r="A1360" t="str">
            <v>A10</v>
          </cell>
          <cell r="B1360" t="str">
            <v>Extendido de roca en botadero</v>
          </cell>
          <cell r="C1360" t="str">
            <v>m3</v>
          </cell>
          <cell r="D1360">
            <v>0</v>
          </cell>
          <cell r="F1360">
            <v>3.5714285714285713E-3</v>
          </cell>
          <cell r="G1360">
            <v>1.8857142857142999E-2</v>
          </cell>
          <cell r="H1360">
            <v>0.14619285714285699</v>
          </cell>
          <cell r="I1360">
            <v>0</v>
          </cell>
          <cell r="J1360">
            <v>0</v>
          </cell>
          <cell r="K1360">
            <v>0.16504999999999997</v>
          </cell>
          <cell r="L1360">
            <v>0</v>
          </cell>
          <cell r="M1360">
            <v>0</v>
          </cell>
        </row>
        <row r="1361">
          <cell r="A1361" t="str">
            <v>A04</v>
          </cell>
          <cell r="B1361" t="str">
            <v>Acarreo d&lt;1km (sin esponj)</v>
          </cell>
          <cell r="C1361" t="str">
            <v>m3</v>
          </cell>
          <cell r="D1361">
            <v>0</v>
          </cell>
          <cell r="F1361">
            <v>1.9444444444444441E-2</v>
          </cell>
          <cell r="G1361">
            <v>0.102666666666667</v>
          </cell>
          <cell r="H1361">
            <v>0.50555555555555498</v>
          </cell>
          <cell r="I1361">
            <v>0</v>
          </cell>
          <cell r="J1361">
            <v>0</v>
          </cell>
          <cell r="K1361">
            <v>0.608222222222222</v>
          </cell>
          <cell r="L1361">
            <v>0</v>
          </cell>
          <cell r="M1361">
            <v>0</v>
          </cell>
        </row>
        <row r="1362">
          <cell r="A1362" t="str">
            <v>A05</v>
          </cell>
          <cell r="B1362" t="str">
            <v>Sobreacarreo (d&gt;1km) (sin esponj)</v>
          </cell>
          <cell r="C1362" t="str">
            <v>m3-km</v>
          </cell>
          <cell r="D1362">
            <v>0</v>
          </cell>
          <cell r="F1362">
            <v>8.9285714285714263E-3</v>
          </cell>
          <cell r="G1362">
            <v>4.7142857142857E-2</v>
          </cell>
          <cell r="H1362">
            <v>0.23308571428571401</v>
          </cell>
          <cell r="I1362">
            <v>0</v>
          </cell>
          <cell r="J1362">
            <v>0</v>
          </cell>
          <cell r="K1362">
            <v>0.28022857142857105</v>
          </cell>
          <cell r="L1362">
            <v>0</v>
          </cell>
          <cell r="M1362">
            <v>0</v>
          </cell>
        </row>
        <row r="1363">
          <cell r="A1363" t="str">
            <v>2.20.h</v>
          </cell>
          <cell r="B1363" t="str">
            <v>Supply and Install Backfill Granular A to roads/yards</v>
          </cell>
          <cell r="C1363" t="str">
            <v>m3</v>
          </cell>
          <cell r="D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</row>
        <row r="1364">
          <cell r="A1364" t="str">
            <v>A15</v>
          </cell>
          <cell r="B1364" t="str">
            <v>Suministro de material granular A</v>
          </cell>
          <cell r="C1364" t="str">
            <v>m3</v>
          </cell>
          <cell r="F1364">
            <v>0</v>
          </cell>
          <cell r="G1364">
            <v>0</v>
          </cell>
          <cell r="H1364">
            <v>0</v>
          </cell>
          <cell r="I1364">
            <v>2.85</v>
          </cell>
          <cell r="J1364">
            <v>0</v>
          </cell>
          <cell r="K1364">
            <v>2.85</v>
          </cell>
          <cell r="L1364">
            <v>0</v>
          </cell>
          <cell r="M1364">
            <v>0</v>
          </cell>
        </row>
        <row r="1365">
          <cell r="A1365" t="str">
            <v>A16</v>
          </cell>
          <cell r="B1365" t="str">
            <v>Colocación y compactación Mat Granular A</v>
          </cell>
          <cell r="C1365" t="str">
            <v>m3</v>
          </cell>
          <cell r="F1365">
            <v>0.37805555555555553</v>
          </cell>
          <cell r="G1365">
            <v>1.4478</v>
          </cell>
          <cell r="H1365">
            <v>3.0801342222222199</v>
          </cell>
          <cell r="I1365">
            <v>0</v>
          </cell>
          <cell r="J1365">
            <v>0</v>
          </cell>
          <cell r="K1365">
            <v>4.5279342222222194</v>
          </cell>
          <cell r="L1365">
            <v>0</v>
          </cell>
          <cell r="M1365">
            <v>0</v>
          </cell>
        </row>
        <row r="1366">
          <cell r="A1366" t="str">
            <v>A04</v>
          </cell>
          <cell r="B1366" t="str">
            <v>Acarreo d&lt;1km (sin esponj)</v>
          </cell>
          <cell r="C1366" t="str">
            <v>m3</v>
          </cell>
          <cell r="F1366">
            <v>1.9444444444444441E-2</v>
          </cell>
          <cell r="G1366">
            <v>0.102666666666667</v>
          </cell>
          <cell r="H1366">
            <v>0.50555555555555498</v>
          </cell>
          <cell r="I1366">
            <v>0</v>
          </cell>
          <cell r="J1366">
            <v>0</v>
          </cell>
          <cell r="K1366">
            <v>0.608222222222222</v>
          </cell>
          <cell r="L1366">
            <v>0</v>
          </cell>
          <cell r="M1366">
            <v>0</v>
          </cell>
        </row>
        <row r="1367">
          <cell r="A1367" t="str">
            <v>A05</v>
          </cell>
          <cell r="B1367" t="str">
            <v>Sobreacarreo (d&gt;1km) (sin esponj)</v>
          </cell>
          <cell r="C1367" t="str">
            <v>m3-km</v>
          </cell>
          <cell r="F1367">
            <v>8.9285714285714263E-3</v>
          </cell>
          <cell r="G1367">
            <v>4.7142857142857E-2</v>
          </cell>
          <cell r="H1367">
            <v>0.23308571428571401</v>
          </cell>
          <cell r="I1367">
            <v>0</v>
          </cell>
          <cell r="J1367">
            <v>0</v>
          </cell>
          <cell r="K1367">
            <v>0.28022857142857105</v>
          </cell>
          <cell r="L1367">
            <v>0</v>
          </cell>
          <cell r="M1367">
            <v>0</v>
          </cell>
        </row>
        <row r="1368">
          <cell r="A1368" t="str">
            <v>2.20.i</v>
          </cell>
          <cell r="B1368" t="str">
            <v>Supply and Install Backfill Granular B to roads/yards</v>
          </cell>
          <cell r="C1368" t="str">
            <v>m3</v>
          </cell>
          <cell r="D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</row>
        <row r="1369">
          <cell r="A1369" t="str">
            <v>A40</v>
          </cell>
          <cell r="B1369" t="str">
            <v>Suministro de material granular B</v>
          </cell>
          <cell r="C1369" t="str">
            <v>m3</v>
          </cell>
          <cell r="F1369">
            <v>0</v>
          </cell>
          <cell r="G1369">
            <v>0</v>
          </cell>
          <cell r="H1369">
            <v>0</v>
          </cell>
          <cell r="I1369">
            <v>2.85</v>
          </cell>
          <cell r="J1369">
            <v>0</v>
          </cell>
          <cell r="K1369">
            <v>2.85</v>
          </cell>
          <cell r="L1369">
            <v>0</v>
          </cell>
          <cell r="M1369">
            <v>0</v>
          </cell>
        </row>
        <row r="1370">
          <cell r="A1370" t="str">
            <v>A41</v>
          </cell>
          <cell r="B1370" t="str">
            <v>Colocación y compactación Mat Granular B</v>
          </cell>
          <cell r="C1370" t="str">
            <v>m3</v>
          </cell>
          <cell r="F1370">
            <v>0.10416666666666666</v>
          </cell>
          <cell r="G1370">
            <v>0.53187499999999999</v>
          </cell>
          <cell r="H1370">
            <v>2.3804166666666702</v>
          </cell>
          <cell r="I1370">
            <v>0</v>
          </cell>
          <cell r="J1370">
            <v>0</v>
          </cell>
          <cell r="K1370">
            <v>2.9122916666666701</v>
          </cell>
          <cell r="L1370">
            <v>0</v>
          </cell>
          <cell r="M1370">
            <v>0</v>
          </cell>
        </row>
        <row r="1371">
          <cell r="A1371" t="str">
            <v>A04</v>
          </cell>
          <cell r="B1371" t="str">
            <v>Acarreo d&lt;1km (sin esponj)</v>
          </cell>
          <cell r="C1371" t="str">
            <v>m3</v>
          </cell>
          <cell r="F1371">
            <v>1.9444444444444441E-2</v>
          </cell>
          <cell r="G1371">
            <v>0.102666666666667</v>
          </cell>
          <cell r="H1371">
            <v>0.50555555555555498</v>
          </cell>
          <cell r="I1371">
            <v>0</v>
          </cell>
          <cell r="J1371">
            <v>0</v>
          </cell>
          <cell r="K1371">
            <v>0.608222222222222</v>
          </cell>
          <cell r="L1371">
            <v>0</v>
          </cell>
          <cell r="M1371">
            <v>0</v>
          </cell>
        </row>
        <row r="1372">
          <cell r="A1372" t="str">
            <v>A05</v>
          </cell>
          <cell r="B1372" t="str">
            <v>Sobreacarreo (d&gt;1km) (sin esponj)</v>
          </cell>
          <cell r="C1372" t="str">
            <v>m3-km</v>
          </cell>
          <cell r="F1372">
            <v>8.9285714285714263E-3</v>
          </cell>
          <cell r="G1372">
            <v>4.7142857142857E-2</v>
          </cell>
          <cell r="H1372">
            <v>0.23308571428571401</v>
          </cell>
          <cell r="I1372">
            <v>0</v>
          </cell>
          <cell r="J1372">
            <v>0</v>
          </cell>
          <cell r="K1372">
            <v>0.28022857142857105</v>
          </cell>
          <cell r="L1372">
            <v>0</v>
          </cell>
          <cell r="M1372">
            <v>0</v>
          </cell>
        </row>
        <row r="1373">
          <cell r="A1373" t="str">
            <v>2.20.j</v>
          </cell>
          <cell r="B1373" t="str">
            <v>Supply and Install Riprap-Geotextile-Bedding to ditches and slopes, including rock/earth excavation and shaping of the site</v>
          </cell>
          <cell r="C1373" t="str">
            <v>Ls</v>
          </cell>
          <cell r="D1373">
            <v>1</v>
          </cell>
          <cell r="F1373">
            <v>322.69615322304384</v>
          </cell>
          <cell r="G1373">
            <v>1060.9599614949088</v>
          </cell>
          <cell r="H1373">
            <v>845.88781738891885</v>
          </cell>
          <cell r="I1373">
            <v>303.04203857056473</v>
          </cell>
          <cell r="J1373">
            <v>251.25089607732983</v>
          </cell>
          <cell r="L1373">
            <v>2461.14</v>
          </cell>
          <cell r="M1373">
            <v>2461.14</v>
          </cell>
        </row>
        <row r="1374">
          <cell r="A1374" t="str">
            <v>A19</v>
          </cell>
          <cell r="B1374" t="str">
            <v>Rip rap</v>
          </cell>
          <cell r="C1374" t="str">
            <v>m3</v>
          </cell>
          <cell r="D1374">
            <v>59.2</v>
          </cell>
          <cell r="E1374">
            <v>1.0554542998417551</v>
          </cell>
          <cell r="F1374">
            <v>2.7285714285714286</v>
          </cell>
          <cell r="G1374">
            <v>8.8182857142857092</v>
          </cell>
          <cell r="H1374">
            <v>4.8350057142857139</v>
          </cell>
          <cell r="I1374">
            <v>2.85</v>
          </cell>
          <cell r="J1374">
            <v>0</v>
          </cell>
          <cell r="K1374">
            <v>16.503291428571423</v>
          </cell>
          <cell r="L1374">
            <v>17.41846989982729</v>
          </cell>
          <cell r="M1374">
            <v>1031.1734180697756</v>
          </cell>
        </row>
        <row r="1375">
          <cell r="A1375" t="str">
            <v>A20</v>
          </cell>
          <cell r="B1375" t="str">
            <v>Geotextil 400g/m2 Non Woven</v>
          </cell>
          <cell r="C1375" t="str">
            <v>m2</v>
          </cell>
          <cell r="D1375">
            <v>148</v>
          </cell>
          <cell r="E1375">
            <v>1.0554542998417551</v>
          </cell>
          <cell r="F1375">
            <v>0.37356321839080464</v>
          </cell>
          <cell r="G1375">
            <v>1.1715517241379301</v>
          </cell>
          <cell r="H1375">
            <v>0.445182471264368</v>
          </cell>
          <cell r="I1375">
            <v>0.8</v>
          </cell>
          <cell r="J1375">
            <v>0</v>
          </cell>
          <cell r="K1375">
            <v>2.4167341954022983</v>
          </cell>
          <cell r="L1375">
            <v>2.5507524981119603</v>
          </cell>
          <cell r="M1375">
            <v>377.51136972057014</v>
          </cell>
        </row>
        <row r="1376">
          <cell r="A1376" t="str">
            <v>A21</v>
          </cell>
          <cell r="B1376" t="str">
            <v>Excavación y perfilado de zanjas</v>
          </cell>
          <cell r="C1376" t="str">
            <v>m3</v>
          </cell>
          <cell r="D1376">
            <v>69</v>
          </cell>
          <cell r="E1376">
            <v>1.0554542998417551</v>
          </cell>
          <cell r="F1376">
            <v>1.2887346226726417</v>
          </cell>
          <cell r="G1376">
            <v>4.4896263901299003</v>
          </cell>
          <cell r="H1376">
            <v>6.5119556758310146</v>
          </cell>
          <cell r="I1376">
            <v>0</v>
          </cell>
          <cell r="J1376">
            <v>3.45</v>
          </cell>
          <cell r="K1376">
            <v>14.451582065960915</v>
          </cell>
          <cell r="L1376">
            <v>15.252984431034442</v>
          </cell>
          <cell r="M1376">
            <v>1052.4559257413764</v>
          </cell>
        </row>
        <row r="1377">
          <cell r="A1377" t="str">
            <v>2.20.k</v>
          </cell>
          <cell r="B1377" t="str">
            <v>Supply and Install Gabions-Geotextile-Bedding-Concrete Facing, complete including rock/earth excavation shaping &amp; backfill of the site</v>
          </cell>
          <cell r="C1377" t="str">
            <v>Ls</v>
          </cell>
          <cell r="D1377">
            <v>1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L1377">
            <v>0</v>
          </cell>
          <cell r="M1377">
            <v>0</v>
          </cell>
        </row>
        <row r="1378">
          <cell r="A1378" t="str">
            <v>A22</v>
          </cell>
          <cell r="B1378" t="str">
            <v>Supply and Install Granular A Surfacing to roads/yards</v>
          </cell>
          <cell r="C1378" t="str">
            <v>m3</v>
          </cell>
          <cell r="F1378">
            <v>0.47959325396825392</v>
          </cell>
          <cell r="G1378">
            <v>1.9839190476190467</v>
          </cell>
          <cell r="H1378">
            <v>5.7282700952380896</v>
          </cell>
          <cell r="I1378">
            <v>3.5625</v>
          </cell>
          <cell r="J1378">
            <v>0</v>
          </cell>
          <cell r="K1378">
            <v>11.274689142857136</v>
          </cell>
          <cell r="L1378">
            <v>0</v>
          </cell>
          <cell r="M1378">
            <v>0</v>
          </cell>
        </row>
        <row r="1379">
          <cell r="A1379" t="str">
            <v>A23</v>
          </cell>
          <cell r="B1379" t="str">
            <v>Concrete Lining</v>
          </cell>
          <cell r="C1379" t="str">
            <v>m3</v>
          </cell>
          <cell r="F1379">
            <v>14.282608695652174</v>
          </cell>
          <cell r="G1379">
            <v>49.431086956521703</v>
          </cell>
          <cell r="H1379">
            <v>4.9527137681159399</v>
          </cell>
          <cell r="I1379">
            <v>60</v>
          </cell>
          <cell r="J1379">
            <v>0</v>
          </cell>
          <cell r="K1379">
            <v>114.38380072463765</v>
          </cell>
          <cell r="L1379">
            <v>0</v>
          </cell>
          <cell r="M1379">
            <v>0</v>
          </cell>
        </row>
        <row r="1380">
          <cell r="A1380" t="str">
            <v>A24</v>
          </cell>
          <cell r="B1380" t="str">
            <v>Gavión</v>
          </cell>
          <cell r="C1380" t="str">
            <v>m3</v>
          </cell>
          <cell r="F1380">
            <v>1.7583333333333333</v>
          </cell>
          <cell r="G1380">
            <v>6.2273333333333296</v>
          </cell>
          <cell r="H1380">
            <v>7.133083333333337</v>
          </cell>
          <cell r="I1380">
            <v>19.350000000000001</v>
          </cell>
          <cell r="J1380">
            <v>0</v>
          </cell>
          <cell r="K1380">
            <v>32.710416666666674</v>
          </cell>
          <cell r="L1380">
            <v>0</v>
          </cell>
          <cell r="M1380">
            <v>0</v>
          </cell>
        </row>
        <row r="1381">
          <cell r="A1381" t="str">
            <v>A21</v>
          </cell>
          <cell r="B1381" t="str">
            <v>Excavación y perfilado de zanjas</v>
          </cell>
          <cell r="C1381" t="str">
            <v>m3</v>
          </cell>
          <cell r="F1381">
            <v>1.2887346226726417</v>
          </cell>
          <cell r="G1381">
            <v>4.4896263901299003</v>
          </cell>
          <cell r="H1381">
            <v>6.5119556758310146</v>
          </cell>
          <cell r="I1381">
            <v>0</v>
          </cell>
          <cell r="J1381">
            <v>3.45</v>
          </cell>
          <cell r="K1381">
            <v>14.451582065960915</v>
          </cell>
          <cell r="L1381">
            <v>0</v>
          </cell>
          <cell r="M1381">
            <v>0</v>
          </cell>
        </row>
        <row r="1382">
          <cell r="A1382" t="str">
            <v>2.20.l</v>
          </cell>
          <cell r="B1382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382" t="str">
            <v>Ls</v>
          </cell>
          <cell r="D1382">
            <v>1</v>
          </cell>
          <cell r="F1382">
            <v>6282.4942764741099</v>
          </cell>
          <cell r="G1382">
            <v>22002.36450436958</v>
          </cell>
          <cell r="H1382">
            <v>39580.552120504304</v>
          </cell>
          <cell r="I1382">
            <v>4433.6161662417344</v>
          </cell>
          <cell r="J1382">
            <v>17441.926762873252</v>
          </cell>
          <cell r="L1382">
            <v>83458.460000000006</v>
          </cell>
          <cell r="M1382">
            <v>83458.460000000006</v>
          </cell>
        </row>
        <row r="1383">
          <cell r="A1383" t="str">
            <v>A25</v>
          </cell>
          <cell r="B1383" t="str">
            <v>Suministro y colocación de Grating</v>
          </cell>
          <cell r="C1383" t="str">
            <v>m2</v>
          </cell>
          <cell r="F1383">
            <v>1.75</v>
          </cell>
          <cell r="G1383">
            <v>6.1725000000000003</v>
          </cell>
          <cell r="H1383">
            <v>0.144125</v>
          </cell>
          <cell r="I1383">
            <v>225</v>
          </cell>
          <cell r="J1383">
            <v>0</v>
          </cell>
          <cell r="K1383">
            <v>231.31662500000002</v>
          </cell>
          <cell r="L1383">
            <v>0</v>
          </cell>
          <cell r="M1383">
            <v>0</v>
          </cell>
        </row>
        <row r="1384">
          <cell r="A1384" t="str">
            <v>A26</v>
          </cell>
          <cell r="B1384" t="str">
            <v>Suministro y colocación de Tapa metálica</v>
          </cell>
          <cell r="C1384" t="str">
            <v>m2</v>
          </cell>
          <cell r="F1384">
            <v>1.75</v>
          </cell>
          <cell r="G1384">
            <v>6.1725000000000003</v>
          </cell>
          <cell r="H1384">
            <v>0.144125</v>
          </cell>
          <cell r="I1384">
            <v>300</v>
          </cell>
          <cell r="J1384">
            <v>0</v>
          </cell>
          <cell r="K1384">
            <v>306.31662499999999</v>
          </cell>
          <cell r="L1384">
            <v>0</v>
          </cell>
          <cell r="M1384">
            <v>0</v>
          </cell>
        </row>
        <row r="1385">
          <cell r="A1385" t="str">
            <v>A27</v>
          </cell>
          <cell r="B1385" t="str">
            <v>Relleno estructural</v>
          </cell>
          <cell r="C1385" t="str">
            <v>m3</v>
          </cell>
          <cell r="D1385">
            <v>650</v>
          </cell>
          <cell r="E1385">
            <v>1.0434738794139036</v>
          </cell>
          <cell r="F1385">
            <v>1.2875000000000001</v>
          </cell>
          <cell r="G1385">
            <v>4.2321666666666697</v>
          </cell>
          <cell r="H1385">
            <v>6.8350416666666636</v>
          </cell>
          <cell r="I1385">
            <v>0</v>
          </cell>
          <cell r="J1385">
            <v>0</v>
          </cell>
          <cell r="K1385">
            <v>11.067208333333333</v>
          </cell>
          <cell r="L1385">
            <v>11.548342813865215</v>
          </cell>
          <cell r="M1385">
            <v>7506.4228290123901</v>
          </cell>
        </row>
        <row r="1386">
          <cell r="A1386" t="str">
            <v>A28</v>
          </cell>
          <cell r="B1386" t="str">
            <v>Bermas de Seguridad</v>
          </cell>
          <cell r="C1386" t="str">
            <v>m3</v>
          </cell>
          <cell r="F1386">
            <v>0.1</v>
          </cell>
          <cell r="G1386">
            <v>0.499</v>
          </cell>
          <cell r="H1386">
            <v>3.5649500000000001</v>
          </cell>
          <cell r="I1386">
            <v>2.85</v>
          </cell>
          <cell r="J1386">
            <v>0</v>
          </cell>
          <cell r="K1386">
            <v>6.9139499999999998</v>
          </cell>
          <cell r="L1386">
            <v>0</v>
          </cell>
          <cell r="M1386">
            <v>0</v>
          </cell>
        </row>
        <row r="1387">
          <cell r="A1387" t="str">
            <v>A29</v>
          </cell>
          <cell r="B1387" t="str">
            <v>Relleno localizado tipo A</v>
          </cell>
          <cell r="C1387" t="str">
            <v>m3</v>
          </cell>
          <cell r="D1387">
            <v>1092</v>
          </cell>
          <cell r="E1387">
            <v>1.0434738794139036</v>
          </cell>
          <cell r="F1387">
            <v>1.3416666666666666</v>
          </cell>
          <cell r="G1387">
            <v>4.5181666666666702</v>
          </cell>
          <cell r="H1387">
            <v>8.3767083333333332</v>
          </cell>
          <cell r="I1387">
            <v>3.1349999999999998</v>
          </cell>
          <cell r="J1387">
            <v>0</v>
          </cell>
          <cell r="K1387">
            <v>16.029875000000004</v>
          </cell>
          <cell r="L1387">
            <v>16.726755852769951</v>
          </cell>
          <cell r="M1387">
            <v>18265.617391224787</v>
          </cell>
        </row>
        <row r="1388">
          <cell r="A1388" t="str">
            <v>A30</v>
          </cell>
          <cell r="B1388" t="str">
            <v>Concreto reforzado</v>
          </cell>
          <cell r="C1388" t="str">
            <v>m3</v>
          </cell>
          <cell r="D1388">
            <v>4.5</v>
          </cell>
          <cell r="E1388">
            <v>1.0434738794139036</v>
          </cell>
          <cell r="F1388">
            <v>16.2</v>
          </cell>
          <cell r="G1388">
            <v>56.207999999999998</v>
          </cell>
          <cell r="H1388">
            <v>3.9517333333333298</v>
          </cell>
          <cell r="I1388">
            <v>116.16</v>
          </cell>
          <cell r="J1388">
            <v>0</v>
          </cell>
          <cell r="K1388">
            <v>176.31973333333332</v>
          </cell>
          <cell r="L1388">
            <v>183.98503615855827</v>
          </cell>
          <cell r="M1388">
            <v>827.93266271351217</v>
          </cell>
        </row>
        <row r="1389">
          <cell r="A1389" t="str">
            <v>A31</v>
          </cell>
          <cell r="B1389" t="str">
            <v>Alcantarillas 800mm</v>
          </cell>
          <cell r="C1389" t="str">
            <v>ml</v>
          </cell>
          <cell r="F1389">
            <v>8</v>
          </cell>
          <cell r="G1389">
            <v>25.88</v>
          </cell>
          <cell r="H1389">
            <v>1.294</v>
          </cell>
          <cell r="I1389">
            <v>60</v>
          </cell>
          <cell r="J1389">
            <v>0</v>
          </cell>
          <cell r="K1389">
            <v>87.173999999999992</v>
          </cell>
          <cell r="L1389">
            <v>0</v>
          </cell>
          <cell r="M1389">
            <v>0</v>
          </cell>
        </row>
        <row r="1390">
          <cell r="A1390" t="str">
            <v>A32</v>
          </cell>
          <cell r="B1390" t="str">
            <v>Alcantarillas 600mm</v>
          </cell>
          <cell r="C1390" t="str">
            <v>ml</v>
          </cell>
          <cell r="F1390">
            <v>6.666666666666667</v>
          </cell>
          <cell r="G1390">
            <v>21.566666666666698</v>
          </cell>
          <cell r="H1390">
            <v>1.07833333333333</v>
          </cell>
          <cell r="I1390">
            <v>50</v>
          </cell>
          <cell r="J1390">
            <v>0</v>
          </cell>
          <cell r="K1390">
            <v>72.645000000000024</v>
          </cell>
          <cell r="L1390">
            <v>0</v>
          </cell>
          <cell r="M1390">
            <v>0</v>
          </cell>
        </row>
        <row r="1391">
          <cell r="A1391" t="str">
            <v>A33</v>
          </cell>
          <cell r="B1391" t="str">
            <v>Alcantarillas 1350mm</v>
          </cell>
          <cell r="C1391" t="str">
            <v>ml</v>
          </cell>
          <cell r="F1391">
            <v>12.5</v>
          </cell>
          <cell r="G1391">
            <v>39.924999999999997</v>
          </cell>
          <cell r="H1391">
            <v>1.9962500000000001</v>
          </cell>
          <cell r="I1391">
            <v>160</v>
          </cell>
          <cell r="J1391">
            <v>0</v>
          </cell>
          <cell r="K1391">
            <v>201.92125000000001</v>
          </cell>
          <cell r="L1391">
            <v>0</v>
          </cell>
          <cell r="M1391">
            <v>0</v>
          </cell>
        </row>
        <row r="1392">
          <cell r="A1392" t="str">
            <v>A34</v>
          </cell>
          <cell r="B1392" t="str">
            <v>Alcantarillas 1000mm</v>
          </cell>
          <cell r="C1392" t="str">
            <v>ml</v>
          </cell>
          <cell r="F1392">
            <v>8.8888888888888893</v>
          </cell>
          <cell r="G1392">
            <v>28.755555555555599</v>
          </cell>
          <cell r="H1392">
            <v>1.43777777777778</v>
          </cell>
          <cell r="I1392">
            <v>78</v>
          </cell>
          <cell r="J1392">
            <v>0</v>
          </cell>
          <cell r="K1392">
            <v>108.19333333333338</v>
          </cell>
          <cell r="L1392">
            <v>0</v>
          </cell>
          <cell r="M1392">
            <v>0</v>
          </cell>
        </row>
        <row r="1393">
          <cell r="A1393" t="str">
            <v>A35</v>
          </cell>
          <cell r="B1393" t="str">
            <v>Alcantarillas 1600mm</v>
          </cell>
          <cell r="C1393" t="str">
            <v>ml</v>
          </cell>
          <cell r="F1393">
            <v>12.5</v>
          </cell>
          <cell r="G1393">
            <v>39.924999999999997</v>
          </cell>
          <cell r="H1393">
            <v>1.9962500000000001</v>
          </cell>
          <cell r="I1393">
            <v>215</v>
          </cell>
          <cell r="J1393">
            <v>0</v>
          </cell>
          <cell r="K1393">
            <v>256.92124999999999</v>
          </cell>
          <cell r="L1393">
            <v>0</v>
          </cell>
          <cell r="M1393">
            <v>0</v>
          </cell>
        </row>
        <row r="1394">
          <cell r="A1394" t="str">
            <v>A36</v>
          </cell>
          <cell r="B1394" t="str">
            <v>Tubería para buzón CMP 2000mm Diam</v>
          </cell>
          <cell r="C1394" t="str">
            <v>ml</v>
          </cell>
          <cell r="F1394">
            <v>20</v>
          </cell>
          <cell r="G1394">
            <v>63.3333333333333</v>
          </cell>
          <cell r="H1394">
            <v>3.1666666666666701</v>
          </cell>
          <cell r="I1394">
            <v>335</v>
          </cell>
          <cell r="J1394">
            <v>0</v>
          </cell>
          <cell r="K1394">
            <v>401.5</v>
          </cell>
          <cell r="L1394">
            <v>0</v>
          </cell>
          <cell r="M1394">
            <v>0</v>
          </cell>
        </row>
        <row r="1395">
          <cell r="A1395" t="str">
            <v>A19</v>
          </cell>
          <cell r="B1395" t="str">
            <v>Rip rap</v>
          </cell>
          <cell r="C1395" t="str">
            <v>m3</v>
          </cell>
          <cell r="D1395">
            <v>100</v>
          </cell>
          <cell r="E1395">
            <v>1.0434738794139036</v>
          </cell>
          <cell r="F1395">
            <v>2.7285714285714286</v>
          </cell>
          <cell r="G1395">
            <v>8.8182857142857092</v>
          </cell>
          <cell r="H1395">
            <v>4.8350057142857139</v>
          </cell>
          <cell r="I1395">
            <v>2.85</v>
          </cell>
          <cell r="J1395">
            <v>0</v>
          </cell>
          <cell r="K1395">
            <v>16.503291428571423</v>
          </cell>
          <cell r="L1395">
            <v>17.220753530069643</v>
          </cell>
          <cell r="M1395">
            <v>1722.0753530069644</v>
          </cell>
        </row>
        <row r="1396">
          <cell r="A1396" t="str">
            <v>A20</v>
          </cell>
          <cell r="B1396" t="str">
            <v>Geotextil 400g/m2 Non Woven</v>
          </cell>
          <cell r="C1396" t="str">
            <v>m2</v>
          </cell>
          <cell r="D1396">
            <v>22.2</v>
          </cell>
          <cell r="E1396">
            <v>1.0434738794139036</v>
          </cell>
          <cell r="F1396">
            <v>0.37356321839080464</v>
          </cell>
          <cell r="G1396">
            <v>1.1715517241379301</v>
          </cell>
          <cell r="H1396">
            <v>0.445182471264368</v>
          </cell>
          <cell r="I1396">
            <v>0.8</v>
          </cell>
          <cell r="J1396">
            <v>0</v>
          </cell>
          <cell r="K1396">
            <v>2.4167341954022983</v>
          </cell>
          <cell r="L1396">
            <v>2.521799006388675</v>
          </cell>
          <cell r="M1396">
            <v>55.983937941828586</v>
          </cell>
        </row>
        <row r="1397">
          <cell r="A1397" t="str">
            <v>A38</v>
          </cell>
          <cell r="B1397" t="str">
            <v>Excavación y eliminación de material para cunetas en roca</v>
          </cell>
          <cell r="C1397" t="str">
            <v>m3</v>
          </cell>
          <cell r="D1397">
            <v>750</v>
          </cell>
          <cell r="E1397">
            <v>1.0434738794139036</v>
          </cell>
          <cell r="F1397">
            <v>0.28461538461538466</v>
          </cell>
          <cell r="G1397">
            <v>1.41576923076923</v>
          </cell>
          <cell r="H1397">
            <v>7.0169423076923119</v>
          </cell>
          <cell r="I1397">
            <v>0</v>
          </cell>
          <cell r="J1397">
            <v>11.5</v>
          </cell>
          <cell r="K1397">
            <v>19.932711538461543</v>
          </cell>
          <cell r="L1397">
            <v>20.799263836276744</v>
          </cell>
          <cell r="M1397">
            <v>15599.447877207558</v>
          </cell>
        </row>
        <row r="1398">
          <cell r="A1398" t="str">
            <v>A39</v>
          </cell>
          <cell r="B1398" t="str">
            <v>Excavación y eliminación de material para cunetas en suelo común</v>
          </cell>
          <cell r="C1398" t="str">
            <v>m3</v>
          </cell>
          <cell r="D1398">
            <v>660</v>
          </cell>
          <cell r="E1398">
            <v>1.0434738794139036</v>
          </cell>
          <cell r="F1398">
            <v>0.1957264957264957</v>
          </cell>
          <cell r="G1398">
            <v>0.98510256410256403</v>
          </cell>
          <cell r="H1398">
            <v>4.9954089743589778</v>
          </cell>
          <cell r="I1398">
            <v>0</v>
          </cell>
          <cell r="J1398">
            <v>0</v>
          </cell>
          <cell r="K1398">
            <v>5.9805115384615419</v>
          </cell>
          <cell r="L1398">
            <v>6.2405075759180777</v>
          </cell>
          <cell r="M1398">
            <v>4118.7350001059312</v>
          </cell>
        </row>
        <row r="1399">
          <cell r="A1399" t="str">
            <v>A21</v>
          </cell>
          <cell r="B1399" t="str">
            <v>Excavación y perfilado de zanjas</v>
          </cell>
          <cell r="C1399" t="str">
            <v>m3</v>
          </cell>
          <cell r="D1399">
            <v>2345</v>
          </cell>
          <cell r="E1399">
            <v>1.0434738794139036</v>
          </cell>
          <cell r="F1399">
            <v>1.2887346226726417</v>
          </cell>
          <cell r="G1399">
            <v>4.4896263901299003</v>
          </cell>
          <cell r="H1399">
            <v>6.5119556758310146</v>
          </cell>
          <cell r="I1399">
            <v>0</v>
          </cell>
          <cell r="J1399">
            <v>3.45</v>
          </cell>
          <cell r="K1399">
            <v>14.451582065960915</v>
          </cell>
          <cell r="L1399">
            <v>15.079848402036632</v>
          </cell>
          <cell r="M1399">
            <v>35362.244502775902</v>
          </cell>
        </row>
        <row r="1400">
          <cell r="A1400" t="str">
            <v>2.21</v>
          </cell>
          <cell r="B1400" t="str">
            <v>ARD PLANT SITE</v>
          </cell>
        </row>
        <row r="1401">
          <cell r="A1401" t="str">
            <v>2.21.a</v>
          </cell>
          <cell r="B1401" t="str">
            <v>Clear and Grub</v>
          </cell>
          <cell r="C1401" t="str">
            <v>Ls</v>
          </cell>
        </row>
        <row r="1402">
          <cell r="A1402" t="str">
            <v>2.21.b</v>
          </cell>
          <cell r="B1402" t="str">
            <v>Cut unsuitable soil to waste (includes organic soil)</v>
          </cell>
          <cell r="C1402" t="str">
            <v>m3</v>
          </cell>
          <cell r="D1402">
            <v>2500</v>
          </cell>
          <cell r="F1402">
            <v>173.53468692765568</v>
          </cell>
          <cell r="G1402">
            <v>0.36029097307692359</v>
          </cell>
          <cell r="H1402">
            <v>2.3609645305421227</v>
          </cell>
          <cell r="I1402">
            <v>0</v>
          </cell>
          <cell r="J1402">
            <v>0</v>
          </cell>
          <cell r="L1402">
            <v>2.72</v>
          </cell>
          <cell r="M1402">
            <v>6800</v>
          </cell>
        </row>
        <row r="1403">
          <cell r="A1403" t="str">
            <v>A01</v>
          </cell>
          <cell r="B1403" t="str">
            <v>Excavación de Topsoil y Unsuitable (e&gt;1m)</v>
          </cell>
          <cell r="C1403" t="str">
            <v>m3</v>
          </cell>
          <cell r="F1403">
            <v>1.7142857142857144E-2</v>
          </cell>
          <cell r="G1403">
            <v>8.5542857142857004E-2</v>
          </cell>
          <cell r="H1403">
            <v>0.81924857142857199</v>
          </cell>
          <cell r="I1403">
            <v>0</v>
          </cell>
          <cell r="J1403">
            <v>0</v>
          </cell>
          <cell r="K1403">
            <v>0.90479142857142902</v>
          </cell>
          <cell r="L1403">
            <v>0</v>
          </cell>
          <cell r="M1403">
            <v>0</v>
          </cell>
        </row>
        <row r="1404">
          <cell r="A1404" t="str">
            <v>A02</v>
          </cell>
          <cell r="B1404" t="str">
            <v>Excavación de Topsoil y Unsuitable (e&lt;1m)</v>
          </cell>
          <cell r="C1404" t="str">
            <v>m3</v>
          </cell>
          <cell r="D1404">
            <v>2500</v>
          </cell>
          <cell r="E1404">
            <v>1</v>
          </cell>
          <cell r="F1404">
            <v>1.4285714285714285E-2</v>
          </cell>
          <cell r="G1404">
            <v>6.9214285714286006E-2</v>
          </cell>
          <cell r="H1404">
            <v>0.57488928571428499</v>
          </cell>
          <cell r="I1404">
            <v>0</v>
          </cell>
          <cell r="J1404">
            <v>0</v>
          </cell>
          <cell r="K1404">
            <v>0.644103571428571</v>
          </cell>
          <cell r="L1404">
            <v>0.644103571428571</v>
          </cell>
          <cell r="M1404">
            <v>1610.2589285714275</v>
          </cell>
        </row>
        <row r="1405">
          <cell r="A1405" t="str">
            <v>A03</v>
          </cell>
          <cell r="B1405" t="str">
            <v>Carguío de Topsoil &amp; Unsuitable con excavadora</v>
          </cell>
          <cell r="C1405" t="str">
            <v>m3</v>
          </cell>
          <cell r="D1405">
            <v>2500</v>
          </cell>
          <cell r="E1405">
            <v>1</v>
          </cell>
          <cell r="F1405">
            <v>1.3461538461538462E-2</v>
          </cell>
          <cell r="G1405">
            <v>7.1076923076922996E-2</v>
          </cell>
          <cell r="H1405">
            <v>0.70142307692307704</v>
          </cell>
          <cell r="I1405">
            <v>0</v>
          </cell>
          <cell r="J1405">
            <v>0</v>
          </cell>
          <cell r="K1405">
            <v>0.77250000000000008</v>
          </cell>
          <cell r="L1405">
            <v>0.77250000000000008</v>
          </cell>
          <cell r="M1405">
            <v>1931.2500000000002</v>
          </cell>
        </row>
        <row r="1406">
          <cell r="A1406" t="str">
            <v>A04</v>
          </cell>
          <cell r="B1406" t="str">
            <v>Acarreo d&lt;1km (sin esponj)</v>
          </cell>
          <cell r="C1406" t="str">
            <v>m3</v>
          </cell>
          <cell r="D1406">
            <v>2500</v>
          </cell>
          <cell r="E1406">
            <v>1.5</v>
          </cell>
          <cell r="F1406">
            <v>1.9444444444444441E-2</v>
          </cell>
          <cell r="G1406">
            <v>0.102666666666667</v>
          </cell>
          <cell r="H1406">
            <v>0.50555555555555498</v>
          </cell>
          <cell r="I1406">
            <v>0</v>
          </cell>
          <cell r="J1406">
            <v>0</v>
          </cell>
          <cell r="K1406">
            <v>0.608222222222222</v>
          </cell>
          <cell r="L1406">
            <v>0.912333333333333</v>
          </cell>
          <cell r="M1406">
            <v>2280.8333333333326</v>
          </cell>
        </row>
        <row r="1407">
          <cell r="A1407" t="str">
            <v>A05</v>
          </cell>
          <cell r="B1407" t="str">
            <v>Sobreacarreo (d&gt;1km) (sin esponj)</v>
          </cell>
          <cell r="C1407" t="str">
            <v>m3-km</v>
          </cell>
          <cell r="D1407">
            <v>2333.3249999999998</v>
          </cell>
          <cell r="E1407">
            <v>1.5</v>
          </cell>
          <cell r="F1407">
            <v>8.9285714285714263E-3</v>
          </cell>
          <cell r="G1407">
            <v>4.7142857142857E-2</v>
          </cell>
          <cell r="H1407">
            <v>0.23308571428571401</v>
          </cell>
          <cell r="I1407">
            <v>0</v>
          </cell>
          <cell r="J1407">
            <v>0</v>
          </cell>
          <cell r="K1407">
            <v>0.28022857142857105</v>
          </cell>
          <cell r="L1407">
            <v>0.42034285714285657</v>
          </cell>
          <cell r="M1407">
            <v>980.79649714285574</v>
          </cell>
        </row>
        <row r="1408">
          <cell r="A1408" t="str">
            <v>2.21.c</v>
          </cell>
          <cell r="B1408" t="str">
            <v>Cut and Fill Soil or Ripable Rock, within sub-Item work zone</v>
          </cell>
          <cell r="C1408" t="str">
            <v>m3</v>
          </cell>
          <cell r="D1408">
            <v>4000</v>
          </cell>
          <cell r="F1408">
            <v>371.66666666666663</v>
          </cell>
          <cell r="G1408">
            <v>0.47113375000000002</v>
          </cell>
          <cell r="H1408">
            <v>3.7516384208333373</v>
          </cell>
          <cell r="I1408">
            <v>0</v>
          </cell>
          <cell r="J1408">
            <v>0</v>
          </cell>
          <cell r="L1408">
            <v>4.22</v>
          </cell>
          <cell r="M1408">
            <v>16880</v>
          </cell>
        </row>
        <row r="1409">
          <cell r="A1409" t="str">
            <v>A06</v>
          </cell>
          <cell r="B1409" t="str">
            <v>Excavación de roca ripeable</v>
          </cell>
          <cell r="C1409" t="str">
            <v>m3</v>
          </cell>
          <cell r="D1409">
            <v>4000</v>
          </cell>
          <cell r="E1409">
            <v>1.1000000000000001</v>
          </cell>
          <cell r="F1409">
            <v>3.3333333333333333E-2</v>
          </cell>
          <cell r="G1409">
            <v>0.16439999999999999</v>
          </cell>
          <cell r="H1409">
            <v>1.5519306666666701</v>
          </cell>
          <cell r="I1409">
            <v>0</v>
          </cell>
          <cell r="J1409">
            <v>0</v>
          </cell>
          <cell r="K1409">
            <v>1.7163306666666702</v>
          </cell>
          <cell r="L1409">
            <v>1.8879637333333374</v>
          </cell>
          <cell r="M1409">
            <v>7551.8549333333494</v>
          </cell>
        </row>
        <row r="1410">
          <cell r="A1410" t="str">
            <v>A07</v>
          </cell>
          <cell r="B1410" t="str">
            <v>Empuje de material d&lt;60m</v>
          </cell>
          <cell r="C1410" t="str">
            <v>m3</v>
          </cell>
          <cell r="D1410">
            <v>4000</v>
          </cell>
          <cell r="E1410">
            <v>1.1000000000000001</v>
          </cell>
          <cell r="F1410">
            <v>1.2500000000000001E-2</v>
          </cell>
          <cell r="G1410">
            <v>6.0562499999999998E-2</v>
          </cell>
          <cell r="H1410">
            <v>0.50302812500000005</v>
          </cell>
          <cell r="I1410">
            <v>0</v>
          </cell>
          <cell r="J1410">
            <v>0</v>
          </cell>
          <cell r="K1410">
            <v>0.56359062500000001</v>
          </cell>
          <cell r="L1410">
            <v>0.61994968750000001</v>
          </cell>
          <cell r="M1410">
            <v>2479.7987499999999</v>
          </cell>
        </row>
        <row r="1411">
          <cell r="A1411" t="str">
            <v>A08</v>
          </cell>
          <cell r="B1411" t="str">
            <v>Relleno masivo compactado</v>
          </cell>
          <cell r="C1411" t="str">
            <v>m3</v>
          </cell>
          <cell r="D1411">
            <v>4000</v>
          </cell>
          <cell r="E1411">
            <v>1</v>
          </cell>
          <cell r="F1411">
            <v>4.2499999999999996E-2</v>
          </cell>
          <cell r="G1411">
            <v>0.22367500000000001</v>
          </cell>
          <cell r="H1411">
            <v>1.49118375</v>
          </cell>
          <cell r="I1411">
            <v>0</v>
          </cell>
          <cell r="J1411">
            <v>0</v>
          </cell>
          <cell r="K1411">
            <v>1.7148587500000001</v>
          </cell>
          <cell r="L1411">
            <v>1.7148587500000001</v>
          </cell>
          <cell r="M1411">
            <v>6859.4350000000004</v>
          </cell>
        </row>
        <row r="1412">
          <cell r="A1412" t="str">
            <v>2.21.d</v>
          </cell>
          <cell r="B1412" t="str">
            <v>Fill Imported Soil or Ripable Rock from Other sub-Item work zones or from General (Granular) Fill Sources No.1 &amp; No. 2</v>
          </cell>
          <cell r="C1412" t="str">
            <v>m3</v>
          </cell>
          <cell r="D1412">
            <v>9000</v>
          </cell>
          <cell r="F1412">
            <v>1234.542857142857</v>
          </cell>
          <cell r="G1412">
            <v>0.70967814285714315</v>
          </cell>
          <cell r="H1412">
            <v>5.2107389157142894</v>
          </cell>
          <cell r="I1412">
            <v>0</v>
          </cell>
          <cell r="J1412">
            <v>0</v>
          </cell>
          <cell r="L1412">
            <v>5.92</v>
          </cell>
          <cell r="M1412">
            <v>53280</v>
          </cell>
        </row>
        <row r="1413">
          <cell r="A1413" t="str">
            <v>A06</v>
          </cell>
          <cell r="B1413" t="str">
            <v>Excavación de roca ripeable</v>
          </cell>
          <cell r="C1413" t="str">
            <v>m3</v>
          </cell>
          <cell r="D1413">
            <v>9000</v>
          </cell>
          <cell r="E1413">
            <v>1.1950000000000001</v>
          </cell>
          <cell r="F1413">
            <v>3.3333333333333333E-2</v>
          </cell>
          <cell r="G1413">
            <v>0.16439999999999999</v>
          </cell>
          <cell r="H1413">
            <v>1.5519306666666701</v>
          </cell>
          <cell r="I1413">
            <v>0</v>
          </cell>
          <cell r="J1413">
            <v>0</v>
          </cell>
          <cell r="K1413">
            <v>1.7163306666666702</v>
          </cell>
          <cell r="L1413">
            <v>2.0510151466666708</v>
          </cell>
          <cell r="M1413">
            <v>18459.136320000038</v>
          </cell>
        </row>
        <row r="1414">
          <cell r="A1414" t="str">
            <v>A08</v>
          </cell>
          <cell r="B1414" t="str">
            <v>Relleno masivo compactado</v>
          </cell>
          <cell r="C1414" t="str">
            <v>m3</v>
          </cell>
          <cell r="D1414">
            <v>9000</v>
          </cell>
          <cell r="E1414">
            <v>1</v>
          </cell>
          <cell r="F1414">
            <v>4.2499999999999996E-2</v>
          </cell>
          <cell r="G1414">
            <v>0.22367500000000001</v>
          </cell>
          <cell r="H1414">
            <v>1.49118375</v>
          </cell>
          <cell r="I1414">
            <v>0</v>
          </cell>
          <cell r="J1414">
            <v>0</v>
          </cell>
          <cell r="K1414">
            <v>1.7148587500000001</v>
          </cell>
          <cell r="L1414">
            <v>1.7148587500000001</v>
          </cell>
          <cell r="M1414">
            <v>15433.72875</v>
          </cell>
        </row>
        <row r="1415">
          <cell r="A1415" t="str">
            <v>A09</v>
          </cell>
          <cell r="B1415" t="str">
            <v>Carguío de material común &amp; roca ripeable con cargador</v>
          </cell>
          <cell r="C1415" t="str">
            <v>m3</v>
          </cell>
          <cell r="D1415">
            <v>9000</v>
          </cell>
          <cell r="E1415">
            <v>1.2</v>
          </cell>
          <cell r="F1415">
            <v>8.0000000000000002E-3</v>
          </cell>
          <cell r="G1415">
            <v>4.224E-2</v>
          </cell>
          <cell r="H1415">
            <v>0.57259199999999999</v>
          </cell>
          <cell r="I1415">
            <v>0</v>
          </cell>
          <cell r="J1415">
            <v>0</v>
          </cell>
          <cell r="K1415">
            <v>0.61483199999999993</v>
          </cell>
          <cell r="L1415">
            <v>0.73779839999999985</v>
          </cell>
          <cell r="M1415">
            <v>6640.1855999999989</v>
          </cell>
        </row>
        <row r="1416">
          <cell r="A1416" t="str">
            <v>A04</v>
          </cell>
          <cell r="B1416" t="str">
            <v>Acarreo d&lt;1km (sin esponj)</v>
          </cell>
          <cell r="C1416" t="str">
            <v>m3</v>
          </cell>
          <cell r="D1416">
            <v>9000</v>
          </cell>
          <cell r="E1416">
            <v>1.5</v>
          </cell>
          <cell r="F1416">
            <v>1.9444444444444441E-2</v>
          </cell>
          <cell r="G1416">
            <v>0.102666666666667</v>
          </cell>
          <cell r="H1416">
            <v>0.50555555555555498</v>
          </cell>
          <cell r="I1416">
            <v>0</v>
          </cell>
          <cell r="J1416">
            <v>0</v>
          </cell>
          <cell r="K1416">
            <v>0.608222222222222</v>
          </cell>
          <cell r="L1416">
            <v>0.912333333333333</v>
          </cell>
          <cell r="M1416">
            <v>8210.9999999999964</v>
          </cell>
        </row>
        <row r="1417">
          <cell r="A1417" t="str">
            <v>A05</v>
          </cell>
          <cell r="B1417" t="str">
            <v>Sobreacarreo (d&gt;1km) (sin esponj)</v>
          </cell>
          <cell r="C1417" t="str">
            <v>m3-km</v>
          </cell>
          <cell r="D1417">
            <v>10800</v>
          </cell>
          <cell r="E1417">
            <v>1.5</v>
          </cell>
          <cell r="F1417">
            <v>8.9285714285714263E-3</v>
          </cell>
          <cell r="G1417">
            <v>4.7142857142857E-2</v>
          </cell>
          <cell r="H1417">
            <v>0.23308571428571401</v>
          </cell>
          <cell r="I1417">
            <v>0</v>
          </cell>
          <cell r="J1417">
            <v>0</v>
          </cell>
          <cell r="K1417">
            <v>0.28022857142857105</v>
          </cell>
          <cell r="L1417">
            <v>0.42034285714285657</v>
          </cell>
          <cell r="M1417">
            <v>4539.7028571428509</v>
          </cell>
        </row>
        <row r="1418">
          <cell r="A1418" t="str">
            <v>2.21.e</v>
          </cell>
          <cell r="B1418" t="str">
            <v>Drill and blast bulk rock (without limit on thickness, broken to fine or coarse fragments as required depending on end-use. Applies to locations other than trenches and ditches).</v>
          </cell>
          <cell r="C1418" t="str">
            <v>m3</v>
          </cell>
          <cell r="D1418">
            <v>5000</v>
          </cell>
          <cell r="F1418">
            <v>396.00644122383261</v>
          </cell>
          <cell r="G1418">
            <v>0</v>
          </cell>
          <cell r="H1418">
            <v>0</v>
          </cell>
          <cell r="I1418">
            <v>0</v>
          </cell>
          <cell r="J1418">
            <v>2.9468000000000001</v>
          </cell>
          <cell r="L1418">
            <v>2.95</v>
          </cell>
          <cell r="M1418">
            <v>14750</v>
          </cell>
        </row>
        <row r="1419">
          <cell r="A1419" t="str">
            <v>A11</v>
          </cell>
          <cell r="B1419" t="str">
            <v>Perforación y voladura masiva (material fino)</v>
          </cell>
          <cell r="C1419" t="str">
            <v>m3</v>
          </cell>
          <cell r="D1419">
            <v>5000</v>
          </cell>
          <cell r="E1419">
            <v>1.06</v>
          </cell>
          <cell r="F1419">
            <v>7.4718196457326899E-2</v>
          </cell>
          <cell r="G1419">
            <v>0</v>
          </cell>
          <cell r="H1419">
            <v>0</v>
          </cell>
          <cell r="I1419">
            <v>0</v>
          </cell>
          <cell r="J1419">
            <v>2.78</v>
          </cell>
          <cell r="K1419">
            <v>2.78</v>
          </cell>
          <cell r="L1419">
            <v>2.9468000000000001</v>
          </cell>
          <cell r="M1419">
            <v>14734</v>
          </cell>
        </row>
        <row r="1420">
          <cell r="A1420" t="str">
            <v>A12</v>
          </cell>
          <cell r="B1420" t="str">
            <v>Perforación y voladura masiva (material grueso)</v>
          </cell>
          <cell r="C1420" t="str">
            <v>m3</v>
          </cell>
          <cell r="D1420">
            <v>5000</v>
          </cell>
          <cell r="F1420">
            <v>7.4718196457326899E-2</v>
          </cell>
          <cell r="G1420">
            <v>0</v>
          </cell>
          <cell r="H1420">
            <v>0</v>
          </cell>
          <cell r="I1420">
            <v>0</v>
          </cell>
          <cell r="J1420">
            <v>2.72</v>
          </cell>
          <cell r="K1420">
            <v>2.72</v>
          </cell>
          <cell r="L1420">
            <v>0</v>
          </cell>
          <cell r="M1420">
            <v>0</v>
          </cell>
        </row>
        <row r="1421">
          <cell r="A1421" t="str">
            <v>2.21.f</v>
          </cell>
          <cell r="B1421" t="str">
            <v xml:space="preserve">Excavate and Fill (fine blasted) broken rock </v>
          </cell>
          <cell r="C1421" t="str">
            <v>m3</v>
          </cell>
          <cell r="D1421">
            <v>6500</v>
          </cell>
          <cell r="F1421">
            <v>537.22500000000002</v>
          </cell>
          <cell r="G1421">
            <v>0.42202974999999998</v>
          </cell>
          <cell r="H1421">
            <v>3.2571238875000001</v>
          </cell>
          <cell r="I1421">
            <v>0</v>
          </cell>
          <cell r="J1421">
            <v>0</v>
          </cell>
          <cell r="L1421">
            <v>3.68</v>
          </cell>
          <cell r="M1421">
            <v>23920</v>
          </cell>
        </row>
        <row r="1422">
          <cell r="A1422" t="str">
            <v>A13</v>
          </cell>
          <cell r="B1422" t="str">
            <v>Remoción de Material fino volado</v>
          </cell>
          <cell r="C1422" t="str">
            <v>m3</v>
          </cell>
          <cell r="D1422">
            <v>6500</v>
          </cell>
          <cell r="E1422">
            <v>1.1000000000000001</v>
          </cell>
          <cell r="F1422">
            <v>2.4E-2</v>
          </cell>
          <cell r="G1422">
            <v>0.11976000000000001</v>
          </cell>
          <cell r="H1422">
            <v>1.1023720000000001</v>
          </cell>
          <cell r="I1422">
            <v>0</v>
          </cell>
          <cell r="J1422">
            <v>0</v>
          </cell>
          <cell r="K1422">
            <v>1.2221320000000002</v>
          </cell>
          <cell r="L1422">
            <v>1.3443452000000002</v>
          </cell>
          <cell r="M1422">
            <v>8738.243800000002</v>
          </cell>
        </row>
        <row r="1423">
          <cell r="A1423" t="str">
            <v>A07</v>
          </cell>
          <cell r="B1423" t="str">
            <v>Empuje de material d&lt;60m</v>
          </cell>
          <cell r="C1423" t="str">
            <v>m3</v>
          </cell>
          <cell r="D1423">
            <v>6500</v>
          </cell>
          <cell r="E1423">
            <v>1.1000000000000001</v>
          </cell>
          <cell r="F1423">
            <v>1.2500000000000001E-2</v>
          </cell>
          <cell r="G1423">
            <v>6.0562499999999998E-2</v>
          </cell>
          <cell r="H1423">
            <v>0.50302812500000005</v>
          </cell>
          <cell r="I1423">
            <v>0</v>
          </cell>
          <cell r="J1423">
            <v>0</v>
          </cell>
          <cell r="K1423">
            <v>0.56359062500000001</v>
          </cell>
          <cell r="L1423">
            <v>0.61994968750000001</v>
          </cell>
          <cell r="M1423">
            <v>4029.6729687500001</v>
          </cell>
        </row>
        <row r="1424">
          <cell r="A1424" t="str">
            <v>A08</v>
          </cell>
          <cell r="B1424" t="str">
            <v>Relleno masivo compactado</v>
          </cell>
          <cell r="C1424" t="str">
            <v>m3</v>
          </cell>
          <cell r="D1424">
            <v>6500</v>
          </cell>
          <cell r="E1424">
            <v>1</v>
          </cell>
          <cell r="F1424">
            <v>4.2499999999999996E-2</v>
          </cell>
          <cell r="G1424">
            <v>0.22367500000000001</v>
          </cell>
          <cell r="H1424">
            <v>1.49118375</v>
          </cell>
          <cell r="I1424">
            <v>0</v>
          </cell>
          <cell r="J1424">
            <v>0</v>
          </cell>
          <cell r="K1424">
            <v>1.7148587500000001</v>
          </cell>
          <cell r="L1424">
            <v>1.7148587500000001</v>
          </cell>
          <cell r="M1424">
            <v>11146.581875</v>
          </cell>
        </row>
        <row r="1425">
          <cell r="A1425" t="str">
            <v>2.21.g</v>
          </cell>
          <cell r="B1425" t="str">
            <v xml:space="preserve">Excavate (fine or coarse blasted) broken rock to surplus stockpile </v>
          </cell>
          <cell r="C1425" t="str">
            <v>m3</v>
          </cell>
          <cell r="D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L1425">
            <v>0</v>
          </cell>
          <cell r="M1425">
            <v>0</v>
          </cell>
        </row>
        <row r="1426">
          <cell r="A1426" t="str">
            <v>A14</v>
          </cell>
          <cell r="B1426" t="str">
            <v>Remoción de Material grueso volado</v>
          </cell>
          <cell r="C1426" t="str">
            <v>m3</v>
          </cell>
          <cell r="F1426">
            <v>2.5000000000000001E-2</v>
          </cell>
          <cell r="G1426">
            <v>0.12475</v>
          </cell>
          <cell r="H1426">
            <v>1.11859166666667</v>
          </cell>
          <cell r="I1426">
            <v>0</v>
          </cell>
          <cell r="J1426">
            <v>0</v>
          </cell>
          <cell r="K1426">
            <v>1.2433416666666699</v>
          </cell>
          <cell r="L1426">
            <v>0</v>
          </cell>
          <cell r="M1426">
            <v>0</v>
          </cell>
        </row>
        <row r="1427">
          <cell r="A1427" t="str">
            <v>A09</v>
          </cell>
          <cell r="B1427" t="str">
            <v>Carguío de material común &amp; roca ripeable con cargador</v>
          </cell>
          <cell r="C1427" t="str">
            <v>m3</v>
          </cell>
          <cell r="F1427">
            <v>8.0000000000000002E-3</v>
          </cell>
          <cell r="G1427">
            <v>4.224E-2</v>
          </cell>
          <cell r="H1427">
            <v>0.57259199999999999</v>
          </cell>
          <cell r="I1427">
            <v>0</v>
          </cell>
          <cell r="J1427">
            <v>0</v>
          </cell>
          <cell r="K1427">
            <v>0.61483199999999993</v>
          </cell>
          <cell r="L1427">
            <v>0</v>
          </cell>
          <cell r="M1427">
            <v>0</v>
          </cell>
        </row>
        <row r="1428">
          <cell r="A1428" t="str">
            <v>A10</v>
          </cell>
          <cell r="B1428" t="str">
            <v>Extendido de roca en botadero</v>
          </cell>
          <cell r="C1428" t="str">
            <v>m3</v>
          </cell>
          <cell r="F1428">
            <v>3.5714285714285713E-3</v>
          </cell>
          <cell r="G1428">
            <v>1.8857142857142999E-2</v>
          </cell>
          <cell r="H1428">
            <v>0.14619285714285699</v>
          </cell>
          <cell r="I1428">
            <v>0</v>
          </cell>
          <cell r="J1428">
            <v>0</v>
          </cell>
          <cell r="K1428">
            <v>0.16504999999999997</v>
          </cell>
          <cell r="L1428">
            <v>0</v>
          </cell>
          <cell r="M1428">
            <v>0</v>
          </cell>
        </row>
        <row r="1429">
          <cell r="A1429" t="str">
            <v>A04</v>
          </cell>
          <cell r="B1429" t="str">
            <v>Acarreo d&lt;1km (sin esponj)</v>
          </cell>
          <cell r="C1429" t="str">
            <v>m3</v>
          </cell>
          <cell r="F1429">
            <v>1.9444444444444441E-2</v>
          </cell>
          <cell r="G1429">
            <v>0.102666666666667</v>
          </cell>
          <cell r="H1429">
            <v>0.50555555555555498</v>
          </cell>
          <cell r="I1429">
            <v>0</v>
          </cell>
          <cell r="J1429">
            <v>0</v>
          </cell>
          <cell r="K1429">
            <v>0.608222222222222</v>
          </cell>
          <cell r="L1429">
            <v>0</v>
          </cell>
          <cell r="M1429">
            <v>0</v>
          </cell>
        </row>
        <row r="1430">
          <cell r="A1430" t="str">
            <v>A05</v>
          </cell>
          <cell r="B1430" t="str">
            <v>Sobreacarreo (d&gt;1km) (sin esponj)</v>
          </cell>
          <cell r="C1430" t="str">
            <v>m3-km</v>
          </cell>
          <cell r="F1430">
            <v>8.9285714285714263E-3</v>
          </cell>
          <cell r="G1430">
            <v>4.7142857142857E-2</v>
          </cell>
          <cell r="H1430">
            <v>0.23308571428571401</v>
          </cell>
          <cell r="I1430">
            <v>0</v>
          </cell>
          <cell r="J1430">
            <v>0</v>
          </cell>
          <cell r="K1430">
            <v>0.28022857142857105</v>
          </cell>
          <cell r="L1430">
            <v>0</v>
          </cell>
          <cell r="M1430">
            <v>0</v>
          </cell>
        </row>
        <row r="1431">
          <cell r="A1431" t="str">
            <v>2.21.h</v>
          </cell>
          <cell r="B1431" t="str">
            <v>Supply and Install Backfill Granular A to roads/yards</v>
          </cell>
          <cell r="C1431" t="str">
            <v>m3</v>
          </cell>
          <cell r="D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</row>
        <row r="1432">
          <cell r="A1432" t="str">
            <v>A15</v>
          </cell>
          <cell r="B1432" t="str">
            <v>Suministro de material granular A</v>
          </cell>
          <cell r="C1432" t="str">
            <v>m3</v>
          </cell>
          <cell r="F1432">
            <v>0</v>
          </cell>
          <cell r="G1432">
            <v>0</v>
          </cell>
          <cell r="H1432">
            <v>0</v>
          </cell>
          <cell r="I1432">
            <v>2.85</v>
          </cell>
          <cell r="J1432">
            <v>0</v>
          </cell>
          <cell r="K1432">
            <v>2.85</v>
          </cell>
          <cell r="L1432">
            <v>0</v>
          </cell>
          <cell r="M1432">
            <v>0</v>
          </cell>
        </row>
        <row r="1433">
          <cell r="A1433" t="str">
            <v>A16</v>
          </cell>
          <cell r="B1433" t="str">
            <v>Colocación y compactación Mat Granular A</v>
          </cell>
          <cell r="C1433" t="str">
            <v>m3</v>
          </cell>
          <cell r="F1433">
            <v>0.37805555555555553</v>
          </cell>
          <cell r="G1433">
            <v>1.4478</v>
          </cell>
          <cell r="H1433">
            <v>3.0801342222222199</v>
          </cell>
          <cell r="I1433">
            <v>0</v>
          </cell>
          <cell r="J1433">
            <v>0</v>
          </cell>
          <cell r="K1433">
            <v>4.5279342222222194</v>
          </cell>
          <cell r="L1433">
            <v>0</v>
          </cell>
          <cell r="M1433">
            <v>0</v>
          </cell>
        </row>
        <row r="1434">
          <cell r="A1434" t="str">
            <v>A04</v>
          </cell>
          <cell r="B1434" t="str">
            <v>Acarreo d&lt;1km (sin esponj)</v>
          </cell>
          <cell r="C1434" t="str">
            <v>m3</v>
          </cell>
          <cell r="F1434">
            <v>1.9444444444444441E-2</v>
          </cell>
          <cell r="G1434">
            <v>0.102666666666667</v>
          </cell>
          <cell r="H1434">
            <v>0.50555555555555498</v>
          </cell>
          <cell r="I1434">
            <v>0</v>
          </cell>
          <cell r="J1434">
            <v>0</v>
          </cell>
          <cell r="K1434">
            <v>0.608222222222222</v>
          </cell>
          <cell r="L1434">
            <v>0</v>
          </cell>
          <cell r="M1434">
            <v>0</v>
          </cell>
        </row>
        <row r="1435">
          <cell r="A1435" t="str">
            <v>A05</v>
          </cell>
          <cell r="B1435" t="str">
            <v>Sobreacarreo (d&gt;1km) (sin esponj)</v>
          </cell>
          <cell r="C1435" t="str">
            <v>m3-km</v>
          </cell>
          <cell r="F1435">
            <v>8.9285714285714263E-3</v>
          </cell>
          <cell r="G1435">
            <v>4.7142857142857E-2</v>
          </cell>
          <cell r="H1435">
            <v>0.23308571428571401</v>
          </cell>
          <cell r="I1435">
            <v>0</v>
          </cell>
          <cell r="J1435">
            <v>0</v>
          </cell>
          <cell r="K1435">
            <v>0.28022857142857105</v>
          </cell>
          <cell r="L1435">
            <v>0</v>
          </cell>
          <cell r="M1435">
            <v>0</v>
          </cell>
        </row>
        <row r="1436">
          <cell r="A1436" t="str">
            <v>2.21.i</v>
          </cell>
          <cell r="B1436" t="str">
            <v>Supply and Install Backfill Granular B to roads/yards</v>
          </cell>
          <cell r="C1436" t="str">
            <v>m3</v>
          </cell>
          <cell r="D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</row>
        <row r="1437">
          <cell r="A1437" t="str">
            <v>A40</v>
          </cell>
          <cell r="B1437" t="str">
            <v>Suministro de material granular B</v>
          </cell>
          <cell r="C1437" t="str">
            <v>m3</v>
          </cell>
          <cell r="F1437">
            <v>0</v>
          </cell>
          <cell r="G1437">
            <v>0</v>
          </cell>
          <cell r="H1437">
            <v>0</v>
          </cell>
          <cell r="I1437">
            <v>2.85</v>
          </cell>
          <cell r="J1437">
            <v>0</v>
          </cell>
          <cell r="K1437">
            <v>2.85</v>
          </cell>
          <cell r="L1437">
            <v>0</v>
          </cell>
          <cell r="M1437">
            <v>0</v>
          </cell>
        </row>
        <row r="1438">
          <cell r="A1438" t="str">
            <v>A41</v>
          </cell>
          <cell r="B1438" t="str">
            <v>Colocación y compactación Mat Granular B</v>
          </cell>
          <cell r="C1438" t="str">
            <v>m3</v>
          </cell>
          <cell r="F1438">
            <v>0.10416666666666666</v>
          </cell>
          <cell r="G1438">
            <v>0.53187499999999999</v>
          </cell>
          <cell r="H1438">
            <v>2.3804166666666702</v>
          </cell>
          <cell r="I1438">
            <v>0</v>
          </cell>
          <cell r="J1438">
            <v>0</v>
          </cell>
          <cell r="K1438">
            <v>2.9122916666666701</v>
          </cell>
          <cell r="L1438">
            <v>0</v>
          </cell>
          <cell r="M1438">
            <v>0</v>
          </cell>
        </row>
        <row r="1439">
          <cell r="A1439" t="str">
            <v>A04</v>
          </cell>
          <cell r="B1439" t="str">
            <v>Acarreo d&lt;1km (sin esponj)</v>
          </cell>
          <cell r="C1439" t="str">
            <v>m3</v>
          </cell>
          <cell r="F1439">
            <v>1.9444444444444441E-2</v>
          </cell>
          <cell r="G1439">
            <v>0.102666666666667</v>
          </cell>
          <cell r="H1439">
            <v>0.50555555555555498</v>
          </cell>
          <cell r="I1439">
            <v>0</v>
          </cell>
          <cell r="J1439">
            <v>0</v>
          </cell>
          <cell r="K1439">
            <v>0.608222222222222</v>
          </cell>
          <cell r="L1439">
            <v>0</v>
          </cell>
          <cell r="M1439">
            <v>0</v>
          </cell>
        </row>
        <row r="1440">
          <cell r="A1440" t="str">
            <v>A05</v>
          </cell>
          <cell r="B1440" t="str">
            <v>Sobreacarreo (d&gt;1km) (sin esponj)</v>
          </cell>
          <cell r="C1440" t="str">
            <v>m3-km</v>
          </cell>
          <cell r="F1440">
            <v>8.9285714285714263E-3</v>
          </cell>
          <cell r="G1440">
            <v>4.7142857142857E-2</v>
          </cell>
          <cell r="H1440">
            <v>0.23308571428571401</v>
          </cell>
          <cell r="I1440">
            <v>0</v>
          </cell>
          <cell r="J1440">
            <v>0</v>
          </cell>
          <cell r="K1440">
            <v>0.28022857142857105</v>
          </cell>
          <cell r="L1440">
            <v>0</v>
          </cell>
          <cell r="M1440">
            <v>0</v>
          </cell>
        </row>
        <row r="1441">
          <cell r="A1441" t="str">
            <v>2.21.j</v>
          </cell>
          <cell r="B1441" t="str">
            <v>Supply and Install Riprap-Geotextile-Bedding to ditches and slopes, including rock/earth excavation and shaping of the site</v>
          </cell>
          <cell r="C1441" t="str">
            <v>Ls</v>
          </cell>
          <cell r="D1441">
            <v>1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L1441">
            <v>0</v>
          </cell>
          <cell r="M1441">
            <v>0</v>
          </cell>
        </row>
        <row r="1442">
          <cell r="A1442" t="str">
            <v>A19</v>
          </cell>
          <cell r="B1442" t="str">
            <v>Rip rap</v>
          </cell>
          <cell r="C1442" t="str">
            <v>m3</v>
          </cell>
          <cell r="F1442">
            <v>2.7285714285714286</v>
          </cell>
          <cell r="G1442">
            <v>8.8182857142857092</v>
          </cell>
          <cell r="H1442">
            <v>4.8350057142857139</v>
          </cell>
          <cell r="I1442">
            <v>2.85</v>
          </cell>
          <cell r="J1442">
            <v>0</v>
          </cell>
          <cell r="K1442">
            <v>16.503291428571423</v>
          </cell>
          <cell r="L1442">
            <v>0</v>
          </cell>
          <cell r="M1442">
            <v>0</v>
          </cell>
        </row>
        <row r="1443">
          <cell r="A1443" t="str">
            <v>A20</v>
          </cell>
          <cell r="B1443" t="str">
            <v>Geotextil 400g/m2 Non Woven</v>
          </cell>
          <cell r="C1443" t="str">
            <v>m2</v>
          </cell>
          <cell r="F1443">
            <v>0.37356321839080464</v>
          </cell>
          <cell r="G1443">
            <v>1.1715517241379301</v>
          </cell>
          <cell r="H1443">
            <v>0.445182471264368</v>
          </cell>
          <cell r="I1443">
            <v>0.8</v>
          </cell>
          <cell r="J1443">
            <v>0</v>
          </cell>
          <cell r="K1443">
            <v>2.4167341954022983</v>
          </cell>
          <cell r="L1443">
            <v>0</v>
          </cell>
          <cell r="M1443">
            <v>0</v>
          </cell>
        </row>
        <row r="1444">
          <cell r="A1444" t="str">
            <v>A21</v>
          </cell>
          <cell r="B1444" t="str">
            <v>Excavación y perfilado de zanjas</v>
          </cell>
          <cell r="C1444" t="str">
            <v>m3</v>
          </cell>
          <cell r="F1444">
            <v>1.2887346226726417</v>
          </cell>
          <cell r="G1444">
            <v>4.4896263901299003</v>
          </cell>
          <cell r="H1444">
            <v>6.5119556758310146</v>
          </cell>
          <cell r="I1444">
            <v>0</v>
          </cell>
          <cell r="J1444">
            <v>3.45</v>
          </cell>
          <cell r="K1444">
            <v>14.451582065960915</v>
          </cell>
          <cell r="L1444">
            <v>0</v>
          </cell>
          <cell r="M1444">
            <v>0</v>
          </cell>
        </row>
        <row r="1445">
          <cell r="A1445" t="str">
            <v>2.21.k</v>
          </cell>
          <cell r="B1445" t="str">
            <v>Supply and Install Gabions-Geotextile-Bedding-Concrete Facing, complete including rock/earth excavation shaping &amp; backfill of the site</v>
          </cell>
          <cell r="C1445" t="str">
            <v>Ls</v>
          </cell>
          <cell r="D1445">
            <v>1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L1445">
            <v>0</v>
          </cell>
          <cell r="M1445">
            <v>0</v>
          </cell>
        </row>
        <row r="1446">
          <cell r="A1446" t="str">
            <v>A22</v>
          </cell>
          <cell r="B1446" t="str">
            <v>Supply and Install Granular A Surfacing to roads/yards</v>
          </cell>
          <cell r="C1446" t="str">
            <v>m3</v>
          </cell>
          <cell r="F1446">
            <v>0.47959325396825392</v>
          </cell>
          <cell r="G1446">
            <v>1.9839190476190467</v>
          </cell>
          <cell r="H1446">
            <v>5.7282700952380896</v>
          </cell>
          <cell r="I1446">
            <v>3.5625</v>
          </cell>
          <cell r="J1446">
            <v>0</v>
          </cell>
          <cell r="K1446">
            <v>11.274689142857136</v>
          </cell>
          <cell r="L1446">
            <v>0</v>
          </cell>
          <cell r="M1446">
            <v>0</v>
          </cell>
        </row>
        <row r="1447">
          <cell r="A1447" t="str">
            <v>A23</v>
          </cell>
          <cell r="B1447" t="str">
            <v>Concrete Lining</v>
          </cell>
          <cell r="C1447" t="str">
            <v>m3</v>
          </cell>
          <cell r="F1447">
            <v>14.282608695652174</v>
          </cell>
          <cell r="G1447">
            <v>49.431086956521703</v>
          </cell>
          <cell r="H1447">
            <v>4.9527137681159399</v>
          </cell>
          <cell r="I1447">
            <v>60</v>
          </cell>
          <cell r="J1447">
            <v>0</v>
          </cell>
          <cell r="K1447">
            <v>114.38380072463765</v>
          </cell>
          <cell r="L1447">
            <v>0</v>
          </cell>
          <cell r="M1447">
            <v>0</v>
          </cell>
        </row>
        <row r="1448">
          <cell r="A1448" t="str">
            <v>A24</v>
          </cell>
          <cell r="B1448" t="str">
            <v>Gavión</v>
          </cell>
          <cell r="C1448" t="str">
            <v>m3</v>
          </cell>
          <cell r="F1448">
            <v>1.7583333333333333</v>
          </cell>
          <cell r="G1448">
            <v>6.2273333333333296</v>
          </cell>
          <cell r="H1448">
            <v>7.133083333333337</v>
          </cell>
          <cell r="I1448">
            <v>19.350000000000001</v>
          </cell>
          <cell r="J1448">
            <v>0</v>
          </cell>
          <cell r="K1448">
            <v>32.710416666666674</v>
          </cell>
          <cell r="L1448">
            <v>0</v>
          </cell>
          <cell r="M1448">
            <v>0</v>
          </cell>
        </row>
        <row r="1449">
          <cell r="A1449" t="str">
            <v>A21</v>
          </cell>
          <cell r="B1449" t="str">
            <v>Excavación y perfilado de zanjas</v>
          </cell>
          <cell r="C1449" t="str">
            <v>m3</v>
          </cell>
          <cell r="F1449">
            <v>1.2887346226726417</v>
          </cell>
          <cell r="G1449">
            <v>4.4896263901299003</v>
          </cell>
          <cell r="H1449">
            <v>6.5119556758310146</v>
          </cell>
          <cell r="I1449">
            <v>0</v>
          </cell>
          <cell r="J1449">
            <v>3.45</v>
          </cell>
          <cell r="K1449">
            <v>14.451582065960915</v>
          </cell>
          <cell r="L1449">
            <v>0</v>
          </cell>
          <cell r="M1449">
            <v>0</v>
          </cell>
        </row>
        <row r="1450">
          <cell r="A1450" t="str">
            <v>2.21.l</v>
          </cell>
          <cell r="B1450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450" t="str">
            <v>Ls</v>
          </cell>
          <cell r="D1450">
            <v>1</v>
          </cell>
          <cell r="F1450">
            <v>1660.7517281066193</v>
          </cell>
          <cell r="G1450">
            <v>5918.985371836925</v>
          </cell>
          <cell r="H1450">
            <v>7897.1646636473315</v>
          </cell>
          <cell r="I1450">
            <v>10325.860027499999</v>
          </cell>
          <cell r="J1450">
            <v>4142.1891974999999</v>
          </cell>
          <cell r="L1450">
            <v>28284.2</v>
          </cell>
          <cell r="M1450">
            <v>28284.2</v>
          </cell>
        </row>
        <row r="1451">
          <cell r="A1451" t="str">
            <v>A25</v>
          </cell>
          <cell r="B1451" t="str">
            <v>Suministro y colocación de Grating</v>
          </cell>
          <cell r="C1451" t="str">
            <v>m2</v>
          </cell>
          <cell r="F1451">
            <v>1.75</v>
          </cell>
          <cell r="G1451">
            <v>6.1725000000000003</v>
          </cell>
          <cell r="H1451">
            <v>0.144125</v>
          </cell>
          <cell r="I1451">
            <v>225</v>
          </cell>
          <cell r="J1451">
            <v>0</v>
          </cell>
          <cell r="K1451">
            <v>231.31662500000002</v>
          </cell>
          <cell r="L1451">
            <v>0</v>
          </cell>
          <cell r="M1451">
            <v>0</v>
          </cell>
        </row>
        <row r="1452">
          <cell r="A1452" t="str">
            <v>A26</v>
          </cell>
          <cell r="B1452" t="str">
            <v>Suministro y colocación de Tapa metálica</v>
          </cell>
          <cell r="C1452" t="str">
            <v>m2</v>
          </cell>
          <cell r="F1452">
            <v>1.75</v>
          </cell>
          <cell r="G1452">
            <v>6.1725000000000003</v>
          </cell>
          <cell r="H1452">
            <v>0.144125</v>
          </cell>
          <cell r="I1452">
            <v>300</v>
          </cell>
          <cell r="J1452">
            <v>0</v>
          </cell>
          <cell r="K1452">
            <v>306.31662499999999</v>
          </cell>
          <cell r="L1452">
            <v>0</v>
          </cell>
          <cell r="M1452">
            <v>0</v>
          </cell>
        </row>
        <row r="1453">
          <cell r="A1453" t="str">
            <v>A27</v>
          </cell>
          <cell r="B1453" t="str">
            <v>Relleno estructural</v>
          </cell>
          <cell r="C1453" t="str">
            <v>m3</v>
          </cell>
          <cell r="F1453">
            <v>1.2875000000000001</v>
          </cell>
          <cell r="G1453">
            <v>4.2321666666666697</v>
          </cell>
          <cell r="H1453">
            <v>6.8350416666666636</v>
          </cell>
          <cell r="I1453">
            <v>0</v>
          </cell>
          <cell r="J1453">
            <v>0</v>
          </cell>
          <cell r="K1453">
            <v>11.067208333333333</v>
          </cell>
          <cell r="L1453">
            <v>0</v>
          </cell>
          <cell r="M1453">
            <v>0</v>
          </cell>
        </row>
        <row r="1454">
          <cell r="A1454" t="str">
            <v>A28</v>
          </cell>
          <cell r="B1454" t="str">
            <v>Bermas de Seguridad</v>
          </cell>
          <cell r="C1454" t="str">
            <v>m3</v>
          </cell>
          <cell r="D1454">
            <v>275</v>
          </cell>
          <cell r="E1454">
            <v>4.8347699999999998</v>
          </cell>
          <cell r="F1454">
            <v>0.1</v>
          </cell>
          <cell r="G1454">
            <v>0.499</v>
          </cell>
          <cell r="H1454">
            <v>3.5649500000000001</v>
          </cell>
          <cell r="I1454">
            <v>2.85</v>
          </cell>
          <cell r="J1454">
            <v>0</v>
          </cell>
          <cell r="K1454">
            <v>6.9139499999999998</v>
          </cell>
          <cell r="L1454">
            <v>33.4273580415</v>
          </cell>
          <cell r="M1454">
            <v>9192.5234614125002</v>
          </cell>
        </row>
        <row r="1455">
          <cell r="A1455" t="str">
            <v>A29</v>
          </cell>
          <cell r="B1455" t="str">
            <v>Relleno localizado tipo A</v>
          </cell>
          <cell r="C1455" t="str">
            <v>m3</v>
          </cell>
          <cell r="F1455">
            <v>1.3416666666666666</v>
          </cell>
          <cell r="G1455">
            <v>4.5181666666666702</v>
          </cell>
          <cell r="H1455">
            <v>8.3767083333333332</v>
          </cell>
          <cell r="I1455">
            <v>3.1349999999999998</v>
          </cell>
          <cell r="J1455">
            <v>0</v>
          </cell>
          <cell r="K1455">
            <v>16.029875000000004</v>
          </cell>
          <cell r="L1455">
            <v>0</v>
          </cell>
          <cell r="M1455">
            <v>0</v>
          </cell>
        </row>
        <row r="1456">
          <cell r="A1456" t="str">
            <v>A46</v>
          </cell>
          <cell r="B1456" t="str">
            <v>Concreto de relleno</v>
          </cell>
          <cell r="C1456" t="str">
            <v>m3</v>
          </cell>
          <cell r="D1456">
            <v>13</v>
          </cell>
          <cell r="E1456">
            <v>4.8347699999999998</v>
          </cell>
          <cell r="F1456">
            <v>10.006226151181954</v>
          </cell>
          <cell r="G1456">
            <v>34.316450429899803</v>
          </cell>
          <cell r="H1456">
            <v>3.1123646208762503</v>
          </cell>
          <cell r="I1456">
            <v>60</v>
          </cell>
          <cell r="J1456">
            <v>0</v>
          </cell>
          <cell r="K1456">
            <v>97.428815050776052</v>
          </cell>
          <cell r="L1456">
            <v>471.04591214304054</v>
          </cell>
          <cell r="M1456">
            <v>6123.5968578595266</v>
          </cell>
        </row>
        <row r="1457">
          <cell r="A1457" t="str">
            <v>A31</v>
          </cell>
          <cell r="B1457" t="str">
            <v>Alcantarillas 800mm</v>
          </cell>
          <cell r="C1457" t="str">
            <v>ml</v>
          </cell>
          <cell r="F1457">
            <v>8</v>
          </cell>
          <cell r="G1457">
            <v>25.88</v>
          </cell>
          <cell r="H1457">
            <v>1.294</v>
          </cell>
          <cell r="I1457">
            <v>60</v>
          </cell>
          <cell r="J1457">
            <v>0</v>
          </cell>
          <cell r="K1457">
            <v>87.173999999999992</v>
          </cell>
          <cell r="L1457">
            <v>0</v>
          </cell>
          <cell r="M1457">
            <v>0</v>
          </cell>
        </row>
        <row r="1458">
          <cell r="A1458" t="str">
            <v>A32</v>
          </cell>
          <cell r="B1458" t="str">
            <v>Alcantarillas 600mm</v>
          </cell>
          <cell r="C1458" t="str">
            <v>ml</v>
          </cell>
          <cell r="F1458">
            <v>6.666666666666667</v>
          </cell>
          <cell r="G1458">
            <v>21.566666666666698</v>
          </cell>
          <cell r="H1458">
            <v>1.07833333333333</v>
          </cell>
          <cell r="I1458">
            <v>50</v>
          </cell>
          <cell r="J1458">
            <v>0</v>
          </cell>
          <cell r="K1458">
            <v>72.645000000000024</v>
          </cell>
          <cell r="L1458">
            <v>0</v>
          </cell>
          <cell r="M1458">
            <v>0</v>
          </cell>
        </row>
        <row r="1459">
          <cell r="A1459" t="str">
            <v>A33</v>
          </cell>
          <cell r="B1459" t="str">
            <v>Alcantarillas 1350mm</v>
          </cell>
          <cell r="C1459" t="str">
            <v>ml</v>
          </cell>
          <cell r="F1459">
            <v>12.5</v>
          </cell>
          <cell r="G1459">
            <v>39.924999999999997</v>
          </cell>
          <cell r="H1459">
            <v>1.9962500000000001</v>
          </cell>
          <cell r="I1459">
            <v>160</v>
          </cell>
          <cell r="J1459">
            <v>0</v>
          </cell>
          <cell r="K1459">
            <v>201.92125000000001</v>
          </cell>
          <cell r="L1459">
            <v>0</v>
          </cell>
          <cell r="M1459">
            <v>0</v>
          </cell>
        </row>
        <row r="1460">
          <cell r="A1460" t="str">
            <v>A34</v>
          </cell>
          <cell r="B1460" t="str">
            <v>Alcantarillas 1000mm</v>
          </cell>
          <cell r="C1460" t="str">
            <v>ml</v>
          </cell>
          <cell r="F1460">
            <v>8.8888888888888893</v>
          </cell>
          <cell r="G1460">
            <v>28.755555555555599</v>
          </cell>
          <cell r="H1460">
            <v>1.43777777777778</v>
          </cell>
          <cell r="I1460">
            <v>78</v>
          </cell>
          <cell r="J1460">
            <v>0</v>
          </cell>
          <cell r="K1460">
            <v>108.19333333333338</v>
          </cell>
          <cell r="L1460">
            <v>0</v>
          </cell>
          <cell r="M1460">
            <v>0</v>
          </cell>
        </row>
        <row r="1461">
          <cell r="A1461" t="str">
            <v>A35</v>
          </cell>
          <cell r="B1461" t="str">
            <v>Alcantarillas 1600mm</v>
          </cell>
          <cell r="C1461" t="str">
            <v>ml</v>
          </cell>
          <cell r="F1461">
            <v>12.5</v>
          </cell>
          <cell r="G1461">
            <v>39.924999999999997</v>
          </cell>
          <cell r="H1461">
            <v>1.9962500000000001</v>
          </cell>
          <cell r="I1461">
            <v>215</v>
          </cell>
          <cell r="J1461">
            <v>0</v>
          </cell>
          <cell r="K1461">
            <v>256.92124999999999</v>
          </cell>
          <cell r="L1461">
            <v>0</v>
          </cell>
          <cell r="M1461">
            <v>0</v>
          </cell>
        </row>
        <row r="1462">
          <cell r="A1462" t="str">
            <v>A36</v>
          </cell>
          <cell r="B1462" t="str">
            <v>Tubería para buzón CMP 2000mm Diam</v>
          </cell>
          <cell r="C1462" t="str">
            <v>ml</v>
          </cell>
          <cell r="F1462">
            <v>20</v>
          </cell>
          <cell r="G1462">
            <v>63.3333333333333</v>
          </cell>
          <cell r="H1462">
            <v>3.1666666666666701</v>
          </cell>
          <cell r="I1462">
            <v>335</v>
          </cell>
          <cell r="J1462">
            <v>0</v>
          </cell>
          <cell r="K1462">
            <v>401.5</v>
          </cell>
          <cell r="L1462">
            <v>0</v>
          </cell>
          <cell r="M1462">
            <v>0</v>
          </cell>
        </row>
        <row r="1463">
          <cell r="A1463" t="str">
            <v>A37</v>
          </cell>
          <cell r="B1463" t="str">
            <v>Alcantarillas 300mm</v>
          </cell>
          <cell r="D1463">
            <v>22</v>
          </cell>
          <cell r="E1463">
            <v>4.8347699999999998</v>
          </cell>
          <cell r="F1463">
            <v>6.666666666666667</v>
          </cell>
          <cell r="G1463">
            <v>21.566666666666698</v>
          </cell>
          <cell r="H1463">
            <v>1.07833333333333</v>
          </cell>
          <cell r="I1463">
            <v>26</v>
          </cell>
          <cell r="J1463">
            <v>0</v>
          </cell>
          <cell r="K1463">
            <v>48.645000000000032</v>
          </cell>
          <cell r="L1463">
            <v>235.18738665000015</v>
          </cell>
          <cell r="M1463">
            <v>5174.1225063000029</v>
          </cell>
        </row>
        <row r="1464">
          <cell r="A1464" t="str">
            <v>A20</v>
          </cell>
          <cell r="B1464" t="str">
            <v>Geotextil 400g/m2 Non Woven</v>
          </cell>
          <cell r="C1464" t="str">
            <v>m2</v>
          </cell>
          <cell r="F1464">
            <v>0.37356321839080464</v>
          </cell>
          <cell r="G1464">
            <v>1.1715517241379301</v>
          </cell>
          <cell r="H1464">
            <v>0.445182471264368</v>
          </cell>
          <cell r="I1464">
            <v>0.8</v>
          </cell>
          <cell r="J1464">
            <v>0</v>
          </cell>
          <cell r="K1464">
            <v>2.4167341954022983</v>
          </cell>
          <cell r="L1464">
            <v>0</v>
          </cell>
          <cell r="M1464">
            <v>0</v>
          </cell>
        </row>
        <row r="1465">
          <cell r="A1465" t="str">
            <v>A38</v>
          </cell>
          <cell r="B1465" t="str">
            <v>Excavación y eliminación de material para cunetas en roca</v>
          </cell>
          <cell r="C1465" t="str">
            <v>m3</v>
          </cell>
          <cell r="D1465">
            <v>70</v>
          </cell>
          <cell r="E1465">
            <v>4.8347699999999998</v>
          </cell>
          <cell r="F1465">
            <v>0.28461538461538466</v>
          </cell>
          <cell r="G1465">
            <v>1.41576923076923</v>
          </cell>
          <cell r="H1465">
            <v>7.0169423076923119</v>
          </cell>
          <cell r="I1465">
            <v>0</v>
          </cell>
          <cell r="J1465">
            <v>11.5</v>
          </cell>
          <cell r="K1465">
            <v>19.932711538461543</v>
          </cell>
          <cell r="L1465">
            <v>96.370075764807709</v>
          </cell>
          <cell r="M1465">
            <v>6745.9053035365396</v>
          </cell>
        </row>
        <row r="1466">
          <cell r="A1466" t="str">
            <v>A39</v>
          </cell>
          <cell r="B1466" t="str">
            <v>Excavación y eliminación de material para cunetas en suelo común</v>
          </cell>
          <cell r="C1466" t="str">
            <v>m3</v>
          </cell>
          <cell r="F1466">
            <v>0.1957264957264957</v>
          </cell>
          <cell r="G1466">
            <v>0.98510256410256403</v>
          </cell>
          <cell r="H1466">
            <v>4.9954089743589778</v>
          </cell>
          <cell r="I1466">
            <v>0</v>
          </cell>
          <cell r="J1466">
            <v>0</v>
          </cell>
          <cell r="K1466">
            <v>5.9805115384615419</v>
          </cell>
          <cell r="L1466">
            <v>0</v>
          </cell>
          <cell r="M1466">
            <v>0</v>
          </cell>
        </row>
        <row r="1467">
          <cell r="A1467" t="str">
            <v>A21</v>
          </cell>
          <cell r="B1467" t="str">
            <v>Excavación y perfilado de zanjas</v>
          </cell>
          <cell r="C1467" t="str">
            <v>m3</v>
          </cell>
          <cell r="D1467">
            <v>15</v>
          </cell>
          <cell r="E1467">
            <v>4.8347699999999998</v>
          </cell>
          <cell r="F1467">
            <v>1.2887346226726417</v>
          </cell>
          <cell r="G1467">
            <v>4.4896263901299003</v>
          </cell>
          <cell r="H1467">
            <v>6.5119556758310146</v>
          </cell>
          <cell r="I1467">
            <v>0</v>
          </cell>
          <cell r="J1467">
            <v>3.45</v>
          </cell>
          <cell r="K1467">
            <v>14.451582065960915</v>
          </cell>
          <cell r="L1467">
            <v>69.870075425045854</v>
          </cell>
          <cell r="M1467">
            <v>1048.0511313756879</v>
          </cell>
        </row>
        <row r="1469">
          <cell r="A1469" t="str">
            <v>2.22</v>
          </cell>
          <cell r="B1469" t="str">
            <v>MAIN GATE HOUSE SITE</v>
          </cell>
        </row>
        <row r="1470">
          <cell r="A1470" t="str">
            <v>2.22.a</v>
          </cell>
          <cell r="B1470" t="str">
            <v>Clear and Grub</v>
          </cell>
          <cell r="C1470" t="str">
            <v>Ls</v>
          </cell>
        </row>
        <row r="1471">
          <cell r="A1471" t="str">
            <v>2.22.b</v>
          </cell>
          <cell r="B1471" t="str">
            <v>Cut unsuitable soil to waste (includes organic soil)</v>
          </cell>
          <cell r="C1471" t="str">
            <v>m3</v>
          </cell>
          <cell r="D1471">
            <v>350</v>
          </cell>
          <cell r="F1471">
            <v>23.263621794871792</v>
          </cell>
          <cell r="G1471">
            <v>0.34597692307692324</v>
          </cell>
          <cell r="H1471">
            <v>2.4538192673992669</v>
          </cell>
          <cell r="I1471">
            <v>0</v>
          </cell>
          <cell r="J1471">
            <v>0</v>
          </cell>
          <cell r="L1471">
            <v>2.8</v>
          </cell>
          <cell r="M1471">
            <v>980</v>
          </cell>
        </row>
        <row r="1472">
          <cell r="A1472" t="str">
            <v>A01</v>
          </cell>
          <cell r="B1472" t="str">
            <v>Excavación de Topsoil y Unsuitable (e&gt;1m)</v>
          </cell>
          <cell r="C1472" t="str">
            <v>m3</v>
          </cell>
          <cell r="D1472">
            <v>350</v>
          </cell>
          <cell r="E1472">
            <v>1</v>
          </cell>
          <cell r="F1472">
            <v>1.7142857142857144E-2</v>
          </cell>
          <cell r="G1472">
            <v>8.5542857142857004E-2</v>
          </cell>
          <cell r="H1472">
            <v>0.81924857142857199</v>
          </cell>
          <cell r="I1472">
            <v>0</v>
          </cell>
          <cell r="J1472">
            <v>0</v>
          </cell>
          <cell r="K1472">
            <v>0.90479142857142902</v>
          </cell>
          <cell r="L1472">
            <v>0.90479142857142902</v>
          </cell>
          <cell r="M1472">
            <v>316.67700000000013</v>
          </cell>
        </row>
        <row r="1473">
          <cell r="A1473" t="str">
            <v>A02</v>
          </cell>
          <cell r="B1473" t="str">
            <v>Excavación de Topsoil y Unsuitable (e&lt;1m)</v>
          </cell>
          <cell r="C1473" t="str">
            <v>m3</v>
          </cell>
          <cell r="F1473">
            <v>1.4285714285714285E-2</v>
          </cell>
          <cell r="G1473">
            <v>6.9214285714286006E-2</v>
          </cell>
          <cell r="H1473">
            <v>0.57488928571428499</v>
          </cell>
          <cell r="I1473">
            <v>0</v>
          </cell>
          <cell r="J1473">
            <v>0</v>
          </cell>
          <cell r="K1473">
            <v>0.644103571428571</v>
          </cell>
          <cell r="L1473">
            <v>0</v>
          </cell>
          <cell r="M1473">
            <v>0</v>
          </cell>
        </row>
        <row r="1474">
          <cell r="A1474" t="str">
            <v>A03</v>
          </cell>
          <cell r="B1474" t="str">
            <v>Carguío de Topsoil &amp; Unsuitable con excavadora</v>
          </cell>
          <cell r="C1474" t="str">
            <v>m3</v>
          </cell>
          <cell r="D1474">
            <v>350</v>
          </cell>
          <cell r="E1474">
            <v>1</v>
          </cell>
          <cell r="F1474">
            <v>1.3461538461538462E-2</v>
          </cell>
          <cell r="G1474">
            <v>7.1076923076922996E-2</v>
          </cell>
          <cell r="H1474">
            <v>0.70142307692307704</v>
          </cell>
          <cell r="I1474">
            <v>0</v>
          </cell>
          <cell r="J1474">
            <v>0</v>
          </cell>
          <cell r="K1474">
            <v>0.77250000000000008</v>
          </cell>
          <cell r="L1474">
            <v>0.77250000000000008</v>
          </cell>
          <cell r="M1474">
            <v>270.375</v>
          </cell>
        </row>
        <row r="1475">
          <cell r="A1475" t="str">
            <v>A04</v>
          </cell>
          <cell r="B1475" t="str">
            <v>Acarreo d&lt;1km (sin esponj)</v>
          </cell>
          <cell r="C1475" t="str">
            <v>m3</v>
          </cell>
          <cell r="D1475">
            <v>350</v>
          </cell>
          <cell r="E1475">
            <v>1.5</v>
          </cell>
          <cell r="F1475">
            <v>1.9444444444444441E-2</v>
          </cell>
          <cell r="G1475">
            <v>0.102666666666667</v>
          </cell>
          <cell r="H1475">
            <v>0.50555555555555498</v>
          </cell>
          <cell r="I1475">
            <v>0</v>
          </cell>
          <cell r="J1475">
            <v>0</v>
          </cell>
          <cell r="K1475">
            <v>0.608222222222222</v>
          </cell>
          <cell r="L1475">
            <v>0.912333333333333</v>
          </cell>
          <cell r="M1475">
            <v>319.31666666666655</v>
          </cell>
        </row>
        <row r="1476">
          <cell r="A1476" t="str">
            <v>A05</v>
          </cell>
          <cell r="B1476" t="str">
            <v>Sobreacarreo (d&gt;1km) (sin esponj)</v>
          </cell>
          <cell r="C1476" t="str">
            <v>m3-km</v>
          </cell>
          <cell r="D1476">
            <v>175</v>
          </cell>
          <cell r="E1476">
            <v>1.5</v>
          </cell>
          <cell r="F1476">
            <v>8.9285714285714263E-3</v>
          </cell>
          <cell r="G1476">
            <v>4.7142857142857E-2</v>
          </cell>
          <cell r="H1476">
            <v>0.23308571428571401</v>
          </cell>
          <cell r="I1476">
            <v>0</v>
          </cell>
          <cell r="J1476">
            <v>0</v>
          </cell>
          <cell r="K1476">
            <v>0.28022857142857105</v>
          </cell>
          <cell r="L1476">
            <v>0.42034285714285657</v>
          </cell>
          <cell r="M1476">
            <v>73.559999999999903</v>
          </cell>
        </row>
        <row r="1477">
          <cell r="A1477" t="str">
            <v>2.22.c</v>
          </cell>
          <cell r="B1477" t="str">
            <v>Cut and Fill Soil or Ripable Rock, within sub-Item work zone</v>
          </cell>
          <cell r="C1477" t="str">
            <v>m3</v>
          </cell>
          <cell r="D1477">
            <v>200</v>
          </cell>
          <cell r="F1477">
            <v>18.583333333333336</v>
          </cell>
          <cell r="G1477">
            <v>0.47113374999999996</v>
          </cell>
          <cell r="H1477">
            <v>3.7516384208333373</v>
          </cell>
          <cell r="I1477">
            <v>0</v>
          </cell>
          <cell r="J1477">
            <v>0</v>
          </cell>
          <cell r="L1477">
            <v>4.22</v>
          </cell>
          <cell r="M1477">
            <v>844</v>
          </cell>
        </row>
        <row r="1478">
          <cell r="A1478" t="str">
            <v>A06</v>
          </cell>
          <cell r="B1478" t="str">
            <v>Excavación de roca ripeable</v>
          </cell>
          <cell r="C1478" t="str">
            <v>m3</v>
          </cell>
          <cell r="D1478">
            <v>200</v>
          </cell>
          <cell r="E1478">
            <v>1.1000000000000001</v>
          </cell>
          <cell r="F1478">
            <v>3.3333333333333333E-2</v>
          </cell>
          <cell r="G1478">
            <v>0.16439999999999999</v>
          </cell>
          <cell r="H1478">
            <v>1.5519306666666701</v>
          </cell>
          <cell r="I1478">
            <v>0</v>
          </cell>
          <cell r="J1478">
            <v>0</v>
          </cell>
          <cell r="K1478">
            <v>1.7163306666666702</v>
          </cell>
          <cell r="L1478">
            <v>1.8879637333333374</v>
          </cell>
          <cell r="M1478">
            <v>377.59274666666749</v>
          </cell>
        </row>
        <row r="1479">
          <cell r="A1479" t="str">
            <v>A07</v>
          </cell>
          <cell r="B1479" t="str">
            <v>Empuje de material d&lt;60m</v>
          </cell>
          <cell r="C1479" t="str">
            <v>m3</v>
          </cell>
          <cell r="D1479">
            <v>200</v>
          </cell>
          <cell r="E1479">
            <v>1.1000000000000001</v>
          </cell>
          <cell r="F1479">
            <v>1.2500000000000001E-2</v>
          </cell>
          <cell r="G1479">
            <v>6.0562499999999998E-2</v>
          </cell>
          <cell r="H1479">
            <v>0.50302812500000005</v>
          </cell>
          <cell r="I1479">
            <v>0</v>
          </cell>
          <cell r="J1479">
            <v>0</v>
          </cell>
          <cell r="K1479">
            <v>0.56359062500000001</v>
          </cell>
          <cell r="L1479">
            <v>0.61994968750000001</v>
          </cell>
          <cell r="M1479">
            <v>123.9899375</v>
          </cell>
        </row>
        <row r="1480">
          <cell r="A1480" t="str">
            <v>A08</v>
          </cell>
          <cell r="B1480" t="str">
            <v>Relleno masivo compactado</v>
          </cell>
          <cell r="C1480" t="str">
            <v>m3</v>
          </cell>
          <cell r="D1480">
            <v>200</v>
          </cell>
          <cell r="E1480">
            <v>1</v>
          </cell>
          <cell r="F1480">
            <v>4.2499999999999996E-2</v>
          </cell>
          <cell r="G1480">
            <v>0.22367500000000001</v>
          </cell>
          <cell r="H1480">
            <v>1.49118375</v>
          </cell>
          <cell r="I1480">
            <v>0</v>
          </cell>
          <cell r="J1480">
            <v>0</v>
          </cell>
          <cell r="K1480">
            <v>1.7148587500000001</v>
          </cell>
          <cell r="L1480">
            <v>1.7148587500000001</v>
          </cell>
          <cell r="M1480">
            <v>342.97175000000004</v>
          </cell>
        </row>
        <row r="1481">
          <cell r="A1481" t="str">
            <v>2.22.d</v>
          </cell>
          <cell r="B1481" t="str">
            <v xml:space="preserve">Fill Imported Soil or Ripable Rock from Other sub-Item work zones </v>
          </cell>
          <cell r="C1481" t="str">
            <v>m3</v>
          </cell>
          <cell r="D1481">
            <v>1900</v>
          </cell>
          <cell r="F1481">
            <v>184.655873015873</v>
          </cell>
          <cell r="G1481">
            <v>0.51242395238095273</v>
          </cell>
          <cell r="H1481">
            <v>3.3522554769841255</v>
          </cell>
          <cell r="I1481">
            <v>0</v>
          </cell>
          <cell r="J1481">
            <v>0</v>
          </cell>
          <cell r="L1481">
            <v>3.86</v>
          </cell>
          <cell r="M1481">
            <v>7334</v>
          </cell>
        </row>
        <row r="1482">
          <cell r="A1482" t="str">
            <v>A08</v>
          </cell>
          <cell r="B1482" t="str">
            <v>Relleno masivo compactado</v>
          </cell>
          <cell r="C1482" t="str">
            <v>m3</v>
          </cell>
          <cell r="D1482">
            <v>1900</v>
          </cell>
          <cell r="E1482">
            <v>1</v>
          </cell>
          <cell r="F1482">
            <v>4.2499999999999996E-2</v>
          </cell>
          <cell r="G1482">
            <v>0.22367500000000001</v>
          </cell>
          <cell r="H1482">
            <v>1.49118375</v>
          </cell>
          <cell r="I1482">
            <v>0</v>
          </cell>
          <cell r="J1482">
            <v>0</v>
          </cell>
          <cell r="K1482">
            <v>1.7148587500000001</v>
          </cell>
          <cell r="L1482">
            <v>1.7148587500000001</v>
          </cell>
        </row>
        <row r="1483">
          <cell r="A1483" t="str">
            <v>A09</v>
          </cell>
          <cell r="B1483" t="str">
            <v>Carguío de material común &amp; roca ripeable con cargador</v>
          </cell>
          <cell r="C1483" t="str">
            <v>m3</v>
          </cell>
          <cell r="D1483">
            <v>1900</v>
          </cell>
          <cell r="E1483">
            <v>1.2</v>
          </cell>
          <cell r="F1483">
            <v>8.0000000000000002E-3</v>
          </cell>
          <cell r="G1483">
            <v>4.224E-2</v>
          </cell>
          <cell r="H1483">
            <v>0.57259199999999999</v>
          </cell>
          <cell r="I1483">
            <v>0</v>
          </cell>
          <cell r="J1483">
            <v>0</v>
          </cell>
          <cell r="K1483">
            <v>0.61483199999999993</v>
          </cell>
          <cell r="L1483">
            <v>0.73779839999999985</v>
          </cell>
        </row>
        <row r="1484">
          <cell r="A1484" t="str">
            <v>A04</v>
          </cell>
          <cell r="B1484" t="str">
            <v>Acarreo d&lt;1km (sin esponj)</v>
          </cell>
          <cell r="C1484" t="str">
            <v>m3</v>
          </cell>
          <cell r="D1484">
            <v>1900</v>
          </cell>
          <cell r="E1484">
            <v>1.4950000000000001</v>
          </cell>
          <cell r="F1484">
            <v>1.9444444444444441E-2</v>
          </cell>
          <cell r="G1484">
            <v>0.102666666666667</v>
          </cell>
          <cell r="H1484">
            <v>0.50555555555555498</v>
          </cell>
          <cell r="I1484">
            <v>0</v>
          </cell>
          <cell r="J1484">
            <v>0</v>
          </cell>
          <cell r="K1484">
            <v>0.608222222222222</v>
          </cell>
          <cell r="L1484">
            <v>0.90929222222222195</v>
          </cell>
        </row>
        <row r="1485">
          <cell r="A1485" t="str">
            <v>A05</v>
          </cell>
          <cell r="B1485" t="str">
            <v>Sobreacarreo (d&gt;1km) (sin esponj)</v>
          </cell>
          <cell r="C1485" t="str">
            <v>m3-km</v>
          </cell>
          <cell r="D1485">
            <v>2280</v>
          </cell>
          <cell r="E1485">
            <v>1.4950000000000001</v>
          </cell>
          <cell r="F1485">
            <v>8.9285714285714263E-3</v>
          </cell>
          <cell r="G1485">
            <v>4.7142857142857E-2</v>
          </cell>
          <cell r="H1485">
            <v>0.23308571428571401</v>
          </cell>
          <cell r="I1485">
            <v>0</v>
          </cell>
          <cell r="J1485">
            <v>0</v>
          </cell>
          <cell r="K1485">
            <v>0.28022857142857105</v>
          </cell>
          <cell r="L1485">
            <v>0.41894171428571375</v>
          </cell>
        </row>
        <row r="1486">
          <cell r="A1486" t="str">
            <v>2.22.e</v>
          </cell>
          <cell r="B1486" t="str">
            <v>Drill and blast bulk rock (without limit on thickness, broken to fine or coarse fragments as required depending on end-use. Applies to locations other than trenches and ditches).</v>
          </cell>
          <cell r="C1486" t="str">
            <v>m3</v>
          </cell>
          <cell r="D1486">
            <v>650</v>
          </cell>
          <cell r="F1486">
            <v>60.70853462157811</v>
          </cell>
          <cell r="G1486">
            <v>0</v>
          </cell>
          <cell r="H1486">
            <v>0</v>
          </cell>
          <cell r="I1486">
            <v>0</v>
          </cell>
          <cell r="J1486">
            <v>3.4749999999999992</v>
          </cell>
          <cell r="L1486">
            <v>3.48</v>
          </cell>
          <cell r="M1486">
            <v>2262</v>
          </cell>
        </row>
        <row r="1487">
          <cell r="A1487" t="str">
            <v>A11</v>
          </cell>
          <cell r="B1487" t="str">
            <v>Perforación y voladura masiva (material fino)</v>
          </cell>
          <cell r="C1487" t="str">
            <v>m3</v>
          </cell>
          <cell r="D1487">
            <v>650</v>
          </cell>
          <cell r="E1487">
            <v>1.25</v>
          </cell>
          <cell r="F1487">
            <v>7.4718196457326899E-2</v>
          </cell>
          <cell r="G1487">
            <v>0</v>
          </cell>
          <cell r="H1487">
            <v>0</v>
          </cell>
          <cell r="I1487">
            <v>0</v>
          </cell>
          <cell r="J1487">
            <v>2.78</v>
          </cell>
          <cell r="K1487">
            <v>2.78</v>
          </cell>
          <cell r="L1487">
            <v>3.4749999999999996</v>
          </cell>
          <cell r="M1487">
            <v>2258.7499999999995</v>
          </cell>
        </row>
        <row r="1488">
          <cell r="A1488" t="str">
            <v>A12</v>
          </cell>
          <cell r="B1488" t="str">
            <v>Perforación y voladura masiva (material grueso)</v>
          </cell>
          <cell r="C1488" t="str">
            <v>m3</v>
          </cell>
          <cell r="D1488">
            <v>650</v>
          </cell>
          <cell r="F1488">
            <v>7.4718196457326899E-2</v>
          </cell>
          <cell r="G1488">
            <v>0</v>
          </cell>
          <cell r="H1488">
            <v>0</v>
          </cell>
          <cell r="I1488">
            <v>0</v>
          </cell>
          <cell r="J1488">
            <v>2.72</v>
          </cell>
          <cell r="K1488">
            <v>2.72</v>
          </cell>
          <cell r="L1488">
            <v>0</v>
          </cell>
          <cell r="M1488">
            <v>0</v>
          </cell>
        </row>
        <row r="1489">
          <cell r="A1489" t="str">
            <v>2.22.f</v>
          </cell>
          <cell r="B1489" t="str">
            <v xml:space="preserve">Excavate and Fill (fine blasted) broken rock </v>
          </cell>
          <cell r="C1489" t="str">
            <v>m3</v>
          </cell>
          <cell r="D1489">
            <v>850</v>
          </cell>
          <cell r="F1489">
            <v>70.252499999999998</v>
          </cell>
          <cell r="G1489">
            <v>0.42202975000000004</v>
          </cell>
          <cell r="H1489">
            <v>3.2571238875000006</v>
          </cell>
          <cell r="I1489">
            <v>0</v>
          </cell>
          <cell r="J1489">
            <v>0</v>
          </cell>
          <cell r="L1489">
            <v>3.68</v>
          </cell>
          <cell r="M1489">
            <v>3128</v>
          </cell>
        </row>
        <row r="1490">
          <cell r="A1490" t="str">
            <v>A13</v>
          </cell>
          <cell r="B1490" t="str">
            <v>Remoción de Material fino volado</v>
          </cell>
          <cell r="C1490" t="str">
            <v>m3</v>
          </cell>
          <cell r="D1490">
            <v>850</v>
          </cell>
          <cell r="E1490">
            <v>1.1000000000000001</v>
          </cell>
          <cell r="F1490">
            <v>2.4E-2</v>
          </cell>
          <cell r="G1490">
            <v>0.11976000000000001</v>
          </cell>
          <cell r="H1490">
            <v>1.1023720000000001</v>
          </cell>
          <cell r="I1490">
            <v>0</v>
          </cell>
          <cell r="J1490">
            <v>0</v>
          </cell>
          <cell r="K1490">
            <v>1.2221320000000002</v>
          </cell>
          <cell r="L1490">
            <v>1.3443452000000002</v>
          </cell>
          <cell r="M1490">
            <v>1142.6934200000003</v>
          </cell>
        </row>
        <row r="1491">
          <cell r="A1491" t="str">
            <v>A07</v>
          </cell>
          <cell r="B1491" t="str">
            <v>Empuje de material d&lt;60m</v>
          </cell>
          <cell r="C1491" t="str">
            <v>m3</v>
          </cell>
          <cell r="D1491">
            <v>850</v>
          </cell>
          <cell r="E1491">
            <v>1.1000000000000001</v>
          </cell>
          <cell r="F1491">
            <v>1.2500000000000001E-2</v>
          </cell>
          <cell r="G1491">
            <v>6.0562499999999998E-2</v>
          </cell>
          <cell r="H1491">
            <v>0.50302812500000005</v>
          </cell>
          <cell r="I1491">
            <v>0</v>
          </cell>
          <cell r="J1491">
            <v>0</v>
          </cell>
          <cell r="K1491">
            <v>0.56359062500000001</v>
          </cell>
          <cell r="L1491">
            <v>0.61994968750000001</v>
          </cell>
          <cell r="M1491">
            <v>526.95723437499998</v>
          </cell>
        </row>
        <row r="1492">
          <cell r="A1492" t="str">
            <v>A08</v>
          </cell>
          <cell r="B1492" t="str">
            <v>Relleno masivo compactado</v>
          </cell>
          <cell r="C1492" t="str">
            <v>m3</v>
          </cell>
          <cell r="D1492">
            <v>850</v>
          </cell>
          <cell r="E1492">
            <v>1</v>
          </cell>
          <cell r="F1492">
            <v>4.2499999999999996E-2</v>
          </cell>
          <cell r="G1492">
            <v>0.22367500000000001</v>
          </cell>
          <cell r="H1492">
            <v>1.49118375</v>
          </cell>
          <cell r="I1492">
            <v>0</v>
          </cell>
          <cell r="J1492">
            <v>0</v>
          </cell>
          <cell r="K1492">
            <v>1.7148587500000001</v>
          </cell>
          <cell r="L1492">
            <v>1.7148587500000001</v>
          </cell>
          <cell r="M1492">
            <v>1457.6299375000001</v>
          </cell>
        </row>
        <row r="1493">
          <cell r="A1493" t="str">
            <v>2.22.g</v>
          </cell>
          <cell r="B1493" t="str">
            <v xml:space="preserve">Excavate (fine or coarse blasted) broken rock to surplus stockpile </v>
          </cell>
          <cell r="C1493" t="str">
            <v>m3</v>
          </cell>
          <cell r="D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L1493">
            <v>0</v>
          </cell>
          <cell r="M1493">
            <v>0</v>
          </cell>
        </row>
        <row r="1494">
          <cell r="A1494" t="str">
            <v>A14</v>
          </cell>
          <cell r="B1494" t="str">
            <v>Remoción de Material grueso volado</v>
          </cell>
          <cell r="C1494" t="str">
            <v>m3</v>
          </cell>
          <cell r="F1494">
            <v>2.5000000000000001E-2</v>
          </cell>
          <cell r="G1494">
            <v>0.12475</v>
          </cell>
          <cell r="H1494">
            <v>1.11859166666667</v>
          </cell>
          <cell r="I1494">
            <v>0</v>
          </cell>
          <cell r="J1494">
            <v>0</v>
          </cell>
          <cell r="K1494">
            <v>1.2433416666666699</v>
          </cell>
          <cell r="L1494">
            <v>0</v>
          </cell>
          <cell r="M1494">
            <v>0</v>
          </cell>
        </row>
        <row r="1495">
          <cell r="A1495" t="str">
            <v>A43</v>
          </cell>
          <cell r="B1495" t="str">
            <v>Carguío de roca volada con excavadora</v>
          </cell>
          <cell r="C1495" t="str">
            <v>m3</v>
          </cell>
          <cell r="F1495">
            <v>8.1967213114754103E-3</v>
          </cell>
          <cell r="G1495">
            <v>4.3278688524589999E-2</v>
          </cell>
          <cell r="H1495">
            <v>0.58667213114754102</v>
          </cell>
          <cell r="I1495">
            <v>0</v>
          </cell>
          <cell r="J1495">
            <v>0</v>
          </cell>
          <cell r="K1495">
            <v>0.62995081967213107</v>
          </cell>
          <cell r="L1495">
            <v>0</v>
          </cell>
          <cell r="M1495">
            <v>0</v>
          </cell>
        </row>
        <row r="1496">
          <cell r="A1496" t="str">
            <v>A10</v>
          </cell>
          <cell r="B1496" t="str">
            <v>Extendido de roca en botadero</v>
          </cell>
          <cell r="C1496" t="str">
            <v>m3</v>
          </cell>
          <cell r="F1496">
            <v>3.5714285714285713E-3</v>
          </cell>
          <cell r="G1496">
            <v>1.8857142857142999E-2</v>
          </cell>
          <cell r="H1496">
            <v>0.14619285714285699</v>
          </cell>
          <cell r="I1496">
            <v>0</v>
          </cell>
          <cell r="J1496">
            <v>0</v>
          </cell>
          <cell r="K1496">
            <v>0.16504999999999997</v>
          </cell>
          <cell r="L1496">
            <v>0</v>
          </cell>
          <cell r="M1496">
            <v>0</v>
          </cell>
        </row>
        <row r="1497">
          <cell r="A1497" t="str">
            <v>A04</v>
          </cell>
          <cell r="B1497" t="str">
            <v>Acarreo d&lt;1km (sin esponj)</v>
          </cell>
          <cell r="C1497" t="str">
            <v>m3</v>
          </cell>
          <cell r="F1497">
            <v>1.9444444444444441E-2</v>
          </cell>
          <cell r="G1497">
            <v>0.102666666666667</v>
          </cell>
          <cell r="H1497">
            <v>0.50555555555555498</v>
          </cell>
          <cell r="I1497">
            <v>0</v>
          </cell>
          <cell r="J1497">
            <v>0</v>
          </cell>
          <cell r="K1497">
            <v>0.608222222222222</v>
          </cell>
          <cell r="L1497">
            <v>0</v>
          </cell>
          <cell r="M1497">
            <v>0</v>
          </cell>
        </row>
        <row r="1498">
          <cell r="A1498" t="str">
            <v>A05</v>
          </cell>
          <cell r="B1498" t="str">
            <v>Sobreacarreo (d&gt;1km) (sin esponj)</v>
          </cell>
          <cell r="C1498" t="str">
            <v>m3-km</v>
          </cell>
          <cell r="F1498">
            <v>8.9285714285714263E-3</v>
          </cell>
          <cell r="G1498">
            <v>4.7142857142857E-2</v>
          </cell>
          <cell r="H1498">
            <v>0.23308571428571401</v>
          </cell>
          <cell r="I1498">
            <v>0</v>
          </cell>
          <cell r="J1498">
            <v>0</v>
          </cell>
          <cell r="K1498">
            <v>0.28022857142857105</v>
          </cell>
          <cell r="L1498">
            <v>0</v>
          </cell>
          <cell r="M1498">
            <v>0</v>
          </cell>
        </row>
        <row r="1499">
          <cell r="A1499" t="str">
            <v>2.22.h</v>
          </cell>
          <cell r="B1499" t="str">
            <v>Supply and Install Backfill Granular A to roads/yards</v>
          </cell>
          <cell r="C1499" t="str">
            <v>m3</v>
          </cell>
          <cell r="D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</row>
        <row r="1500">
          <cell r="A1500" t="str">
            <v>A15</v>
          </cell>
          <cell r="B1500" t="str">
            <v>Suministro de material granular A</v>
          </cell>
          <cell r="C1500" t="str">
            <v>m3</v>
          </cell>
          <cell r="F1500">
            <v>0</v>
          </cell>
          <cell r="G1500">
            <v>0</v>
          </cell>
          <cell r="H1500">
            <v>0</v>
          </cell>
          <cell r="I1500">
            <v>2.85</v>
          </cell>
          <cell r="J1500">
            <v>0</v>
          </cell>
          <cell r="K1500">
            <v>2.85</v>
          </cell>
          <cell r="L1500">
            <v>0</v>
          </cell>
          <cell r="M1500">
            <v>0</v>
          </cell>
        </row>
        <row r="1501">
          <cell r="A1501" t="str">
            <v>A16</v>
          </cell>
          <cell r="B1501" t="str">
            <v>Colocación y compactación Mat Granular A</v>
          </cell>
          <cell r="C1501" t="str">
            <v>m3</v>
          </cell>
          <cell r="F1501">
            <v>0.37805555555555553</v>
          </cell>
          <cell r="G1501">
            <v>1.4478</v>
          </cell>
          <cell r="H1501">
            <v>3.0801342222222199</v>
          </cell>
          <cell r="I1501">
            <v>0</v>
          </cell>
          <cell r="J1501">
            <v>0</v>
          </cell>
          <cell r="K1501">
            <v>4.5279342222222194</v>
          </cell>
          <cell r="L1501">
            <v>0</v>
          </cell>
          <cell r="M1501">
            <v>0</v>
          </cell>
        </row>
        <row r="1502">
          <cell r="A1502" t="str">
            <v>A04</v>
          </cell>
          <cell r="B1502" t="str">
            <v>Acarreo d&lt;1km (sin esponj)</v>
          </cell>
          <cell r="C1502" t="str">
            <v>m3</v>
          </cell>
          <cell r="F1502">
            <v>1.9444444444444441E-2</v>
          </cell>
          <cell r="G1502">
            <v>0.102666666666667</v>
          </cell>
          <cell r="H1502">
            <v>0.50555555555555498</v>
          </cell>
          <cell r="I1502">
            <v>0</v>
          </cell>
          <cell r="J1502">
            <v>0</v>
          </cell>
          <cell r="K1502">
            <v>0.608222222222222</v>
          </cell>
          <cell r="L1502">
            <v>0</v>
          </cell>
          <cell r="M1502">
            <v>0</v>
          </cell>
        </row>
        <row r="1503">
          <cell r="A1503" t="str">
            <v>A05</v>
          </cell>
          <cell r="B1503" t="str">
            <v>Sobreacarreo (d&gt;1km) (sin esponj)</v>
          </cell>
          <cell r="C1503" t="str">
            <v>m3-km</v>
          </cell>
          <cell r="F1503">
            <v>8.9285714285714263E-3</v>
          </cell>
          <cell r="G1503">
            <v>4.7142857142857E-2</v>
          </cell>
          <cell r="H1503">
            <v>0.23308571428571401</v>
          </cell>
          <cell r="I1503">
            <v>0</v>
          </cell>
          <cell r="J1503">
            <v>0</v>
          </cell>
          <cell r="K1503">
            <v>0.28022857142857105</v>
          </cell>
          <cell r="L1503">
            <v>0</v>
          </cell>
          <cell r="M1503">
            <v>0</v>
          </cell>
        </row>
        <row r="1504">
          <cell r="A1504" t="str">
            <v>2.22.i</v>
          </cell>
          <cell r="B1504" t="str">
            <v>Supply and Install Backfill Granular B to roads/yards</v>
          </cell>
          <cell r="C1504" t="str">
            <v>m3</v>
          </cell>
          <cell r="D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</row>
        <row r="1505">
          <cell r="A1505" t="str">
            <v>A40</v>
          </cell>
          <cell r="B1505" t="str">
            <v>Suministro de material granular B</v>
          </cell>
          <cell r="C1505" t="str">
            <v>m3</v>
          </cell>
          <cell r="F1505">
            <v>0</v>
          </cell>
          <cell r="G1505">
            <v>0</v>
          </cell>
          <cell r="H1505">
            <v>0</v>
          </cell>
          <cell r="I1505">
            <v>2.85</v>
          </cell>
          <cell r="J1505">
            <v>0</v>
          </cell>
          <cell r="K1505">
            <v>2.85</v>
          </cell>
          <cell r="L1505">
            <v>0</v>
          </cell>
          <cell r="M1505">
            <v>0</v>
          </cell>
        </row>
        <row r="1506">
          <cell r="A1506" t="str">
            <v>A41</v>
          </cell>
          <cell r="B1506" t="str">
            <v>Colocación y compactación Mat Granular B</v>
          </cell>
          <cell r="C1506" t="str">
            <v>m3</v>
          </cell>
          <cell r="F1506">
            <v>0.10416666666666666</v>
          </cell>
          <cell r="G1506">
            <v>0.53187499999999999</v>
          </cell>
          <cell r="H1506">
            <v>2.3804166666666702</v>
          </cell>
          <cell r="I1506">
            <v>0</v>
          </cell>
          <cell r="J1506">
            <v>0</v>
          </cell>
          <cell r="K1506">
            <v>2.9122916666666701</v>
          </cell>
          <cell r="L1506">
            <v>0</v>
          </cell>
          <cell r="M1506">
            <v>0</v>
          </cell>
        </row>
        <row r="1507">
          <cell r="A1507" t="str">
            <v>A04</v>
          </cell>
          <cell r="B1507" t="str">
            <v>Acarreo d&lt;1km (sin esponj)</v>
          </cell>
          <cell r="C1507" t="str">
            <v>m3</v>
          </cell>
          <cell r="F1507">
            <v>1.9444444444444441E-2</v>
          </cell>
          <cell r="G1507">
            <v>0.102666666666667</v>
          </cell>
          <cell r="H1507">
            <v>0.50555555555555498</v>
          </cell>
          <cell r="I1507">
            <v>0</v>
          </cell>
          <cell r="J1507">
            <v>0</v>
          </cell>
          <cell r="K1507">
            <v>0.608222222222222</v>
          </cell>
          <cell r="L1507">
            <v>0</v>
          </cell>
          <cell r="M1507">
            <v>0</v>
          </cell>
        </row>
        <row r="1508">
          <cell r="A1508" t="str">
            <v>A05</v>
          </cell>
          <cell r="B1508" t="str">
            <v>Sobreacarreo (d&gt;1km) (sin esponj)</v>
          </cell>
          <cell r="C1508" t="str">
            <v>m3-km</v>
          </cell>
          <cell r="F1508">
            <v>8.9285714285714263E-3</v>
          </cell>
          <cell r="G1508">
            <v>4.7142857142857E-2</v>
          </cell>
          <cell r="H1508">
            <v>0.23308571428571401</v>
          </cell>
          <cell r="I1508">
            <v>0</v>
          </cell>
          <cell r="J1508">
            <v>0</v>
          </cell>
          <cell r="K1508">
            <v>0.28022857142857105</v>
          </cell>
          <cell r="L1508">
            <v>0</v>
          </cell>
          <cell r="M1508">
            <v>0</v>
          </cell>
        </row>
        <row r="1509">
          <cell r="A1509" t="str">
            <v>2.22.j</v>
          </cell>
          <cell r="B1509" t="str">
            <v>Supply and Install Riprap-Geotextile-Bedding to ditches and slopes, including rock/earth excavation and shaping of the site</v>
          </cell>
          <cell r="C1509" t="str">
            <v>Ls</v>
          </cell>
          <cell r="D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L1509">
            <v>0</v>
          </cell>
          <cell r="M1509">
            <v>0</v>
          </cell>
        </row>
        <row r="1510">
          <cell r="A1510" t="str">
            <v>A19</v>
          </cell>
          <cell r="B1510" t="str">
            <v>Rip rap</v>
          </cell>
          <cell r="C1510" t="str">
            <v>m3</v>
          </cell>
          <cell r="F1510">
            <v>2.7285714285714286</v>
          </cell>
          <cell r="G1510">
            <v>8.8182857142857092</v>
          </cell>
          <cell r="H1510">
            <v>4.8350057142857139</v>
          </cell>
          <cell r="I1510">
            <v>2.85</v>
          </cell>
          <cell r="J1510">
            <v>0</v>
          </cell>
          <cell r="K1510">
            <v>16.503291428571423</v>
          </cell>
          <cell r="L1510">
            <v>0</v>
          </cell>
          <cell r="M1510">
            <v>0</v>
          </cell>
        </row>
        <row r="1511">
          <cell r="A1511" t="str">
            <v>A20</v>
          </cell>
          <cell r="B1511" t="str">
            <v>Geotextil 400g/m2 Non Woven</v>
          </cell>
          <cell r="C1511" t="str">
            <v>m2</v>
          </cell>
          <cell r="F1511">
            <v>0.37356321839080464</v>
          </cell>
          <cell r="G1511">
            <v>1.1715517241379301</v>
          </cell>
          <cell r="H1511">
            <v>0.445182471264368</v>
          </cell>
          <cell r="I1511">
            <v>0.8</v>
          </cell>
          <cell r="J1511">
            <v>0</v>
          </cell>
          <cell r="K1511">
            <v>2.4167341954022983</v>
          </cell>
          <cell r="L1511">
            <v>0</v>
          </cell>
          <cell r="M1511">
            <v>0</v>
          </cell>
        </row>
        <row r="1512">
          <cell r="A1512" t="str">
            <v>A21</v>
          </cell>
          <cell r="B1512" t="str">
            <v>Excavación y perfilado de zanjas</v>
          </cell>
          <cell r="C1512" t="str">
            <v>m3</v>
          </cell>
          <cell r="F1512">
            <v>1.2887346226726417</v>
          </cell>
          <cell r="G1512">
            <v>4.4896263901299003</v>
          </cell>
          <cell r="H1512">
            <v>6.5119556758310146</v>
          </cell>
          <cell r="I1512">
            <v>0</v>
          </cell>
          <cell r="J1512">
            <v>3.45</v>
          </cell>
          <cell r="K1512">
            <v>14.451582065960915</v>
          </cell>
          <cell r="L1512">
            <v>0</v>
          </cell>
          <cell r="M1512">
            <v>0</v>
          </cell>
        </row>
        <row r="1513">
          <cell r="A1513" t="str">
            <v>2.22.k</v>
          </cell>
          <cell r="B1513" t="str">
            <v>Supply and Install Gabions-Geotextile-Bedding-Concrete Facing, complete including rock/earth excavation shaping &amp; backfill of the site</v>
          </cell>
          <cell r="C1513" t="str">
            <v>Ls</v>
          </cell>
          <cell r="D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L1513">
            <v>0</v>
          </cell>
          <cell r="M1513">
            <v>0</v>
          </cell>
        </row>
        <row r="1514">
          <cell r="A1514" t="str">
            <v>A22</v>
          </cell>
          <cell r="B1514" t="str">
            <v>Supply and Install Granular A Surfacing to roads/yards</v>
          </cell>
          <cell r="C1514" t="str">
            <v>m3</v>
          </cell>
          <cell r="F1514">
            <v>0.47959325396825392</v>
          </cell>
          <cell r="G1514">
            <v>1.9839190476190467</v>
          </cell>
          <cell r="H1514">
            <v>5.7282700952380896</v>
          </cell>
          <cell r="I1514">
            <v>3.5625</v>
          </cell>
          <cell r="J1514">
            <v>0</v>
          </cell>
          <cell r="K1514">
            <v>11.274689142857136</v>
          </cell>
          <cell r="L1514">
            <v>0</v>
          </cell>
          <cell r="M1514">
            <v>0</v>
          </cell>
        </row>
        <row r="1515">
          <cell r="A1515" t="str">
            <v>A23</v>
          </cell>
          <cell r="B1515" t="str">
            <v>Concrete Lining</v>
          </cell>
          <cell r="C1515" t="str">
            <v>m3</v>
          </cell>
          <cell r="F1515">
            <v>14.282608695652174</v>
          </cell>
          <cell r="G1515">
            <v>49.431086956521703</v>
          </cell>
          <cell r="H1515">
            <v>4.9527137681159399</v>
          </cell>
          <cell r="I1515">
            <v>60</v>
          </cell>
          <cell r="J1515">
            <v>0</v>
          </cell>
          <cell r="K1515">
            <v>114.38380072463765</v>
          </cell>
          <cell r="L1515">
            <v>0</v>
          </cell>
          <cell r="M1515">
            <v>0</v>
          </cell>
        </row>
        <row r="1516">
          <cell r="A1516" t="str">
            <v>A24</v>
          </cell>
          <cell r="B1516" t="str">
            <v>Gavión</v>
          </cell>
          <cell r="C1516" t="str">
            <v>m3</v>
          </cell>
          <cell r="F1516">
            <v>1.7583333333333333</v>
          </cell>
          <cell r="G1516">
            <v>6.2273333333333296</v>
          </cell>
          <cell r="H1516">
            <v>7.133083333333337</v>
          </cell>
          <cell r="I1516">
            <v>19.350000000000001</v>
          </cell>
          <cell r="J1516">
            <v>0</v>
          </cell>
          <cell r="K1516">
            <v>32.710416666666674</v>
          </cell>
          <cell r="L1516">
            <v>0</v>
          </cell>
          <cell r="M1516">
            <v>0</v>
          </cell>
        </row>
        <row r="1517">
          <cell r="A1517" t="str">
            <v>A21</v>
          </cell>
          <cell r="B1517" t="str">
            <v>Excavación y perfilado de zanjas</v>
          </cell>
          <cell r="C1517" t="str">
            <v>m3</v>
          </cell>
          <cell r="F1517">
            <v>1.2887346226726417</v>
          </cell>
          <cell r="G1517">
            <v>4.4896263901299003</v>
          </cell>
          <cell r="H1517">
            <v>6.5119556758310146</v>
          </cell>
          <cell r="I1517">
            <v>0</v>
          </cell>
          <cell r="J1517">
            <v>3.45</v>
          </cell>
          <cell r="K1517">
            <v>14.451582065960915</v>
          </cell>
          <cell r="L1517">
            <v>0</v>
          </cell>
          <cell r="M1517">
            <v>0</v>
          </cell>
        </row>
        <row r="1518">
          <cell r="A1518" t="str">
            <v>2.22.l</v>
          </cell>
          <cell r="B1518" t="str">
            <v xml:space="preserve">Supply and Install sewers, culverts, drainage structures complete, including rock/earth excavation &amp; shaping of the site, bedding, backfill, reinforced /unreinforced concrete, bituminous seals, cast-iron covers, gratings, ladder rungs </v>
          </cell>
          <cell r="C1518" t="str">
            <v>Ls</v>
          </cell>
          <cell r="D1518">
            <v>1</v>
          </cell>
          <cell r="F1518">
            <v>7.5677352828580968</v>
          </cell>
          <cell r="G1518">
            <v>37.644369697568422</v>
          </cell>
          <cell r="H1518">
            <v>186.57586606382071</v>
          </cell>
          <cell r="I1518">
            <v>0</v>
          </cell>
          <cell r="J1518">
            <v>305.77741210467167</v>
          </cell>
          <cell r="L1518">
            <v>530</v>
          </cell>
          <cell r="M1518">
            <v>530</v>
          </cell>
        </row>
        <row r="1519">
          <cell r="A1519" t="str">
            <v>A25</v>
          </cell>
          <cell r="B1519" t="str">
            <v>Suministro y colocación de Grating</v>
          </cell>
          <cell r="C1519" t="str">
            <v>m2</v>
          </cell>
          <cell r="F1519">
            <v>1.75</v>
          </cell>
          <cell r="G1519">
            <v>6.1725000000000003</v>
          </cell>
          <cell r="H1519">
            <v>0.144125</v>
          </cell>
          <cell r="I1519">
            <v>225</v>
          </cell>
          <cell r="J1519">
            <v>0</v>
          </cell>
          <cell r="K1519">
            <v>231.31662500000002</v>
          </cell>
          <cell r="L1519">
            <v>0</v>
          </cell>
          <cell r="M1519">
            <v>0</v>
          </cell>
        </row>
        <row r="1520">
          <cell r="A1520" t="str">
            <v>A26</v>
          </cell>
          <cell r="B1520" t="str">
            <v>Suministro y colocación de Tapa metálica</v>
          </cell>
          <cell r="C1520" t="str">
            <v>m2</v>
          </cell>
          <cell r="F1520">
            <v>1.75</v>
          </cell>
          <cell r="G1520">
            <v>6.1725000000000003</v>
          </cell>
          <cell r="H1520">
            <v>0.144125</v>
          </cell>
          <cell r="I1520">
            <v>300</v>
          </cell>
          <cell r="J1520">
            <v>0</v>
          </cell>
          <cell r="K1520">
            <v>306.31662499999999</v>
          </cell>
          <cell r="L1520">
            <v>0</v>
          </cell>
          <cell r="M1520">
            <v>0</v>
          </cell>
        </row>
        <row r="1521">
          <cell r="A1521" t="str">
            <v>A27</v>
          </cell>
          <cell r="B1521" t="str">
            <v>Relleno estructural</v>
          </cell>
          <cell r="C1521" t="str">
            <v>m3</v>
          </cell>
          <cell r="F1521">
            <v>1.2875000000000001</v>
          </cell>
          <cell r="G1521">
            <v>4.2321666666666697</v>
          </cell>
          <cell r="H1521">
            <v>6.8350416666666636</v>
          </cell>
          <cell r="I1521">
            <v>0</v>
          </cell>
          <cell r="J1521">
            <v>0</v>
          </cell>
          <cell r="K1521">
            <v>11.067208333333333</v>
          </cell>
          <cell r="L1521">
            <v>0</v>
          </cell>
          <cell r="M1521">
            <v>0</v>
          </cell>
        </row>
        <row r="1522">
          <cell r="A1522" t="str">
            <v>A28</v>
          </cell>
          <cell r="B1522" t="str">
            <v>Bermas de Seguridad</v>
          </cell>
          <cell r="C1522" t="str">
            <v>m3</v>
          </cell>
          <cell r="F1522">
            <v>0.1</v>
          </cell>
          <cell r="G1522">
            <v>0.499</v>
          </cell>
          <cell r="H1522">
            <v>3.5649500000000001</v>
          </cell>
          <cell r="I1522">
            <v>2.85</v>
          </cell>
          <cell r="J1522">
            <v>0</v>
          </cell>
          <cell r="K1522">
            <v>6.9139499999999998</v>
          </cell>
          <cell r="L1522">
            <v>0</v>
          </cell>
          <cell r="M1522">
            <v>0</v>
          </cell>
        </row>
        <row r="1523">
          <cell r="A1523" t="str">
            <v>A29</v>
          </cell>
          <cell r="B1523" t="str">
            <v>Relleno localizado tipo B</v>
          </cell>
          <cell r="C1523" t="str">
            <v>m3</v>
          </cell>
          <cell r="F1523">
            <v>1.3416666666666666</v>
          </cell>
          <cell r="G1523">
            <v>4.5181666666666702</v>
          </cell>
          <cell r="H1523">
            <v>8.3767083333333332</v>
          </cell>
          <cell r="I1523">
            <v>3.1349999999999998</v>
          </cell>
          <cell r="J1523">
            <v>0</v>
          </cell>
          <cell r="K1523">
            <v>16.029875000000004</v>
          </cell>
          <cell r="L1523">
            <v>0</v>
          </cell>
          <cell r="M1523">
            <v>0</v>
          </cell>
        </row>
        <row r="1524">
          <cell r="A1524" t="str">
            <v>A30</v>
          </cell>
          <cell r="B1524" t="str">
            <v>Concreto reforzado</v>
          </cell>
          <cell r="C1524" t="str">
            <v>m3</v>
          </cell>
          <cell r="F1524">
            <v>16.2</v>
          </cell>
          <cell r="G1524">
            <v>56.207999999999998</v>
          </cell>
          <cell r="H1524">
            <v>3.9517333333333298</v>
          </cell>
          <cell r="I1524">
            <v>116.16</v>
          </cell>
          <cell r="J1524">
            <v>0</v>
          </cell>
          <cell r="K1524">
            <v>176.31973333333332</v>
          </cell>
          <cell r="L1524">
            <v>0</v>
          </cell>
          <cell r="M1524">
            <v>0</v>
          </cell>
        </row>
        <row r="1525">
          <cell r="A1525" t="str">
            <v>A31</v>
          </cell>
          <cell r="B1525" t="str">
            <v>Alcantarillas 800mm</v>
          </cell>
          <cell r="C1525" t="str">
            <v>ml</v>
          </cell>
          <cell r="F1525">
            <v>8</v>
          </cell>
          <cell r="G1525">
            <v>25.88</v>
          </cell>
          <cell r="H1525">
            <v>1.294</v>
          </cell>
          <cell r="I1525">
            <v>60</v>
          </cell>
          <cell r="J1525">
            <v>0</v>
          </cell>
          <cell r="K1525">
            <v>87.173999999999992</v>
          </cell>
          <cell r="L1525">
            <v>0</v>
          </cell>
          <cell r="M1525">
            <v>0</v>
          </cell>
        </row>
        <row r="1526">
          <cell r="A1526" t="str">
            <v>A32</v>
          </cell>
          <cell r="B1526" t="str">
            <v>Alcantarillas 600mm</v>
          </cell>
          <cell r="C1526" t="str">
            <v>ml</v>
          </cell>
          <cell r="F1526">
            <v>6.666666666666667</v>
          </cell>
          <cell r="G1526">
            <v>21.566666666666698</v>
          </cell>
          <cell r="H1526">
            <v>1.07833333333333</v>
          </cell>
          <cell r="I1526">
            <v>50</v>
          </cell>
          <cell r="J1526">
            <v>0</v>
          </cell>
          <cell r="K1526">
            <v>72.645000000000024</v>
          </cell>
          <cell r="L1526">
            <v>0</v>
          </cell>
          <cell r="M1526">
            <v>0</v>
          </cell>
        </row>
        <row r="1527">
          <cell r="A1527" t="str">
            <v>A33</v>
          </cell>
          <cell r="B1527" t="str">
            <v>Alcantarillas 1350mm</v>
          </cell>
          <cell r="C1527" t="str">
            <v>ml</v>
          </cell>
          <cell r="F1527">
            <v>12.5</v>
          </cell>
          <cell r="G1527">
            <v>39.924999999999997</v>
          </cell>
          <cell r="H1527">
            <v>1.9962500000000001</v>
          </cell>
          <cell r="I1527">
            <v>160</v>
          </cell>
          <cell r="J1527">
            <v>0</v>
          </cell>
          <cell r="K1527">
            <v>201.92125000000001</v>
          </cell>
          <cell r="L1527">
            <v>0</v>
          </cell>
          <cell r="M1527">
            <v>0</v>
          </cell>
        </row>
        <row r="1528">
          <cell r="A1528" t="str">
            <v>A34</v>
          </cell>
          <cell r="B1528" t="str">
            <v>Alcantarillas 1000mm</v>
          </cell>
          <cell r="C1528" t="str">
            <v>ml</v>
          </cell>
          <cell r="F1528">
            <v>8.8888888888888893</v>
          </cell>
          <cell r="G1528">
            <v>28.755555555555599</v>
          </cell>
          <cell r="H1528">
            <v>1.43777777777778</v>
          </cell>
          <cell r="I1528">
            <v>78</v>
          </cell>
          <cell r="J1528">
            <v>0</v>
          </cell>
          <cell r="K1528">
            <v>108.19333333333338</v>
          </cell>
          <cell r="L1528">
            <v>0</v>
          </cell>
          <cell r="M1528">
            <v>0</v>
          </cell>
        </row>
        <row r="1529">
          <cell r="A1529" t="str">
            <v>A35</v>
          </cell>
          <cell r="B1529" t="str">
            <v>Alcantarillas 1600mm</v>
          </cell>
          <cell r="C1529" t="str">
            <v>ml</v>
          </cell>
          <cell r="F1529">
            <v>12.5</v>
          </cell>
          <cell r="G1529">
            <v>39.924999999999997</v>
          </cell>
          <cell r="H1529">
            <v>1.9962500000000001</v>
          </cell>
          <cell r="I1529">
            <v>215</v>
          </cell>
          <cell r="J1529">
            <v>0</v>
          </cell>
          <cell r="K1529">
            <v>256.92124999999999</v>
          </cell>
          <cell r="L1529">
            <v>0</v>
          </cell>
          <cell r="M1529">
            <v>0</v>
          </cell>
        </row>
        <row r="1530">
          <cell r="A1530" t="str">
            <v>A36</v>
          </cell>
          <cell r="B1530" t="str">
            <v>Tubería para buzón CMP 2000mm Diam</v>
          </cell>
          <cell r="C1530" t="str">
            <v>ml</v>
          </cell>
          <cell r="F1530">
            <v>20</v>
          </cell>
          <cell r="G1530">
            <v>63.3333333333333</v>
          </cell>
          <cell r="H1530">
            <v>3.1666666666666701</v>
          </cell>
          <cell r="I1530">
            <v>335</v>
          </cell>
          <cell r="J1530">
            <v>0</v>
          </cell>
          <cell r="K1530">
            <v>401.5</v>
          </cell>
          <cell r="L1530">
            <v>0</v>
          </cell>
          <cell r="M1530">
            <v>0</v>
          </cell>
        </row>
        <row r="1531">
          <cell r="A1531" t="str">
            <v>A37</v>
          </cell>
          <cell r="B1531" t="str">
            <v>Alcantarillas 300mm</v>
          </cell>
          <cell r="F1531">
            <v>6.666666666666667</v>
          </cell>
          <cell r="G1531">
            <v>21.566666666666698</v>
          </cell>
          <cell r="H1531">
            <v>1.07833333333333</v>
          </cell>
          <cell r="I1531">
            <v>26</v>
          </cell>
          <cell r="J1531">
            <v>0</v>
          </cell>
          <cell r="K1531">
            <v>48.645000000000032</v>
          </cell>
          <cell r="L1531">
            <v>0</v>
          </cell>
          <cell r="M1531">
            <v>0</v>
          </cell>
        </row>
        <row r="1532">
          <cell r="A1532" t="str">
            <v>A20</v>
          </cell>
          <cell r="B1532" t="str">
            <v>Geotextil 400g/m2 Non Woven</v>
          </cell>
          <cell r="C1532" t="str">
            <v>m2</v>
          </cell>
          <cell r="F1532">
            <v>0.37356321839080464</v>
          </cell>
          <cell r="G1532">
            <v>1.1715517241379301</v>
          </cell>
          <cell r="H1532">
            <v>0.445182471264368</v>
          </cell>
          <cell r="I1532">
            <v>0.8</v>
          </cell>
          <cell r="J1532">
            <v>0</v>
          </cell>
          <cell r="K1532">
            <v>2.4167341954022983</v>
          </cell>
          <cell r="L1532">
            <v>0</v>
          </cell>
          <cell r="M1532">
            <v>0</v>
          </cell>
        </row>
        <row r="1533">
          <cell r="A1533" t="str">
            <v>A38</v>
          </cell>
          <cell r="B1533" t="str">
            <v>Excavación y eliminación de material para cunetas en roca</v>
          </cell>
          <cell r="C1533" t="str">
            <v>m3</v>
          </cell>
          <cell r="D1533">
            <v>25</v>
          </cell>
          <cell r="E1533">
            <v>1.0635736073205972</v>
          </cell>
          <cell r="F1533">
            <v>0.28461538461538466</v>
          </cell>
          <cell r="G1533">
            <v>1.41576923076923</v>
          </cell>
          <cell r="H1533">
            <v>7.0169423076923119</v>
          </cell>
          <cell r="I1533">
            <v>0</v>
          </cell>
          <cell r="J1533">
            <v>11.5</v>
          </cell>
          <cell r="K1533">
            <v>19.932711538461543</v>
          </cell>
          <cell r="L1533">
            <v>21.199905914642436</v>
          </cell>
          <cell r="M1533">
            <v>529.9976478660609</v>
          </cell>
        </row>
        <row r="1534">
          <cell r="A1534" t="str">
            <v>A39</v>
          </cell>
          <cell r="B1534" t="str">
            <v>Excavación y eliminación de material para cunetas en suelo común</v>
          </cell>
          <cell r="C1534" t="str">
            <v>m3</v>
          </cell>
          <cell r="F1534">
            <v>0.1957264957264957</v>
          </cell>
          <cell r="G1534">
            <v>0.98510256410256403</v>
          </cell>
          <cell r="H1534">
            <v>4.9954089743589778</v>
          </cell>
          <cell r="I1534">
            <v>0</v>
          </cell>
          <cell r="J1534">
            <v>0</v>
          </cell>
          <cell r="K1534">
            <v>5.9805115384615419</v>
          </cell>
          <cell r="L1534">
            <v>0</v>
          </cell>
          <cell r="M1534">
            <v>0</v>
          </cell>
        </row>
        <row r="1535">
          <cell r="A1535" t="str">
            <v>A21</v>
          </cell>
          <cell r="B1535" t="str">
            <v>Excavación y perfilado de zanjas</v>
          </cell>
          <cell r="C1535" t="str">
            <v>m3</v>
          </cell>
          <cell r="F1535">
            <v>1.2887346226726417</v>
          </cell>
          <cell r="G1535">
            <v>4.4896263901299003</v>
          </cell>
          <cell r="H1535">
            <v>6.5119556758310146</v>
          </cell>
          <cell r="I1535">
            <v>0</v>
          </cell>
          <cell r="J1535">
            <v>3.45</v>
          </cell>
          <cell r="K1535">
            <v>14.451582065960915</v>
          </cell>
          <cell r="L1535">
            <v>0</v>
          </cell>
          <cell r="M1535">
            <v>0</v>
          </cell>
        </row>
        <row r="1537">
          <cell r="A1537" t="str">
            <v>3.0</v>
          </cell>
          <cell r="B1537" t="str">
            <v>DIRECTS - TEMPORARY ACCESS FACILITIES :</v>
          </cell>
        </row>
        <row r="1539">
          <cell r="A1539" t="str">
            <v>3.01</v>
          </cell>
          <cell r="B1539" t="str">
            <v xml:space="preserve">CONSTRUCT SEGMENTS OF "FIELD RUN" CONSTRUCTION TEMPORARY ROAD TO THE EAST WASTE ROCK DISPOSAL AS DIRECTED BY THE CONSTRUCTION MANAGER (APPROX. 1000m LONG) </v>
          </cell>
        </row>
        <row r="1540">
          <cell r="A1540" t="str">
            <v>3.01.a</v>
          </cell>
          <cell r="B1540" t="str">
            <v xml:space="preserve">Strip &amp; dispose organics/unsuitable soil average 2.0 km distance, to the nearest topsoil stockpile </v>
          </cell>
          <cell r="C1540" t="str">
            <v>m3</v>
          </cell>
          <cell r="D1540">
            <v>1500</v>
          </cell>
          <cell r="F1540">
            <v>109.74587912087911</v>
          </cell>
          <cell r="G1540">
            <v>0.38133406593406599</v>
          </cell>
          <cell r="H1540">
            <v>2.6286335531135525</v>
          </cell>
          <cell r="I1540">
            <v>0</v>
          </cell>
          <cell r="J1540">
            <v>0</v>
          </cell>
          <cell r="L1540">
            <v>3.01</v>
          </cell>
          <cell r="M1540">
            <v>4515</v>
          </cell>
        </row>
        <row r="1541">
          <cell r="A1541" t="str">
            <v>A01</v>
          </cell>
          <cell r="B1541" t="str">
            <v>Excavación de Topsoil y Unsuitable (e&gt;1m)</v>
          </cell>
          <cell r="C1541" t="str">
            <v>m3</v>
          </cell>
          <cell r="D1541">
            <v>1500</v>
          </cell>
          <cell r="E1541">
            <v>1</v>
          </cell>
          <cell r="F1541">
            <v>1.7142857142857144E-2</v>
          </cell>
          <cell r="G1541">
            <v>8.5542857142857004E-2</v>
          </cell>
          <cell r="H1541">
            <v>0.81924857142857199</v>
          </cell>
          <cell r="I1541">
            <v>0</v>
          </cell>
          <cell r="J1541">
            <v>0</v>
          </cell>
          <cell r="K1541">
            <v>0.90479142857142902</v>
          </cell>
          <cell r="L1541">
            <v>0.90479142857142902</v>
          </cell>
          <cell r="M1541">
            <v>1357.1871428571435</v>
          </cell>
        </row>
        <row r="1542">
          <cell r="A1542" t="str">
            <v>A02</v>
          </cell>
          <cell r="B1542" t="str">
            <v>Excavación de Topsoil y Unsuitable (e&lt;1m)</v>
          </cell>
          <cell r="C1542" t="str">
            <v>m3</v>
          </cell>
          <cell r="F1542">
            <v>1.4285714285714285E-2</v>
          </cell>
          <cell r="G1542">
            <v>6.9214285714286006E-2</v>
          </cell>
          <cell r="H1542">
            <v>0.57488928571428499</v>
          </cell>
          <cell r="I1542">
            <v>0</v>
          </cell>
          <cell r="J1542">
            <v>0</v>
          </cell>
          <cell r="K1542">
            <v>0.644103571428571</v>
          </cell>
          <cell r="L1542">
            <v>0</v>
          </cell>
          <cell r="M1542">
            <v>0</v>
          </cell>
        </row>
        <row r="1543">
          <cell r="A1543" t="str">
            <v>A03</v>
          </cell>
          <cell r="B1543" t="str">
            <v>Carguío de Topsoil &amp; Unsuitable con excavadora</v>
          </cell>
          <cell r="C1543" t="str">
            <v>m3</v>
          </cell>
          <cell r="D1543">
            <v>1500</v>
          </cell>
          <cell r="E1543">
            <v>1</v>
          </cell>
          <cell r="F1543">
            <v>1.3461538461538462E-2</v>
          </cell>
          <cell r="G1543">
            <v>7.1076923076922996E-2</v>
          </cell>
          <cell r="H1543">
            <v>0.70142307692307704</v>
          </cell>
          <cell r="I1543">
            <v>0</v>
          </cell>
          <cell r="J1543">
            <v>0</v>
          </cell>
          <cell r="K1543">
            <v>0.77250000000000008</v>
          </cell>
          <cell r="L1543">
            <v>0.77250000000000008</v>
          </cell>
          <cell r="M1543">
            <v>1158.75</v>
          </cell>
        </row>
        <row r="1544">
          <cell r="A1544" t="str">
            <v>A04</v>
          </cell>
          <cell r="B1544" t="str">
            <v>Acarreo d&lt;1km (sin esponj)</v>
          </cell>
          <cell r="C1544" t="str">
            <v>m3</v>
          </cell>
          <cell r="D1544">
            <v>1500</v>
          </cell>
          <cell r="E1544">
            <v>1.5</v>
          </cell>
          <cell r="F1544">
            <v>1.9444444444444441E-2</v>
          </cell>
          <cell r="G1544">
            <v>0.102666666666667</v>
          </cell>
          <cell r="H1544">
            <v>0.50555555555555498</v>
          </cell>
          <cell r="I1544">
            <v>0</v>
          </cell>
          <cell r="J1544">
            <v>0</v>
          </cell>
          <cell r="K1544">
            <v>0.608222222222222</v>
          </cell>
          <cell r="L1544">
            <v>0.912333333333333</v>
          </cell>
          <cell r="M1544">
            <v>1368.4999999999995</v>
          </cell>
        </row>
        <row r="1545">
          <cell r="A1545" t="str">
            <v>A05</v>
          </cell>
          <cell r="B1545" t="str">
            <v>Sobreacarreo (d&gt;1km) (sin esponj)</v>
          </cell>
          <cell r="C1545" t="str">
            <v>m3-km</v>
          </cell>
          <cell r="D1545">
            <v>1500</v>
          </cell>
          <cell r="E1545">
            <v>1.5</v>
          </cell>
          <cell r="F1545">
            <v>8.9285714285714263E-3</v>
          </cell>
          <cell r="G1545">
            <v>4.7142857142857E-2</v>
          </cell>
          <cell r="H1545">
            <v>0.23308571428571401</v>
          </cell>
          <cell r="I1545">
            <v>0</v>
          </cell>
          <cell r="J1545">
            <v>0</v>
          </cell>
          <cell r="K1545">
            <v>0.28022857142857105</v>
          </cell>
          <cell r="L1545">
            <v>0.42034285714285657</v>
          </cell>
          <cell r="M1545">
            <v>630.51428571428482</v>
          </cell>
        </row>
        <row r="1546">
          <cell r="A1546" t="str">
            <v>3.01.b</v>
          </cell>
          <cell r="B1546" t="str">
            <v>Drill and blast rock without limit on thickness of rock (to fragment size suitable for road fill).</v>
          </cell>
          <cell r="C1546" t="str">
            <v>m3</v>
          </cell>
          <cell r="D1546">
            <v>1800</v>
          </cell>
          <cell r="F1546">
            <v>149.9594202898551</v>
          </cell>
          <cell r="G1546">
            <v>0</v>
          </cell>
          <cell r="H1546">
            <v>0</v>
          </cell>
          <cell r="I1546">
            <v>0</v>
          </cell>
          <cell r="J1546">
            <v>3.0328000000000004</v>
          </cell>
          <cell r="L1546">
            <v>3.03</v>
          </cell>
          <cell r="M1546">
            <v>5454</v>
          </cell>
        </row>
        <row r="1547">
          <cell r="A1547" t="str">
            <v>A11</v>
          </cell>
          <cell r="B1547" t="str">
            <v>Perforación y voladura masiva (material fino)</v>
          </cell>
          <cell r="C1547" t="str">
            <v>m3</v>
          </cell>
          <cell r="D1547">
            <v>1800</v>
          </cell>
          <cell r="F1547">
            <v>7.4718196457326899E-2</v>
          </cell>
          <cell r="G1547">
            <v>0</v>
          </cell>
          <cell r="H1547">
            <v>0</v>
          </cell>
          <cell r="I1547">
            <v>0</v>
          </cell>
          <cell r="J1547">
            <v>2.78</v>
          </cell>
          <cell r="K1547">
            <v>2.78</v>
          </cell>
          <cell r="L1547">
            <v>0</v>
          </cell>
          <cell r="M1547">
            <v>0</v>
          </cell>
        </row>
        <row r="1548">
          <cell r="A1548" t="str">
            <v>A12</v>
          </cell>
          <cell r="B1548" t="str">
            <v>Perforación y voladura masiva (material grueso)</v>
          </cell>
          <cell r="C1548" t="str">
            <v>m3</v>
          </cell>
          <cell r="D1548">
            <v>1800</v>
          </cell>
          <cell r="E1548">
            <v>1.115</v>
          </cell>
          <cell r="F1548">
            <v>7.4718196457326899E-2</v>
          </cell>
          <cell r="G1548">
            <v>0</v>
          </cell>
          <cell r="H1548">
            <v>0</v>
          </cell>
          <cell r="I1548">
            <v>0</v>
          </cell>
          <cell r="J1548">
            <v>2.72</v>
          </cell>
          <cell r="K1548">
            <v>2.72</v>
          </cell>
          <cell r="L1548">
            <v>3.0328000000000004</v>
          </cell>
          <cell r="M1548">
            <v>5459.0400000000009</v>
          </cell>
        </row>
        <row r="1549">
          <cell r="A1549" t="str">
            <v>3.01.c</v>
          </cell>
          <cell r="B1549" t="str">
            <v>Cut and Fill (including roadside ditches) in Soil, Ripable Rock, or Blast Rock within the work zone of this road, material moved 60m from origin, no truck hauling</v>
          </cell>
          <cell r="C1549" t="str">
            <v>m3</v>
          </cell>
          <cell r="D1549">
            <v>2000</v>
          </cell>
          <cell r="F1549">
            <v>185.83333333333331</v>
          </cell>
          <cell r="G1549">
            <v>0.47113375000000002</v>
          </cell>
          <cell r="H1549">
            <v>3.7516384208333373</v>
          </cell>
          <cell r="I1549">
            <v>0</v>
          </cell>
          <cell r="J1549">
            <v>0</v>
          </cell>
          <cell r="L1549">
            <v>4.22</v>
          </cell>
          <cell r="M1549">
            <v>8440</v>
          </cell>
        </row>
        <row r="1550">
          <cell r="A1550" t="str">
            <v>A06</v>
          </cell>
          <cell r="B1550" t="str">
            <v>Excavación de roca ripeable</v>
          </cell>
          <cell r="C1550" t="str">
            <v>m3</v>
          </cell>
          <cell r="D1550">
            <v>2000</v>
          </cell>
          <cell r="E1550">
            <v>1.1000000000000001</v>
          </cell>
          <cell r="F1550">
            <v>3.3333333333333333E-2</v>
          </cell>
          <cell r="G1550">
            <v>0.16439999999999999</v>
          </cell>
          <cell r="H1550">
            <v>1.5519306666666701</v>
          </cell>
          <cell r="I1550">
            <v>0</v>
          </cell>
          <cell r="J1550">
            <v>0</v>
          </cell>
          <cell r="K1550">
            <v>1.7163306666666702</v>
          </cell>
          <cell r="L1550">
            <v>1.8879637333333374</v>
          </cell>
          <cell r="M1550">
            <v>3775.9274666666747</v>
          </cell>
        </row>
        <row r="1551">
          <cell r="A1551" t="str">
            <v>A07</v>
          </cell>
          <cell r="B1551" t="str">
            <v>Empuje de material d&lt;60m</v>
          </cell>
          <cell r="C1551" t="str">
            <v>m3</v>
          </cell>
          <cell r="D1551">
            <v>2000</v>
          </cell>
          <cell r="E1551">
            <v>1.1000000000000001</v>
          </cell>
          <cell r="F1551">
            <v>1.2500000000000001E-2</v>
          </cell>
          <cell r="G1551">
            <v>6.0562499999999998E-2</v>
          </cell>
          <cell r="H1551">
            <v>0.50302812500000005</v>
          </cell>
          <cell r="I1551">
            <v>0</v>
          </cell>
          <cell r="J1551">
            <v>0</v>
          </cell>
          <cell r="K1551">
            <v>0.56359062500000001</v>
          </cell>
          <cell r="L1551">
            <v>0.61994968750000001</v>
          </cell>
          <cell r="M1551">
            <v>1239.899375</v>
          </cell>
        </row>
        <row r="1552">
          <cell r="A1552" t="str">
            <v>A08</v>
          </cell>
          <cell r="B1552" t="str">
            <v>Relleno masivo compactado</v>
          </cell>
          <cell r="C1552" t="str">
            <v>m3</v>
          </cell>
          <cell r="D1552">
            <v>2000</v>
          </cell>
          <cell r="E1552">
            <v>1</v>
          </cell>
          <cell r="F1552">
            <v>4.2499999999999996E-2</v>
          </cell>
          <cell r="G1552">
            <v>0.22367500000000001</v>
          </cell>
          <cell r="H1552">
            <v>1.49118375</v>
          </cell>
          <cell r="I1552">
            <v>0</v>
          </cell>
          <cell r="J1552">
            <v>0</v>
          </cell>
          <cell r="K1552">
            <v>1.7148587500000001</v>
          </cell>
          <cell r="L1552">
            <v>1.7148587500000001</v>
          </cell>
          <cell r="M1552">
            <v>3429.7175000000002</v>
          </cell>
        </row>
        <row r="1553">
          <cell r="A1553" t="str">
            <v>3.01.d</v>
          </cell>
          <cell r="B1553" t="str">
            <v>Same as in (b), except loading and hauling of material within 1000 meters from point of origin</v>
          </cell>
          <cell r="C1553" t="str">
            <v>m3</v>
          </cell>
          <cell r="D1553">
            <v>1000</v>
          </cell>
          <cell r="F1553">
            <v>110.00250455373404</v>
          </cell>
          <cell r="G1553">
            <v>0.5721494740437163</v>
          </cell>
          <cell r="H1553">
            <v>4.1702698581511868</v>
          </cell>
          <cell r="I1553">
            <v>0</v>
          </cell>
          <cell r="J1553">
            <v>0</v>
          </cell>
          <cell r="L1553">
            <v>4.74</v>
          </cell>
          <cell r="M1553">
            <v>4740</v>
          </cell>
        </row>
        <row r="1554">
          <cell r="A1554" t="str">
            <v>A14</v>
          </cell>
          <cell r="B1554" t="str">
            <v>Remoción de Material grueso volado</v>
          </cell>
          <cell r="C1554" t="str">
            <v>m3</v>
          </cell>
          <cell r="D1554">
            <v>1000</v>
          </cell>
          <cell r="E1554">
            <v>1.095</v>
          </cell>
          <cell r="F1554">
            <v>2.5000000000000001E-2</v>
          </cell>
          <cell r="G1554">
            <v>0.12475</v>
          </cell>
          <cell r="H1554">
            <v>1.11859166666667</v>
          </cell>
          <cell r="I1554">
            <v>0</v>
          </cell>
          <cell r="J1554">
            <v>0</v>
          </cell>
          <cell r="K1554">
            <v>1.2433416666666699</v>
          </cell>
          <cell r="L1554">
            <v>1.3614591250000034</v>
          </cell>
          <cell r="M1554">
            <v>1361.4591250000035</v>
          </cell>
        </row>
        <row r="1555">
          <cell r="A1555" t="str">
            <v>A43</v>
          </cell>
          <cell r="B1555" t="str">
            <v>Carguío de roca volada con excavadora</v>
          </cell>
          <cell r="C1555" t="str">
            <v>m3</v>
          </cell>
          <cell r="D1555">
            <v>1000</v>
          </cell>
          <cell r="E1555">
            <v>1.1000000000000001</v>
          </cell>
          <cell r="F1555">
            <v>8.1967213114754103E-3</v>
          </cell>
          <cell r="G1555">
            <v>4.3278688524589999E-2</v>
          </cell>
          <cell r="H1555">
            <v>0.58667213114754102</v>
          </cell>
          <cell r="I1555">
            <v>0</v>
          </cell>
          <cell r="J1555">
            <v>0</v>
          </cell>
          <cell r="K1555">
            <v>0.62995081967213107</v>
          </cell>
          <cell r="L1555">
            <v>0.69294590163934422</v>
          </cell>
          <cell r="M1555">
            <v>692.94590163934424</v>
          </cell>
        </row>
        <row r="1556">
          <cell r="A1556" t="str">
            <v>A08</v>
          </cell>
          <cell r="B1556" t="str">
            <v>Relleno masivo compactado</v>
          </cell>
          <cell r="C1556" t="str">
            <v>m3</v>
          </cell>
          <cell r="D1556">
            <v>1000</v>
          </cell>
          <cell r="E1556">
            <v>1</v>
          </cell>
          <cell r="F1556">
            <v>4.2499999999999996E-2</v>
          </cell>
          <cell r="G1556">
            <v>0.22367500000000001</v>
          </cell>
          <cell r="H1556">
            <v>1.49118375</v>
          </cell>
          <cell r="I1556">
            <v>0</v>
          </cell>
          <cell r="J1556">
            <v>0</v>
          </cell>
          <cell r="K1556">
            <v>1.7148587500000001</v>
          </cell>
          <cell r="L1556">
            <v>1.7148587500000001</v>
          </cell>
          <cell r="M1556">
            <v>1714.8587500000001</v>
          </cell>
        </row>
        <row r="1557">
          <cell r="A1557" t="str">
            <v>A04</v>
          </cell>
          <cell r="B1557" t="str">
            <v>Acarreo d&lt;1km (sin esponj)</v>
          </cell>
          <cell r="C1557" t="str">
            <v>m3</v>
          </cell>
          <cell r="D1557">
            <v>1000</v>
          </cell>
          <cell r="E1557">
            <v>1.6</v>
          </cell>
          <cell r="F1557">
            <v>1.9444444444444441E-2</v>
          </cell>
          <cell r="G1557">
            <v>0.102666666666667</v>
          </cell>
          <cell r="H1557">
            <v>0.50555555555555498</v>
          </cell>
          <cell r="I1557">
            <v>0</v>
          </cell>
          <cell r="J1557">
            <v>0</v>
          </cell>
          <cell r="K1557">
            <v>0.608222222222222</v>
          </cell>
          <cell r="L1557">
            <v>0.97315555555555522</v>
          </cell>
          <cell r="M1557">
            <v>973.15555555555522</v>
          </cell>
        </row>
        <row r="1558">
          <cell r="A1558" t="str">
            <v>3.01.e</v>
          </cell>
          <cell r="B1558" t="str">
            <v xml:space="preserve">0.13 thick Granular C surfacing (only where absolutely required) </v>
          </cell>
          <cell r="C1558" t="str">
            <v>ml</v>
          </cell>
          <cell r="D1558">
            <v>1000</v>
          </cell>
          <cell r="F1558">
            <v>134.12698412698413</v>
          </cell>
          <cell r="G1558">
            <v>0.69265476190476183</v>
          </cell>
          <cell r="H1558">
            <v>3.2826844444444458</v>
          </cell>
          <cell r="I1558">
            <v>3.5510999999999999</v>
          </cell>
          <cell r="J1558">
            <v>0</v>
          </cell>
          <cell r="L1558">
            <v>7.53</v>
          </cell>
          <cell r="M1558">
            <v>7530</v>
          </cell>
        </row>
        <row r="1559">
          <cell r="A1559" t="str">
            <v>A17</v>
          </cell>
          <cell r="B1559" t="str">
            <v>Suministro de material granular C</v>
          </cell>
          <cell r="C1559" t="str">
            <v>m3</v>
          </cell>
          <cell r="D1559">
            <v>1000</v>
          </cell>
          <cell r="E1559">
            <v>1.246</v>
          </cell>
          <cell r="F1559">
            <v>0</v>
          </cell>
          <cell r="G1559">
            <v>0</v>
          </cell>
          <cell r="H1559">
            <v>0</v>
          </cell>
          <cell r="I1559">
            <v>2.85</v>
          </cell>
          <cell r="J1559">
            <v>0</v>
          </cell>
          <cell r="K1559">
            <v>2.85</v>
          </cell>
          <cell r="L1559">
            <v>3.5510999999999999</v>
          </cell>
          <cell r="M1559">
            <v>3551.1</v>
          </cell>
        </row>
        <row r="1560">
          <cell r="A1560" t="str">
            <v>A18</v>
          </cell>
          <cell r="B1560" t="str">
            <v>Colocación y compactación Mat Granular C</v>
          </cell>
          <cell r="C1560" t="str">
            <v>m3</v>
          </cell>
          <cell r="D1560">
            <v>1000</v>
          </cell>
          <cell r="E1560">
            <v>1</v>
          </cell>
          <cell r="F1560">
            <v>8.9285714285714274E-2</v>
          </cell>
          <cell r="G1560">
            <v>0.45589285714285699</v>
          </cell>
          <cell r="H1560">
            <v>2.1146428571428602</v>
          </cell>
          <cell r="I1560">
            <v>0</v>
          </cell>
          <cell r="J1560">
            <v>0</v>
          </cell>
          <cell r="K1560">
            <v>2.5705357142857173</v>
          </cell>
          <cell r="L1560">
            <v>2.5705357142857173</v>
          </cell>
          <cell r="M1560">
            <v>2570.5357142857174</v>
          </cell>
        </row>
        <row r="1561">
          <cell r="A1561" t="str">
            <v>A04</v>
          </cell>
          <cell r="B1561" t="str">
            <v>Acarreo d&lt;1km (sin esponj)</v>
          </cell>
          <cell r="C1561" t="str">
            <v>m3</v>
          </cell>
          <cell r="D1561">
            <v>1000</v>
          </cell>
          <cell r="E1561">
            <v>1.25</v>
          </cell>
          <cell r="F1561">
            <v>1.9444444444444441E-2</v>
          </cell>
          <cell r="G1561">
            <v>0.102666666666667</v>
          </cell>
          <cell r="H1561">
            <v>0.50555555555555498</v>
          </cell>
          <cell r="I1561">
            <v>0</v>
          </cell>
          <cell r="J1561">
            <v>0</v>
          </cell>
          <cell r="K1561">
            <v>0.608222222222222</v>
          </cell>
          <cell r="L1561">
            <v>0.7602777777777775</v>
          </cell>
          <cell r="M1561">
            <v>760.27777777777749</v>
          </cell>
        </row>
        <row r="1562">
          <cell r="A1562" t="str">
            <v>A05</v>
          </cell>
          <cell r="B1562" t="str">
            <v>Sobreacarreo (d&gt;1km) (sin esponj)</v>
          </cell>
          <cell r="C1562" t="str">
            <v>m3-km</v>
          </cell>
          <cell r="D1562">
            <v>1840</v>
          </cell>
          <cell r="E1562">
            <v>1.25</v>
          </cell>
          <cell r="F1562">
            <v>8.9285714285714263E-3</v>
          </cell>
          <cell r="G1562">
            <v>4.7142857142857E-2</v>
          </cell>
          <cell r="H1562">
            <v>0.23308571428571401</v>
          </cell>
          <cell r="I1562">
            <v>0</v>
          </cell>
          <cell r="J1562">
            <v>0</v>
          </cell>
          <cell r="K1562">
            <v>0.28022857142857105</v>
          </cell>
          <cell r="L1562">
            <v>0.35028571428571381</v>
          </cell>
          <cell r="M1562">
            <v>644.52571428571343</v>
          </cell>
        </row>
        <row r="1563">
          <cell r="A1563" t="str">
            <v>3.01.f</v>
          </cell>
          <cell r="B1563" t="str">
            <v>600 mm diameter culverts, 8m long</v>
          </cell>
          <cell r="C1563" t="str">
            <v>Each</v>
          </cell>
          <cell r="D1563">
            <v>2</v>
          </cell>
          <cell r="F1563">
            <v>448.3585779288245</v>
          </cell>
          <cell r="G1563">
            <v>754.48898225229698</v>
          </cell>
          <cell r="H1563">
            <v>923.29298396567322</v>
          </cell>
          <cell r="I1563">
            <v>489.64499999999998</v>
          </cell>
          <cell r="J1563">
            <v>238.05</v>
          </cell>
          <cell r="L1563">
            <v>2405.48</v>
          </cell>
          <cell r="M1563">
            <v>4810.96</v>
          </cell>
        </row>
        <row r="1564">
          <cell r="A1564" t="str">
            <v>A32</v>
          </cell>
          <cell r="B1564" t="str">
            <v>Alcantarillas 600mm</v>
          </cell>
          <cell r="C1564" t="str">
            <v>ml</v>
          </cell>
          <cell r="D1564">
            <v>16.2</v>
          </cell>
          <cell r="E1564">
            <v>1</v>
          </cell>
          <cell r="F1564">
            <v>6.666666666666667</v>
          </cell>
          <cell r="G1564">
            <v>21.566666666666698</v>
          </cell>
          <cell r="H1564">
            <v>1.07833333333333</v>
          </cell>
          <cell r="I1564">
            <v>50</v>
          </cell>
          <cell r="J1564">
            <v>0</v>
          </cell>
          <cell r="K1564">
            <v>72.645000000000024</v>
          </cell>
          <cell r="L1564">
            <v>72.645000000000024</v>
          </cell>
          <cell r="M1564">
            <v>1176.8490000000004</v>
          </cell>
        </row>
        <row r="1565">
          <cell r="A1565" t="str">
            <v>A21</v>
          </cell>
          <cell r="B1565" t="str">
            <v>Excavación y perfilado de zanjas</v>
          </cell>
          <cell r="C1565" t="str">
            <v>m3</v>
          </cell>
          <cell r="D1565">
            <v>138</v>
          </cell>
          <cell r="E1565">
            <v>1</v>
          </cell>
          <cell r="F1565">
            <v>1.2887346226726417</v>
          </cell>
          <cell r="G1565">
            <v>4.4896263901299003</v>
          </cell>
          <cell r="H1565">
            <v>6.5119556758310146</v>
          </cell>
          <cell r="I1565">
            <v>0</v>
          </cell>
          <cell r="J1565">
            <v>3.45</v>
          </cell>
          <cell r="K1565">
            <v>14.451582065960915</v>
          </cell>
          <cell r="L1565">
            <v>14.451582065960915</v>
          </cell>
          <cell r="M1565">
            <v>1994.3183251026062</v>
          </cell>
        </row>
        <row r="1566">
          <cell r="A1566" t="str">
            <v>A29</v>
          </cell>
          <cell r="B1566" t="str">
            <v>Relleno localizado tipo A</v>
          </cell>
          <cell r="C1566" t="str">
            <v>m3</v>
          </cell>
          <cell r="D1566">
            <v>54</v>
          </cell>
          <cell r="E1566">
            <v>1</v>
          </cell>
          <cell r="F1566">
            <v>1.3416666666666666</v>
          </cell>
          <cell r="G1566">
            <v>4.5181666666666702</v>
          </cell>
          <cell r="H1566">
            <v>8.3767083333333332</v>
          </cell>
          <cell r="I1566">
            <v>3.1349999999999998</v>
          </cell>
          <cell r="J1566">
            <v>0</v>
          </cell>
          <cell r="K1566">
            <v>16.029875000000004</v>
          </cell>
          <cell r="L1566">
            <v>16.029875000000004</v>
          </cell>
          <cell r="M1566">
            <v>865.61325000000022</v>
          </cell>
        </row>
        <row r="1567">
          <cell r="A1567" t="str">
            <v>A27</v>
          </cell>
          <cell r="B1567" t="str">
            <v>Relleno estructural</v>
          </cell>
          <cell r="C1567" t="str">
            <v>m3</v>
          </cell>
          <cell r="D1567">
            <v>69.951999999999998</v>
          </cell>
          <cell r="E1567">
            <v>1</v>
          </cell>
          <cell r="F1567">
            <v>1.2875000000000001</v>
          </cell>
          <cell r="G1567">
            <v>4.2321666666666697</v>
          </cell>
          <cell r="H1567">
            <v>6.8350416666666636</v>
          </cell>
          <cell r="I1567">
            <v>0</v>
          </cell>
          <cell r="J1567">
            <v>0</v>
          </cell>
          <cell r="K1567">
            <v>11.067208333333333</v>
          </cell>
          <cell r="L1567">
            <v>11.067208333333333</v>
          </cell>
          <cell r="M1567">
            <v>774.17335733333334</v>
          </cell>
        </row>
        <row r="1568">
          <cell r="A1568" t="str">
            <v>3.01.g</v>
          </cell>
          <cell r="B1568" t="str">
            <v>Upgrade existing segments and maintain roads as required for duration of contract</v>
          </cell>
          <cell r="C1568" t="str">
            <v>Ls</v>
          </cell>
          <cell r="D1568">
            <v>1</v>
          </cell>
          <cell r="F1568">
            <v>2465.2063082578552</v>
          </cell>
          <cell r="G1568">
            <v>10562.058526559516</v>
          </cell>
          <cell r="H1568">
            <v>39647.497071796759</v>
          </cell>
          <cell r="I1568">
            <v>0</v>
          </cell>
          <cell r="J1568">
            <v>0</v>
          </cell>
          <cell r="L1568">
            <v>50209.56</v>
          </cell>
          <cell r="M1568">
            <v>50209.56</v>
          </cell>
        </row>
        <row r="1569">
          <cell r="A1569" t="str">
            <v>A47</v>
          </cell>
          <cell r="B1569" t="str">
            <v>Mantenimiento de Caminos</v>
          </cell>
          <cell r="C1569" t="str">
            <v>mes</v>
          </cell>
          <cell r="D1569">
            <v>6</v>
          </cell>
          <cell r="E1569">
            <v>1.0003735743655064</v>
          </cell>
          <cell r="F1569">
            <v>350</v>
          </cell>
          <cell r="G1569">
            <v>1453.2</v>
          </cell>
          <cell r="H1569">
            <v>5005.0568000000003</v>
          </cell>
          <cell r="I1569">
            <v>0</v>
          </cell>
          <cell r="J1569">
            <v>0</v>
          </cell>
          <cell r="K1569">
            <v>6458.2568000000001</v>
          </cell>
          <cell r="L1569">
            <v>6460.6694391863375</v>
          </cell>
          <cell r="M1569">
            <v>38764.016635118023</v>
          </cell>
        </row>
        <row r="1570">
          <cell r="A1570" t="str">
            <v>A48</v>
          </cell>
          <cell r="B1570" t="str">
            <v>Corte con tractor</v>
          </cell>
          <cell r="C1570" t="str">
            <v>m3</v>
          </cell>
          <cell r="D1570">
            <v>2000</v>
          </cell>
          <cell r="E1570">
            <v>1.0003735743655064</v>
          </cell>
          <cell r="F1570">
            <v>5.7142857142857141E-2</v>
          </cell>
          <cell r="G1570">
            <v>0.27685714285714302</v>
          </cell>
          <cell r="H1570">
            <v>1.175842857142857</v>
          </cell>
          <cell r="I1570">
            <v>0</v>
          </cell>
          <cell r="J1570">
            <v>0</v>
          </cell>
          <cell r="K1570">
            <v>1.4527000000000001</v>
          </cell>
          <cell r="L1570">
            <v>1.4532426914807712</v>
          </cell>
          <cell r="M1570">
            <v>2906.4853829615427</v>
          </cell>
        </row>
        <row r="1571">
          <cell r="A1571" t="str">
            <v>A49</v>
          </cell>
          <cell r="B1571" t="str">
            <v>Relleno con material propio</v>
          </cell>
          <cell r="C1571" t="str">
            <v>m3</v>
          </cell>
          <cell r="D1571">
            <v>2000</v>
          </cell>
          <cell r="E1571">
            <v>1.0003735743655064</v>
          </cell>
          <cell r="F1571">
            <v>8.4999999999999992E-2</v>
          </cell>
          <cell r="G1571">
            <v>0.44009999999999999</v>
          </cell>
          <cell r="H1571">
            <v>2.653105</v>
          </cell>
          <cell r="I1571">
            <v>0</v>
          </cell>
          <cell r="J1571">
            <v>0</v>
          </cell>
          <cell r="K1571">
            <v>3.0932050000000002</v>
          </cell>
          <cell r="L1571">
            <v>3.0943605420952567</v>
          </cell>
          <cell r="M1571">
            <v>6188.7210841905135</v>
          </cell>
        </row>
        <row r="1572">
          <cell r="A1572" t="str">
            <v>A50</v>
          </cell>
          <cell r="B1572" t="str">
            <v>Perfilado de subrasante</v>
          </cell>
          <cell r="C1572" t="str">
            <v>m2</v>
          </cell>
          <cell r="D1572">
            <v>7000</v>
          </cell>
          <cell r="E1572">
            <v>1.0003735743655064</v>
          </cell>
          <cell r="F1572">
            <v>1.1428571428571429E-2</v>
          </cell>
          <cell r="G1572">
            <v>5.7857142857143003E-2</v>
          </cell>
          <cell r="H1572">
            <v>0.27777925714285701</v>
          </cell>
          <cell r="I1572">
            <v>0</v>
          </cell>
          <cell r="J1572">
            <v>0</v>
          </cell>
          <cell r="K1572">
            <v>0.3356364</v>
          </cell>
          <cell r="L1572">
            <v>0.33576178515517086</v>
          </cell>
          <cell r="M1572">
            <v>2350.332496086196</v>
          </cell>
        </row>
        <row r="1573">
          <cell r="A1573" t="str">
            <v>3.02</v>
          </cell>
          <cell r="B1573" t="str">
            <v>CONSTRUCT SEGMENTS OF "FIELD RUN" LINK ROADS FOR CONSTRUCTION ACROSS THE HEAP LEACH AREA AS DIRECTED BY CONSTRUCTION MANAGER - FROM MINE ACCESS ROAD TO "PRIMARY CRUSHER STOCKPILE" AND  TO ACCESS ROAD TO THE GRANULAR MATERIALS STOCKPILE SOURCE (APPROX. 215</v>
          </cell>
        </row>
        <row r="1574">
          <cell r="A1574" t="str">
            <v>3.02.a</v>
          </cell>
          <cell r="B1574" t="str">
            <v xml:space="preserve">Strip &amp; dispose organic/unsuitable soil to Heap Leach Unsuitable Material Stockpile </v>
          </cell>
          <cell r="C1574" t="str">
            <v>m3</v>
          </cell>
          <cell r="D1574">
            <v>2700</v>
          </cell>
          <cell r="F1574">
            <v>179.46222527472526</v>
          </cell>
          <cell r="G1574">
            <v>0.34597692307692324</v>
          </cell>
          <cell r="H1574">
            <v>2.4538192673992669</v>
          </cell>
          <cell r="I1574">
            <v>0</v>
          </cell>
          <cell r="J1574">
            <v>0</v>
          </cell>
          <cell r="L1574">
            <v>2.8</v>
          </cell>
          <cell r="M1574">
            <v>7560</v>
          </cell>
        </row>
        <row r="1575">
          <cell r="A1575" t="str">
            <v>A01</v>
          </cell>
          <cell r="B1575" t="str">
            <v>Excavación de Topsoil y Unsuitable (e&gt;1m)</v>
          </cell>
          <cell r="C1575" t="str">
            <v>m3</v>
          </cell>
          <cell r="D1575">
            <v>2700</v>
          </cell>
          <cell r="E1575">
            <v>1</v>
          </cell>
          <cell r="F1575">
            <v>1.7142857142857144E-2</v>
          </cell>
          <cell r="G1575">
            <v>8.5542857142857004E-2</v>
          </cell>
          <cell r="H1575">
            <v>0.81924857142857199</v>
          </cell>
          <cell r="I1575">
            <v>0</v>
          </cell>
          <cell r="J1575">
            <v>0</v>
          </cell>
          <cell r="K1575">
            <v>0.90479142857142902</v>
          </cell>
          <cell r="L1575">
            <v>0.90479142857142902</v>
          </cell>
          <cell r="M1575">
            <v>2442.9368571428586</v>
          </cell>
        </row>
        <row r="1576">
          <cell r="A1576" t="str">
            <v>A02</v>
          </cell>
          <cell r="B1576" t="str">
            <v>Excavación de Topsoil y Unsuitable (e&lt;1m)</v>
          </cell>
          <cell r="C1576" t="str">
            <v>m3</v>
          </cell>
          <cell r="D1576">
            <v>0</v>
          </cell>
          <cell r="E1576">
            <v>1</v>
          </cell>
          <cell r="F1576">
            <v>1.4285714285714285E-2</v>
          </cell>
          <cell r="G1576">
            <v>6.9214285714286006E-2</v>
          </cell>
          <cell r="H1576">
            <v>0.57488928571428499</v>
          </cell>
          <cell r="I1576">
            <v>0</v>
          </cell>
          <cell r="J1576">
            <v>0</v>
          </cell>
          <cell r="K1576">
            <v>0.644103571428571</v>
          </cell>
          <cell r="L1576">
            <v>0.644103571428571</v>
          </cell>
          <cell r="M1576">
            <v>0</v>
          </cell>
        </row>
        <row r="1577">
          <cell r="A1577" t="str">
            <v>A03</v>
          </cell>
          <cell r="B1577" t="str">
            <v>Carguío de Topsoil &amp; Unsuitable con excavadora</v>
          </cell>
          <cell r="C1577" t="str">
            <v>m3</v>
          </cell>
          <cell r="D1577">
            <v>2700</v>
          </cell>
          <cell r="E1577">
            <v>1</v>
          </cell>
          <cell r="F1577">
            <v>1.3461538461538462E-2</v>
          </cell>
          <cell r="G1577">
            <v>7.1076923076922996E-2</v>
          </cell>
          <cell r="H1577">
            <v>0.70142307692307704</v>
          </cell>
          <cell r="I1577">
            <v>0</v>
          </cell>
          <cell r="J1577">
            <v>0</v>
          </cell>
          <cell r="K1577">
            <v>0.77250000000000008</v>
          </cell>
          <cell r="L1577">
            <v>0.77250000000000008</v>
          </cell>
          <cell r="M1577">
            <v>2085.75</v>
          </cell>
        </row>
        <row r="1578">
          <cell r="A1578" t="str">
            <v>A04</v>
          </cell>
          <cell r="B1578" t="str">
            <v>Acarreo d&lt;1km (sin esponj)</v>
          </cell>
          <cell r="C1578" t="str">
            <v>m3</v>
          </cell>
          <cell r="D1578">
            <v>2700</v>
          </cell>
          <cell r="E1578">
            <v>1.5</v>
          </cell>
          <cell r="F1578">
            <v>1.9444444444444441E-2</v>
          </cell>
          <cell r="G1578">
            <v>0.102666666666667</v>
          </cell>
          <cell r="H1578">
            <v>0.50555555555555498</v>
          </cell>
          <cell r="I1578">
            <v>0</v>
          </cell>
          <cell r="J1578">
            <v>0</v>
          </cell>
          <cell r="K1578">
            <v>0.608222222222222</v>
          </cell>
          <cell r="L1578">
            <v>0.912333333333333</v>
          </cell>
          <cell r="M1578">
            <v>2463.2999999999993</v>
          </cell>
        </row>
        <row r="1579">
          <cell r="A1579" t="str">
            <v>A05</v>
          </cell>
          <cell r="B1579" t="str">
            <v>Sobreacarreo (d&gt;1km) (sin esponj)</v>
          </cell>
          <cell r="C1579" t="str">
            <v>m3-km</v>
          </cell>
          <cell r="D1579">
            <v>1350</v>
          </cell>
          <cell r="E1579">
            <v>1.5</v>
          </cell>
          <cell r="F1579">
            <v>8.9285714285714263E-3</v>
          </cell>
          <cell r="G1579">
            <v>4.7142857142857E-2</v>
          </cell>
          <cell r="H1579">
            <v>0.23308571428571401</v>
          </cell>
          <cell r="I1579">
            <v>0</v>
          </cell>
          <cell r="J1579">
            <v>0</v>
          </cell>
          <cell r="K1579">
            <v>0.28022857142857105</v>
          </cell>
          <cell r="L1579">
            <v>0.42034285714285657</v>
          </cell>
          <cell r="M1579">
            <v>567.46285714285636</v>
          </cell>
        </row>
        <row r="1580">
          <cell r="A1580" t="str">
            <v>3.02.b</v>
          </cell>
          <cell r="B1580" t="str">
            <v>Drill and blast rock without limit on thickness of rock (to fragment size suitable for road fill).</v>
          </cell>
          <cell r="C1580" t="str">
            <v>m3</v>
          </cell>
          <cell r="D1580">
            <v>1000</v>
          </cell>
          <cell r="F1580">
            <v>83.310789049919492</v>
          </cell>
          <cell r="G1580">
            <v>0</v>
          </cell>
          <cell r="H1580">
            <v>0</v>
          </cell>
          <cell r="I1580">
            <v>0</v>
          </cell>
          <cell r="J1580">
            <v>3.0328000000000004</v>
          </cell>
          <cell r="L1580">
            <v>3.03</v>
          </cell>
          <cell r="M1580">
            <v>3030</v>
          </cell>
        </row>
        <row r="1581">
          <cell r="A1581" t="str">
            <v>A11</v>
          </cell>
          <cell r="B1581" t="str">
            <v>Perforación y voladura masiva (material fino)</v>
          </cell>
          <cell r="C1581" t="str">
            <v>m3</v>
          </cell>
          <cell r="D1581">
            <v>1000</v>
          </cell>
          <cell r="F1581">
            <v>7.4718196457326899E-2</v>
          </cell>
          <cell r="G1581">
            <v>0</v>
          </cell>
          <cell r="H1581">
            <v>0</v>
          </cell>
          <cell r="I1581">
            <v>0</v>
          </cell>
          <cell r="J1581">
            <v>2.78</v>
          </cell>
          <cell r="K1581">
            <v>2.78</v>
          </cell>
          <cell r="L1581">
            <v>0</v>
          </cell>
          <cell r="M1581">
            <v>0</v>
          </cell>
        </row>
        <row r="1582">
          <cell r="A1582" t="str">
            <v>A12</v>
          </cell>
          <cell r="B1582" t="str">
            <v>Perforación y voladura masiva (material grueso)</v>
          </cell>
          <cell r="C1582" t="str">
            <v>m3</v>
          </cell>
          <cell r="D1582">
            <v>1000</v>
          </cell>
          <cell r="E1582">
            <v>1.115</v>
          </cell>
          <cell r="F1582">
            <v>7.4718196457326899E-2</v>
          </cell>
          <cell r="G1582">
            <v>0</v>
          </cell>
          <cell r="H1582">
            <v>0</v>
          </cell>
          <cell r="I1582">
            <v>0</v>
          </cell>
          <cell r="J1582">
            <v>2.72</v>
          </cell>
          <cell r="K1582">
            <v>2.72</v>
          </cell>
          <cell r="L1582">
            <v>3.0328000000000004</v>
          </cell>
          <cell r="M1582">
            <v>3032.8</v>
          </cell>
        </row>
        <row r="1583">
          <cell r="A1583" t="str">
            <v>3.02.c</v>
          </cell>
          <cell r="B1583" t="str">
            <v>Cut and Fill (including roadside ditches) in Soil, Ripable Rock, or Blast Rock within the work zone of this road, material moved 60m from origin, no truck hauling</v>
          </cell>
          <cell r="C1583" t="str">
            <v>m3</v>
          </cell>
          <cell r="D1583">
            <v>2500</v>
          </cell>
          <cell r="F1583">
            <v>232.29166666666669</v>
          </cell>
          <cell r="G1583">
            <v>0.47113374999999996</v>
          </cell>
          <cell r="H1583">
            <v>3.7516384208333373</v>
          </cell>
          <cell r="I1583">
            <v>0</v>
          </cell>
          <cell r="J1583">
            <v>0</v>
          </cell>
          <cell r="L1583">
            <v>4.22</v>
          </cell>
          <cell r="M1583">
            <v>10550</v>
          </cell>
        </row>
        <row r="1584">
          <cell r="A1584" t="str">
            <v>A06</v>
          </cell>
          <cell r="B1584" t="str">
            <v>Excavación de roca ripeable</v>
          </cell>
          <cell r="C1584" t="str">
            <v>m3</v>
          </cell>
          <cell r="D1584">
            <v>2500</v>
          </cell>
          <cell r="E1584">
            <v>1.1000000000000001</v>
          </cell>
          <cell r="F1584">
            <v>3.3333333333333333E-2</v>
          </cell>
          <cell r="G1584">
            <v>0.16439999999999999</v>
          </cell>
          <cell r="H1584">
            <v>1.5519306666666701</v>
          </cell>
          <cell r="I1584">
            <v>0</v>
          </cell>
          <cell r="J1584">
            <v>0</v>
          </cell>
          <cell r="K1584">
            <v>1.7163306666666702</v>
          </cell>
          <cell r="L1584">
            <v>1.8879637333333374</v>
          </cell>
          <cell r="M1584">
            <v>4719.909333333344</v>
          </cell>
        </row>
        <row r="1585">
          <cell r="A1585" t="str">
            <v>A07</v>
          </cell>
          <cell r="B1585" t="str">
            <v>Empuje de material d&lt;60m</v>
          </cell>
          <cell r="C1585" t="str">
            <v>m3</v>
          </cell>
          <cell r="D1585">
            <v>2500</v>
          </cell>
          <cell r="E1585">
            <v>1.1000000000000001</v>
          </cell>
          <cell r="F1585">
            <v>1.2500000000000001E-2</v>
          </cell>
          <cell r="G1585">
            <v>6.0562499999999998E-2</v>
          </cell>
          <cell r="H1585">
            <v>0.50302812500000005</v>
          </cell>
          <cell r="I1585">
            <v>0</v>
          </cell>
          <cell r="J1585">
            <v>0</v>
          </cell>
          <cell r="K1585">
            <v>0.56359062500000001</v>
          </cell>
          <cell r="L1585">
            <v>0.61994968750000001</v>
          </cell>
          <cell r="M1585">
            <v>1549.87421875</v>
          </cell>
        </row>
        <row r="1586">
          <cell r="A1586" t="str">
            <v>A08</v>
          </cell>
          <cell r="B1586" t="str">
            <v>Relleno masivo compactado</v>
          </cell>
          <cell r="C1586" t="str">
            <v>m3</v>
          </cell>
          <cell r="D1586">
            <v>2500</v>
          </cell>
          <cell r="E1586">
            <v>1</v>
          </cell>
          <cell r="F1586">
            <v>4.2499999999999996E-2</v>
          </cell>
          <cell r="G1586">
            <v>0.22367500000000001</v>
          </cell>
          <cell r="H1586">
            <v>1.49118375</v>
          </cell>
          <cell r="I1586">
            <v>0</v>
          </cell>
          <cell r="J1586">
            <v>0</v>
          </cell>
          <cell r="K1586">
            <v>1.7148587500000001</v>
          </cell>
          <cell r="L1586">
            <v>1.7148587500000001</v>
          </cell>
          <cell r="M1586">
            <v>4287.1468750000004</v>
          </cell>
        </row>
        <row r="1587">
          <cell r="A1587" t="str">
            <v>3.02.d</v>
          </cell>
          <cell r="B1587" t="str">
            <v>Same as in (b), except hauling within 1000 meters from point of origin</v>
          </cell>
          <cell r="C1587" t="str">
            <v>m3</v>
          </cell>
          <cell r="D1587">
            <v>1000</v>
          </cell>
          <cell r="F1587">
            <v>108.0580601092896</v>
          </cell>
          <cell r="G1587">
            <v>0.56188280737704954</v>
          </cell>
          <cell r="H1587">
            <v>4.1197143025956313</v>
          </cell>
          <cell r="I1587">
            <v>0</v>
          </cell>
          <cell r="J1587">
            <v>0</v>
          </cell>
          <cell r="L1587">
            <v>4.68</v>
          </cell>
          <cell r="M1587">
            <v>4680</v>
          </cell>
        </row>
        <row r="1588">
          <cell r="A1588" t="str">
            <v>A14</v>
          </cell>
          <cell r="B1588" t="str">
            <v>Remoción de Material grueso volado</v>
          </cell>
          <cell r="C1588" t="str">
            <v>m3</v>
          </cell>
          <cell r="D1588">
            <v>1000</v>
          </cell>
          <cell r="E1588">
            <v>1.095</v>
          </cell>
          <cell r="F1588">
            <v>2.5000000000000001E-2</v>
          </cell>
          <cell r="G1588">
            <v>0.12475</v>
          </cell>
          <cell r="H1588">
            <v>1.11859166666667</v>
          </cell>
          <cell r="I1588">
            <v>0</v>
          </cell>
          <cell r="J1588">
            <v>0</v>
          </cell>
          <cell r="K1588">
            <v>1.2433416666666699</v>
          </cell>
          <cell r="L1588">
            <v>1.3614591250000034</v>
          </cell>
          <cell r="M1588">
            <v>1361.4591250000035</v>
          </cell>
        </row>
        <row r="1589">
          <cell r="A1589" t="str">
            <v>A43</v>
          </cell>
          <cell r="B1589" t="str">
            <v>Carguío de roca volada con excavadora</v>
          </cell>
          <cell r="C1589" t="str">
            <v>m3</v>
          </cell>
          <cell r="D1589">
            <v>1000</v>
          </cell>
          <cell r="E1589">
            <v>1.1000000000000001</v>
          </cell>
          <cell r="F1589">
            <v>8.1967213114754103E-3</v>
          </cell>
          <cell r="G1589">
            <v>4.3278688524589999E-2</v>
          </cell>
          <cell r="H1589">
            <v>0.58667213114754102</v>
          </cell>
          <cell r="I1589">
            <v>0</v>
          </cell>
          <cell r="J1589">
            <v>0</v>
          </cell>
          <cell r="K1589">
            <v>0.62995081967213107</v>
          </cell>
          <cell r="L1589">
            <v>0.69294590163934422</v>
          </cell>
          <cell r="M1589">
            <v>692.94590163934424</v>
          </cell>
        </row>
        <row r="1590">
          <cell r="A1590" t="str">
            <v>A08</v>
          </cell>
          <cell r="B1590" t="str">
            <v>Relleno masivo compactado</v>
          </cell>
          <cell r="C1590" t="str">
            <v>m3</v>
          </cell>
          <cell r="D1590">
            <v>1000</v>
          </cell>
          <cell r="E1590">
            <v>1</v>
          </cell>
          <cell r="F1590">
            <v>4.2499999999999996E-2</v>
          </cell>
          <cell r="G1590">
            <v>0.22367500000000001</v>
          </cell>
          <cell r="H1590">
            <v>1.49118375</v>
          </cell>
          <cell r="I1590">
            <v>0</v>
          </cell>
          <cell r="J1590">
            <v>0</v>
          </cell>
          <cell r="K1590">
            <v>1.7148587500000001</v>
          </cell>
          <cell r="L1590">
            <v>1.7148587500000001</v>
          </cell>
          <cell r="M1590">
            <v>1714.8587500000001</v>
          </cell>
        </row>
        <row r="1591">
          <cell r="A1591" t="str">
            <v>A04</v>
          </cell>
          <cell r="B1591" t="str">
            <v>Acarreo d&lt;1km (sin esponj)</v>
          </cell>
          <cell r="C1591" t="str">
            <v>m3</v>
          </cell>
          <cell r="D1591">
            <v>1000</v>
          </cell>
          <cell r="E1591">
            <v>1.5</v>
          </cell>
          <cell r="F1591">
            <v>1.9444444444444441E-2</v>
          </cell>
          <cell r="G1591">
            <v>0.102666666666667</v>
          </cell>
          <cell r="H1591">
            <v>0.50555555555555498</v>
          </cell>
          <cell r="I1591">
            <v>0</v>
          </cell>
          <cell r="J1591">
            <v>0</v>
          </cell>
          <cell r="K1591">
            <v>0.608222222222222</v>
          </cell>
          <cell r="L1591">
            <v>0.912333333333333</v>
          </cell>
          <cell r="M1591">
            <v>912.33333333333303</v>
          </cell>
        </row>
        <row r="1592">
          <cell r="A1592" t="str">
            <v>3.02.e</v>
          </cell>
          <cell r="B1592" t="str">
            <v xml:space="preserve">0.13 thick Granular C surfacing (only where absolutely required) </v>
          </cell>
          <cell r="C1592" t="str">
            <v>ml</v>
          </cell>
          <cell r="D1592">
            <v>1400</v>
          </cell>
          <cell r="F1592">
            <v>196.52777777777777</v>
          </cell>
          <cell r="G1592">
            <v>0.72565476190476175</v>
          </cell>
          <cell r="H1592">
            <v>3.4458444444444463</v>
          </cell>
          <cell r="I1592">
            <v>3.5625</v>
          </cell>
          <cell r="J1592">
            <v>0</v>
          </cell>
          <cell r="L1592">
            <v>7.73</v>
          </cell>
          <cell r="M1592">
            <v>10822</v>
          </cell>
        </row>
        <row r="1593">
          <cell r="A1593" t="str">
            <v>A17</v>
          </cell>
          <cell r="B1593" t="str">
            <v>Suministro de material granular C</v>
          </cell>
          <cell r="C1593" t="str">
            <v>m3</v>
          </cell>
          <cell r="D1593">
            <v>1400</v>
          </cell>
          <cell r="E1593">
            <v>1.25</v>
          </cell>
          <cell r="F1593">
            <v>0</v>
          </cell>
          <cell r="G1593">
            <v>0</v>
          </cell>
          <cell r="H1593">
            <v>0</v>
          </cell>
          <cell r="I1593">
            <v>2.85</v>
          </cell>
          <cell r="J1593">
            <v>0</v>
          </cell>
          <cell r="K1593">
            <v>2.85</v>
          </cell>
          <cell r="L1593">
            <v>3.5625</v>
          </cell>
          <cell r="M1593">
            <v>4987.5</v>
          </cell>
        </row>
        <row r="1594">
          <cell r="A1594" t="str">
            <v>A18</v>
          </cell>
          <cell r="B1594" t="str">
            <v>Colocación y compactación Mat Granular C</v>
          </cell>
          <cell r="C1594" t="str">
            <v>m3</v>
          </cell>
          <cell r="D1594">
            <v>1400</v>
          </cell>
          <cell r="E1594">
            <v>1</v>
          </cell>
          <cell r="F1594">
            <v>8.9285714285714274E-2</v>
          </cell>
          <cell r="G1594">
            <v>0.45589285714285699</v>
          </cell>
          <cell r="H1594">
            <v>2.1146428571428602</v>
          </cell>
          <cell r="I1594">
            <v>0</v>
          </cell>
          <cell r="J1594">
            <v>0</v>
          </cell>
          <cell r="K1594">
            <v>2.5705357142857173</v>
          </cell>
          <cell r="L1594">
            <v>2.5705357142857173</v>
          </cell>
          <cell r="M1594">
            <v>3598.7500000000041</v>
          </cell>
        </row>
        <row r="1595">
          <cell r="A1595" t="str">
            <v>A04</v>
          </cell>
          <cell r="B1595" t="str">
            <v>Acarreo d&lt;1km (sin esponj)</v>
          </cell>
          <cell r="C1595" t="str">
            <v>m3</v>
          </cell>
          <cell r="D1595">
            <v>1400</v>
          </cell>
          <cell r="E1595">
            <v>1.25</v>
          </cell>
          <cell r="F1595">
            <v>1.9444444444444441E-2</v>
          </cell>
          <cell r="G1595">
            <v>0.102666666666667</v>
          </cell>
          <cell r="H1595">
            <v>0.50555555555555498</v>
          </cell>
          <cell r="I1595">
            <v>0</v>
          </cell>
          <cell r="J1595">
            <v>0</v>
          </cell>
          <cell r="K1595">
            <v>0.608222222222222</v>
          </cell>
          <cell r="L1595">
            <v>0.7602777777777775</v>
          </cell>
          <cell r="M1595">
            <v>1064.3888888888885</v>
          </cell>
        </row>
        <row r="1596">
          <cell r="A1596" t="str">
            <v>A05</v>
          </cell>
          <cell r="B1596" t="str">
            <v>Sobreacarreo (d&gt;1km) (sin esponj)</v>
          </cell>
          <cell r="C1596" t="str">
            <v>m3-km</v>
          </cell>
          <cell r="D1596">
            <v>3360</v>
          </cell>
          <cell r="E1596">
            <v>1.25</v>
          </cell>
          <cell r="F1596">
            <v>8.9285714285714263E-3</v>
          </cell>
          <cell r="G1596">
            <v>4.7142857142857E-2</v>
          </cell>
          <cell r="H1596">
            <v>0.23308571428571401</v>
          </cell>
          <cell r="I1596">
            <v>0</v>
          </cell>
          <cell r="J1596">
            <v>0</v>
          </cell>
          <cell r="K1596">
            <v>0.28022857142857105</v>
          </cell>
          <cell r="L1596">
            <v>0.35028571428571381</v>
          </cell>
          <cell r="M1596">
            <v>1176.9599999999984</v>
          </cell>
        </row>
        <row r="1597">
          <cell r="A1597" t="str">
            <v>3.02.f</v>
          </cell>
          <cell r="B1597" t="str">
            <v>600 mm diameter culverts, 8m long</v>
          </cell>
          <cell r="C1597" t="str">
            <v>Each</v>
          </cell>
          <cell r="D1597">
            <v>2</v>
          </cell>
          <cell r="F1597">
            <v>448.3585779288245</v>
          </cell>
          <cell r="G1597">
            <v>754.48898225229698</v>
          </cell>
          <cell r="H1597">
            <v>923.29298396567322</v>
          </cell>
          <cell r="I1597">
            <v>489.64499999999998</v>
          </cell>
          <cell r="J1597">
            <v>238.05</v>
          </cell>
          <cell r="L1597">
            <v>2405.48</v>
          </cell>
          <cell r="M1597">
            <v>4810.96</v>
          </cell>
        </row>
        <row r="1598">
          <cell r="A1598" t="str">
            <v>A32</v>
          </cell>
          <cell r="B1598" t="str">
            <v>Alcantarillas 600mm</v>
          </cell>
          <cell r="C1598" t="str">
            <v>ml</v>
          </cell>
          <cell r="D1598">
            <v>16.2</v>
          </cell>
          <cell r="E1598">
            <v>1</v>
          </cell>
          <cell r="F1598">
            <v>6.666666666666667</v>
          </cell>
          <cell r="G1598">
            <v>21.566666666666698</v>
          </cell>
          <cell r="H1598">
            <v>1.07833333333333</v>
          </cell>
          <cell r="I1598">
            <v>50</v>
          </cell>
          <cell r="J1598">
            <v>0</v>
          </cell>
          <cell r="K1598">
            <v>72.645000000000024</v>
          </cell>
          <cell r="L1598">
            <v>72.645000000000024</v>
          </cell>
          <cell r="M1598">
            <v>1176.8490000000004</v>
          </cell>
        </row>
        <row r="1599">
          <cell r="A1599" t="str">
            <v>A21</v>
          </cell>
          <cell r="B1599" t="str">
            <v>Excavación y perfilado de zanjas</v>
          </cell>
          <cell r="C1599" t="str">
            <v>m3</v>
          </cell>
          <cell r="D1599">
            <v>138</v>
          </cell>
          <cell r="E1599">
            <v>1</v>
          </cell>
          <cell r="F1599">
            <v>1.2887346226726417</v>
          </cell>
          <cell r="G1599">
            <v>4.4896263901299003</v>
          </cell>
          <cell r="H1599">
            <v>6.5119556758310146</v>
          </cell>
          <cell r="I1599">
            <v>0</v>
          </cell>
          <cell r="J1599">
            <v>3.45</v>
          </cell>
          <cell r="K1599">
            <v>14.451582065960915</v>
          </cell>
          <cell r="L1599">
            <v>14.451582065960915</v>
          </cell>
          <cell r="M1599">
            <v>1994.3183251026062</v>
          </cell>
        </row>
        <row r="1600">
          <cell r="A1600" t="str">
            <v>A29</v>
          </cell>
          <cell r="B1600" t="str">
            <v>Relleno localizado tipo A</v>
          </cell>
          <cell r="C1600" t="str">
            <v>m3</v>
          </cell>
          <cell r="D1600">
            <v>54</v>
          </cell>
          <cell r="E1600">
            <v>1</v>
          </cell>
          <cell r="F1600">
            <v>1.3416666666666666</v>
          </cell>
          <cell r="G1600">
            <v>4.5181666666666702</v>
          </cell>
          <cell r="H1600">
            <v>8.3767083333333332</v>
          </cell>
          <cell r="I1600">
            <v>3.1349999999999998</v>
          </cell>
          <cell r="J1600">
            <v>0</v>
          </cell>
          <cell r="K1600">
            <v>16.029875000000004</v>
          </cell>
          <cell r="L1600">
            <v>16.029875000000004</v>
          </cell>
          <cell r="M1600">
            <v>865.61325000000022</v>
          </cell>
        </row>
        <row r="1601">
          <cell r="A1601" t="str">
            <v>A27</v>
          </cell>
          <cell r="B1601" t="str">
            <v>Relleno estructural</v>
          </cell>
          <cell r="C1601" t="str">
            <v>m3</v>
          </cell>
          <cell r="D1601">
            <v>69.951999999999998</v>
          </cell>
          <cell r="E1601">
            <v>1</v>
          </cell>
          <cell r="F1601">
            <v>1.2875000000000001</v>
          </cell>
          <cell r="G1601">
            <v>4.2321666666666697</v>
          </cell>
          <cell r="H1601">
            <v>6.8350416666666636</v>
          </cell>
          <cell r="I1601">
            <v>0</v>
          </cell>
          <cell r="J1601">
            <v>0</v>
          </cell>
          <cell r="K1601">
            <v>11.067208333333333</v>
          </cell>
          <cell r="L1601">
            <v>11.067208333333333</v>
          </cell>
          <cell r="M1601">
            <v>774.17335733333334</v>
          </cell>
        </row>
        <row r="1602">
          <cell r="A1602" t="str">
            <v>3.02.g</v>
          </cell>
          <cell r="B1602" t="str">
            <v>Upgrade existing segments and maintain roads as required for duration of contract work</v>
          </cell>
          <cell r="C1602" t="str">
            <v>Ls</v>
          </cell>
          <cell r="D1602">
            <v>1</v>
          </cell>
          <cell r="F1602">
            <v>2989.5656693967985</v>
          </cell>
          <cell r="G1602">
            <v>13208.319938172554</v>
          </cell>
          <cell r="H1602">
            <v>53511.240061827455</v>
          </cell>
          <cell r="I1602">
            <v>0</v>
          </cell>
          <cell r="J1602">
            <v>0</v>
          </cell>
          <cell r="L1602">
            <v>66719.56</v>
          </cell>
          <cell r="M1602">
            <v>66719.56</v>
          </cell>
        </row>
        <row r="1603">
          <cell r="A1603" t="str">
            <v>A47</v>
          </cell>
          <cell r="B1603" t="str">
            <v>Mantenimiento de Caminos</v>
          </cell>
          <cell r="C1603" t="str">
            <v>mes</v>
          </cell>
          <cell r="D1603">
            <v>6</v>
          </cell>
          <cell r="E1603">
            <v>1.000571823369715</v>
          </cell>
          <cell r="F1603">
            <v>350</v>
          </cell>
          <cell r="G1603">
            <v>1453.2</v>
          </cell>
          <cell r="H1603">
            <v>5005.0568000000003</v>
          </cell>
          <cell r="I1603">
            <v>0</v>
          </cell>
          <cell r="J1603">
            <v>0</v>
          </cell>
          <cell r="K1603">
            <v>6458.2568000000001</v>
          </cell>
          <cell r="L1603">
            <v>6461.9497821658606</v>
          </cell>
          <cell r="M1603">
            <v>38771.698692995167</v>
          </cell>
        </row>
        <row r="1604">
          <cell r="A1604" t="str">
            <v>A48</v>
          </cell>
          <cell r="B1604" t="str">
            <v>Corte con tractor</v>
          </cell>
          <cell r="C1604" t="str">
            <v>m3</v>
          </cell>
          <cell r="D1604">
            <v>5000</v>
          </cell>
          <cell r="E1604">
            <v>1.000571823369715</v>
          </cell>
          <cell r="F1604">
            <v>5.7142857142857141E-2</v>
          </cell>
          <cell r="G1604">
            <v>0.27685714285714302</v>
          </cell>
          <cell r="H1604">
            <v>1.175842857142857</v>
          </cell>
          <cell r="I1604">
            <v>0</v>
          </cell>
          <cell r="J1604">
            <v>0</v>
          </cell>
          <cell r="K1604">
            <v>1.4527000000000001</v>
          </cell>
          <cell r="L1604">
            <v>1.4535306878091849</v>
          </cell>
          <cell r="M1604">
            <v>7267.6534390459246</v>
          </cell>
        </row>
        <row r="1605">
          <cell r="A1605" t="str">
            <v>A49</v>
          </cell>
          <cell r="B1605" t="str">
            <v>Relleno con material propio</v>
          </cell>
          <cell r="C1605" t="str">
            <v>m3</v>
          </cell>
          <cell r="D1605">
            <v>5000</v>
          </cell>
          <cell r="E1605">
            <v>1.000571823369715</v>
          </cell>
          <cell r="F1605">
            <v>8.4999999999999992E-2</v>
          </cell>
          <cell r="G1605">
            <v>0.44009999999999999</v>
          </cell>
          <cell r="H1605">
            <v>2.653105</v>
          </cell>
          <cell r="I1605">
            <v>0</v>
          </cell>
          <cell r="J1605">
            <v>0</v>
          </cell>
          <cell r="K1605">
            <v>3.0932050000000002</v>
          </cell>
          <cell r="L1605">
            <v>3.0949737669063193</v>
          </cell>
          <cell r="M1605">
            <v>15474.868834531597</v>
          </cell>
        </row>
        <row r="1606">
          <cell r="A1606" t="str">
            <v>A50</v>
          </cell>
          <cell r="B1606" t="str">
            <v>Perfilado de subrasante</v>
          </cell>
          <cell r="C1606" t="str">
            <v>m2</v>
          </cell>
          <cell r="D1606">
            <v>15500</v>
          </cell>
          <cell r="E1606">
            <v>1.000571823369715</v>
          </cell>
          <cell r="F1606">
            <v>1.1428571428571429E-2</v>
          </cell>
          <cell r="G1606">
            <v>5.7857142857143003E-2</v>
          </cell>
          <cell r="H1606">
            <v>0.27777925714285701</v>
          </cell>
          <cell r="I1606">
            <v>0</v>
          </cell>
          <cell r="J1606">
            <v>0</v>
          </cell>
          <cell r="K1606">
            <v>0.3356364</v>
          </cell>
          <cell r="L1606">
            <v>0.335828324737247</v>
          </cell>
          <cell r="M1606">
            <v>5205.3390334273281</v>
          </cell>
        </row>
        <row r="1607">
          <cell r="A1607" t="str">
            <v>3.03</v>
          </cell>
          <cell r="B1607" t="str">
            <v>TEMPORARY CONSTRUCTION ACCESS ROADS FOR THE PROCESS PLANT, ARD PLANT AND PONDS ACCESS ROADS SITES</v>
          </cell>
        </row>
        <row r="1608">
          <cell r="A1608" t="str">
            <v>3.03.a</v>
          </cell>
          <cell r="B1608" t="str">
            <v>Construct and maintain for the duration of contract work</v>
          </cell>
          <cell r="C1608" t="str">
            <v>Ls</v>
          </cell>
          <cell r="D1608">
            <v>1</v>
          </cell>
          <cell r="F1608">
            <v>2688.503998369632</v>
          </cell>
          <cell r="G1608">
            <v>11970.803462519609</v>
          </cell>
          <cell r="H1608">
            <v>56621.670350736858</v>
          </cell>
          <cell r="I1608">
            <v>2270.895</v>
          </cell>
          <cell r="J1608">
            <v>1434.8500000000001</v>
          </cell>
          <cell r="L1608">
            <v>72298.22</v>
          </cell>
          <cell r="M1608">
            <v>72298.22</v>
          </cell>
        </row>
        <row r="1609">
          <cell r="B1609" t="str">
            <v>Rehabilitación y mantenimiento de accesos</v>
          </cell>
          <cell r="C1609" t="str">
            <v>Ls</v>
          </cell>
          <cell r="D1609">
            <v>0.6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L1609">
            <v>0</v>
          </cell>
          <cell r="M1609">
            <v>40020.714</v>
          </cell>
        </row>
        <row r="1610">
          <cell r="A1610" t="str">
            <v>A47</v>
          </cell>
          <cell r="B1610" t="str">
            <v>Mantenimiento de Caminos</v>
          </cell>
          <cell r="C1610" t="str">
            <v>mes</v>
          </cell>
          <cell r="D1610">
            <v>6</v>
          </cell>
          <cell r="E1610">
            <v>0.60005863145244198</v>
          </cell>
          <cell r="F1610">
            <v>350</v>
          </cell>
          <cell r="G1610">
            <v>1453.2</v>
          </cell>
          <cell r="H1610">
            <v>5005.0568000000003</v>
          </cell>
          <cell r="I1610">
            <v>0</v>
          </cell>
          <cell r="J1610">
            <v>0</v>
          </cell>
          <cell r="K1610">
            <v>6458.2568000000001</v>
          </cell>
          <cell r="L1610">
            <v>3875.3327369764274</v>
          </cell>
          <cell r="M1610">
            <v>23251.996421858566</v>
          </cell>
        </row>
        <row r="1611">
          <cell r="A1611" t="str">
            <v>A48</v>
          </cell>
          <cell r="B1611" t="str">
            <v>Corte con tractor</v>
          </cell>
          <cell r="C1611" t="str">
            <v>m3</v>
          </cell>
          <cell r="D1611">
            <v>5000</v>
          </cell>
          <cell r="E1611">
            <v>0.60034309402182606</v>
          </cell>
          <cell r="F1611">
            <v>5.7142857142857141E-2</v>
          </cell>
          <cell r="G1611">
            <v>0.27685714285714302</v>
          </cell>
          <cell r="H1611">
            <v>1.175842857142857</v>
          </cell>
          <cell r="I1611">
            <v>0</v>
          </cell>
          <cell r="J1611">
            <v>0</v>
          </cell>
          <cell r="K1611">
            <v>1.4527000000000001</v>
          </cell>
          <cell r="L1611">
            <v>0.87211841268550683</v>
          </cell>
          <cell r="M1611">
            <v>4360.5920634275344</v>
          </cell>
        </row>
        <row r="1612">
          <cell r="A1612" t="str">
            <v>A49</v>
          </cell>
          <cell r="B1612" t="str">
            <v>Relleno con material propio</v>
          </cell>
          <cell r="C1612" t="str">
            <v>m3</v>
          </cell>
          <cell r="D1612">
            <v>5000</v>
          </cell>
          <cell r="E1612">
            <v>0.60034309402182606</v>
          </cell>
          <cell r="F1612">
            <v>8.4999999999999992E-2</v>
          </cell>
          <cell r="G1612">
            <v>0.44009999999999999</v>
          </cell>
          <cell r="H1612">
            <v>2.653105</v>
          </cell>
          <cell r="I1612">
            <v>0</v>
          </cell>
          <cell r="J1612">
            <v>0</v>
          </cell>
          <cell r="K1612">
            <v>3.0932050000000002</v>
          </cell>
          <cell r="L1612">
            <v>1.8569842601437827</v>
          </cell>
          <cell r="M1612">
            <v>9284.9213007189137</v>
          </cell>
        </row>
        <row r="1613">
          <cell r="A1613" t="str">
            <v>A50</v>
          </cell>
          <cell r="B1613" t="str">
            <v>Perfilado de subrasante</v>
          </cell>
          <cell r="C1613" t="str">
            <v>m2</v>
          </cell>
          <cell r="D1613">
            <v>15500</v>
          </cell>
          <cell r="E1613">
            <v>0.60034309402182606</v>
          </cell>
          <cell r="F1613">
            <v>1.1428571428571429E-2</v>
          </cell>
          <cell r="G1613">
            <v>5.7857142857143003E-2</v>
          </cell>
          <cell r="H1613">
            <v>0.27777925714285701</v>
          </cell>
          <cell r="I1613">
            <v>0</v>
          </cell>
          <cell r="J1613">
            <v>0</v>
          </cell>
          <cell r="K1613">
            <v>0.3356364</v>
          </cell>
          <cell r="L1613">
            <v>0.20149699484234723</v>
          </cell>
          <cell r="M1613">
            <v>3123.2034200563821</v>
          </cell>
        </row>
        <row r="1614">
          <cell r="B1614" t="str">
            <v>Excavación y eliminación de material orgánico/desechable</v>
          </cell>
          <cell r="C1614" t="str">
            <v>m3</v>
          </cell>
          <cell r="D1614">
            <v>2500</v>
          </cell>
          <cell r="L1614">
            <v>0</v>
          </cell>
          <cell r="M1614">
            <v>7000</v>
          </cell>
        </row>
        <row r="1615">
          <cell r="A1615" t="str">
            <v>A01</v>
          </cell>
          <cell r="B1615" t="str">
            <v>Excavación de Topsoil y Unsuitable (e&gt;1m)</v>
          </cell>
          <cell r="C1615" t="str">
            <v>m3</v>
          </cell>
          <cell r="D1615">
            <v>2500</v>
          </cell>
          <cell r="E1615">
            <v>1</v>
          </cell>
          <cell r="F1615">
            <v>1.7142857142857144E-2</v>
          </cell>
          <cell r="G1615">
            <v>8.5542857142857004E-2</v>
          </cell>
          <cell r="H1615">
            <v>0.81924857142857199</v>
          </cell>
          <cell r="I1615">
            <v>0</v>
          </cell>
          <cell r="J1615">
            <v>0</v>
          </cell>
          <cell r="K1615">
            <v>0.90479142857142902</v>
          </cell>
          <cell r="L1615">
            <v>0.90479142857142902</v>
          </cell>
          <cell r="M1615">
            <v>2261.9785714285726</v>
          </cell>
        </row>
        <row r="1616">
          <cell r="A1616" t="str">
            <v>A02</v>
          </cell>
          <cell r="B1616" t="str">
            <v>Excavación de Topsoil y Unsuitable (e&lt;1m)</v>
          </cell>
          <cell r="C1616" t="str">
            <v>m3</v>
          </cell>
          <cell r="F1616">
            <v>1.4285714285714285E-2</v>
          </cell>
          <cell r="G1616">
            <v>6.9214285714286006E-2</v>
          </cell>
          <cell r="H1616">
            <v>0.57488928571428499</v>
          </cell>
          <cell r="I1616">
            <v>0</v>
          </cell>
          <cell r="J1616">
            <v>0</v>
          </cell>
          <cell r="K1616">
            <v>0.644103571428571</v>
          </cell>
          <cell r="L1616">
            <v>0</v>
          </cell>
          <cell r="M1616">
            <v>0</v>
          </cell>
        </row>
        <row r="1617">
          <cell r="A1617" t="str">
            <v>A03</v>
          </cell>
          <cell r="B1617" t="str">
            <v>Carguío de Topsoil &amp; Unsuitable con excavadora</v>
          </cell>
          <cell r="C1617" t="str">
            <v>m3</v>
          </cell>
          <cell r="D1617">
            <v>2500</v>
          </cell>
          <cell r="E1617">
            <v>1</v>
          </cell>
          <cell r="F1617">
            <v>1.3461538461538462E-2</v>
          </cell>
          <cell r="G1617">
            <v>7.1076923076922996E-2</v>
          </cell>
          <cell r="H1617">
            <v>0.70142307692307704</v>
          </cell>
          <cell r="I1617">
            <v>0</v>
          </cell>
          <cell r="J1617">
            <v>0</v>
          </cell>
          <cell r="K1617">
            <v>0.77250000000000008</v>
          </cell>
          <cell r="L1617">
            <v>0.77250000000000008</v>
          </cell>
          <cell r="M1617">
            <v>1931.2500000000002</v>
          </cell>
        </row>
        <row r="1618">
          <cell r="A1618" t="str">
            <v>A04</v>
          </cell>
          <cell r="B1618" t="str">
            <v>Acarreo d&lt;1km (sin esponj)</v>
          </cell>
          <cell r="C1618" t="str">
            <v>m3</v>
          </cell>
          <cell r="D1618">
            <v>2500</v>
          </cell>
          <cell r="E1618">
            <v>1.5</v>
          </cell>
          <cell r="F1618">
            <v>1.9444444444444441E-2</v>
          </cell>
          <cell r="G1618">
            <v>0.102666666666667</v>
          </cell>
          <cell r="H1618">
            <v>0.50555555555555498</v>
          </cell>
          <cell r="I1618">
            <v>0</v>
          </cell>
          <cell r="J1618">
            <v>0</v>
          </cell>
          <cell r="K1618">
            <v>0.608222222222222</v>
          </cell>
          <cell r="L1618">
            <v>0.912333333333333</v>
          </cell>
          <cell r="M1618">
            <v>2280.8333333333326</v>
          </cell>
        </row>
        <row r="1619">
          <cell r="A1619" t="str">
            <v>A05</v>
          </cell>
          <cell r="B1619" t="str">
            <v>Sobreacarreo (d&gt;1km) (sin esponj)</v>
          </cell>
          <cell r="C1619" t="str">
            <v>m3-km</v>
          </cell>
          <cell r="D1619">
            <v>1250</v>
          </cell>
          <cell r="E1619">
            <v>1.5</v>
          </cell>
          <cell r="F1619">
            <v>8.9285714285714263E-3</v>
          </cell>
          <cell r="G1619">
            <v>4.7142857142857E-2</v>
          </cell>
          <cell r="H1619">
            <v>0.23308571428571401</v>
          </cell>
          <cell r="I1619">
            <v>0</v>
          </cell>
          <cell r="J1619">
            <v>0</v>
          </cell>
          <cell r="K1619">
            <v>0.28022857142857105</v>
          </cell>
          <cell r="L1619">
            <v>0.42034285714285657</v>
          </cell>
          <cell r="M1619">
            <v>525.42857142857076</v>
          </cell>
        </row>
        <row r="1620">
          <cell r="B1620" t="str">
            <v>Perforación y voladura</v>
          </cell>
          <cell r="C1620" t="str">
            <v>m3</v>
          </cell>
          <cell r="D1620">
            <v>400</v>
          </cell>
          <cell r="L1620">
            <v>0</v>
          </cell>
          <cell r="M1620">
            <v>1196</v>
          </cell>
        </row>
        <row r="1621">
          <cell r="A1621" t="str">
            <v>A11</v>
          </cell>
          <cell r="B1621" t="str">
            <v>Perforación y voladura masiva (material fino)</v>
          </cell>
          <cell r="C1621" t="str">
            <v>m3</v>
          </cell>
          <cell r="D1621">
            <v>400</v>
          </cell>
          <cell r="F1621">
            <v>7.4718196457326899E-2</v>
          </cell>
          <cell r="G1621">
            <v>0</v>
          </cell>
          <cell r="H1621">
            <v>0</v>
          </cell>
          <cell r="I1621">
            <v>0</v>
          </cell>
          <cell r="J1621">
            <v>2.78</v>
          </cell>
          <cell r="K1621">
            <v>2.78</v>
          </cell>
          <cell r="L1621">
            <v>0</v>
          </cell>
          <cell r="M1621">
            <v>0</v>
          </cell>
        </row>
        <row r="1622">
          <cell r="A1622" t="str">
            <v>A12</v>
          </cell>
          <cell r="B1622" t="str">
            <v>Perforación y voladura masiva (material grueso)</v>
          </cell>
          <cell r="C1622" t="str">
            <v>m3</v>
          </cell>
          <cell r="D1622">
            <v>400</v>
          </cell>
          <cell r="E1622">
            <v>1.1000000000000001</v>
          </cell>
          <cell r="F1622">
            <v>7.4718196457326899E-2</v>
          </cell>
          <cell r="G1622">
            <v>0</v>
          </cell>
          <cell r="H1622">
            <v>0</v>
          </cell>
          <cell r="I1622">
            <v>0</v>
          </cell>
          <cell r="J1622">
            <v>2.72</v>
          </cell>
          <cell r="K1622">
            <v>2.72</v>
          </cell>
          <cell r="L1622">
            <v>2.9920000000000004</v>
          </cell>
          <cell r="M1622">
            <v>1196.8000000000002</v>
          </cell>
        </row>
        <row r="1623">
          <cell r="B1623" t="str">
            <v>Corte y relleno en mat común, roca ripeable o roca volada en 60m</v>
          </cell>
          <cell r="C1623" t="str">
            <v>m2</v>
          </cell>
          <cell r="D1623">
            <v>2000</v>
          </cell>
          <cell r="L1623">
            <v>0</v>
          </cell>
          <cell r="M1623">
            <v>8440</v>
          </cell>
        </row>
        <row r="1624">
          <cell r="A1624" t="str">
            <v>A06</v>
          </cell>
          <cell r="B1624" t="str">
            <v>Excavación de roca ripeable</v>
          </cell>
          <cell r="C1624" t="str">
            <v>m3</v>
          </cell>
          <cell r="D1624">
            <v>2000</v>
          </cell>
          <cell r="E1624">
            <v>1.1000000000000001</v>
          </cell>
          <cell r="F1624">
            <v>3.3333333333333333E-2</v>
          </cell>
          <cell r="G1624">
            <v>0.16439999999999999</v>
          </cell>
          <cell r="H1624">
            <v>1.5519306666666701</v>
          </cell>
          <cell r="I1624">
            <v>0</v>
          </cell>
          <cell r="J1624">
            <v>0</v>
          </cell>
          <cell r="K1624">
            <v>1.7163306666666702</v>
          </cell>
          <cell r="L1624">
            <v>1.8879637333333374</v>
          </cell>
          <cell r="M1624">
            <v>3775.9274666666747</v>
          </cell>
        </row>
        <row r="1625">
          <cell r="A1625" t="str">
            <v>A07</v>
          </cell>
          <cell r="B1625" t="str">
            <v>Empuje de material d&lt;60m</v>
          </cell>
          <cell r="C1625" t="str">
            <v>m3</v>
          </cell>
          <cell r="D1625">
            <v>2000</v>
          </cell>
          <cell r="E1625">
            <v>1.1000000000000001</v>
          </cell>
          <cell r="F1625">
            <v>1.2500000000000001E-2</v>
          </cell>
          <cell r="G1625">
            <v>6.0562499999999998E-2</v>
          </cell>
          <cell r="H1625">
            <v>0.50302812500000005</v>
          </cell>
          <cell r="I1625">
            <v>0</v>
          </cell>
          <cell r="J1625">
            <v>0</v>
          </cell>
          <cell r="K1625">
            <v>0.56359062500000001</v>
          </cell>
          <cell r="L1625">
            <v>0.61994968750000001</v>
          </cell>
          <cell r="M1625">
            <v>1239.899375</v>
          </cell>
        </row>
        <row r="1626">
          <cell r="A1626" t="str">
            <v>A08</v>
          </cell>
          <cell r="B1626" t="str">
            <v>Relleno masivo compactado</v>
          </cell>
          <cell r="C1626" t="str">
            <v>m3</v>
          </cell>
          <cell r="D1626">
            <v>2000</v>
          </cell>
          <cell r="E1626">
            <v>1</v>
          </cell>
          <cell r="F1626">
            <v>4.2499999999999996E-2</v>
          </cell>
          <cell r="G1626">
            <v>0.22367500000000001</v>
          </cell>
          <cell r="H1626">
            <v>1.49118375</v>
          </cell>
          <cell r="I1626">
            <v>0</v>
          </cell>
          <cell r="J1626">
            <v>0</v>
          </cell>
          <cell r="K1626">
            <v>1.7148587500000001</v>
          </cell>
          <cell r="L1626">
            <v>1.7148587500000001</v>
          </cell>
          <cell r="M1626">
            <v>3429.7175000000002</v>
          </cell>
        </row>
        <row r="1627">
          <cell r="B1627" t="str">
            <v>Igual al anterior, excepto que hay 1000m de transporte</v>
          </cell>
          <cell r="C1627" t="str">
            <v>m2</v>
          </cell>
          <cell r="D1627">
            <v>2000</v>
          </cell>
          <cell r="L1627">
            <v>0</v>
          </cell>
          <cell r="M1627">
            <v>9360</v>
          </cell>
        </row>
        <row r="1628">
          <cell r="A1628" t="str">
            <v>A14</v>
          </cell>
          <cell r="B1628" t="str">
            <v>Remoción de Material grueso volado</v>
          </cell>
          <cell r="C1628" t="str">
            <v>m3</v>
          </cell>
          <cell r="D1628">
            <v>2000</v>
          </cell>
          <cell r="E1628">
            <v>1.095</v>
          </cell>
          <cell r="F1628">
            <v>2.5000000000000001E-2</v>
          </cell>
          <cell r="G1628">
            <v>0.12475</v>
          </cell>
          <cell r="H1628">
            <v>1.11859166666667</v>
          </cell>
          <cell r="I1628">
            <v>0</v>
          </cell>
          <cell r="J1628">
            <v>0</v>
          </cell>
          <cell r="K1628">
            <v>1.2433416666666699</v>
          </cell>
          <cell r="L1628">
            <v>1.3614591250000034</v>
          </cell>
          <cell r="M1628">
            <v>2722.918250000007</v>
          </cell>
        </row>
        <row r="1629">
          <cell r="A1629" t="str">
            <v>A43</v>
          </cell>
          <cell r="B1629" t="str">
            <v>Carguío de roca volada con excavadora</v>
          </cell>
          <cell r="C1629" t="str">
            <v>m3</v>
          </cell>
          <cell r="D1629">
            <v>2000</v>
          </cell>
          <cell r="E1629">
            <v>1.1000000000000001</v>
          </cell>
          <cell r="F1629">
            <v>8.1967213114754103E-3</v>
          </cell>
          <cell r="G1629">
            <v>4.3278688524589999E-2</v>
          </cell>
          <cell r="H1629">
            <v>0.58667213114754102</v>
          </cell>
          <cell r="I1629">
            <v>0</v>
          </cell>
          <cell r="J1629">
            <v>0</v>
          </cell>
          <cell r="K1629">
            <v>0.62995081967213107</v>
          </cell>
          <cell r="L1629">
            <v>0.69294590163934422</v>
          </cell>
          <cell r="M1629">
            <v>1385.8918032786885</v>
          </cell>
        </row>
        <row r="1630">
          <cell r="A1630" t="str">
            <v>A08</v>
          </cell>
          <cell r="B1630" t="str">
            <v>Relleno masivo compactado</v>
          </cell>
          <cell r="C1630" t="str">
            <v>m3</v>
          </cell>
          <cell r="D1630">
            <v>2000</v>
          </cell>
          <cell r="E1630">
            <v>1</v>
          </cell>
          <cell r="F1630">
            <v>4.2499999999999996E-2</v>
          </cell>
          <cell r="G1630">
            <v>0.22367500000000001</v>
          </cell>
          <cell r="H1630">
            <v>1.49118375</v>
          </cell>
          <cell r="I1630">
            <v>0</v>
          </cell>
          <cell r="J1630">
            <v>0</v>
          </cell>
          <cell r="K1630">
            <v>1.7148587500000001</v>
          </cell>
          <cell r="L1630">
            <v>1.7148587500000001</v>
          </cell>
          <cell r="M1630">
            <v>3429.7175000000002</v>
          </cell>
        </row>
        <row r="1631">
          <cell r="A1631" t="str">
            <v>A04</v>
          </cell>
          <cell r="B1631" t="str">
            <v>Acarreo d&lt;1km (sin esponj)</v>
          </cell>
          <cell r="C1631" t="str">
            <v>m3</v>
          </cell>
          <cell r="D1631">
            <v>2000</v>
          </cell>
          <cell r="E1631">
            <v>1.5</v>
          </cell>
          <cell r="F1631">
            <v>1.9444444444444441E-2</v>
          </cell>
          <cell r="G1631">
            <v>0.102666666666667</v>
          </cell>
          <cell r="H1631">
            <v>0.50555555555555498</v>
          </cell>
          <cell r="I1631">
            <v>0</v>
          </cell>
          <cell r="J1631">
            <v>0</v>
          </cell>
          <cell r="K1631">
            <v>0.608222222222222</v>
          </cell>
          <cell r="L1631">
            <v>0.912333333333333</v>
          </cell>
          <cell r="M1631">
            <v>1824.6666666666661</v>
          </cell>
        </row>
        <row r="1632">
          <cell r="B1632" t="str">
            <v>Alcantarilla de 600m de diámetro, 8m de longitud</v>
          </cell>
          <cell r="C1632" t="str">
            <v>Each</v>
          </cell>
          <cell r="D1632">
            <v>1</v>
          </cell>
          <cell r="L1632">
            <v>0</v>
          </cell>
          <cell r="M1632">
            <v>2405.48</v>
          </cell>
        </row>
        <row r="1633">
          <cell r="A1633" t="str">
            <v>A32</v>
          </cell>
          <cell r="B1633" t="str">
            <v>Alcantarillas 600mm</v>
          </cell>
          <cell r="C1633" t="str">
            <v>ml</v>
          </cell>
          <cell r="D1633">
            <v>8.1</v>
          </cell>
          <cell r="E1633">
            <v>1</v>
          </cell>
          <cell r="F1633">
            <v>6.666666666666667</v>
          </cell>
          <cell r="G1633">
            <v>21.566666666666698</v>
          </cell>
          <cell r="H1633">
            <v>1.07833333333333</v>
          </cell>
          <cell r="I1633">
            <v>50</v>
          </cell>
          <cell r="J1633">
            <v>0</v>
          </cell>
          <cell r="K1633">
            <v>72.645000000000024</v>
          </cell>
          <cell r="L1633">
            <v>72.645000000000024</v>
          </cell>
          <cell r="M1633">
            <v>588.42450000000019</v>
          </cell>
        </row>
        <row r="1634">
          <cell r="A1634" t="str">
            <v>A21</v>
          </cell>
          <cell r="B1634" t="str">
            <v>Excavación y perfilado de zanjas</v>
          </cell>
          <cell r="C1634" t="str">
            <v>m3</v>
          </cell>
          <cell r="D1634">
            <v>69</v>
          </cell>
          <cell r="E1634">
            <v>1</v>
          </cell>
          <cell r="F1634">
            <v>1.2887346226726417</v>
          </cell>
          <cell r="G1634">
            <v>4.4896263901299003</v>
          </cell>
          <cell r="H1634">
            <v>6.5119556758310146</v>
          </cell>
          <cell r="I1634">
            <v>0</v>
          </cell>
          <cell r="J1634">
            <v>3.45</v>
          </cell>
          <cell r="K1634">
            <v>14.451582065960915</v>
          </cell>
          <cell r="L1634">
            <v>14.451582065960915</v>
          </cell>
          <cell r="M1634">
            <v>997.1591625513031</v>
          </cell>
        </row>
        <row r="1635">
          <cell r="A1635" t="str">
            <v>A29</v>
          </cell>
          <cell r="B1635" t="str">
            <v>Relleno localizado tipo A</v>
          </cell>
          <cell r="C1635" t="str">
            <v>m3</v>
          </cell>
          <cell r="D1635">
            <v>27</v>
          </cell>
          <cell r="E1635">
            <v>1</v>
          </cell>
          <cell r="F1635">
            <v>1.3416666666666666</v>
          </cell>
          <cell r="G1635">
            <v>4.5181666666666702</v>
          </cell>
          <cell r="H1635">
            <v>8.3767083333333332</v>
          </cell>
          <cell r="I1635">
            <v>3.1349999999999998</v>
          </cell>
          <cell r="J1635">
            <v>0</v>
          </cell>
          <cell r="K1635">
            <v>16.029875000000004</v>
          </cell>
          <cell r="L1635">
            <v>16.029875000000004</v>
          </cell>
          <cell r="M1635">
            <v>432.80662500000011</v>
          </cell>
        </row>
        <row r="1636">
          <cell r="A1636" t="str">
            <v>A27</v>
          </cell>
          <cell r="B1636" t="str">
            <v>Relleno estructural</v>
          </cell>
          <cell r="C1636" t="str">
            <v>m3</v>
          </cell>
          <cell r="D1636">
            <v>34.975999999999999</v>
          </cell>
          <cell r="E1636">
            <v>1</v>
          </cell>
          <cell r="F1636">
            <v>1.2875000000000001</v>
          </cell>
          <cell r="G1636">
            <v>4.2321666666666697</v>
          </cell>
          <cell r="H1636">
            <v>6.8350416666666636</v>
          </cell>
          <cell r="I1636">
            <v>0</v>
          </cell>
          <cell r="J1636">
            <v>0</v>
          </cell>
          <cell r="K1636">
            <v>11.067208333333333</v>
          </cell>
          <cell r="L1636">
            <v>11.067208333333333</v>
          </cell>
          <cell r="M1636">
            <v>387.08667866666667</v>
          </cell>
        </row>
        <row r="1637">
          <cell r="B1637" t="str">
            <v xml:space="preserve">0.13 thick Granular C surfacing (only where absolutely required) </v>
          </cell>
          <cell r="C1637" t="str">
            <v>ml</v>
          </cell>
          <cell r="D1637">
            <v>500</v>
          </cell>
          <cell r="M1637">
            <v>3865</v>
          </cell>
        </row>
        <row r="1638">
          <cell r="A1638" t="str">
            <v>A17</v>
          </cell>
          <cell r="B1638" t="str">
            <v>Suministro de material granular C</v>
          </cell>
          <cell r="C1638" t="str">
            <v>m3</v>
          </cell>
          <cell r="D1638">
            <v>500</v>
          </cell>
          <cell r="E1638">
            <v>1.25</v>
          </cell>
          <cell r="F1638">
            <v>0</v>
          </cell>
          <cell r="G1638">
            <v>0</v>
          </cell>
          <cell r="H1638">
            <v>0</v>
          </cell>
          <cell r="I1638">
            <v>2.85</v>
          </cell>
          <cell r="J1638">
            <v>0</v>
          </cell>
          <cell r="K1638">
            <v>2.85</v>
          </cell>
          <cell r="L1638">
            <v>3.5625</v>
          </cell>
          <cell r="M1638">
            <v>1781.25</v>
          </cell>
        </row>
        <row r="1639">
          <cell r="A1639" t="str">
            <v>A18</v>
          </cell>
          <cell r="B1639" t="str">
            <v>Colocación y compactación Mat Granular C</v>
          </cell>
          <cell r="C1639" t="str">
            <v>m3</v>
          </cell>
          <cell r="D1639">
            <v>500</v>
          </cell>
          <cell r="E1639">
            <v>1</v>
          </cell>
          <cell r="F1639">
            <v>8.9285714285714274E-2</v>
          </cell>
          <cell r="G1639">
            <v>0.45589285714285699</v>
          </cell>
          <cell r="H1639">
            <v>2.1146428571428602</v>
          </cell>
          <cell r="I1639">
            <v>0</v>
          </cell>
          <cell r="J1639">
            <v>0</v>
          </cell>
          <cell r="K1639">
            <v>2.5705357142857173</v>
          </cell>
          <cell r="L1639">
            <v>2.5705357142857173</v>
          </cell>
          <cell r="M1639">
            <v>1285.2678571428587</v>
          </cell>
        </row>
        <row r="1640">
          <cell r="A1640" t="str">
            <v>A04</v>
          </cell>
          <cell r="B1640" t="str">
            <v>Acarreo d&lt;1km (sin esponj)</v>
          </cell>
          <cell r="C1640" t="str">
            <v>m3</v>
          </cell>
          <cell r="D1640">
            <v>500</v>
          </cell>
          <cell r="E1640">
            <v>1.25</v>
          </cell>
          <cell r="F1640">
            <v>1.9444444444444441E-2</v>
          </cell>
          <cell r="G1640">
            <v>0.102666666666667</v>
          </cell>
          <cell r="H1640">
            <v>0.50555555555555498</v>
          </cell>
          <cell r="I1640">
            <v>0</v>
          </cell>
          <cell r="J1640">
            <v>0</v>
          </cell>
          <cell r="K1640">
            <v>0.608222222222222</v>
          </cell>
          <cell r="L1640">
            <v>0.7602777777777775</v>
          </cell>
          <cell r="M1640">
            <v>380.13888888888874</v>
          </cell>
        </row>
        <row r="1641">
          <cell r="A1641" t="str">
            <v>A05</v>
          </cell>
          <cell r="B1641" t="str">
            <v>Sobreacarreo (d&gt;1km) (sin esponj)</v>
          </cell>
          <cell r="C1641" t="str">
            <v>m3-km</v>
          </cell>
          <cell r="D1641">
            <v>1200</v>
          </cell>
          <cell r="E1641">
            <v>1.25</v>
          </cell>
          <cell r="F1641">
            <v>8.9285714285714263E-3</v>
          </cell>
          <cell r="G1641">
            <v>4.7142857142857E-2</v>
          </cell>
          <cell r="H1641">
            <v>0.23308571428571401</v>
          </cell>
          <cell r="I1641">
            <v>0</v>
          </cell>
          <cell r="J1641">
            <v>0</v>
          </cell>
          <cell r="K1641">
            <v>0.28022857142857105</v>
          </cell>
          <cell r="L1641">
            <v>0.35028571428571381</v>
          </cell>
          <cell r="M1641">
            <v>420.34285714285659</v>
          </cell>
        </row>
        <row r="1642">
          <cell r="A1642" t="str">
            <v>3.04</v>
          </cell>
          <cell r="B1642" t="str">
            <v>TEMPORARY ACCESS ROADS FOR ACTIVITIES AT THE TRUCK SHOP, LOADOUT, HAUL ROAD, SECONDARY / PRIMARY CRUSHERS, SURGE STOCKPILE SITES</v>
          </cell>
        </row>
        <row r="1643">
          <cell r="A1643" t="str">
            <v>3.04.a</v>
          </cell>
          <cell r="B1643" t="str">
            <v>Construct and maintain for the duration of contract work</v>
          </cell>
          <cell r="C1643" t="str">
            <v>Ls</v>
          </cell>
          <cell r="D1643">
            <v>1</v>
          </cell>
          <cell r="F1643">
            <v>2536.6936999999998</v>
          </cell>
          <cell r="G1643">
            <v>11630.374843832375</v>
          </cell>
          <cell r="H1643">
            <v>53818.446482586289</v>
          </cell>
          <cell r="I1643">
            <v>2627.145</v>
          </cell>
          <cell r="J1643">
            <v>2033.2500000000002</v>
          </cell>
          <cell r="L1643">
            <v>70109.22</v>
          </cell>
          <cell r="M1643">
            <v>70109.22</v>
          </cell>
        </row>
        <row r="1644">
          <cell r="B1644" t="str">
            <v>Rehabilitación y mantenimiento de accesos</v>
          </cell>
          <cell r="C1644" t="str">
            <v>Ls</v>
          </cell>
          <cell r="D1644">
            <v>0.6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L1644">
            <v>0</v>
          </cell>
        </row>
        <row r="1645">
          <cell r="A1645" t="str">
            <v>A47</v>
          </cell>
          <cell r="B1645" t="str">
            <v>Mantenimiento de Caminos</v>
          </cell>
          <cell r="C1645" t="str">
            <v>mes</v>
          </cell>
          <cell r="D1645">
            <v>6</v>
          </cell>
          <cell r="E1645">
            <v>0.60008294534774997</v>
          </cell>
          <cell r="F1645">
            <v>350</v>
          </cell>
          <cell r="G1645">
            <v>1453.2</v>
          </cell>
          <cell r="H1645">
            <v>5005.0568000000003</v>
          </cell>
          <cell r="I1645">
            <v>0</v>
          </cell>
          <cell r="J1645">
            <v>0</v>
          </cell>
          <cell r="K1645">
            <v>6458.2568000000001</v>
          </cell>
          <cell r="L1645">
            <v>3875.4897623561346</v>
          </cell>
          <cell r="M1645">
            <v>23252.93857413681</v>
          </cell>
        </row>
        <row r="1646">
          <cell r="A1646" t="str">
            <v>A48</v>
          </cell>
          <cell r="B1646" t="str">
            <v>Corte con tractor</v>
          </cell>
          <cell r="C1646" t="str">
            <v>m3</v>
          </cell>
          <cell r="D1646">
            <v>5000</v>
          </cell>
          <cell r="E1646">
            <v>0.60034309402182606</v>
          </cell>
          <cell r="F1646">
            <v>5.7142857142857141E-2</v>
          </cell>
          <cell r="G1646">
            <v>0.27685714285714302</v>
          </cell>
          <cell r="H1646">
            <v>1.175842857142857</v>
          </cell>
          <cell r="I1646">
            <v>0</v>
          </cell>
          <cell r="J1646">
            <v>0</v>
          </cell>
          <cell r="K1646">
            <v>1.4527000000000001</v>
          </cell>
          <cell r="L1646">
            <v>0.87211841268550683</v>
          </cell>
          <cell r="M1646">
            <v>4360.5920634275344</v>
          </cell>
        </row>
        <row r="1647">
          <cell r="A1647" t="str">
            <v>A49</v>
          </cell>
          <cell r="B1647" t="str">
            <v>Relleno con material propio</v>
          </cell>
          <cell r="C1647" t="str">
            <v>m3</v>
          </cell>
          <cell r="D1647">
            <v>5000</v>
          </cell>
          <cell r="E1647">
            <v>0.60034309402182606</v>
          </cell>
          <cell r="F1647">
            <v>8.4999999999999992E-2</v>
          </cell>
          <cell r="G1647">
            <v>0.44009999999999999</v>
          </cell>
          <cell r="H1647">
            <v>2.653105</v>
          </cell>
          <cell r="I1647">
            <v>0</v>
          </cell>
          <cell r="J1647">
            <v>0</v>
          </cell>
          <cell r="K1647">
            <v>3.0932050000000002</v>
          </cell>
          <cell r="L1647">
            <v>1.8569842601437827</v>
          </cell>
          <cell r="M1647">
            <v>9284.9213007189137</v>
          </cell>
        </row>
        <row r="1648">
          <cell r="A1648" t="str">
            <v>A50</v>
          </cell>
          <cell r="B1648" t="str">
            <v>Perfilado de subrasante</v>
          </cell>
          <cell r="C1648" t="str">
            <v>m2</v>
          </cell>
          <cell r="D1648">
            <v>15500</v>
          </cell>
          <cell r="E1648">
            <v>0.60034309402182606</v>
          </cell>
          <cell r="F1648">
            <v>1.1428571428571429E-2</v>
          </cell>
          <cell r="G1648">
            <v>5.7857142857143003E-2</v>
          </cell>
          <cell r="H1648">
            <v>0.27777925714285701</v>
          </cell>
          <cell r="I1648">
            <v>0</v>
          </cell>
          <cell r="J1648">
            <v>0</v>
          </cell>
          <cell r="K1648">
            <v>0.3356364</v>
          </cell>
          <cell r="L1648">
            <v>0.20149699484234723</v>
          </cell>
          <cell r="M1648">
            <v>3123.2034200563821</v>
          </cell>
        </row>
        <row r="1649">
          <cell r="B1649" t="str">
            <v>Excavación y eliminación de material orgánico/desechable</v>
          </cell>
          <cell r="C1649" t="str">
            <v>m3</v>
          </cell>
          <cell r="D1649">
            <v>2500</v>
          </cell>
          <cell r="L1649">
            <v>0</v>
          </cell>
        </row>
        <row r="1650">
          <cell r="A1650" t="str">
            <v>A01</v>
          </cell>
          <cell r="B1650" t="str">
            <v>Excavación de Topsoil y Unsuitable (e&gt;1m)</v>
          </cell>
          <cell r="C1650" t="str">
            <v>m3</v>
          </cell>
          <cell r="D1650">
            <v>2500</v>
          </cell>
          <cell r="E1650">
            <v>1</v>
          </cell>
          <cell r="F1650">
            <v>1.7142857142857144E-2</v>
          </cell>
          <cell r="G1650">
            <v>8.5542857142857004E-2</v>
          </cell>
          <cell r="H1650">
            <v>0.81924857142857199</v>
          </cell>
          <cell r="I1650">
            <v>0</v>
          </cell>
          <cell r="J1650">
            <v>0</v>
          </cell>
          <cell r="K1650">
            <v>0.90479142857142902</v>
          </cell>
          <cell r="L1650">
            <v>0.90479142857142902</v>
          </cell>
          <cell r="M1650">
            <v>2261.9785714285726</v>
          </cell>
        </row>
        <row r="1651">
          <cell r="A1651" t="str">
            <v>A02</v>
          </cell>
          <cell r="B1651" t="str">
            <v>Excavación de Topsoil y Unsuitable (e&lt;1m)</v>
          </cell>
          <cell r="C1651" t="str">
            <v>m3</v>
          </cell>
          <cell r="F1651">
            <v>1.4285714285714285E-2</v>
          </cell>
          <cell r="G1651">
            <v>6.9214285714286006E-2</v>
          </cell>
          <cell r="H1651">
            <v>0.57488928571428499</v>
          </cell>
          <cell r="I1651">
            <v>0</v>
          </cell>
          <cell r="J1651">
            <v>0</v>
          </cell>
          <cell r="K1651">
            <v>0.644103571428571</v>
          </cell>
          <cell r="L1651">
            <v>0</v>
          </cell>
          <cell r="M1651">
            <v>0</v>
          </cell>
        </row>
        <row r="1652">
          <cell r="A1652" t="str">
            <v>A03</v>
          </cell>
          <cell r="B1652" t="str">
            <v>Carguío de Topsoil &amp; Unsuitable con excavadora</v>
          </cell>
          <cell r="C1652" t="str">
            <v>m3</v>
          </cell>
          <cell r="D1652">
            <v>2500</v>
          </cell>
          <cell r="E1652">
            <v>1</v>
          </cell>
          <cell r="F1652">
            <v>1.3461538461538462E-2</v>
          </cell>
          <cell r="G1652">
            <v>7.1076923076922996E-2</v>
          </cell>
          <cell r="H1652">
            <v>0.70142307692307704</v>
          </cell>
          <cell r="I1652">
            <v>0</v>
          </cell>
          <cell r="J1652">
            <v>0</v>
          </cell>
          <cell r="K1652">
            <v>0.77250000000000008</v>
          </cell>
          <cell r="L1652">
            <v>0.77250000000000008</v>
          </cell>
          <cell r="M1652">
            <v>1931.2500000000002</v>
          </cell>
        </row>
        <row r="1653">
          <cell r="A1653" t="str">
            <v>A04</v>
          </cell>
          <cell r="B1653" t="str">
            <v>Acarreo d&lt;1km (sin esponj)</v>
          </cell>
          <cell r="C1653" t="str">
            <v>m3</v>
          </cell>
          <cell r="D1653">
            <v>2500</v>
          </cell>
          <cell r="E1653">
            <v>1.5</v>
          </cell>
          <cell r="F1653">
            <v>1.9444444444444441E-2</v>
          </cell>
          <cell r="G1653">
            <v>0.102666666666667</v>
          </cell>
          <cell r="H1653">
            <v>0.50555555555555498</v>
          </cell>
          <cell r="I1653">
            <v>0</v>
          </cell>
          <cell r="J1653">
            <v>0</v>
          </cell>
          <cell r="K1653">
            <v>0.608222222222222</v>
          </cell>
          <cell r="L1653">
            <v>0.912333333333333</v>
          </cell>
          <cell r="M1653">
            <v>2280.8333333333326</v>
          </cell>
        </row>
        <row r="1654">
          <cell r="A1654" t="str">
            <v>A05</v>
          </cell>
          <cell r="B1654" t="str">
            <v>Sobreacarreo (d&gt;1km) (sin esponj)</v>
          </cell>
          <cell r="C1654" t="str">
            <v>m3-km</v>
          </cell>
          <cell r="D1654">
            <v>1250</v>
          </cell>
          <cell r="E1654">
            <v>1.5000089999999999</v>
          </cell>
          <cell r="F1654">
            <v>8.9285714285714263E-3</v>
          </cell>
          <cell r="G1654">
            <v>4.7142857142857E-2</v>
          </cell>
          <cell r="H1654">
            <v>0.23308571428571401</v>
          </cell>
          <cell r="I1654">
            <v>0</v>
          </cell>
          <cell r="J1654">
            <v>0</v>
          </cell>
          <cell r="K1654">
            <v>0.28022857142857105</v>
          </cell>
          <cell r="L1654">
            <v>0.42034537919999942</v>
          </cell>
          <cell r="M1654">
            <v>525.43172399999924</v>
          </cell>
        </row>
        <row r="1655">
          <cell r="B1655" t="str">
            <v>Perforación y voladura</v>
          </cell>
          <cell r="C1655" t="str">
            <v>m3</v>
          </cell>
          <cell r="D1655">
            <v>600</v>
          </cell>
          <cell r="L1655">
            <v>0</v>
          </cell>
        </row>
        <row r="1656">
          <cell r="A1656" t="str">
            <v>A11</v>
          </cell>
          <cell r="B1656" t="str">
            <v>Perforación y voladura masiva (material fino)</v>
          </cell>
          <cell r="C1656" t="str">
            <v>m3</v>
          </cell>
          <cell r="D1656">
            <v>600</v>
          </cell>
          <cell r="F1656">
            <v>7.4718196457326899E-2</v>
          </cell>
          <cell r="G1656">
            <v>0</v>
          </cell>
          <cell r="H1656">
            <v>0</v>
          </cell>
          <cell r="I1656">
            <v>0</v>
          </cell>
          <cell r="J1656">
            <v>2.78</v>
          </cell>
          <cell r="K1656">
            <v>2.78</v>
          </cell>
          <cell r="L1656">
            <v>0</v>
          </cell>
          <cell r="M1656">
            <v>0</v>
          </cell>
        </row>
        <row r="1657">
          <cell r="A1657" t="str">
            <v>A12</v>
          </cell>
          <cell r="B1657" t="str">
            <v>Perforación y voladura masiva (material grueso)</v>
          </cell>
          <cell r="C1657" t="str">
            <v>m3</v>
          </cell>
          <cell r="D1657">
            <v>600</v>
          </cell>
          <cell r="E1657">
            <v>1.1000000000000001</v>
          </cell>
          <cell r="F1657">
            <v>7.4718196457326899E-2</v>
          </cell>
          <cell r="G1657">
            <v>0</v>
          </cell>
          <cell r="H1657">
            <v>0</v>
          </cell>
          <cell r="I1657">
            <v>0</v>
          </cell>
          <cell r="J1657">
            <v>2.72</v>
          </cell>
          <cell r="K1657">
            <v>2.72</v>
          </cell>
          <cell r="L1657">
            <v>2.9920000000000004</v>
          </cell>
          <cell r="M1657">
            <v>1795.2000000000003</v>
          </cell>
        </row>
        <row r="1658">
          <cell r="B1658" t="str">
            <v>Corte y relleno en mat común, roca ripeable o roca volada en 60m</v>
          </cell>
          <cell r="C1658" t="str">
            <v>m2</v>
          </cell>
          <cell r="D1658">
            <v>1600</v>
          </cell>
          <cell r="L1658">
            <v>0</v>
          </cell>
        </row>
        <row r="1659">
          <cell r="A1659" t="str">
            <v>A06</v>
          </cell>
          <cell r="B1659" t="str">
            <v>Excavación de roca ripeable</v>
          </cell>
          <cell r="C1659" t="str">
            <v>m3</v>
          </cell>
          <cell r="D1659">
            <v>1600</v>
          </cell>
          <cell r="E1659">
            <v>1.1000000000000001</v>
          </cell>
          <cell r="F1659">
            <v>3.3333333333333333E-2</v>
          </cell>
          <cell r="G1659">
            <v>0.16439999999999999</v>
          </cell>
          <cell r="H1659">
            <v>1.5519306666666701</v>
          </cell>
          <cell r="I1659">
            <v>0</v>
          </cell>
          <cell r="J1659">
            <v>0</v>
          </cell>
          <cell r="K1659">
            <v>1.7163306666666702</v>
          </cell>
          <cell r="L1659">
            <v>1.8879637333333374</v>
          </cell>
          <cell r="M1659">
            <v>3020.74197333334</v>
          </cell>
        </row>
        <row r="1660">
          <cell r="A1660" t="str">
            <v>A07</v>
          </cell>
          <cell r="B1660" t="str">
            <v>Empuje de material d&lt;60m</v>
          </cell>
          <cell r="C1660" t="str">
            <v>m3</v>
          </cell>
          <cell r="D1660">
            <v>1600</v>
          </cell>
          <cell r="E1660">
            <v>1.1000000000000001</v>
          </cell>
          <cell r="F1660">
            <v>1.2500000000000001E-2</v>
          </cell>
          <cell r="G1660">
            <v>6.0562499999999998E-2</v>
          </cell>
          <cell r="H1660">
            <v>0.50302812500000005</v>
          </cell>
          <cell r="I1660">
            <v>0</v>
          </cell>
          <cell r="J1660">
            <v>0</v>
          </cell>
          <cell r="K1660">
            <v>0.56359062500000001</v>
          </cell>
          <cell r="L1660">
            <v>0.61994968750000001</v>
          </cell>
          <cell r="M1660">
            <v>991.91949999999997</v>
          </cell>
        </row>
        <row r="1661">
          <cell r="A1661" t="str">
            <v>A08</v>
          </cell>
          <cell r="B1661" t="str">
            <v>Relleno masivo compactado</v>
          </cell>
          <cell r="C1661" t="str">
            <v>m3</v>
          </cell>
          <cell r="D1661">
            <v>1600</v>
          </cell>
          <cell r="E1661">
            <v>1</v>
          </cell>
          <cell r="F1661">
            <v>4.2499999999999996E-2</v>
          </cell>
          <cell r="G1661">
            <v>0.22367500000000001</v>
          </cell>
          <cell r="H1661">
            <v>1.49118375</v>
          </cell>
          <cell r="I1661">
            <v>0</v>
          </cell>
          <cell r="J1661">
            <v>0</v>
          </cell>
          <cell r="K1661">
            <v>1.7148587500000001</v>
          </cell>
          <cell r="L1661">
            <v>1.7148587500000001</v>
          </cell>
          <cell r="M1661">
            <v>2743.7740000000003</v>
          </cell>
        </row>
        <row r="1662">
          <cell r="B1662" t="str">
            <v>Igual al anterior, excepto que hay 1000m de transporte</v>
          </cell>
          <cell r="C1662" t="str">
            <v>m2</v>
          </cell>
          <cell r="D1662">
            <v>1600</v>
          </cell>
          <cell r="L1662">
            <v>0</v>
          </cell>
        </row>
        <row r="1663">
          <cell r="A1663" t="str">
            <v>A14</v>
          </cell>
          <cell r="B1663" t="str">
            <v>Remoción de Material grueso volado</v>
          </cell>
          <cell r="C1663" t="str">
            <v>m3</v>
          </cell>
          <cell r="D1663">
            <v>1600</v>
          </cell>
          <cell r="E1663">
            <v>1.095</v>
          </cell>
          <cell r="F1663">
            <v>2.5000000000000001E-2</v>
          </cell>
          <cell r="G1663">
            <v>0.12475</v>
          </cell>
          <cell r="H1663">
            <v>1.11859166666667</v>
          </cell>
          <cell r="I1663">
            <v>0</v>
          </cell>
          <cell r="J1663">
            <v>0</v>
          </cell>
          <cell r="K1663">
            <v>1.2433416666666699</v>
          </cell>
          <cell r="L1663">
            <v>1.3614591250000034</v>
          </cell>
          <cell r="M1663">
            <v>2178.3346000000056</v>
          </cell>
        </row>
        <row r="1664">
          <cell r="A1664" t="str">
            <v>A43</v>
          </cell>
          <cell r="B1664" t="str">
            <v>Carguío de roca volada con excavadora</v>
          </cell>
          <cell r="C1664" t="str">
            <v>m3</v>
          </cell>
          <cell r="D1664">
            <v>1600</v>
          </cell>
          <cell r="E1664">
            <v>1.1000000000000001</v>
          </cell>
          <cell r="F1664">
            <v>8.1967213114754103E-3</v>
          </cell>
          <cell r="G1664">
            <v>4.3278688524589999E-2</v>
          </cell>
          <cell r="H1664">
            <v>0.58667213114754102</v>
          </cell>
          <cell r="I1664">
            <v>0</v>
          </cell>
          <cell r="J1664">
            <v>0</v>
          </cell>
          <cell r="K1664">
            <v>0.62995081967213107</v>
          </cell>
          <cell r="L1664">
            <v>0.69294590163934422</v>
          </cell>
          <cell r="M1664">
            <v>1108.7134426229507</v>
          </cell>
        </row>
        <row r="1665">
          <cell r="A1665" t="str">
            <v>A08</v>
          </cell>
          <cell r="B1665" t="str">
            <v>Relleno masivo compactado</v>
          </cell>
          <cell r="C1665" t="str">
            <v>m3</v>
          </cell>
          <cell r="D1665">
            <v>1600</v>
          </cell>
          <cell r="E1665">
            <v>1</v>
          </cell>
          <cell r="F1665">
            <v>4.2499999999999996E-2</v>
          </cell>
          <cell r="G1665">
            <v>0.22367500000000001</v>
          </cell>
          <cell r="H1665">
            <v>1.49118375</v>
          </cell>
          <cell r="I1665">
            <v>0</v>
          </cell>
          <cell r="J1665">
            <v>0</v>
          </cell>
          <cell r="K1665">
            <v>1.7148587500000001</v>
          </cell>
          <cell r="L1665">
            <v>1.7148587500000001</v>
          </cell>
          <cell r="M1665">
            <v>2743.7740000000003</v>
          </cell>
        </row>
        <row r="1666">
          <cell r="A1666" t="str">
            <v>A04</v>
          </cell>
          <cell r="B1666" t="str">
            <v>Acarreo d&lt;1km (sin esponj)</v>
          </cell>
          <cell r="C1666" t="str">
            <v>m3</v>
          </cell>
          <cell r="D1666">
            <v>1600</v>
          </cell>
          <cell r="E1666">
            <v>1.5</v>
          </cell>
          <cell r="F1666">
            <v>1.9444444444444441E-2</v>
          </cell>
          <cell r="G1666">
            <v>0.102666666666667</v>
          </cell>
          <cell r="H1666">
            <v>0.50555555555555498</v>
          </cell>
          <cell r="I1666">
            <v>0</v>
          </cell>
          <cell r="J1666">
            <v>0</v>
          </cell>
          <cell r="K1666">
            <v>0.608222222222222</v>
          </cell>
          <cell r="L1666">
            <v>0.912333333333333</v>
          </cell>
          <cell r="M1666">
            <v>1459.7333333333329</v>
          </cell>
        </row>
        <row r="1667">
          <cell r="B1667" t="str">
            <v>Alcantarilla de 600m de diámetro, 8m de longitud</v>
          </cell>
          <cell r="C1667" t="str">
            <v>Each</v>
          </cell>
          <cell r="D1667">
            <v>1</v>
          </cell>
          <cell r="L1667">
            <v>0</v>
          </cell>
        </row>
        <row r="1668">
          <cell r="A1668" t="str">
            <v>A32</v>
          </cell>
          <cell r="B1668" t="str">
            <v>Alcantarillas 600mm</v>
          </cell>
          <cell r="C1668" t="str">
            <v>ml</v>
          </cell>
          <cell r="D1668">
            <v>8.1</v>
          </cell>
          <cell r="E1668">
            <v>1</v>
          </cell>
          <cell r="F1668">
            <v>6.666666666666667</v>
          </cell>
          <cell r="G1668">
            <v>21.566666666666698</v>
          </cell>
          <cell r="H1668">
            <v>1.07833333333333</v>
          </cell>
          <cell r="I1668">
            <v>50</v>
          </cell>
          <cell r="J1668">
            <v>0</v>
          </cell>
          <cell r="K1668">
            <v>72.645000000000024</v>
          </cell>
          <cell r="L1668">
            <v>72.645000000000024</v>
          </cell>
          <cell r="M1668">
            <v>588.42450000000019</v>
          </cell>
        </row>
        <row r="1669">
          <cell r="A1669" t="str">
            <v>A21</v>
          </cell>
          <cell r="B1669" t="str">
            <v>Excavación y perfilado de zanjas</v>
          </cell>
          <cell r="C1669" t="str">
            <v>m3</v>
          </cell>
          <cell r="D1669">
            <v>69</v>
          </cell>
          <cell r="E1669">
            <v>1</v>
          </cell>
          <cell r="F1669">
            <v>1.2887346226726417</v>
          </cell>
          <cell r="G1669">
            <v>4.4896263901299003</v>
          </cell>
          <cell r="H1669">
            <v>6.5119556758310146</v>
          </cell>
          <cell r="I1669">
            <v>0</v>
          </cell>
          <cell r="J1669">
            <v>3.45</v>
          </cell>
          <cell r="K1669">
            <v>14.451582065960915</v>
          </cell>
          <cell r="L1669">
            <v>14.451582065960915</v>
          </cell>
          <cell r="M1669">
            <v>997.1591625513031</v>
          </cell>
        </row>
        <row r="1670">
          <cell r="A1670" t="str">
            <v>A29</v>
          </cell>
          <cell r="B1670" t="str">
            <v>Relleno localizado tipo A</v>
          </cell>
          <cell r="C1670" t="str">
            <v>m3</v>
          </cell>
          <cell r="D1670">
            <v>27</v>
          </cell>
          <cell r="E1670">
            <v>1</v>
          </cell>
          <cell r="F1670">
            <v>1.3416666666666666</v>
          </cell>
          <cell r="G1670">
            <v>4.5181666666666702</v>
          </cell>
          <cell r="H1670">
            <v>8.3767083333333332</v>
          </cell>
          <cell r="I1670">
            <v>3.1349999999999998</v>
          </cell>
          <cell r="J1670">
            <v>0</v>
          </cell>
          <cell r="K1670">
            <v>16.029875000000004</v>
          </cell>
          <cell r="L1670">
            <v>16.029875000000004</v>
          </cell>
          <cell r="M1670">
            <v>432.80662500000011</v>
          </cell>
        </row>
        <row r="1671">
          <cell r="A1671" t="str">
            <v>A27</v>
          </cell>
          <cell r="B1671" t="str">
            <v>Relleno estructural</v>
          </cell>
          <cell r="C1671" t="str">
            <v>m3</v>
          </cell>
          <cell r="D1671">
            <v>34.975999999999999</v>
          </cell>
          <cell r="E1671">
            <v>1</v>
          </cell>
          <cell r="F1671">
            <v>1.2875000000000001</v>
          </cell>
          <cell r="G1671">
            <v>4.2321666666666697</v>
          </cell>
          <cell r="H1671">
            <v>6.8350416666666636</v>
          </cell>
          <cell r="I1671">
            <v>0</v>
          </cell>
          <cell r="J1671">
            <v>0</v>
          </cell>
          <cell r="K1671">
            <v>11.067208333333333</v>
          </cell>
          <cell r="L1671">
            <v>11.067208333333333</v>
          </cell>
          <cell r="M1671">
            <v>387.08667866666667</v>
          </cell>
        </row>
        <row r="1672">
          <cell r="B1672" t="str">
            <v xml:space="preserve">0.13 thick Granular C surfacing (only where absolutely required) </v>
          </cell>
          <cell r="C1672" t="str">
            <v>ml</v>
          </cell>
          <cell r="D1672">
            <v>600</v>
          </cell>
        </row>
        <row r="1673">
          <cell r="A1673" t="str">
            <v>A17</v>
          </cell>
          <cell r="B1673" t="str">
            <v>Suministro de material granular C</v>
          </cell>
          <cell r="C1673" t="str">
            <v>m3</v>
          </cell>
          <cell r="D1673">
            <v>600</v>
          </cell>
          <cell r="E1673">
            <v>1.25</v>
          </cell>
          <cell r="F1673">
            <v>0</v>
          </cell>
          <cell r="G1673">
            <v>0</v>
          </cell>
          <cell r="H1673">
            <v>0</v>
          </cell>
          <cell r="I1673">
            <v>2.85</v>
          </cell>
          <cell r="J1673">
            <v>0</v>
          </cell>
          <cell r="K1673">
            <v>2.85</v>
          </cell>
          <cell r="L1673">
            <v>3.5625</v>
          </cell>
          <cell r="M1673">
            <v>2137.5</v>
          </cell>
        </row>
        <row r="1674">
          <cell r="A1674" t="str">
            <v>A18</v>
          </cell>
          <cell r="B1674" t="str">
            <v>Colocación y compactación Mat Granular C</v>
          </cell>
          <cell r="C1674" t="str">
            <v>m3</v>
          </cell>
          <cell r="D1674">
            <v>600</v>
          </cell>
          <cell r="E1674">
            <v>1</v>
          </cell>
          <cell r="F1674">
            <v>8.9285714285714274E-2</v>
          </cell>
          <cell r="G1674">
            <v>0.45589285714285699</v>
          </cell>
          <cell r="H1674">
            <v>2.1146428571428602</v>
          </cell>
          <cell r="I1674">
            <v>0</v>
          </cell>
          <cell r="J1674">
            <v>0</v>
          </cell>
          <cell r="K1674">
            <v>2.5705357142857173</v>
          </cell>
          <cell r="L1674">
            <v>2.5705357142857173</v>
          </cell>
          <cell r="M1674">
            <v>1542.3214285714303</v>
          </cell>
        </row>
        <row r="1675">
          <cell r="A1675" t="str">
            <v>A04</v>
          </cell>
          <cell r="B1675" t="str">
            <v>Acarreo d&lt;1km (sin esponj)</v>
          </cell>
          <cell r="C1675" t="str">
            <v>m3</v>
          </cell>
          <cell r="D1675">
            <v>600</v>
          </cell>
          <cell r="E1675">
            <v>1.25</v>
          </cell>
          <cell r="F1675">
            <v>1.9444444444444441E-2</v>
          </cell>
          <cell r="G1675">
            <v>0.102666666666667</v>
          </cell>
          <cell r="H1675">
            <v>0.50555555555555498</v>
          </cell>
          <cell r="I1675">
            <v>0</v>
          </cell>
          <cell r="J1675">
            <v>0</v>
          </cell>
          <cell r="K1675">
            <v>0.608222222222222</v>
          </cell>
          <cell r="L1675">
            <v>0.7602777777777775</v>
          </cell>
          <cell r="M1675">
            <v>456.16666666666652</v>
          </cell>
        </row>
        <row r="1676">
          <cell r="A1676" t="str">
            <v>A05</v>
          </cell>
          <cell r="B1676" t="str">
            <v>Sobreacarreo (d&gt;1km) (sin esponj)</v>
          </cell>
          <cell r="C1676" t="str">
            <v>m3-km</v>
          </cell>
          <cell r="D1676">
            <v>1440</v>
          </cell>
          <cell r="E1676">
            <v>1.25</v>
          </cell>
          <cell r="F1676">
            <v>8.9285714285714263E-3</v>
          </cell>
          <cell r="G1676">
            <v>4.7142857142857E-2</v>
          </cell>
          <cell r="H1676">
            <v>0.23308571428571401</v>
          </cell>
          <cell r="I1676">
            <v>0</v>
          </cell>
          <cell r="J1676">
            <v>0</v>
          </cell>
          <cell r="K1676">
            <v>0.28022857142857105</v>
          </cell>
          <cell r="L1676">
            <v>0.35028571428571381</v>
          </cell>
          <cell r="M1676">
            <v>504.4114285714279</v>
          </cell>
        </row>
        <row r="1677">
          <cell r="A1677" t="str">
            <v>3.05</v>
          </cell>
          <cell r="B1677" t="str">
            <v xml:space="preserve">EXISTING ACCESS ROADS T0 THE GRANULAR MATERIALS STOCKPILE SOURCE </v>
          </cell>
        </row>
        <row r="1678">
          <cell r="A1678" t="str">
            <v>3.05.a</v>
          </cell>
          <cell r="B1678" t="str">
            <v>Maintain or upgrade as required for the duration of contract work</v>
          </cell>
          <cell r="C1678" t="str">
            <v>Ls</v>
          </cell>
          <cell r="D1678">
            <v>1</v>
          </cell>
          <cell r="F1678">
            <v>2536.6936999999998</v>
          </cell>
          <cell r="G1678">
            <v>14383.366486714291</v>
          </cell>
          <cell r="H1678">
            <v>63468.807967335713</v>
          </cell>
          <cell r="I1678">
            <v>0</v>
          </cell>
          <cell r="J1678">
            <v>0</v>
          </cell>
          <cell r="L1678">
            <v>77852.17</v>
          </cell>
          <cell r="M1678">
            <v>77852.17</v>
          </cell>
        </row>
        <row r="1679">
          <cell r="A1679" t="str">
            <v>A47</v>
          </cell>
          <cell r="B1679" t="str">
            <v>Mantenimiento de Caminos</v>
          </cell>
          <cell r="C1679" t="str">
            <v>mes</v>
          </cell>
          <cell r="D1679">
            <v>4.5</v>
          </cell>
          <cell r="E1679">
            <v>1</v>
          </cell>
          <cell r="F1679">
            <v>350</v>
          </cell>
          <cell r="G1679">
            <v>1453.2</v>
          </cell>
          <cell r="H1679">
            <v>5005.0568000000003</v>
          </cell>
          <cell r="I1679">
            <v>0</v>
          </cell>
          <cell r="J1679">
            <v>0</v>
          </cell>
          <cell r="K1679">
            <v>6458.2568000000001</v>
          </cell>
          <cell r="L1679">
            <v>6458.2568000000001</v>
          </cell>
          <cell r="M1679">
            <v>29062.155600000002</v>
          </cell>
        </row>
        <row r="1680">
          <cell r="A1680" t="str">
            <v>A48</v>
          </cell>
          <cell r="B1680" t="str">
            <v>Corte con tractor</v>
          </cell>
          <cell r="C1680" t="str">
            <v>m3</v>
          </cell>
          <cell r="D1680">
            <v>8500</v>
          </cell>
          <cell r="E1680">
            <v>1.0044090000000001</v>
          </cell>
          <cell r="F1680">
            <v>5.7142857142857141E-2</v>
          </cell>
          <cell r="G1680">
            <v>0.27685714285714302</v>
          </cell>
          <cell r="H1680">
            <v>1.175842857142857</v>
          </cell>
          <cell r="I1680">
            <v>0</v>
          </cell>
          <cell r="J1680">
            <v>0</v>
          </cell>
          <cell r="K1680">
            <v>1.4527000000000001</v>
          </cell>
          <cell r="L1680">
            <v>1.4591049543000003</v>
          </cell>
          <cell r="M1680">
            <v>12402.392111550003</v>
          </cell>
        </row>
        <row r="1681">
          <cell r="A1681" t="str">
            <v>A49</v>
          </cell>
          <cell r="B1681" t="str">
            <v>Relleno con material propio</v>
          </cell>
          <cell r="C1681" t="str">
            <v>m3</v>
          </cell>
          <cell r="D1681">
            <v>8500</v>
          </cell>
          <cell r="E1681">
            <v>1.0009999999999999</v>
          </cell>
          <cell r="F1681">
            <v>8.4999999999999992E-2</v>
          </cell>
          <cell r="G1681">
            <v>0.44009999999999999</v>
          </cell>
          <cell r="H1681">
            <v>2.653105</v>
          </cell>
          <cell r="I1681">
            <v>0</v>
          </cell>
          <cell r="J1681">
            <v>0</v>
          </cell>
          <cell r="K1681">
            <v>3.0932050000000002</v>
          </cell>
          <cell r="L1681">
            <v>3.0962982050000001</v>
          </cell>
          <cell r="M1681">
            <v>26318.5347425</v>
          </cell>
        </row>
        <row r="1682">
          <cell r="A1682" t="str">
            <v>A50</v>
          </cell>
          <cell r="B1682" t="str">
            <v>Perfilado de subrasante</v>
          </cell>
          <cell r="C1682" t="str">
            <v>m2</v>
          </cell>
          <cell r="D1682">
            <v>30000</v>
          </cell>
          <cell r="E1682">
            <v>1</v>
          </cell>
          <cell r="F1682">
            <v>1.1428571428571429E-2</v>
          </cell>
          <cell r="G1682">
            <v>5.7857142857143003E-2</v>
          </cell>
          <cell r="H1682">
            <v>0.27777925714285701</v>
          </cell>
          <cell r="I1682">
            <v>0</v>
          </cell>
          <cell r="J1682">
            <v>0</v>
          </cell>
          <cell r="K1682">
            <v>0.3356364</v>
          </cell>
          <cell r="L1682">
            <v>0.3356364</v>
          </cell>
          <cell r="M1682">
            <v>10069.092000000001</v>
          </cell>
        </row>
        <row r="1683">
          <cell r="A1683" t="str">
            <v>3.06</v>
          </cell>
          <cell r="B1683" t="str">
            <v>DEVELOP THE SURPLUS MATERIAL / WASTE ROCK DISPOSAL SITE</v>
          </cell>
        </row>
        <row r="1684">
          <cell r="A1684" t="str">
            <v>3.06.a</v>
          </cell>
          <cell r="B1684" t="str">
            <v xml:space="preserve">Strip &amp; dispose organics/unsuitable soil 1.7 km distance, to North-Central topsoil stockpile </v>
          </cell>
          <cell r="C1684" t="str">
            <v>m3</v>
          </cell>
          <cell r="D1684">
            <v>18000</v>
          </cell>
          <cell r="F1684">
            <v>1244.6291208791208</v>
          </cell>
          <cell r="G1684">
            <v>0.36011978021978036</v>
          </cell>
          <cell r="H1684">
            <v>2.5237449816849811</v>
          </cell>
          <cell r="I1684">
            <v>0</v>
          </cell>
          <cell r="J1684">
            <v>0</v>
          </cell>
          <cell r="L1684">
            <v>2.88</v>
          </cell>
          <cell r="M1684">
            <v>51840</v>
          </cell>
        </row>
        <row r="1685">
          <cell r="A1685" t="str">
            <v>A01</v>
          </cell>
          <cell r="B1685" t="str">
            <v>Excavación de Topsoil y Unsuitable (e&gt;1m)</v>
          </cell>
          <cell r="C1685" t="str">
            <v>m3</v>
          </cell>
          <cell r="D1685">
            <v>18000</v>
          </cell>
          <cell r="E1685">
            <v>1</v>
          </cell>
          <cell r="F1685">
            <v>1.7142857142857144E-2</v>
          </cell>
          <cell r="G1685">
            <v>8.5542857142857004E-2</v>
          </cell>
          <cell r="H1685">
            <v>0.81924857142857199</v>
          </cell>
          <cell r="I1685">
            <v>0</v>
          </cell>
          <cell r="J1685">
            <v>0</v>
          </cell>
          <cell r="K1685">
            <v>0.90479142857142902</v>
          </cell>
          <cell r="L1685">
            <v>0.90479142857142902</v>
          </cell>
          <cell r="M1685">
            <v>16286.245714285722</v>
          </cell>
        </row>
        <row r="1686">
          <cell r="A1686" t="str">
            <v>A02</v>
          </cell>
          <cell r="B1686" t="str">
            <v>Excavación de Topsoil y Unsuitable (e&lt;1m)</v>
          </cell>
          <cell r="C1686" t="str">
            <v>m3</v>
          </cell>
          <cell r="F1686">
            <v>1.4285714285714285E-2</v>
          </cell>
          <cell r="G1686">
            <v>6.9214285714286006E-2</v>
          </cell>
          <cell r="H1686">
            <v>0.57488928571428499</v>
          </cell>
          <cell r="I1686">
            <v>0</v>
          </cell>
          <cell r="J1686">
            <v>0</v>
          </cell>
          <cell r="K1686">
            <v>0.644103571428571</v>
          </cell>
          <cell r="L1686">
            <v>0</v>
          </cell>
          <cell r="M1686">
            <v>0</v>
          </cell>
        </row>
        <row r="1687">
          <cell r="A1687" t="str">
            <v>A03</v>
          </cell>
          <cell r="B1687" t="str">
            <v>Carguío de Topsoil &amp; Unsuitable con excavadora</v>
          </cell>
          <cell r="C1687" t="str">
            <v>m3</v>
          </cell>
          <cell r="D1687">
            <v>18000</v>
          </cell>
          <cell r="E1687">
            <v>1</v>
          </cell>
          <cell r="F1687">
            <v>1.3461538461538462E-2</v>
          </cell>
          <cell r="G1687">
            <v>7.1076923076922996E-2</v>
          </cell>
          <cell r="H1687">
            <v>0.70142307692307704</v>
          </cell>
          <cell r="I1687">
            <v>0</v>
          </cell>
          <cell r="J1687">
            <v>0</v>
          </cell>
          <cell r="K1687">
            <v>0.77250000000000008</v>
          </cell>
          <cell r="L1687">
            <v>0.77250000000000008</v>
          </cell>
          <cell r="M1687">
            <v>13905.000000000002</v>
          </cell>
        </row>
        <row r="1688">
          <cell r="A1688" t="str">
            <v>A04</v>
          </cell>
          <cell r="B1688" t="str">
            <v>Acarreo d&lt;1km (sin esponj)</v>
          </cell>
          <cell r="C1688" t="str">
            <v>m3</v>
          </cell>
          <cell r="D1688">
            <v>18000</v>
          </cell>
          <cell r="E1688">
            <v>1.5</v>
          </cell>
          <cell r="F1688">
            <v>1.9444444444444441E-2</v>
          </cell>
          <cell r="G1688">
            <v>0.102666666666667</v>
          </cell>
          <cell r="H1688">
            <v>0.50555555555555498</v>
          </cell>
          <cell r="I1688">
            <v>0</v>
          </cell>
          <cell r="J1688">
            <v>0</v>
          </cell>
          <cell r="K1688">
            <v>0.608222222222222</v>
          </cell>
          <cell r="L1688">
            <v>0.912333333333333</v>
          </cell>
          <cell r="M1688">
            <v>16421.999999999993</v>
          </cell>
        </row>
        <row r="1689">
          <cell r="A1689" t="str">
            <v>A05</v>
          </cell>
          <cell r="B1689" t="str">
            <v>Sobreacarreo (d&gt;1km) (sin esponj)</v>
          </cell>
          <cell r="C1689" t="str">
            <v>m3-km</v>
          </cell>
          <cell r="D1689">
            <v>12600</v>
          </cell>
          <cell r="E1689">
            <v>1.5</v>
          </cell>
          <cell r="F1689">
            <v>8.9285714285714263E-3</v>
          </cell>
          <cell r="G1689">
            <v>4.7142857142857E-2</v>
          </cell>
          <cell r="H1689">
            <v>0.23308571428571401</v>
          </cell>
          <cell r="I1689">
            <v>0</v>
          </cell>
          <cell r="J1689">
            <v>0</v>
          </cell>
          <cell r="K1689">
            <v>0.28022857142857105</v>
          </cell>
          <cell r="L1689">
            <v>0.42034285714285657</v>
          </cell>
          <cell r="M1689">
            <v>5296.3199999999924</v>
          </cell>
        </row>
        <row r="1690">
          <cell r="A1690" t="str">
            <v>3.06.b</v>
          </cell>
          <cell r="B1690" t="str">
            <v>Local re-shaping of existing Soil or Ripable Rock terrain and ditching, maximum cut 1.5 m deep, using a combination of buldozer/loader/backhoe equipment,  move material within 60 meters from point of origin</v>
          </cell>
          <cell r="C1690" t="str">
            <v>m3</v>
          </cell>
          <cell r="D1690">
            <v>4300</v>
          </cell>
          <cell r="F1690">
            <v>959.73059829059844</v>
          </cell>
          <cell r="G1690">
            <v>1.1181785641025639</v>
          </cell>
          <cell r="H1690">
            <v>5.6200627743589786</v>
          </cell>
          <cell r="I1690">
            <v>0</v>
          </cell>
          <cell r="J1690">
            <v>3.5535000000000001</v>
          </cell>
          <cell r="L1690">
            <v>10.29</v>
          </cell>
          <cell r="M1690">
            <v>44247</v>
          </cell>
        </row>
        <row r="1691">
          <cell r="A1691" t="str">
            <v>A38</v>
          </cell>
          <cell r="B1691" t="str">
            <v>Excavación y eliminación de material para cunetas en roca</v>
          </cell>
          <cell r="C1691" t="str">
            <v>m3</v>
          </cell>
          <cell r="D1691">
            <v>4300</v>
          </cell>
          <cell r="E1691">
            <v>0.309</v>
          </cell>
          <cell r="F1691">
            <v>0.28461538461538466</v>
          </cell>
          <cell r="G1691">
            <v>1.41576923076923</v>
          </cell>
          <cell r="H1691">
            <v>7.0169423076923119</v>
          </cell>
          <cell r="I1691">
            <v>0</v>
          </cell>
          <cell r="J1691">
            <v>11.5</v>
          </cell>
          <cell r="K1691">
            <v>19.932711538461543</v>
          </cell>
          <cell r="L1691">
            <v>6.1592078653846167</v>
          </cell>
          <cell r="M1691">
            <v>26484.593821153852</v>
          </cell>
        </row>
        <row r="1692">
          <cell r="A1692" t="str">
            <v>A39</v>
          </cell>
          <cell r="B1692" t="str">
            <v>Excavación y eliminación de material para cunetas en suelo común</v>
          </cell>
          <cell r="C1692" t="str">
            <v>m3</v>
          </cell>
          <cell r="D1692">
            <v>4300</v>
          </cell>
          <cell r="E1692">
            <v>0.69100000000000006</v>
          </cell>
          <cell r="F1692">
            <v>0.1957264957264957</v>
          </cell>
          <cell r="G1692">
            <v>0.98510256410256403</v>
          </cell>
          <cell r="H1692">
            <v>4.9954089743589778</v>
          </cell>
          <cell r="I1692">
            <v>0</v>
          </cell>
          <cell r="J1692">
            <v>0</v>
          </cell>
          <cell r="K1692">
            <v>5.9805115384615419</v>
          </cell>
          <cell r="L1692">
            <v>4.1325334730769256</v>
          </cell>
          <cell r="M1692">
            <v>17769.893934230779</v>
          </cell>
        </row>
        <row r="1693">
          <cell r="A1693" t="str">
            <v>3.07</v>
          </cell>
          <cell r="B1693" t="str">
            <v xml:space="preserve">DEVELOP THE GENERAL FILL (GRANULAR) BORROW SOURCES </v>
          </cell>
        </row>
        <row r="1694">
          <cell r="A1694" t="str">
            <v>3.07.a</v>
          </cell>
          <cell r="B1694" t="str">
            <v>Strip &amp; dispose to nearest topsoil stockpile within average distance of 1700m (Sources No. 1, 2, 3 &amp; 4)</v>
          </cell>
          <cell r="C1694" t="str">
            <v>m3</v>
          </cell>
          <cell r="D1694">
            <v>4500</v>
          </cell>
          <cell r="F1694">
            <v>311.1572802197802</v>
          </cell>
          <cell r="G1694">
            <v>0.36011978021978036</v>
          </cell>
          <cell r="H1694">
            <v>2.5237449816849811</v>
          </cell>
          <cell r="I1694">
            <v>0</v>
          </cell>
          <cell r="J1694">
            <v>0</v>
          </cell>
          <cell r="L1694">
            <v>2.88</v>
          </cell>
          <cell r="M1694">
            <v>12960</v>
          </cell>
        </row>
        <row r="1695">
          <cell r="A1695" t="str">
            <v>A01</v>
          </cell>
          <cell r="B1695" t="str">
            <v>Excavación de Topsoil y Unsuitable (e&gt;1m)</v>
          </cell>
          <cell r="C1695" t="str">
            <v>m3</v>
          </cell>
          <cell r="D1695">
            <v>4500</v>
          </cell>
          <cell r="E1695">
            <v>1</v>
          </cell>
          <cell r="F1695">
            <v>1.7142857142857144E-2</v>
          </cell>
          <cell r="G1695">
            <v>8.5542857142857004E-2</v>
          </cell>
          <cell r="H1695">
            <v>0.81924857142857199</v>
          </cell>
          <cell r="I1695">
            <v>0</v>
          </cell>
          <cell r="J1695">
            <v>0</v>
          </cell>
          <cell r="K1695">
            <v>0.90479142857142902</v>
          </cell>
          <cell r="L1695">
            <v>0.90479142857142902</v>
          </cell>
          <cell r="M1695">
            <v>4071.5614285714305</v>
          </cell>
        </row>
        <row r="1696">
          <cell r="A1696" t="str">
            <v>A02</v>
          </cell>
          <cell r="B1696" t="str">
            <v>Excavación de Topsoil y Unsuitable (e&lt;1m)</v>
          </cell>
          <cell r="C1696" t="str">
            <v>m3</v>
          </cell>
          <cell r="F1696">
            <v>1.4285714285714285E-2</v>
          </cell>
          <cell r="G1696">
            <v>6.9214285714286006E-2</v>
          </cell>
          <cell r="H1696">
            <v>0.57488928571428499</v>
          </cell>
          <cell r="I1696">
            <v>0</v>
          </cell>
          <cell r="J1696">
            <v>0</v>
          </cell>
          <cell r="K1696">
            <v>0.644103571428571</v>
          </cell>
          <cell r="L1696">
            <v>0</v>
          </cell>
          <cell r="M1696">
            <v>0</v>
          </cell>
        </row>
        <row r="1697">
          <cell r="A1697" t="str">
            <v>A03</v>
          </cell>
          <cell r="B1697" t="str">
            <v>Carguío de Topsoil &amp; Unsuitable con excavadora</v>
          </cell>
          <cell r="C1697" t="str">
            <v>m3</v>
          </cell>
          <cell r="D1697">
            <v>4500</v>
          </cell>
          <cell r="E1697">
            <v>1</v>
          </cell>
          <cell r="F1697">
            <v>1.3461538461538462E-2</v>
          </cell>
          <cell r="G1697">
            <v>7.1076923076922996E-2</v>
          </cell>
          <cell r="H1697">
            <v>0.70142307692307704</v>
          </cell>
          <cell r="I1697">
            <v>0</v>
          </cell>
          <cell r="J1697">
            <v>0</v>
          </cell>
          <cell r="K1697">
            <v>0.77250000000000008</v>
          </cell>
          <cell r="L1697">
            <v>0.77250000000000008</v>
          </cell>
          <cell r="M1697">
            <v>3476.2500000000005</v>
          </cell>
        </row>
        <row r="1698">
          <cell r="A1698" t="str">
            <v>A04</v>
          </cell>
          <cell r="B1698" t="str">
            <v>Acarreo d&lt;1km (sin esponj)</v>
          </cell>
          <cell r="C1698" t="str">
            <v>m3</v>
          </cell>
          <cell r="D1698">
            <v>4500</v>
          </cell>
          <cell r="E1698">
            <v>1.5</v>
          </cell>
          <cell r="F1698">
            <v>1.9444444444444441E-2</v>
          </cell>
          <cell r="G1698">
            <v>0.102666666666667</v>
          </cell>
          <cell r="H1698">
            <v>0.50555555555555498</v>
          </cell>
          <cell r="I1698">
            <v>0</v>
          </cell>
          <cell r="J1698">
            <v>0</v>
          </cell>
          <cell r="K1698">
            <v>0.608222222222222</v>
          </cell>
          <cell r="L1698">
            <v>0.912333333333333</v>
          </cell>
          <cell r="M1698">
            <v>4105.4999999999982</v>
          </cell>
        </row>
        <row r="1699">
          <cell r="A1699" t="str">
            <v>A05</v>
          </cell>
          <cell r="B1699" t="str">
            <v>Sobreacarreo (d&gt;1km) (sin esponj)</v>
          </cell>
          <cell r="C1699" t="str">
            <v>m3-km</v>
          </cell>
          <cell r="D1699">
            <v>3150</v>
          </cell>
          <cell r="E1699">
            <v>1.5</v>
          </cell>
          <cell r="F1699">
            <v>8.9285714285714263E-3</v>
          </cell>
          <cell r="G1699">
            <v>4.7142857142857E-2</v>
          </cell>
          <cell r="H1699">
            <v>0.23308571428571401</v>
          </cell>
          <cell r="I1699">
            <v>0</v>
          </cell>
          <cell r="J1699">
            <v>0</v>
          </cell>
          <cell r="K1699">
            <v>0.28022857142857105</v>
          </cell>
          <cell r="L1699">
            <v>0.42034285714285657</v>
          </cell>
          <cell r="M1699">
            <v>1324.0799999999981</v>
          </cell>
        </row>
        <row r="1701">
          <cell r="B1701" t="str">
            <v>Sub Total carried forward to Summary</v>
          </cell>
          <cell r="F1701">
            <v>231027.34053504831</v>
          </cell>
          <cell r="M1701">
            <v>7052372.04</v>
          </cell>
        </row>
        <row r="1702">
          <cell r="B1702" t="str">
            <v xml:space="preserve">TOTALS </v>
          </cell>
          <cell r="F1702">
            <v>326057.34053504828</v>
          </cell>
          <cell r="M1702">
            <v>10537966.328169322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>
        <row r="39">
          <cell r="A39" t="str">
            <v>2.0.1</v>
          </cell>
        </row>
      </sheetData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>
        <row r="39">
          <cell r="A39" t="str">
            <v>2.0.1</v>
          </cell>
        </row>
      </sheetData>
      <sheetData sheetId="27"/>
      <sheetData sheetId="28">
        <row r="39">
          <cell r="A39" t="str">
            <v>2.0.1</v>
          </cell>
        </row>
      </sheetData>
      <sheetData sheetId="29">
        <row r="39">
          <cell r="A39" t="str">
            <v>2.0.1</v>
          </cell>
        </row>
      </sheetData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>
        <row r="39">
          <cell r="A39" t="str">
            <v>2.0.1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D6">
            <v>0</v>
          </cell>
        </row>
      </sheetData>
      <sheetData sheetId="53">
        <row r="6">
          <cell r="D6">
            <v>0</v>
          </cell>
        </row>
      </sheetData>
      <sheetData sheetId="54">
        <row r="6">
          <cell r="D6">
            <v>0</v>
          </cell>
        </row>
      </sheetData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>
        <row r="39">
          <cell r="A39" t="str">
            <v>2.0.1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>
        <row r="39">
          <cell r="A39" t="str">
            <v>2.0.1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>
        <row r="39">
          <cell r="A39" t="str">
            <v>2.0.1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>
        <row r="39">
          <cell r="A39" t="str">
            <v>2.0.1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9">
          <cell r="A39" t="str">
            <v>2.0.1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39">
          <cell r="A39" t="str">
            <v>2.0.1</v>
          </cell>
        </row>
      </sheetData>
      <sheetData sheetId="117"/>
      <sheetData sheetId="118"/>
      <sheetData sheetId="119"/>
      <sheetData sheetId="120">
        <row r="39">
          <cell r="A39" t="str">
            <v>2.0.1</v>
          </cell>
        </row>
      </sheetData>
      <sheetData sheetId="121"/>
      <sheetData sheetId="122"/>
      <sheetData sheetId="123"/>
      <sheetData sheetId="124">
        <row r="39">
          <cell r="A39" t="str">
            <v>2.0.1</v>
          </cell>
        </row>
      </sheetData>
      <sheetData sheetId="125"/>
      <sheetData sheetId="126"/>
      <sheetData sheetId="127"/>
      <sheetData sheetId="128">
        <row r="39">
          <cell r="A39" t="str">
            <v>2.0.1</v>
          </cell>
        </row>
      </sheetData>
      <sheetData sheetId="129">
        <row r="39">
          <cell r="A39" t="str">
            <v>2.0.1</v>
          </cell>
        </row>
      </sheetData>
      <sheetData sheetId="130">
        <row r="39">
          <cell r="A39" t="str">
            <v>2.0.1</v>
          </cell>
        </row>
      </sheetData>
      <sheetData sheetId="131">
        <row r="39">
          <cell r="A39" t="str">
            <v>2.0.1</v>
          </cell>
        </row>
      </sheetData>
      <sheetData sheetId="132">
        <row r="6">
          <cell r="D6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tijerales"/>
      <sheetName val="basedatos"/>
      <sheetName val="hoja resumen"/>
      <sheetName val="gastos generales"/>
      <sheetName val="comp.precios"/>
      <sheetName val="reticulados"/>
      <sheetName val="montaje postes"/>
      <sheetName val="transporte"/>
      <sheetName val="cimentacion"/>
      <sheetName val="calculo de fuerzas"/>
      <sheetName val="seccion 1"/>
      <sheetName val="seccion 2"/>
      <sheetName val="seccion 3"/>
      <sheetName val="seccion 4"/>
      <sheetName val="peso de monopolo"/>
      <sheetName val="calculo de fuerzas (2)"/>
      <sheetName val="seccion1"/>
      <sheetName val="seccion2"/>
      <sheetName val="seccion3"/>
      <sheetName val="seccion4"/>
      <sheetName val="peso de monopolo (2)"/>
      <sheetName val="calculo de fuerzas (3)"/>
      <sheetName val="seccion1 (2)"/>
      <sheetName val="seccion2 (2)"/>
      <sheetName val="seccion3 (2)"/>
      <sheetName val="seccion4 (2)"/>
      <sheetName val="seccion5"/>
      <sheetName val="peso de monopolo (3)"/>
      <sheetName val="Analisis"/>
      <sheetName val="Cuadro_Acabados"/>
      <sheetName val="Final(1)summary"/>
      <sheetName val="STG TR"/>
      <sheetName val="Vers C"/>
      <sheetName val="resoc"/>
      <sheetName val="Hoja3"/>
      <sheetName val="SH A 9 y 10"/>
      <sheetName val="PPto Mensual-Linea Soles-07-08"/>
      <sheetName val="Tabla"/>
      <sheetName val="comp_precios"/>
      <sheetName val="montaje_postes"/>
      <sheetName val="calculo_de_fuerzas"/>
      <sheetName val="seccion_1"/>
      <sheetName val="seccion_2"/>
      <sheetName val="seccion_3"/>
      <sheetName val="seccion_4"/>
      <sheetName val="peso_de_monopolo"/>
      <sheetName val="calculo_de_fuerzas_(2)"/>
      <sheetName val="peso_de_monopolo_(2)"/>
      <sheetName val="calculo_de_fuerzas_(3)"/>
      <sheetName val="seccion1_(2)"/>
      <sheetName val="seccion2_(2)"/>
      <sheetName val="seccion3_(2)"/>
      <sheetName val="seccion4_(2)"/>
      <sheetName val="peso_de_monopolo_(3)"/>
      <sheetName val="hoja_resumen"/>
      <sheetName val="gastos_generales"/>
      <sheetName val="Vers_C"/>
      <sheetName val="Resumen del avance"/>
      <sheetName val="TABLAS"/>
      <sheetName val="Reaj."/>
      <sheetName val="hoja_resumen1"/>
      <sheetName val="gastos_generales1"/>
      <sheetName val="comp_precios1"/>
      <sheetName val="montaje_postes1"/>
      <sheetName val="calculo_de_fuerzas1"/>
      <sheetName val="seccion_11"/>
      <sheetName val="seccion_21"/>
      <sheetName val="seccion_31"/>
      <sheetName val="seccion_41"/>
      <sheetName val="peso_de_monopolo1"/>
      <sheetName val="calculo_de_fuerzas_(2)1"/>
      <sheetName val="peso_de_monopolo_(2)1"/>
      <sheetName val="calculo_de_fuerzas_(3)1"/>
      <sheetName val="seccion1_(2)1"/>
      <sheetName val="seccion2_(2)1"/>
      <sheetName val="seccion3_(2)1"/>
      <sheetName val="seccion4_(2)1"/>
      <sheetName val="peso_de_monopolo_(3)1"/>
      <sheetName val="SH_A_9_y_10"/>
      <sheetName val="Vers_C1"/>
      <sheetName val="STG_TR"/>
      <sheetName val="PPto_Mensual-Linea_Soles-07-08"/>
      <sheetName val="Resumen_del_avance"/>
      <sheetName val="hoja_resumen2"/>
      <sheetName val="gastos_generales2"/>
      <sheetName val="comp_precios2"/>
      <sheetName val="montaje_postes2"/>
      <sheetName val="calculo_de_fuerzas2"/>
      <sheetName val="seccion_12"/>
      <sheetName val="seccion_22"/>
      <sheetName val="seccion_32"/>
      <sheetName val="seccion_42"/>
      <sheetName val="peso_de_monopolo2"/>
      <sheetName val="calculo_de_fuerzas_(2)2"/>
      <sheetName val="peso_de_monopolo_(2)2"/>
      <sheetName val="calculo_de_fuerzas_(3)2"/>
      <sheetName val="seccion1_(2)2"/>
      <sheetName val="seccion2_(2)2"/>
      <sheetName val="seccion3_(2)2"/>
      <sheetName val="seccion4_(2)2"/>
      <sheetName val="peso_de_monopolo_(3)2"/>
      <sheetName val="SH_A_9_y_101"/>
      <sheetName val="Vers_C2"/>
      <sheetName val="STG_TR1"/>
      <sheetName val="PPto_Mensual-Linea_Soles-07-081"/>
      <sheetName val="Resumen_del_avance1"/>
      <sheetName val="TRNG0500"/>
      <sheetName val="Target Price"/>
      <sheetName val="RECURSOS"/>
      <sheetName val="CAP-120mm2"/>
      <sheetName val="hoja_resumen4"/>
      <sheetName val="gastos_generales4"/>
      <sheetName val="comp_precios4"/>
      <sheetName val="montaje_postes4"/>
      <sheetName val="calculo_de_fuerzas4"/>
      <sheetName val="seccion_14"/>
      <sheetName val="seccion_24"/>
      <sheetName val="seccion_34"/>
      <sheetName val="seccion_44"/>
      <sheetName val="peso_de_monopolo4"/>
      <sheetName val="calculo_de_fuerzas_(2)4"/>
      <sheetName val="peso_de_monopolo_(2)4"/>
      <sheetName val="calculo_de_fuerzas_(3)4"/>
      <sheetName val="seccion1_(2)4"/>
      <sheetName val="seccion2_(2)4"/>
      <sheetName val="seccion3_(2)4"/>
      <sheetName val="seccion4_(2)4"/>
      <sheetName val="peso_de_monopolo_(3)4"/>
      <sheetName val="SH_A_9_y_104"/>
      <sheetName val="Vers_C4"/>
      <sheetName val="SH_A_9_y_102"/>
      <sheetName val="hoja_resumen3"/>
      <sheetName val="gastos_generales3"/>
      <sheetName val="comp_precios3"/>
      <sheetName val="montaje_postes3"/>
      <sheetName val="calculo_de_fuerzas3"/>
      <sheetName val="seccion_13"/>
      <sheetName val="seccion_23"/>
      <sheetName val="seccion_33"/>
      <sheetName val="seccion_43"/>
      <sheetName val="peso_de_monopolo3"/>
      <sheetName val="calculo_de_fuerzas_(2)3"/>
      <sheetName val="peso_de_monopolo_(2)3"/>
      <sheetName val="calculo_de_fuerzas_(3)3"/>
      <sheetName val="seccion1_(2)3"/>
      <sheetName val="seccion2_(2)3"/>
      <sheetName val="seccion3_(2)3"/>
      <sheetName val="seccion4_(2)3"/>
      <sheetName val="peso_de_monopolo_(3)3"/>
      <sheetName val="SH_A_9_y_103"/>
      <sheetName val="Vers_C3"/>
      <sheetName val="hoja_resumen8"/>
      <sheetName val="gastos_generales8"/>
      <sheetName val="comp_precios8"/>
      <sheetName val="montaje_postes8"/>
      <sheetName val="calculo_de_fuerzas8"/>
      <sheetName val="seccion_18"/>
      <sheetName val="seccion_28"/>
      <sheetName val="seccion_38"/>
      <sheetName val="seccion_48"/>
      <sheetName val="peso_de_monopolo8"/>
      <sheetName val="calculo_de_fuerzas_(2)8"/>
      <sheetName val="peso_de_monopolo_(2)8"/>
      <sheetName val="calculo_de_fuerzas_(3)8"/>
      <sheetName val="seccion1_(2)8"/>
      <sheetName val="seccion2_(2)8"/>
      <sheetName val="seccion3_(2)8"/>
      <sheetName val="seccion4_(2)8"/>
      <sheetName val="peso_de_monopolo_(3)8"/>
      <sheetName val="SH_A_9_y_108"/>
      <sheetName val="Vers_C8"/>
      <sheetName val="hoja_resumen5"/>
      <sheetName val="gastos_generales5"/>
      <sheetName val="comp_precios5"/>
      <sheetName val="montaje_postes5"/>
      <sheetName val="calculo_de_fuerzas5"/>
      <sheetName val="seccion_15"/>
      <sheetName val="seccion_25"/>
      <sheetName val="seccion_35"/>
      <sheetName val="seccion_45"/>
      <sheetName val="peso_de_monopolo5"/>
      <sheetName val="calculo_de_fuerzas_(2)5"/>
      <sheetName val="peso_de_monopolo_(2)5"/>
      <sheetName val="calculo_de_fuerzas_(3)5"/>
      <sheetName val="seccion1_(2)5"/>
      <sheetName val="seccion2_(2)5"/>
      <sheetName val="seccion3_(2)5"/>
      <sheetName val="seccion4_(2)5"/>
      <sheetName val="peso_de_monopolo_(3)5"/>
      <sheetName val="SH_A_9_y_105"/>
      <sheetName val="Vers_C5"/>
      <sheetName val="hoja_resumen6"/>
      <sheetName val="gastos_generales6"/>
      <sheetName val="comp_precios6"/>
      <sheetName val="montaje_postes6"/>
      <sheetName val="calculo_de_fuerzas6"/>
      <sheetName val="seccion_16"/>
      <sheetName val="seccion_26"/>
      <sheetName val="seccion_36"/>
      <sheetName val="seccion_46"/>
      <sheetName val="peso_de_monopolo6"/>
      <sheetName val="calculo_de_fuerzas_(2)6"/>
      <sheetName val="peso_de_monopolo_(2)6"/>
      <sheetName val="calculo_de_fuerzas_(3)6"/>
      <sheetName val="seccion1_(2)6"/>
      <sheetName val="seccion2_(2)6"/>
      <sheetName val="seccion3_(2)6"/>
      <sheetName val="seccion4_(2)6"/>
      <sheetName val="peso_de_monopolo_(3)6"/>
      <sheetName val="SH_A_9_y_106"/>
      <sheetName val="Vers_C6"/>
      <sheetName val="hoja_resumen7"/>
      <sheetName val="gastos_generales7"/>
      <sheetName val="comp_precios7"/>
      <sheetName val="montaje_postes7"/>
      <sheetName val="calculo_de_fuerzas7"/>
      <sheetName val="seccion_17"/>
      <sheetName val="seccion_27"/>
      <sheetName val="seccion_37"/>
      <sheetName val="seccion_47"/>
      <sheetName val="peso_de_monopolo7"/>
      <sheetName val="calculo_de_fuerzas_(2)7"/>
      <sheetName val="peso_de_monopolo_(2)7"/>
      <sheetName val="calculo_de_fuerzas_(3)7"/>
      <sheetName val="seccion1_(2)7"/>
      <sheetName val="seccion2_(2)7"/>
      <sheetName val="seccion3_(2)7"/>
      <sheetName val="seccion4_(2)7"/>
      <sheetName val="peso_de_monopolo_(3)7"/>
      <sheetName val="SH_A_9_y_107"/>
      <sheetName val="Vers_C7"/>
      <sheetName val="hoja_resumen9"/>
      <sheetName val="gastos_generales9"/>
      <sheetName val="comp_precios9"/>
      <sheetName val="montaje_postes9"/>
      <sheetName val="calculo_de_fuerzas9"/>
      <sheetName val="seccion_19"/>
      <sheetName val="seccion_29"/>
      <sheetName val="seccion_39"/>
      <sheetName val="seccion_49"/>
      <sheetName val="peso_de_monopolo9"/>
      <sheetName val="calculo_de_fuerzas_(2)9"/>
      <sheetName val="peso_de_monopolo_(2)9"/>
      <sheetName val="calculo_de_fuerzas_(3)9"/>
      <sheetName val="seccion1_(2)9"/>
      <sheetName val="seccion2_(2)9"/>
      <sheetName val="seccion3_(2)9"/>
      <sheetName val="seccion4_(2)9"/>
      <sheetName val="peso_de_monopolo_(3)9"/>
      <sheetName val="SH_A_9_y_109"/>
      <sheetName val="Vers_C9"/>
      <sheetName val="Datos"/>
      <sheetName val="Target_Price"/>
      <sheetName val="Target_Price1"/>
      <sheetName val="A2"/>
      <sheetName val="Target_Price5"/>
      <sheetName val="Target_Price2"/>
      <sheetName val="Target_Price3"/>
      <sheetName val="Target_Price4"/>
      <sheetName val="Target_Price7"/>
      <sheetName val="Target_Price6"/>
      <sheetName val="Target_Price8"/>
      <sheetName val="Target_Price9"/>
      <sheetName val="hoja_resumen10"/>
      <sheetName val="gastos_generales10"/>
      <sheetName val="comp_precios10"/>
      <sheetName val="montaje_postes10"/>
      <sheetName val="calculo_de_fuerzas10"/>
      <sheetName val="seccion_110"/>
      <sheetName val="seccion_210"/>
      <sheetName val="seccion_310"/>
      <sheetName val="seccion_410"/>
      <sheetName val="peso_de_monopolo10"/>
      <sheetName val="calculo_de_fuerzas_(2)10"/>
      <sheetName val="peso_de_monopolo_(2)10"/>
      <sheetName val="calculo_de_fuerzas_(3)10"/>
      <sheetName val="seccion1_(2)10"/>
      <sheetName val="seccion2_(2)10"/>
      <sheetName val="seccion3_(2)10"/>
      <sheetName val="seccion4_(2)10"/>
      <sheetName val="peso_de_monopolo_(3)10"/>
      <sheetName val="Vers_C10"/>
      <sheetName val="Target_Price10"/>
      <sheetName val="Misc"/>
      <sheetName val="Resumen"/>
      <sheetName val="Precios Unitarios"/>
      <sheetName val="Ppto con Detalle"/>
      <sheetName val="presupuesto con 3 conect"/>
      <sheetName val="edif.wiese-contrato"/>
      <sheetName val="hoja_resumen11"/>
      <sheetName val="gastos_generales11"/>
      <sheetName val="comp_precios11"/>
      <sheetName val="montaje_postes11"/>
      <sheetName val="calculo_de_fuerzas11"/>
      <sheetName val="seccion_111"/>
      <sheetName val="seccion_211"/>
      <sheetName val="seccion_311"/>
      <sheetName val="seccion_411"/>
      <sheetName val="peso_de_monopolo11"/>
      <sheetName val="calculo_de_fuerzas_(2)11"/>
      <sheetName val="peso_de_monopolo_(2)11"/>
      <sheetName val="calculo_de_fuerzas_(3)11"/>
      <sheetName val="seccion1_(2)11"/>
      <sheetName val="seccion2_(2)11"/>
      <sheetName val="seccion3_(2)11"/>
      <sheetName val="seccion4_(2)11"/>
      <sheetName val="peso_de_monopolo_(3)11"/>
      <sheetName val="STG_TR2"/>
      <sheetName val="Vers_C11"/>
      <sheetName val="SH_A_9_y_1010"/>
      <sheetName val="PPto_Mensual-Linea_Soles-07-082"/>
      <sheetName val="Resumen_del_avance2"/>
      <sheetName val="Reaj_"/>
      <sheetName val="Target_Price11"/>
      <sheetName val="Precios_Unitarios"/>
      <sheetName val="Datos-No imprimir"/>
      <sheetName val="STG_TR5"/>
      <sheetName val="PPto_Mensual-Linea_Soles-07-085"/>
      <sheetName val="Resumen_del_avance5"/>
      <sheetName val="Reaj_3"/>
      <sheetName val="STG_TR3"/>
      <sheetName val="PPto_Mensual-Linea_Soles-07-083"/>
      <sheetName val="Resumen_del_avance3"/>
      <sheetName val="Reaj_1"/>
      <sheetName val="STG_TR4"/>
      <sheetName val="PPto_Mensual-Linea_Soles-07-084"/>
      <sheetName val="Resumen_del_avance4"/>
      <sheetName val="Reaj_2"/>
      <sheetName val="STG_TR6"/>
      <sheetName val="PPto_Mensual-Linea_Soles-07-086"/>
      <sheetName val="Resumen_del_avance6"/>
      <sheetName val="Reaj_4"/>
      <sheetName val="Nivel1"/>
      <sheetName val="Nivel3"/>
      <sheetName val="STG_TR7"/>
      <sheetName val="PPto_Mensual-Linea_Soles-07-087"/>
      <sheetName val="Resumen_del_avance7"/>
      <sheetName val="STG_TR10"/>
      <sheetName val="PPto_Mensual-Linea_Soles-07-010"/>
      <sheetName val="Resumen_del_avance10"/>
      <sheetName val="Reaj_7"/>
      <sheetName val="STG_TR8"/>
      <sheetName val="PPto_Mensual-Linea_Soles-07-088"/>
      <sheetName val="Resumen_del_avance8"/>
      <sheetName val="Reaj_5"/>
      <sheetName val="STG_TR9"/>
      <sheetName val="PPto_Mensual-Linea_Soles-07-089"/>
      <sheetName val="Resumen_del_avance9"/>
      <sheetName val="Reaj_6"/>
      <sheetName val="hoja_resumen12"/>
      <sheetName val="gastos_generales12"/>
      <sheetName val="comp_precios12"/>
      <sheetName val="montaje_postes12"/>
      <sheetName val="calculo_de_fuerzas12"/>
      <sheetName val="seccion_112"/>
      <sheetName val="seccion_212"/>
      <sheetName val="seccion_312"/>
      <sheetName val="seccion_412"/>
      <sheetName val="peso_de_monopolo12"/>
      <sheetName val="calculo_de_fuerzas_(2)12"/>
      <sheetName val="peso_de_monopolo_(2)12"/>
      <sheetName val="calculo_de_fuerzas_(3)12"/>
      <sheetName val="seccion1_(2)12"/>
      <sheetName val="seccion2_(2)12"/>
      <sheetName val="seccion3_(2)12"/>
      <sheetName val="seccion4_(2)12"/>
      <sheetName val="peso_de_monopolo_(3)12"/>
      <sheetName val="SH_A_9_y_1011"/>
      <sheetName val="STG_TR11"/>
      <sheetName val="Vers_C12"/>
      <sheetName val="PPto_Mensual-Linea_Soles-07-011"/>
      <sheetName val="Resumen_del_avance11"/>
      <sheetName val="Reaj_8"/>
      <sheetName val="Fab. 15"/>
      <sheetName val="Hoja de Recursos"/>
      <sheetName val="Provisionales "/>
      <sheetName val="Estructuras"/>
      <sheetName val="Arquitectura"/>
      <sheetName val="DATA"/>
      <sheetName val="f-05"/>
      <sheetName val="rates"/>
      <sheetName val="Target_Price12"/>
      <sheetName val="Fab__15"/>
      <sheetName val="presupuesto_con_3_conect"/>
      <sheetName val="Ppto_con_Detalle"/>
      <sheetName val="hoja_resumen13"/>
      <sheetName val="gastos_generales13"/>
      <sheetName val="comp_precios13"/>
      <sheetName val="montaje_postes13"/>
      <sheetName val="calculo_de_fuerzas13"/>
      <sheetName val="seccion_113"/>
      <sheetName val="seccion_213"/>
      <sheetName val="seccion_313"/>
      <sheetName val="seccion_413"/>
      <sheetName val="peso_de_monopolo13"/>
      <sheetName val="calculo_de_fuerzas_(2)13"/>
      <sheetName val="peso_de_monopolo_(2)13"/>
      <sheetName val="calculo_de_fuerzas_(3)13"/>
      <sheetName val="seccion1_(2)13"/>
      <sheetName val="seccion2_(2)13"/>
      <sheetName val="seccion3_(2)13"/>
      <sheetName val="seccion4_(2)13"/>
      <sheetName val="peso_de_monopolo_(3)13"/>
      <sheetName val="Vers_C13"/>
      <sheetName val="Target_Price13"/>
      <sheetName val="SH_A_9_y_1012"/>
      <sheetName val="STG_TR12"/>
      <sheetName val="PPto_Mensual-Linea_Soles-07-012"/>
      <sheetName val="Resumen_del_avance12"/>
      <sheetName val="Reaj_9"/>
      <sheetName val="Precios_Unitarios1"/>
      <sheetName val="edif_wiese-contrato"/>
      <sheetName val="Datos-No_imprimir"/>
      <sheetName val="Vigas"/>
      <sheetName val="Hoja_de_Recursos"/>
      <sheetName val="Provisionales_"/>
      <sheetName val="Fab__151"/>
      <sheetName val="presupuesto_con_3_conect1"/>
      <sheetName val="Ppto_con_Detalle1"/>
      <sheetName val="hoja_resumen14"/>
      <sheetName val="gastos_generales14"/>
      <sheetName val="comp_precios14"/>
      <sheetName val="montaje_postes14"/>
      <sheetName val="calculo_de_fuerzas14"/>
      <sheetName val="seccion_114"/>
      <sheetName val="seccion_214"/>
      <sheetName val="seccion_314"/>
      <sheetName val="seccion_414"/>
      <sheetName val="peso_de_monopolo14"/>
      <sheetName val="calculo_de_fuerzas_(2)14"/>
      <sheetName val="peso_de_monopolo_(2)14"/>
      <sheetName val="calculo_de_fuerzas_(3)14"/>
      <sheetName val="seccion1_(2)14"/>
      <sheetName val="seccion2_(2)14"/>
      <sheetName val="seccion3_(2)14"/>
      <sheetName val="seccion4_(2)14"/>
      <sheetName val="peso_de_monopolo_(3)14"/>
      <sheetName val="STG_TR13"/>
      <sheetName val="Vers_C14"/>
      <sheetName val="SH_A_9_y_1013"/>
      <sheetName val="PPto_Mensual-Linea_Soles-07-013"/>
      <sheetName val="Resumen_del_avance13"/>
      <sheetName val="Reaj_10"/>
      <sheetName val="Target_Price14"/>
      <sheetName val="Fab__152"/>
      <sheetName val="presupuesto_con_3_conect2"/>
      <sheetName val="Precios_Unitarios2"/>
      <sheetName val="Ppto_con_Detalle2"/>
      <sheetName val="edif_wiese-contrato1"/>
      <sheetName val="Datos-No_imprimir1"/>
      <sheetName val="hoja_resumen15"/>
      <sheetName val="gastos_generales15"/>
      <sheetName val="comp_precios15"/>
      <sheetName val="montaje_postes15"/>
      <sheetName val="calculo_de_fuerzas15"/>
      <sheetName val="seccion_115"/>
      <sheetName val="seccion_215"/>
      <sheetName val="seccion_315"/>
      <sheetName val="seccion_415"/>
      <sheetName val="peso_de_monopolo15"/>
      <sheetName val="calculo_de_fuerzas_(2)15"/>
      <sheetName val="peso_de_monopolo_(2)15"/>
      <sheetName val="calculo_de_fuerzas_(3)15"/>
      <sheetName val="seccion1_(2)15"/>
      <sheetName val="seccion2_(2)15"/>
      <sheetName val="seccion3_(2)15"/>
      <sheetName val="seccion4_(2)15"/>
      <sheetName val="peso_de_monopolo_(3)15"/>
      <sheetName val="STG_TR14"/>
      <sheetName val="Vers_C15"/>
      <sheetName val="SH_A_9_y_1014"/>
      <sheetName val="PPto_Mensual-Linea_Soles-07-014"/>
      <sheetName val="Resumen_del_avance14"/>
      <sheetName val="Reaj_11"/>
      <sheetName val="Target_Price15"/>
      <sheetName val="Fab__153"/>
      <sheetName val="presupuesto_con_3_conect3"/>
      <sheetName val="Precios_Unitarios3"/>
      <sheetName val="Ppto_con_Detalle3"/>
      <sheetName val="edif_wiese-contrato2"/>
      <sheetName val="Datos-No_imprimir2"/>
      <sheetName val="Hoja_de_Recursos1"/>
      <sheetName val="Provisionales_1"/>
      <sheetName val="hoja_resumen16"/>
      <sheetName val="gastos_generales16"/>
      <sheetName val="comp_precios16"/>
      <sheetName val="montaje_postes16"/>
      <sheetName val="calculo_de_fuerzas16"/>
      <sheetName val="seccion_116"/>
      <sheetName val="seccion_216"/>
      <sheetName val="seccion_316"/>
      <sheetName val="seccion_416"/>
      <sheetName val="peso_de_monopolo16"/>
      <sheetName val="calculo_de_fuerzas_(2)16"/>
      <sheetName val="peso_de_monopolo_(2)16"/>
      <sheetName val="calculo_de_fuerzas_(3)16"/>
      <sheetName val="seccion1_(2)16"/>
      <sheetName val="seccion2_(2)16"/>
      <sheetName val="seccion3_(2)16"/>
      <sheetName val="seccion4_(2)16"/>
      <sheetName val="peso_de_monopolo_(3)16"/>
      <sheetName val="STG_TR15"/>
      <sheetName val="Vers_C16"/>
      <sheetName val="SH_A_9_y_1015"/>
      <sheetName val="PPto_Mensual-Linea_Soles-07-015"/>
      <sheetName val="Resumen_del_avance15"/>
      <sheetName val="Reaj_12"/>
      <sheetName val="Target_Price16"/>
      <sheetName val="Fab__154"/>
      <sheetName val="presupuesto_con_3_conect4"/>
      <sheetName val="Precios_Unitarios4"/>
      <sheetName val="Ppto_con_Detalle4"/>
      <sheetName val="edif_wiese-contrato3"/>
      <sheetName val="Datos-No_imprimir3"/>
      <sheetName val="Hoja_de_Recursos2"/>
      <sheetName val="Provisionales_2"/>
      <sheetName val="hoja_resumen17"/>
      <sheetName val="gastos_generales17"/>
      <sheetName val="comp_precios17"/>
      <sheetName val="montaje_postes17"/>
      <sheetName val="calculo_de_fuerzas17"/>
      <sheetName val="seccion_117"/>
      <sheetName val="seccion_217"/>
      <sheetName val="seccion_317"/>
      <sheetName val="seccion_417"/>
      <sheetName val="peso_de_monopolo17"/>
      <sheetName val="calculo_de_fuerzas_(2)17"/>
      <sheetName val="peso_de_monopolo_(2)17"/>
      <sheetName val="calculo_de_fuerzas_(3)17"/>
      <sheetName val="seccion1_(2)17"/>
      <sheetName val="seccion2_(2)17"/>
      <sheetName val="seccion3_(2)17"/>
      <sheetName val="seccion4_(2)17"/>
      <sheetName val="peso_de_monopolo_(3)17"/>
      <sheetName val="STG_TR16"/>
      <sheetName val="Vers_C17"/>
      <sheetName val="SH_A_9_y_1016"/>
      <sheetName val="PPto_Mensual-Linea_Soles-07-016"/>
      <sheetName val="Resumen_del_avance16"/>
      <sheetName val="Reaj_13"/>
      <sheetName val="Target_Price17"/>
      <sheetName val="presupuesto_con_3_conect5"/>
      <sheetName val="Ppto_con_Detalle5"/>
      <sheetName val="Fab__155"/>
      <sheetName val="Precios_Unitarios5"/>
      <sheetName val="edif_wiese-contrato4"/>
      <sheetName val="Datos-No_imprimir4"/>
      <sheetName val="Hoja_de_Recursos3"/>
      <sheetName val="Provisionales_3"/>
      <sheetName val="hoja_resumen18"/>
      <sheetName val="gastos_generales18"/>
      <sheetName val="comp_precios18"/>
      <sheetName val="montaje_postes18"/>
      <sheetName val="calculo_de_fuerzas18"/>
      <sheetName val="seccion_118"/>
      <sheetName val="seccion_218"/>
      <sheetName val="seccion_318"/>
      <sheetName val="seccion_418"/>
      <sheetName val="peso_de_monopolo18"/>
      <sheetName val="calculo_de_fuerzas_(2)18"/>
      <sheetName val="peso_de_monopolo_(2)18"/>
      <sheetName val="calculo_de_fuerzas_(3)18"/>
      <sheetName val="seccion1_(2)18"/>
      <sheetName val="seccion2_(2)18"/>
      <sheetName val="seccion3_(2)18"/>
      <sheetName val="seccion4_(2)18"/>
      <sheetName val="peso_de_monopolo_(3)18"/>
      <sheetName val="STG_TR17"/>
      <sheetName val="Vers_C18"/>
      <sheetName val="SH_A_9_y_1017"/>
      <sheetName val="PPto_Mensual-Linea_Soles-07-017"/>
      <sheetName val="Resumen_del_avance17"/>
      <sheetName val="Reaj_14"/>
      <sheetName val="Target_Price18"/>
      <sheetName val="Fab__156"/>
      <sheetName val="presupuesto_con_3_conect6"/>
      <sheetName val="Precios_Unitarios6"/>
      <sheetName val="Ppto_con_Detalle6"/>
      <sheetName val="edif_wiese-contrato5"/>
      <sheetName val="Datos-No_imprimir5"/>
      <sheetName val="Hoja_de_Recursos4"/>
      <sheetName val="Provisionales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/>
      <sheetData sheetId="376"/>
      <sheetData sheetId="377"/>
      <sheetData sheetId="378"/>
      <sheetData sheetId="379" refreshError="1"/>
      <sheetData sheetId="380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e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sel."/>
      <sheetName val="Rev. de Gastos"/>
      <sheetName val="MMA"/>
      <sheetName val="MMA (2)"/>
      <sheetName val="Marcas Estándar"/>
      <sheetName val="Gastos Ge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 realizado{1}"/>
      <sheetName val="Base selecc.{2} "/>
      <sheetName val="Rev. de Gastos{3} "/>
      <sheetName val="Rev. 7 deb{4}  "/>
      <sheetName val="Rev. planillas{5} "/>
      <sheetName val="Rev. 5ta cat{6} "/>
      <sheetName val="Tickmarks"/>
      <sheetName val="insumos"/>
    </sheetNames>
    <sheetDataSet>
      <sheetData sheetId="0"/>
      <sheetData sheetId="1">
        <row r="31">
          <cell r="B31">
            <v>174848859</v>
          </cell>
        </row>
      </sheetData>
      <sheetData sheetId="2" refreshError="1"/>
      <sheetData sheetId="3"/>
      <sheetData sheetId="4"/>
      <sheetData sheetId="5" refreshError="1"/>
      <sheetData sheetId="6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ConcBanc"/>
      <sheetName val="Revisión"/>
      <sheetName val="Revisión (2)"/>
      <sheetName val="Tickmarks"/>
      <sheetName val="Tarifa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FINALQS"/>
      <sheetName val="Resumen"/>
      <sheetName val="A:B"/>
      <sheetName val="IGV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cas  SECTOR1-4"/>
      <sheetName val="formula "/>
      <sheetName val="Hoja1"/>
    </sheetNames>
    <sheetDataSet>
      <sheetData sheetId="0" refreshError="1"/>
      <sheetData sheetId="1" refreshError="1">
        <row r="10">
          <cell r="H10">
            <v>0.25</v>
          </cell>
        </row>
        <row r="16">
          <cell r="E16">
            <v>0.375</v>
          </cell>
          <cell r="G16">
            <v>0.4</v>
          </cell>
          <cell r="I16">
            <v>0.375</v>
          </cell>
          <cell r="K16">
            <v>0.2</v>
          </cell>
        </row>
        <row r="17">
          <cell r="E17">
            <v>0.5</v>
          </cell>
          <cell r="G17">
            <v>0.4</v>
          </cell>
          <cell r="I17">
            <v>0.5</v>
          </cell>
          <cell r="K17">
            <v>0.25</v>
          </cell>
        </row>
        <row r="18">
          <cell r="E18">
            <v>0.625</v>
          </cell>
          <cell r="G18">
            <v>0.4</v>
          </cell>
          <cell r="I18">
            <v>0.625</v>
          </cell>
          <cell r="K18">
            <v>0.3</v>
          </cell>
        </row>
        <row r="19">
          <cell r="E19">
            <v>0.75</v>
          </cell>
          <cell r="G19">
            <v>0.4</v>
          </cell>
          <cell r="I19">
            <v>0.75</v>
          </cell>
          <cell r="K19">
            <v>0.4</v>
          </cell>
        </row>
        <row r="20">
          <cell r="E20">
            <v>1</v>
          </cell>
          <cell r="G20">
            <v>0.4</v>
          </cell>
          <cell r="I20">
            <v>1</v>
          </cell>
          <cell r="K20">
            <v>0.5</v>
          </cell>
        </row>
        <row r="21">
          <cell r="E21">
            <v>1.375</v>
          </cell>
          <cell r="G21">
            <v>0.4</v>
          </cell>
        </row>
      </sheetData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FRENTE"/>
      <sheetName val="FORMATO F1"/>
      <sheetName val="RES F1"/>
      <sheetName val="FORMATO F2 (2)"/>
      <sheetName val="RES F2 (2)"/>
      <sheetName val="FORMATO F2 (3)"/>
      <sheetName val="RES F2 (3)"/>
      <sheetName val="FORMATO F2 (4)"/>
      <sheetName val="RES F2 (4)"/>
      <sheetName val="FORMATO F2 (5)"/>
      <sheetName val="RES F2 (5)"/>
      <sheetName val="FORMATO F2 (6)"/>
      <sheetName val="RES F2 (6)"/>
      <sheetName val="FORMATO F2 (7)"/>
      <sheetName val="RES F2 (7)"/>
      <sheetName val="LIMA-CANTA"/>
      <sheetName val="Presupuesto"/>
      <sheetName val="hoja resumen"/>
      <sheetName val="INS_EST"/>
      <sheetName val="INS_O.P."/>
      <sheetName val="PRESUP_EST"/>
      <sheetName val="PRESUP_O.P."/>
      <sheetName val="EST_DORMITORIO"/>
      <sheetName val="DATOS"/>
      <sheetName val="RESUMEN_FRENTE"/>
      <sheetName val="FORMATO_F1"/>
      <sheetName val="RES_F1"/>
      <sheetName val="FORMATO_F2_(2)"/>
      <sheetName val="RES_F2_(2)"/>
      <sheetName val="FORMATO_F2_(3)"/>
      <sheetName val="RES_F2_(3)"/>
      <sheetName val="FORMATO_F2_(4)"/>
      <sheetName val="RES_F2_(4)"/>
      <sheetName val="FORMATO_F2_(5)"/>
      <sheetName val="RES_F2_(5)"/>
      <sheetName val="FORMATO_F2_(6)"/>
      <sheetName val="RES_F2_(6)"/>
      <sheetName val="FORMATO_F2_(7)"/>
      <sheetName val="RES_F2_(7)"/>
      <sheetName val="RANGOS"/>
      <sheetName val="DAT"/>
      <sheetName val="INS_ARQ"/>
      <sheetName val="RESUMEN_FRENTE1"/>
      <sheetName val="FORMATO_F11"/>
      <sheetName val="RES_F11"/>
      <sheetName val="FORMATO_F2_(2)1"/>
      <sheetName val="RES_F2_(2)1"/>
      <sheetName val="FORMATO_F2_(3)1"/>
      <sheetName val="RES_F2_(3)1"/>
      <sheetName val="FORMATO_F2_(4)1"/>
      <sheetName val="RES_F2_(4)1"/>
      <sheetName val="FORMATO_F2_(5)1"/>
      <sheetName val="RES_F2_(5)1"/>
      <sheetName val="FORMATO_F2_(6)1"/>
      <sheetName val="RES_F2_(6)1"/>
      <sheetName val="FORMATO_F2_(7)1"/>
      <sheetName val="RES_F2_(7)1"/>
      <sheetName val="hoja_resumen"/>
      <sheetName val="Conciliaciones"/>
      <sheetName val="RESUMEN_FRENTE2"/>
      <sheetName val="FORMATO_F12"/>
      <sheetName val="RES_F12"/>
      <sheetName val="FORMATO_F2_(2)2"/>
      <sheetName val="RES_F2_(2)2"/>
      <sheetName val="FORMATO_F2_(3)2"/>
      <sheetName val="RES_F2_(3)2"/>
      <sheetName val="FORMATO_F2_(4)2"/>
      <sheetName val="RES_F2_(4)2"/>
      <sheetName val="FORMATO_F2_(5)2"/>
      <sheetName val="RES_F2_(5)2"/>
      <sheetName val="FORMATO_F2_(6)2"/>
      <sheetName val="RES_F2_(6)2"/>
      <sheetName val="FORMATO_F2_(7)2"/>
      <sheetName val="RES_F2_(7)2"/>
      <sheetName val="hoja_resumen1"/>
      <sheetName val="INS_O_P_"/>
      <sheetName val="PRESUP_O_P_"/>
      <sheetName val="RESUMEN_FRENTE3"/>
      <sheetName val="FORMATO_F13"/>
      <sheetName val="RES_F13"/>
      <sheetName val="FORMATO_F2_(2)3"/>
      <sheetName val="RES_F2_(2)3"/>
      <sheetName val="FORMATO_F2_(3)3"/>
      <sheetName val="RES_F2_(3)3"/>
      <sheetName val="FORMATO_F2_(4)3"/>
      <sheetName val="RES_F2_(4)3"/>
      <sheetName val="FORMATO_F2_(5)3"/>
      <sheetName val="RES_F2_(5)3"/>
      <sheetName val="FORMATO_F2_(6)3"/>
      <sheetName val="RES_F2_(6)3"/>
      <sheetName val="FORMATO_F2_(7)3"/>
      <sheetName val="RES_F2_(7)3"/>
      <sheetName val="hoja_resumen2"/>
      <sheetName val="INS_O_P_1"/>
      <sheetName val="PRESUP_O_P_1"/>
      <sheetName val="RESUMEN_FRENTE4"/>
      <sheetName val="FORMATO_F14"/>
      <sheetName val="RES_F14"/>
      <sheetName val="FORMATO_F2_(2)4"/>
      <sheetName val="RES_F2_(2)4"/>
      <sheetName val="FORMATO_F2_(3)4"/>
      <sheetName val="RES_F2_(3)4"/>
      <sheetName val="FORMATO_F2_(4)4"/>
      <sheetName val="RES_F2_(4)4"/>
      <sheetName val="FORMATO_F2_(5)4"/>
      <sheetName val="RES_F2_(5)4"/>
      <sheetName val="FORMATO_F2_(6)4"/>
      <sheetName val="RES_F2_(6)4"/>
      <sheetName val="FORMATO_F2_(7)4"/>
      <sheetName val="RES_F2_(7)4"/>
      <sheetName val="hoja_resumen3"/>
      <sheetName val="INS_O_P_2"/>
      <sheetName val="PRESUP_O_P_2"/>
      <sheetName val="RESUMEN_FRENTE5"/>
      <sheetName val="FORMATO_F15"/>
      <sheetName val="RES_F15"/>
      <sheetName val="FORMATO_F2_(2)5"/>
      <sheetName val="RES_F2_(2)5"/>
      <sheetName val="FORMATO_F2_(3)5"/>
      <sheetName val="RES_F2_(3)5"/>
      <sheetName val="FORMATO_F2_(4)5"/>
      <sheetName val="RES_F2_(4)5"/>
      <sheetName val="FORMATO_F2_(5)5"/>
      <sheetName val="RES_F2_(5)5"/>
      <sheetName val="FORMATO_F2_(6)5"/>
      <sheetName val="RES_F2_(6)5"/>
      <sheetName val="FORMATO_F2_(7)5"/>
      <sheetName val="RES_F2_(7)5"/>
      <sheetName val="hoja_resumen4"/>
      <sheetName val="INS_O_P_3"/>
      <sheetName val="PRESUP_O_P_3"/>
      <sheetName val="RESUMEN_FRENTE6"/>
      <sheetName val="FORMATO_F16"/>
      <sheetName val="RES_F16"/>
      <sheetName val="FORMATO_F2_(2)6"/>
      <sheetName val="RES_F2_(2)6"/>
      <sheetName val="FORMATO_F2_(3)6"/>
      <sheetName val="RES_F2_(3)6"/>
      <sheetName val="FORMATO_F2_(4)6"/>
      <sheetName val="RES_F2_(4)6"/>
      <sheetName val="FORMATO_F2_(5)6"/>
      <sheetName val="RES_F2_(5)6"/>
      <sheetName val="FORMATO_F2_(6)6"/>
      <sheetName val="RES_F2_(6)6"/>
      <sheetName val="FORMATO_F2_(7)6"/>
      <sheetName val="RES_F2_(7)6"/>
      <sheetName val="hoja_resumen5"/>
      <sheetName val="INS_O_P_4"/>
      <sheetName val="PRESUP_O_P_4"/>
      <sheetName val="RESUMEN_FRENTE7"/>
      <sheetName val="FORMATO_F17"/>
      <sheetName val="RES_F17"/>
      <sheetName val="FORMATO_F2_(2)7"/>
      <sheetName val="RES_F2_(2)7"/>
      <sheetName val="FORMATO_F2_(3)7"/>
      <sheetName val="RES_F2_(3)7"/>
      <sheetName val="FORMATO_F2_(4)7"/>
      <sheetName val="RES_F2_(4)7"/>
      <sheetName val="FORMATO_F2_(5)7"/>
      <sheetName val="RES_F2_(5)7"/>
      <sheetName val="FORMATO_F2_(6)7"/>
      <sheetName val="RES_F2_(6)7"/>
      <sheetName val="FORMATO_F2_(7)7"/>
      <sheetName val="RES_F2_(7)7"/>
      <sheetName val="hoja_resumen6"/>
      <sheetName val="INS_O_P_5"/>
      <sheetName val="PRESUP_O_P_5"/>
    </sheetNames>
    <sheetDataSet>
      <sheetData sheetId="0" refreshError="1"/>
      <sheetData sheetId="1"/>
      <sheetData sheetId="2" refreshError="1">
        <row r="42">
          <cell r="D42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42">
          <cell r="D42">
            <v>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>
        <row r="42">
          <cell r="D42">
            <v>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42">
          <cell r="D42">
            <v>2</v>
          </cell>
        </row>
      </sheetData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. Estimado"/>
      <sheetName val="Porcentajes"/>
      <sheetName val="Program. Obras"/>
      <sheetName val="Flujo de Caja"/>
      <sheetName val="Presup_ Estimado"/>
      <sheetName val="Resumen (V)(Soles)"/>
      <sheetName val="Presup__Estimado"/>
      <sheetName val="Program__Obras"/>
      <sheetName val="Flujo_de_Caja"/>
      <sheetName val="Presup__Estimado1"/>
      <sheetName val="Resumen_(V)(Soles)"/>
      <sheetName val="INS_I.E."/>
      <sheetName val="PRESUP_I.E."/>
      <sheetName val="Electricidad - Climatización"/>
      <sheetName val="RES F1"/>
      <sheetName val="INS_ARQ"/>
      <sheetName val="Relacion de INSUMOS"/>
      <sheetName val="Presup__Estimado2"/>
      <sheetName val="Program__Obras1"/>
      <sheetName val="Flujo_de_Caja1"/>
      <sheetName val="Presup__Estimado3"/>
      <sheetName val="Resumen_(V)(Soles)1"/>
      <sheetName val="Presup__Estimado4"/>
      <sheetName val="Program__Obras2"/>
      <sheetName val="Flujo_de_Caja2"/>
      <sheetName val="Presup__Estimado5"/>
      <sheetName val="Resumen_(V)(Soles)2"/>
      <sheetName val="INS_I_E_"/>
      <sheetName val="PRESUP_I_E_"/>
      <sheetName val="Electricidad_-_Climatización"/>
      <sheetName val="RES_F1"/>
      <sheetName val="Relacion_de_INSUMOS"/>
      <sheetName val="Presup__Estimado6"/>
      <sheetName val="Program__Obras3"/>
      <sheetName val="Flujo_de_Caja3"/>
      <sheetName val="Presup__Estimado7"/>
      <sheetName val="Resumen_(V)(Soles)3"/>
      <sheetName val="Electricidad_-_Climatización1"/>
      <sheetName val="INS_I_E_1"/>
      <sheetName val="PRESUP_I_E_1"/>
      <sheetName val="RES_F11"/>
      <sheetName val="Relacion_de_INSUMOS1"/>
      <sheetName val="Presup__Estimado8"/>
      <sheetName val="Program__Obras4"/>
      <sheetName val="Flujo_de_Caja4"/>
      <sheetName val="Presup__Estimado9"/>
      <sheetName val="Resumen_(V)(Soles)4"/>
      <sheetName val="INS_I_E_2"/>
      <sheetName val="PRESUP_I_E_2"/>
      <sheetName val="RES_F12"/>
      <sheetName val="Presup__Estimado10"/>
      <sheetName val="Program__Obras5"/>
      <sheetName val="Flujo_de_Caja5"/>
      <sheetName val="Presup__Estimado11"/>
      <sheetName val="Resumen_(V)(Soles)5"/>
      <sheetName val="INS_I_E_3"/>
      <sheetName val="PRESUP_I_E_3"/>
      <sheetName val="RES_F13"/>
      <sheetName val="Electricidad_-_Climatización2"/>
      <sheetName val="Presup__Estimado12"/>
      <sheetName val="Program__Obras6"/>
      <sheetName val="Flujo_de_Caja6"/>
      <sheetName val="Presup__Estimado13"/>
      <sheetName val="Resumen_(V)(Soles)6"/>
      <sheetName val="INS_I_E_4"/>
      <sheetName val="PRESUP_I_E_4"/>
      <sheetName val="RES_F14"/>
      <sheetName val="Electricidad_-_Climatización3"/>
      <sheetName val="Presup__Estimado14"/>
      <sheetName val="Program__Obras7"/>
      <sheetName val="Flujo_de_Caja7"/>
      <sheetName val="Presup__Estimado15"/>
      <sheetName val="Resumen_(V)(Soles)7"/>
      <sheetName val="INS_I_E_5"/>
      <sheetName val="PRESUP_I_E_5"/>
      <sheetName val="RES_F15"/>
      <sheetName val="Electricidad_-_Climatización4"/>
      <sheetName val="lima-canta"/>
      <sheetName val="Rev. de Gasto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A214-8A80-43C5-81FC-84B917D9565D}">
  <dimension ref="B1:Q69"/>
  <sheetViews>
    <sheetView tabSelected="1" zoomScale="110" zoomScaleNormal="110" workbookViewId="0">
      <selection activeCell="D14" sqref="D14"/>
    </sheetView>
  </sheetViews>
  <sheetFormatPr defaultColWidth="11.42578125" defaultRowHeight="15" x14ac:dyDescent="0.25"/>
  <cols>
    <col min="3" max="3" width="45" customWidth="1"/>
    <col min="4" max="4" width="4.140625" bestFit="1" customWidth="1"/>
    <col min="5" max="5" width="7" bestFit="1" customWidth="1"/>
    <col min="6" max="6" width="8.7109375" bestFit="1" customWidth="1"/>
    <col min="7" max="7" width="10" bestFit="1" customWidth="1"/>
    <col min="8" max="8" width="8.28515625" bestFit="1" customWidth="1"/>
    <col min="9" max="9" width="8.7109375" bestFit="1" customWidth="1"/>
  </cols>
  <sheetData>
    <row r="1" spans="2:17" ht="16.5" x14ac:dyDescent="0.25">
      <c r="B1" s="190" t="s">
        <v>725</v>
      </c>
      <c r="C1" s="191"/>
      <c r="D1" s="191"/>
      <c r="E1" s="117"/>
      <c r="F1" s="118"/>
      <c r="G1" s="119"/>
      <c r="H1" s="117"/>
      <c r="I1" s="117"/>
    </row>
    <row r="2" spans="2:17" x14ac:dyDescent="0.25">
      <c r="B2" s="120"/>
      <c r="C2" s="121"/>
      <c r="D2" s="121"/>
      <c r="E2" s="117"/>
      <c r="F2" s="118"/>
      <c r="G2" s="119"/>
      <c r="H2" s="117"/>
      <c r="I2" s="117"/>
    </row>
    <row r="3" spans="2:17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17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17" ht="16.5" x14ac:dyDescent="0.25">
      <c r="B5" s="138" t="s">
        <v>722</v>
      </c>
      <c r="C5" s="139" t="s">
        <v>723</v>
      </c>
      <c r="D5" s="140"/>
      <c r="E5" s="144"/>
      <c r="F5" s="144"/>
      <c r="G5" s="144"/>
      <c r="H5" s="145" t="s">
        <v>724</v>
      </c>
      <c r="I5" s="146" t="s">
        <v>2177</v>
      </c>
      <c r="J5" s="141"/>
      <c r="K5" s="141"/>
      <c r="L5" s="141"/>
      <c r="M5" s="141"/>
      <c r="N5" s="141"/>
      <c r="O5" s="141"/>
      <c r="P5" s="141"/>
      <c r="Q5" s="141"/>
    </row>
    <row r="6" spans="2:17" ht="22.5" x14ac:dyDescent="0.25">
      <c r="B6" s="159" t="s">
        <v>2</v>
      </c>
      <c r="C6" s="159" t="s">
        <v>3</v>
      </c>
      <c r="D6" s="159" t="s">
        <v>0</v>
      </c>
      <c r="E6" s="160" t="s">
        <v>4</v>
      </c>
      <c r="F6" s="160" t="s">
        <v>5</v>
      </c>
      <c r="G6" s="160" t="s">
        <v>6</v>
      </c>
      <c r="H6" s="160" t="s">
        <v>7</v>
      </c>
      <c r="I6" s="160" t="s">
        <v>8</v>
      </c>
      <c r="J6" s="163" t="s">
        <v>1880</v>
      </c>
      <c r="K6" s="143" t="s">
        <v>1881</v>
      </c>
      <c r="L6" s="143" t="s">
        <v>1882</v>
      </c>
      <c r="M6" s="143" t="s">
        <v>1883</v>
      </c>
      <c r="N6" s="143" t="s">
        <v>1884</v>
      </c>
      <c r="O6" s="143" t="s">
        <v>1885</v>
      </c>
      <c r="P6" s="143" t="s">
        <v>1886</v>
      </c>
      <c r="Q6" s="143" t="s">
        <v>1887</v>
      </c>
    </row>
    <row r="7" spans="2:17" x14ac:dyDescent="0.25">
      <c r="B7" s="148" t="s">
        <v>9</v>
      </c>
      <c r="C7" s="148" t="s">
        <v>10</v>
      </c>
      <c r="D7" s="149"/>
      <c r="E7" s="149"/>
      <c r="F7" s="149"/>
      <c r="G7" s="150">
        <f>SUM(G9:G69)</f>
        <v>1730823.8916</v>
      </c>
      <c r="H7" s="149"/>
      <c r="I7" s="150">
        <f>SUM(I9:I69)</f>
        <v>6746.4</v>
      </c>
      <c r="J7" s="150">
        <f t="shared" ref="J7:Q7" si="0">SUM(J9:J69)</f>
        <v>278086.63999999996</v>
      </c>
      <c r="K7" s="150">
        <f t="shared" si="0"/>
        <v>149674.03</v>
      </c>
      <c r="L7" s="150">
        <f t="shared" si="0"/>
        <v>578.5</v>
      </c>
      <c r="M7" s="150">
        <f t="shared" si="0"/>
        <v>1337058.78</v>
      </c>
      <c r="N7" s="150">
        <f t="shared" si="0"/>
        <v>0</v>
      </c>
      <c r="O7" s="150">
        <f t="shared" si="0"/>
        <v>6698.88</v>
      </c>
      <c r="P7" s="150">
        <f t="shared" si="0"/>
        <v>0</v>
      </c>
      <c r="Q7" s="150">
        <f t="shared" si="0"/>
        <v>0</v>
      </c>
    </row>
    <row r="8" spans="2:17" x14ac:dyDescent="0.25">
      <c r="B8" s="151" t="s">
        <v>11</v>
      </c>
      <c r="C8" s="151" t="s">
        <v>12</v>
      </c>
      <c r="D8" s="149"/>
      <c r="E8" s="149"/>
      <c r="F8" s="149"/>
      <c r="G8" s="152"/>
      <c r="H8" s="149"/>
      <c r="I8" s="152"/>
      <c r="J8" s="152"/>
      <c r="K8" s="152"/>
      <c r="L8" s="152"/>
      <c r="M8" s="152"/>
      <c r="N8" s="152"/>
      <c r="O8" s="152"/>
      <c r="P8" s="152"/>
      <c r="Q8" s="152"/>
    </row>
    <row r="9" spans="2:17" x14ac:dyDescent="0.25">
      <c r="B9" s="153" t="s">
        <v>13</v>
      </c>
      <c r="C9" s="153" t="s">
        <v>14</v>
      </c>
      <c r="D9" s="153" t="s">
        <v>15</v>
      </c>
      <c r="E9" s="154">
        <v>1</v>
      </c>
      <c r="F9" s="154">
        <v>21930.15</v>
      </c>
      <c r="G9" s="182">
        <f>E9*F9</f>
        <v>21930.15</v>
      </c>
      <c r="H9" s="154">
        <v>0</v>
      </c>
      <c r="I9" s="154">
        <v>0</v>
      </c>
      <c r="J9" s="154">
        <v>3802.21</v>
      </c>
      <c r="K9" s="154">
        <v>18013.87</v>
      </c>
      <c r="L9" s="154">
        <v>114.07</v>
      </c>
      <c r="M9" s="149"/>
      <c r="N9" s="154">
        <v>0</v>
      </c>
      <c r="O9" s="154">
        <v>0</v>
      </c>
      <c r="P9" s="154">
        <v>0</v>
      </c>
      <c r="Q9" s="149"/>
    </row>
    <row r="10" spans="2:17" x14ac:dyDescent="0.25">
      <c r="B10" s="153" t="s">
        <v>16</v>
      </c>
      <c r="C10" s="153" t="s">
        <v>17</v>
      </c>
      <c r="D10" s="153" t="s">
        <v>15</v>
      </c>
      <c r="E10" s="154">
        <v>1</v>
      </c>
      <c r="F10" s="154">
        <v>42537.9</v>
      </c>
      <c r="G10" s="182">
        <f t="shared" ref="G10:G69" si="1">E10*F10</f>
        <v>42537.9</v>
      </c>
      <c r="H10" s="154">
        <v>0</v>
      </c>
      <c r="I10" s="154">
        <v>0</v>
      </c>
      <c r="J10" s="154">
        <v>2912.43</v>
      </c>
      <c r="K10" s="154">
        <v>39538.1</v>
      </c>
      <c r="L10" s="154">
        <v>87.37</v>
      </c>
      <c r="M10" s="149"/>
      <c r="N10" s="154">
        <v>0</v>
      </c>
      <c r="O10" s="154">
        <v>0</v>
      </c>
      <c r="P10" s="154">
        <v>0</v>
      </c>
      <c r="Q10" s="149"/>
    </row>
    <row r="11" spans="2:17" x14ac:dyDescent="0.25">
      <c r="B11" s="153" t="s">
        <v>18</v>
      </c>
      <c r="C11" s="153" t="s">
        <v>19</v>
      </c>
      <c r="D11" s="153" t="s">
        <v>20</v>
      </c>
      <c r="E11" s="154">
        <v>17.5</v>
      </c>
      <c r="F11" s="154">
        <v>1120</v>
      </c>
      <c r="G11" s="182">
        <f t="shared" si="1"/>
        <v>19600</v>
      </c>
      <c r="H11" s="154">
        <v>0</v>
      </c>
      <c r="I11" s="154">
        <v>0</v>
      </c>
      <c r="J11" s="149"/>
      <c r="K11" s="149"/>
      <c r="L11" s="149"/>
      <c r="M11" s="154">
        <v>19600</v>
      </c>
      <c r="N11" s="149"/>
      <c r="O11" s="149"/>
      <c r="P11" s="149"/>
      <c r="Q11" s="154">
        <v>0</v>
      </c>
    </row>
    <row r="12" spans="2:17" x14ac:dyDescent="0.25">
      <c r="B12" s="153" t="s">
        <v>21</v>
      </c>
      <c r="C12" s="153" t="s">
        <v>22</v>
      </c>
      <c r="D12" s="153" t="s">
        <v>20</v>
      </c>
      <c r="E12" s="154">
        <v>17.5</v>
      </c>
      <c r="F12" s="154">
        <v>3100</v>
      </c>
      <c r="G12" s="182">
        <f t="shared" si="1"/>
        <v>54250</v>
      </c>
      <c r="H12" s="154">
        <v>0</v>
      </c>
      <c r="I12" s="154">
        <v>0</v>
      </c>
      <c r="J12" s="149"/>
      <c r="K12" s="149"/>
      <c r="L12" s="149"/>
      <c r="M12" s="154">
        <v>54250</v>
      </c>
      <c r="N12" s="149"/>
      <c r="O12" s="149"/>
      <c r="P12" s="149"/>
      <c r="Q12" s="154">
        <v>0</v>
      </c>
    </row>
    <row r="13" spans="2:17" x14ac:dyDescent="0.25">
      <c r="B13" s="153" t="s">
        <v>23</v>
      </c>
      <c r="C13" s="153" t="s">
        <v>24</v>
      </c>
      <c r="D13" s="153" t="s">
        <v>20</v>
      </c>
      <c r="E13" s="154">
        <v>17.5</v>
      </c>
      <c r="F13" s="154">
        <v>450</v>
      </c>
      <c r="G13" s="182">
        <f t="shared" si="1"/>
        <v>7875</v>
      </c>
      <c r="H13" s="154">
        <v>0</v>
      </c>
      <c r="I13" s="154">
        <v>0</v>
      </c>
      <c r="J13" s="149"/>
      <c r="K13" s="149"/>
      <c r="L13" s="149"/>
      <c r="M13" s="154">
        <v>7875</v>
      </c>
      <c r="N13" s="149"/>
      <c r="O13" s="149"/>
      <c r="P13" s="149"/>
      <c r="Q13" s="154">
        <v>0</v>
      </c>
    </row>
    <row r="14" spans="2:17" x14ac:dyDescent="0.25">
      <c r="B14" s="151" t="s">
        <v>25</v>
      </c>
      <c r="C14" s="151" t="s">
        <v>26</v>
      </c>
      <c r="D14" s="149"/>
      <c r="E14" s="149"/>
      <c r="F14" s="149"/>
      <c r="G14" s="182">
        <f t="shared" si="1"/>
        <v>0</v>
      </c>
      <c r="H14" s="149"/>
      <c r="I14" s="152"/>
      <c r="J14" s="152"/>
      <c r="K14" s="152"/>
      <c r="L14" s="152"/>
      <c r="M14" s="152"/>
      <c r="N14" s="152"/>
      <c r="O14" s="152"/>
      <c r="P14" s="152"/>
      <c r="Q14" s="152"/>
    </row>
    <row r="15" spans="2:17" x14ac:dyDescent="0.25">
      <c r="B15" s="153" t="s">
        <v>27</v>
      </c>
      <c r="C15" s="153" t="s">
        <v>28</v>
      </c>
      <c r="D15" s="153" t="s">
        <v>29</v>
      </c>
      <c r="E15" s="154">
        <v>13</v>
      </c>
      <c r="F15" s="154">
        <v>165</v>
      </c>
      <c r="G15" s="182">
        <f t="shared" si="1"/>
        <v>2145</v>
      </c>
      <c r="H15" s="154">
        <v>0</v>
      </c>
      <c r="I15" s="154">
        <v>0</v>
      </c>
      <c r="J15" s="149"/>
      <c r="K15" s="149"/>
      <c r="L15" s="149"/>
      <c r="M15" s="154">
        <v>2145</v>
      </c>
      <c r="N15" s="149"/>
      <c r="O15" s="149"/>
      <c r="P15" s="149"/>
      <c r="Q15" s="154">
        <v>0</v>
      </c>
    </row>
    <row r="16" spans="2:17" x14ac:dyDescent="0.25">
      <c r="B16" s="153" t="s">
        <v>30</v>
      </c>
      <c r="C16" s="153" t="s">
        <v>32</v>
      </c>
      <c r="D16" s="153" t="s">
        <v>29</v>
      </c>
      <c r="E16" s="154">
        <v>98</v>
      </c>
      <c r="F16" s="154">
        <v>90</v>
      </c>
      <c r="G16" s="182">
        <f t="shared" si="1"/>
        <v>8820</v>
      </c>
      <c r="H16" s="154">
        <v>0</v>
      </c>
      <c r="I16" s="154">
        <v>0</v>
      </c>
      <c r="J16" s="149"/>
      <c r="K16" s="149"/>
      <c r="L16" s="149"/>
      <c r="M16" s="154">
        <v>8820</v>
      </c>
      <c r="N16" s="149"/>
      <c r="O16" s="149"/>
      <c r="P16" s="149"/>
      <c r="Q16" s="154">
        <v>0</v>
      </c>
    </row>
    <row r="17" spans="2:17" x14ac:dyDescent="0.25">
      <c r="B17" s="153" t="s">
        <v>31</v>
      </c>
      <c r="C17" s="153" t="s">
        <v>34</v>
      </c>
      <c r="D17" s="153" t="s">
        <v>20</v>
      </c>
      <c r="E17" s="154">
        <v>6</v>
      </c>
      <c r="F17" s="154">
        <v>1680</v>
      </c>
      <c r="G17" s="182">
        <f t="shared" si="1"/>
        <v>10080</v>
      </c>
      <c r="H17" s="154">
        <v>0</v>
      </c>
      <c r="I17" s="154">
        <v>0</v>
      </c>
      <c r="J17" s="149"/>
      <c r="K17" s="149"/>
      <c r="L17" s="149"/>
      <c r="M17" s="154">
        <v>10080</v>
      </c>
      <c r="N17" s="149"/>
      <c r="O17" s="149"/>
      <c r="P17" s="149"/>
      <c r="Q17" s="154">
        <v>0</v>
      </c>
    </row>
    <row r="18" spans="2:17" x14ac:dyDescent="0.25">
      <c r="B18" s="153" t="s">
        <v>33</v>
      </c>
      <c r="C18" s="153" t="s">
        <v>726</v>
      </c>
      <c r="D18" s="153" t="s">
        <v>15</v>
      </c>
      <c r="E18" s="154">
        <v>1</v>
      </c>
      <c r="F18" s="154">
        <v>15433.42</v>
      </c>
      <c r="G18" s="182">
        <f t="shared" si="1"/>
        <v>15433.42</v>
      </c>
      <c r="H18" s="154">
        <v>0</v>
      </c>
      <c r="I18" s="154">
        <v>0</v>
      </c>
      <c r="J18" s="149"/>
      <c r="K18" s="149"/>
      <c r="L18" s="149"/>
      <c r="M18" s="154">
        <v>15433.42</v>
      </c>
      <c r="N18" s="149"/>
      <c r="O18" s="149"/>
      <c r="P18" s="149"/>
      <c r="Q18" s="154">
        <v>0</v>
      </c>
    </row>
    <row r="19" spans="2:17" x14ac:dyDescent="0.25">
      <c r="B19" s="153" t="s">
        <v>35</v>
      </c>
      <c r="C19" s="153" t="s">
        <v>727</v>
      </c>
      <c r="D19" s="153" t="s">
        <v>15</v>
      </c>
      <c r="E19" s="154">
        <v>1</v>
      </c>
      <c r="F19" s="154">
        <v>5256.8</v>
      </c>
      <c r="G19" s="182">
        <f t="shared" si="1"/>
        <v>5256.8</v>
      </c>
      <c r="H19" s="154">
        <v>0</v>
      </c>
      <c r="I19" s="154">
        <v>0</v>
      </c>
      <c r="J19" s="149"/>
      <c r="K19" s="149"/>
      <c r="L19" s="149"/>
      <c r="M19" s="154">
        <v>5256.8</v>
      </c>
      <c r="N19" s="149"/>
      <c r="O19" s="149"/>
      <c r="P19" s="149"/>
      <c r="Q19" s="154">
        <v>0</v>
      </c>
    </row>
    <row r="20" spans="2:17" x14ac:dyDescent="0.25">
      <c r="B20" s="153" t="s">
        <v>316</v>
      </c>
      <c r="C20" s="153" t="s">
        <v>37</v>
      </c>
      <c r="D20" s="153" t="s">
        <v>15</v>
      </c>
      <c r="E20" s="154">
        <v>1</v>
      </c>
      <c r="F20" s="154">
        <v>3931.64</v>
      </c>
      <c r="G20" s="182">
        <f t="shared" si="1"/>
        <v>3931.64</v>
      </c>
      <c r="H20" s="154">
        <v>45</v>
      </c>
      <c r="I20" s="154">
        <v>45</v>
      </c>
      <c r="J20" s="154">
        <v>1255.96</v>
      </c>
      <c r="K20" s="154">
        <v>2488</v>
      </c>
      <c r="L20" s="154">
        <v>37.68</v>
      </c>
      <c r="M20" s="154">
        <v>150</v>
      </c>
      <c r="N20" s="154">
        <v>0</v>
      </c>
      <c r="O20" s="154">
        <v>45</v>
      </c>
      <c r="P20" s="154">
        <v>0</v>
      </c>
      <c r="Q20" s="154">
        <v>0</v>
      </c>
    </row>
    <row r="21" spans="2:17" x14ac:dyDescent="0.25">
      <c r="B21" s="153" t="s">
        <v>36</v>
      </c>
      <c r="C21" s="153" t="s">
        <v>39</v>
      </c>
      <c r="D21" s="153" t="s">
        <v>15</v>
      </c>
      <c r="E21" s="154">
        <v>1</v>
      </c>
      <c r="F21" s="154">
        <v>6973.46</v>
      </c>
      <c r="G21" s="182">
        <f t="shared" si="1"/>
        <v>6973.46</v>
      </c>
      <c r="H21" s="154">
        <v>45</v>
      </c>
      <c r="I21" s="154">
        <v>45</v>
      </c>
      <c r="J21" s="154">
        <v>1883.94</v>
      </c>
      <c r="K21" s="154">
        <v>4883</v>
      </c>
      <c r="L21" s="154">
        <v>56.52</v>
      </c>
      <c r="M21" s="154">
        <v>150</v>
      </c>
      <c r="N21" s="154">
        <v>0</v>
      </c>
      <c r="O21" s="154">
        <v>45</v>
      </c>
      <c r="P21" s="154">
        <v>0</v>
      </c>
      <c r="Q21" s="154">
        <v>0</v>
      </c>
    </row>
    <row r="22" spans="2:17" x14ac:dyDescent="0.25">
      <c r="B22" s="153" t="s">
        <v>38</v>
      </c>
      <c r="C22" s="153" t="s">
        <v>41</v>
      </c>
      <c r="D22" s="153" t="s">
        <v>15</v>
      </c>
      <c r="E22" s="154">
        <v>1</v>
      </c>
      <c r="F22" s="154">
        <v>5176.76</v>
      </c>
      <c r="G22" s="182">
        <f t="shared" si="1"/>
        <v>5176.76</v>
      </c>
      <c r="H22" s="154">
        <v>45</v>
      </c>
      <c r="I22" s="154">
        <v>45</v>
      </c>
      <c r="J22" s="154">
        <v>1255.96</v>
      </c>
      <c r="K22" s="154">
        <v>3708</v>
      </c>
      <c r="L22" s="154">
        <v>62.8</v>
      </c>
      <c r="M22" s="154">
        <v>150</v>
      </c>
      <c r="N22" s="154">
        <v>0</v>
      </c>
      <c r="O22" s="154">
        <v>45</v>
      </c>
      <c r="P22" s="154">
        <v>0</v>
      </c>
      <c r="Q22" s="154">
        <v>0</v>
      </c>
    </row>
    <row r="23" spans="2:17" x14ac:dyDescent="0.25">
      <c r="B23" s="153" t="s">
        <v>40</v>
      </c>
      <c r="C23" s="153" t="s">
        <v>43</v>
      </c>
      <c r="D23" s="153" t="s">
        <v>15</v>
      </c>
      <c r="E23" s="154">
        <v>1</v>
      </c>
      <c r="F23" s="154">
        <v>17380</v>
      </c>
      <c r="G23" s="182">
        <f t="shared" si="1"/>
        <v>17380</v>
      </c>
      <c r="H23" s="154">
        <v>0</v>
      </c>
      <c r="I23" s="154">
        <v>0</v>
      </c>
      <c r="J23" s="149"/>
      <c r="K23" s="149"/>
      <c r="L23" s="149"/>
      <c r="M23" s="154">
        <v>17380</v>
      </c>
      <c r="N23" s="149"/>
      <c r="O23" s="149"/>
      <c r="P23" s="149"/>
      <c r="Q23" s="154">
        <v>0</v>
      </c>
    </row>
    <row r="24" spans="2:17" x14ac:dyDescent="0.25">
      <c r="B24" s="153" t="s">
        <v>42</v>
      </c>
      <c r="C24" s="153" t="s">
        <v>45</v>
      </c>
      <c r="D24" s="153" t="s">
        <v>15</v>
      </c>
      <c r="E24" s="154">
        <v>1</v>
      </c>
      <c r="F24" s="154">
        <v>1100</v>
      </c>
      <c r="G24" s="182">
        <f t="shared" si="1"/>
        <v>1100</v>
      </c>
      <c r="H24" s="154">
        <v>0</v>
      </c>
      <c r="I24" s="154">
        <v>0</v>
      </c>
      <c r="J24" s="149"/>
      <c r="K24" s="149"/>
      <c r="L24" s="149"/>
      <c r="M24" s="154">
        <v>1100</v>
      </c>
      <c r="N24" s="149"/>
      <c r="O24" s="149"/>
      <c r="P24" s="149"/>
      <c r="Q24" s="154">
        <v>0</v>
      </c>
    </row>
    <row r="25" spans="2:17" x14ac:dyDescent="0.25">
      <c r="B25" s="153" t="s">
        <v>44</v>
      </c>
      <c r="C25" s="153" t="s">
        <v>728</v>
      </c>
      <c r="D25" s="153" t="s">
        <v>15</v>
      </c>
      <c r="E25" s="154">
        <v>1</v>
      </c>
      <c r="F25" s="154">
        <v>5336.76</v>
      </c>
      <c r="G25" s="182">
        <f t="shared" si="1"/>
        <v>5336.76</v>
      </c>
      <c r="H25" s="154">
        <v>45</v>
      </c>
      <c r="I25" s="154">
        <v>45</v>
      </c>
      <c r="J25" s="154">
        <v>1255.96</v>
      </c>
      <c r="K25" s="154">
        <v>3718</v>
      </c>
      <c r="L25" s="154">
        <v>62.8</v>
      </c>
      <c r="M25" s="154">
        <v>300</v>
      </c>
      <c r="N25" s="154">
        <v>0</v>
      </c>
      <c r="O25" s="154">
        <v>45</v>
      </c>
      <c r="P25" s="154">
        <v>0</v>
      </c>
      <c r="Q25" s="154">
        <v>0</v>
      </c>
    </row>
    <row r="26" spans="2:17" x14ac:dyDescent="0.25">
      <c r="B26" s="153" t="s">
        <v>46</v>
      </c>
      <c r="C26" s="153" t="s">
        <v>48</v>
      </c>
      <c r="D26" s="153" t="s">
        <v>20</v>
      </c>
      <c r="E26" s="154">
        <v>6.5</v>
      </c>
      <c r="F26" s="154">
        <v>3722.49</v>
      </c>
      <c r="G26" s="182">
        <f t="shared" si="1"/>
        <v>24196.184999999998</v>
      </c>
      <c r="H26" s="154">
        <v>0</v>
      </c>
      <c r="I26" s="154">
        <v>0</v>
      </c>
      <c r="J26" s="149"/>
      <c r="K26" s="154">
        <v>563.47</v>
      </c>
      <c r="L26" s="149"/>
      <c r="M26" s="154">
        <v>23632.77</v>
      </c>
      <c r="N26" s="149"/>
      <c r="O26" s="154">
        <v>0</v>
      </c>
      <c r="P26" s="149"/>
      <c r="Q26" s="154">
        <v>0</v>
      </c>
    </row>
    <row r="27" spans="2:17" x14ac:dyDescent="0.25">
      <c r="B27" s="153" t="s">
        <v>47</v>
      </c>
      <c r="C27" s="153" t="s">
        <v>50</v>
      </c>
      <c r="D27" s="153" t="s">
        <v>15</v>
      </c>
      <c r="E27" s="154">
        <v>1</v>
      </c>
      <c r="F27" s="154">
        <v>5920.83</v>
      </c>
      <c r="G27" s="182">
        <f t="shared" si="1"/>
        <v>5920.83</v>
      </c>
      <c r="H27" s="154">
        <v>0</v>
      </c>
      <c r="I27" s="154">
        <v>0</v>
      </c>
      <c r="J27" s="149"/>
      <c r="K27" s="149"/>
      <c r="L27" s="149"/>
      <c r="M27" s="154">
        <v>5920.83</v>
      </c>
      <c r="N27" s="149"/>
      <c r="O27" s="149"/>
      <c r="P27" s="149"/>
      <c r="Q27" s="154">
        <v>0</v>
      </c>
    </row>
    <row r="28" spans="2:17" x14ac:dyDescent="0.25">
      <c r="B28" s="153" t="s">
        <v>49</v>
      </c>
      <c r="C28" s="153" t="s">
        <v>52</v>
      </c>
      <c r="D28" s="153" t="s">
        <v>53</v>
      </c>
      <c r="E28" s="154">
        <v>1</v>
      </c>
      <c r="F28" s="154">
        <v>1500</v>
      </c>
      <c r="G28" s="182">
        <f t="shared" si="1"/>
        <v>1500</v>
      </c>
      <c r="H28" s="154">
        <v>0</v>
      </c>
      <c r="I28" s="154">
        <v>0</v>
      </c>
      <c r="J28" s="149"/>
      <c r="K28" s="149"/>
      <c r="L28" s="149"/>
      <c r="M28" s="154">
        <v>1500</v>
      </c>
      <c r="N28" s="149"/>
      <c r="O28" s="149"/>
      <c r="P28" s="149"/>
      <c r="Q28" s="154">
        <v>0</v>
      </c>
    </row>
    <row r="29" spans="2:17" x14ac:dyDescent="0.25">
      <c r="B29" s="153" t="s">
        <v>51</v>
      </c>
      <c r="C29" s="153" t="s">
        <v>54</v>
      </c>
      <c r="D29" s="153" t="s">
        <v>15</v>
      </c>
      <c r="E29" s="154">
        <v>1</v>
      </c>
      <c r="F29" s="154">
        <v>9471.65</v>
      </c>
      <c r="G29" s="182">
        <f t="shared" si="1"/>
        <v>9471.65</v>
      </c>
      <c r="H29" s="154">
        <v>0</v>
      </c>
      <c r="I29" s="154">
        <v>0</v>
      </c>
      <c r="J29" s="154">
        <v>1850.25</v>
      </c>
      <c r="K29" s="154">
        <v>805.24</v>
      </c>
      <c r="L29" s="154">
        <v>28.62</v>
      </c>
      <c r="M29" s="154">
        <v>6775.88</v>
      </c>
      <c r="N29" s="154">
        <v>0</v>
      </c>
      <c r="O29" s="154">
        <v>0</v>
      </c>
      <c r="P29" s="154">
        <v>0</v>
      </c>
      <c r="Q29" s="154">
        <v>0</v>
      </c>
    </row>
    <row r="30" spans="2:17" x14ac:dyDescent="0.25">
      <c r="B30" s="153" t="s">
        <v>1889</v>
      </c>
      <c r="C30" s="153" t="s">
        <v>1890</v>
      </c>
      <c r="D30" s="153" t="s">
        <v>15</v>
      </c>
      <c r="E30" s="154">
        <v>1</v>
      </c>
      <c r="F30" s="154">
        <v>5000</v>
      </c>
      <c r="G30" s="182">
        <f t="shared" si="1"/>
        <v>5000</v>
      </c>
      <c r="H30" s="149"/>
      <c r="I30" s="149"/>
      <c r="J30" s="149"/>
      <c r="K30" s="149"/>
      <c r="L30" s="149"/>
      <c r="M30" s="149"/>
      <c r="N30" s="149"/>
      <c r="O30" s="149"/>
      <c r="P30" s="149"/>
      <c r="Q30" s="149"/>
    </row>
    <row r="31" spans="2:17" x14ac:dyDescent="0.25">
      <c r="B31" s="151" t="s">
        <v>55</v>
      </c>
      <c r="C31" s="151" t="s">
        <v>56</v>
      </c>
      <c r="D31" s="149"/>
      <c r="E31" s="149"/>
      <c r="F31" s="149"/>
      <c r="G31" s="182">
        <f t="shared" si="1"/>
        <v>0</v>
      </c>
      <c r="H31" s="149"/>
      <c r="I31" s="152"/>
      <c r="J31" s="152"/>
      <c r="K31" s="152"/>
      <c r="L31" s="152"/>
      <c r="M31" s="152"/>
      <c r="N31" s="152"/>
      <c r="O31" s="152"/>
      <c r="P31" s="152"/>
      <c r="Q31" s="152"/>
    </row>
    <row r="32" spans="2:17" x14ac:dyDescent="0.25">
      <c r="B32" s="153" t="s">
        <v>57</v>
      </c>
      <c r="C32" s="153" t="s">
        <v>58</v>
      </c>
      <c r="D32" s="153" t="s">
        <v>59</v>
      </c>
      <c r="E32" s="154">
        <v>8</v>
      </c>
      <c r="F32" s="154">
        <v>650</v>
      </c>
      <c r="G32" s="182">
        <f t="shared" si="1"/>
        <v>5200</v>
      </c>
      <c r="H32" s="154">
        <v>0</v>
      </c>
      <c r="I32" s="154">
        <v>0</v>
      </c>
      <c r="J32" s="149"/>
      <c r="K32" s="149"/>
      <c r="L32" s="149"/>
      <c r="M32" s="154">
        <v>5200</v>
      </c>
      <c r="N32" s="149"/>
      <c r="O32" s="149"/>
      <c r="P32" s="149"/>
      <c r="Q32" s="154">
        <v>0</v>
      </c>
    </row>
    <row r="33" spans="2:17" x14ac:dyDescent="0.25">
      <c r="B33" s="153" t="s">
        <v>60</v>
      </c>
      <c r="C33" s="153" t="s">
        <v>61</v>
      </c>
      <c r="D33" s="153" t="s">
        <v>59</v>
      </c>
      <c r="E33" s="154">
        <v>12</v>
      </c>
      <c r="F33" s="154">
        <v>650</v>
      </c>
      <c r="G33" s="182">
        <f t="shared" si="1"/>
        <v>7800</v>
      </c>
      <c r="H33" s="154">
        <v>0</v>
      </c>
      <c r="I33" s="154">
        <v>0</v>
      </c>
      <c r="J33" s="149"/>
      <c r="K33" s="149"/>
      <c r="L33" s="149"/>
      <c r="M33" s="154">
        <v>7800</v>
      </c>
      <c r="N33" s="149"/>
      <c r="O33" s="149"/>
      <c r="P33" s="149"/>
      <c r="Q33" s="154">
        <v>0</v>
      </c>
    </row>
    <row r="34" spans="2:17" x14ac:dyDescent="0.25">
      <c r="B34" s="151" t="s">
        <v>62</v>
      </c>
      <c r="C34" s="151" t="s">
        <v>63</v>
      </c>
      <c r="D34" s="149"/>
      <c r="E34" s="149"/>
      <c r="F34" s="149"/>
      <c r="G34" s="182">
        <f t="shared" si="1"/>
        <v>0</v>
      </c>
      <c r="H34" s="149"/>
      <c r="I34" s="152"/>
      <c r="J34" s="152"/>
      <c r="K34" s="152"/>
      <c r="L34" s="152"/>
      <c r="M34" s="152"/>
      <c r="N34" s="152"/>
      <c r="O34" s="152"/>
      <c r="P34" s="152"/>
      <c r="Q34" s="152"/>
    </row>
    <row r="35" spans="2:17" x14ac:dyDescent="0.25">
      <c r="B35" s="153" t="s">
        <v>64</v>
      </c>
      <c r="C35" s="153" t="s">
        <v>65</v>
      </c>
      <c r="D35" s="153" t="s">
        <v>15</v>
      </c>
      <c r="E35" s="154">
        <v>1</v>
      </c>
      <c r="F35" s="154">
        <v>62690.559999999998</v>
      </c>
      <c r="G35" s="182">
        <f t="shared" si="1"/>
        <v>62690.559999999998</v>
      </c>
      <c r="H35" s="154">
        <v>6566.4</v>
      </c>
      <c r="I35" s="154">
        <v>6566.4</v>
      </c>
      <c r="J35" s="154">
        <v>3403.86</v>
      </c>
      <c r="K35" s="154">
        <v>25970.46</v>
      </c>
      <c r="L35" s="154">
        <v>128.63999999999999</v>
      </c>
      <c r="M35" s="154">
        <v>33186.1</v>
      </c>
      <c r="N35" s="154">
        <v>0</v>
      </c>
      <c r="O35" s="154">
        <v>6518.88</v>
      </c>
      <c r="P35" s="154">
        <v>0</v>
      </c>
      <c r="Q35" s="154">
        <v>0</v>
      </c>
    </row>
    <row r="36" spans="2:17" x14ac:dyDescent="0.25">
      <c r="B36" s="153" t="s">
        <v>66</v>
      </c>
      <c r="C36" s="153" t="s">
        <v>67</v>
      </c>
      <c r="D36" s="153" t="s">
        <v>15</v>
      </c>
      <c r="E36" s="154">
        <v>1</v>
      </c>
      <c r="F36" s="154">
        <v>80500</v>
      </c>
      <c r="G36" s="182">
        <f t="shared" si="1"/>
        <v>80500</v>
      </c>
      <c r="H36" s="154">
        <v>0</v>
      </c>
      <c r="I36" s="154">
        <v>0</v>
      </c>
      <c r="J36" s="149"/>
      <c r="K36" s="149"/>
      <c r="L36" s="149"/>
      <c r="M36" s="154">
        <v>80500</v>
      </c>
      <c r="N36" s="149"/>
      <c r="O36" s="149"/>
      <c r="P36" s="149"/>
      <c r="Q36" s="154">
        <v>0</v>
      </c>
    </row>
    <row r="37" spans="2:17" x14ac:dyDescent="0.25">
      <c r="B37" s="153" t="s">
        <v>68</v>
      </c>
      <c r="C37" s="153" t="s">
        <v>69</v>
      </c>
      <c r="D37" s="153" t="s">
        <v>20</v>
      </c>
      <c r="E37" s="154">
        <v>8</v>
      </c>
      <c r="F37" s="154">
        <v>28729.919999999998</v>
      </c>
      <c r="G37" s="182">
        <f t="shared" si="1"/>
        <v>229839.35999999999</v>
      </c>
      <c r="H37" s="154">
        <v>0</v>
      </c>
      <c r="I37" s="154">
        <v>0</v>
      </c>
      <c r="J37" s="154">
        <v>95439.360000000001</v>
      </c>
      <c r="K37" s="154">
        <v>1600</v>
      </c>
      <c r="L37" s="149"/>
      <c r="M37" s="154">
        <v>132800</v>
      </c>
      <c r="N37" s="154">
        <v>0</v>
      </c>
      <c r="O37" s="154">
        <v>0</v>
      </c>
      <c r="P37" s="149"/>
      <c r="Q37" s="154">
        <v>0</v>
      </c>
    </row>
    <row r="38" spans="2:17" x14ac:dyDescent="0.25">
      <c r="B38" s="153" t="s">
        <v>70</v>
      </c>
      <c r="C38" s="153" t="s">
        <v>72</v>
      </c>
      <c r="D38" s="153" t="s">
        <v>20</v>
      </c>
      <c r="E38" s="154">
        <v>5</v>
      </c>
      <c r="F38" s="154">
        <v>4253.3999999999996</v>
      </c>
      <c r="G38" s="182">
        <f t="shared" si="1"/>
        <v>21267</v>
      </c>
      <c r="H38" s="154">
        <v>0</v>
      </c>
      <c r="I38" s="154">
        <v>0</v>
      </c>
      <c r="J38" s="154">
        <v>21267</v>
      </c>
      <c r="K38" s="149"/>
      <c r="L38" s="149"/>
      <c r="M38" s="149"/>
      <c r="N38" s="154">
        <v>0</v>
      </c>
      <c r="O38" s="149"/>
      <c r="P38" s="149"/>
      <c r="Q38" s="149"/>
    </row>
    <row r="39" spans="2:17" x14ac:dyDescent="0.25">
      <c r="B39" s="151" t="s">
        <v>73</v>
      </c>
      <c r="C39" s="151" t="s">
        <v>74</v>
      </c>
      <c r="D39" s="149"/>
      <c r="E39" s="149"/>
      <c r="F39" s="149"/>
      <c r="G39" s="182">
        <f t="shared" si="1"/>
        <v>0</v>
      </c>
      <c r="H39" s="149"/>
      <c r="I39" s="152"/>
      <c r="J39" s="152"/>
      <c r="K39" s="152"/>
      <c r="L39" s="152"/>
      <c r="M39" s="152"/>
      <c r="N39" s="152"/>
      <c r="O39" s="152"/>
      <c r="P39" s="152"/>
      <c r="Q39" s="152"/>
    </row>
    <row r="40" spans="2:17" x14ac:dyDescent="0.25">
      <c r="B40" s="153" t="s">
        <v>75</v>
      </c>
      <c r="C40" s="153" t="s">
        <v>76</v>
      </c>
      <c r="D40" s="153" t="s">
        <v>20</v>
      </c>
      <c r="E40" s="154">
        <v>15.5</v>
      </c>
      <c r="F40" s="154">
        <v>9894.5</v>
      </c>
      <c r="G40" s="182">
        <f t="shared" si="1"/>
        <v>153364.75</v>
      </c>
      <c r="H40" s="154">
        <v>0</v>
      </c>
      <c r="I40" s="154">
        <v>0</v>
      </c>
      <c r="J40" s="149"/>
      <c r="K40" s="154">
        <v>1464.75</v>
      </c>
      <c r="L40" s="149"/>
      <c r="M40" s="154">
        <v>151900</v>
      </c>
      <c r="N40" s="149"/>
      <c r="O40" s="154">
        <v>0</v>
      </c>
      <c r="P40" s="149"/>
      <c r="Q40" s="154">
        <v>0</v>
      </c>
    </row>
    <row r="41" spans="2:17" x14ac:dyDescent="0.25">
      <c r="B41" s="153" t="s">
        <v>77</v>
      </c>
      <c r="C41" s="153" t="s">
        <v>78</v>
      </c>
      <c r="D41" s="153" t="s">
        <v>20</v>
      </c>
      <c r="E41" s="154">
        <v>5</v>
      </c>
      <c r="F41" s="154">
        <v>7594.5</v>
      </c>
      <c r="G41" s="182">
        <f t="shared" si="1"/>
        <v>37972.5</v>
      </c>
      <c r="H41" s="154">
        <v>0</v>
      </c>
      <c r="I41" s="154">
        <v>0</v>
      </c>
      <c r="J41" s="149"/>
      <c r="K41" s="154">
        <v>472.5</v>
      </c>
      <c r="L41" s="149"/>
      <c r="M41" s="154">
        <v>37500</v>
      </c>
      <c r="N41" s="149"/>
      <c r="O41" s="154">
        <v>0</v>
      </c>
      <c r="P41" s="149"/>
      <c r="Q41" s="154">
        <v>0</v>
      </c>
    </row>
    <row r="42" spans="2:17" x14ac:dyDescent="0.25">
      <c r="B42" s="151" t="s">
        <v>79</v>
      </c>
      <c r="C42" s="151" t="s">
        <v>80</v>
      </c>
      <c r="D42" s="149"/>
      <c r="E42" s="149"/>
      <c r="F42" s="149"/>
      <c r="G42" s="182">
        <f t="shared" si="1"/>
        <v>0</v>
      </c>
      <c r="H42" s="149"/>
      <c r="I42" s="152"/>
      <c r="J42" s="152"/>
      <c r="K42" s="152"/>
      <c r="L42" s="152"/>
      <c r="M42" s="152"/>
      <c r="N42" s="152"/>
      <c r="O42" s="152"/>
      <c r="P42" s="152"/>
      <c r="Q42" s="152"/>
    </row>
    <row r="43" spans="2:17" x14ac:dyDescent="0.25">
      <c r="B43" s="153" t="s">
        <v>81</v>
      </c>
      <c r="C43" s="153" t="s">
        <v>84</v>
      </c>
      <c r="D43" s="153" t="s">
        <v>82</v>
      </c>
      <c r="E43" s="154">
        <v>6905.87</v>
      </c>
      <c r="F43" s="154">
        <v>6.18</v>
      </c>
      <c r="G43" s="182">
        <f t="shared" si="1"/>
        <v>42678.276599999997</v>
      </c>
      <c r="H43" s="154">
        <v>0</v>
      </c>
      <c r="I43" s="154">
        <v>0</v>
      </c>
      <c r="J43" s="149"/>
      <c r="K43" s="149"/>
      <c r="L43" s="149"/>
      <c r="M43" s="154">
        <v>42678.28</v>
      </c>
      <c r="N43" s="149"/>
      <c r="O43" s="149"/>
      <c r="P43" s="149"/>
      <c r="Q43" s="154">
        <v>0</v>
      </c>
    </row>
    <row r="44" spans="2:17" x14ac:dyDescent="0.25">
      <c r="B44" s="153" t="s">
        <v>83</v>
      </c>
      <c r="C44" s="153" t="s">
        <v>86</v>
      </c>
      <c r="D44" s="153" t="s">
        <v>82</v>
      </c>
      <c r="E44" s="154">
        <v>2138.54</v>
      </c>
      <c r="F44" s="154">
        <v>45</v>
      </c>
      <c r="G44" s="182">
        <f t="shared" si="1"/>
        <v>96234.3</v>
      </c>
      <c r="H44" s="154">
        <v>0</v>
      </c>
      <c r="I44" s="154">
        <v>0</v>
      </c>
      <c r="J44" s="149"/>
      <c r="K44" s="149"/>
      <c r="L44" s="149"/>
      <c r="M44" s="154">
        <v>96234.3</v>
      </c>
      <c r="N44" s="149"/>
      <c r="O44" s="149"/>
      <c r="P44" s="149"/>
      <c r="Q44" s="154">
        <v>0</v>
      </c>
    </row>
    <row r="45" spans="2:17" x14ac:dyDescent="0.25">
      <c r="B45" s="153" t="s">
        <v>85</v>
      </c>
      <c r="C45" s="153" t="s">
        <v>729</v>
      </c>
      <c r="D45" s="153" t="s">
        <v>15</v>
      </c>
      <c r="E45" s="154">
        <v>1</v>
      </c>
      <c r="F45" s="154">
        <v>15730</v>
      </c>
      <c r="G45" s="182">
        <f t="shared" si="1"/>
        <v>15730</v>
      </c>
      <c r="H45" s="154">
        <v>0</v>
      </c>
      <c r="I45" s="154">
        <v>0</v>
      </c>
      <c r="J45" s="149"/>
      <c r="K45" s="149"/>
      <c r="L45" s="149"/>
      <c r="M45" s="154">
        <v>15730</v>
      </c>
      <c r="N45" s="149"/>
      <c r="O45" s="149"/>
      <c r="P45" s="149"/>
      <c r="Q45" s="154">
        <v>0</v>
      </c>
    </row>
    <row r="46" spans="2:17" x14ac:dyDescent="0.25">
      <c r="B46" s="153" t="s">
        <v>87</v>
      </c>
      <c r="C46" s="153" t="s">
        <v>730</v>
      </c>
      <c r="D46" s="153" t="s">
        <v>20</v>
      </c>
      <c r="E46" s="154">
        <v>11.5</v>
      </c>
      <c r="F46" s="154">
        <v>2126.6999999999998</v>
      </c>
      <c r="G46" s="182">
        <f t="shared" si="1"/>
        <v>24457.05</v>
      </c>
      <c r="H46" s="154">
        <v>0</v>
      </c>
      <c r="I46" s="154">
        <v>0</v>
      </c>
      <c r="J46" s="154">
        <v>24457.05</v>
      </c>
      <c r="K46" s="149"/>
      <c r="L46" s="149"/>
      <c r="M46" s="149"/>
      <c r="N46" s="154">
        <v>0</v>
      </c>
      <c r="O46" s="149"/>
      <c r="P46" s="149"/>
      <c r="Q46" s="149"/>
    </row>
    <row r="47" spans="2:17" s="6" customFormat="1" ht="28.5" customHeight="1" x14ac:dyDescent="0.2">
      <c r="B47" s="178" t="s">
        <v>192</v>
      </c>
      <c r="C47" s="178" t="s">
        <v>1891</v>
      </c>
      <c r="D47" s="179" t="s">
        <v>20</v>
      </c>
      <c r="E47" s="180">
        <v>12.5</v>
      </c>
      <c r="F47" s="180">
        <v>2126.6999999999998</v>
      </c>
      <c r="G47" s="182">
        <f t="shared" si="1"/>
        <v>26583.749999999996</v>
      </c>
      <c r="H47" s="180">
        <v>0</v>
      </c>
      <c r="I47" s="180">
        <v>0</v>
      </c>
      <c r="J47" s="180">
        <v>26583.75</v>
      </c>
      <c r="K47" s="181"/>
      <c r="L47" s="181"/>
      <c r="M47" s="181"/>
      <c r="N47" s="180">
        <v>0</v>
      </c>
      <c r="O47" s="181"/>
      <c r="P47" s="181"/>
      <c r="Q47" s="181"/>
    </row>
    <row r="48" spans="2:17" x14ac:dyDescent="0.25">
      <c r="B48" s="151" t="s">
        <v>88</v>
      </c>
      <c r="C48" s="151" t="s">
        <v>89</v>
      </c>
      <c r="D48" s="149"/>
      <c r="E48" s="149"/>
      <c r="F48" s="149"/>
      <c r="G48" s="182">
        <f t="shared" si="1"/>
        <v>0</v>
      </c>
      <c r="H48" s="149"/>
      <c r="I48" s="152"/>
      <c r="J48" s="152"/>
      <c r="K48" s="152"/>
      <c r="L48" s="152"/>
      <c r="M48" s="152"/>
      <c r="N48" s="152"/>
      <c r="O48" s="152"/>
      <c r="P48" s="152"/>
      <c r="Q48" s="152"/>
    </row>
    <row r="49" spans="2:17" x14ac:dyDescent="0.25">
      <c r="B49" s="153" t="s">
        <v>90</v>
      </c>
      <c r="C49" s="153" t="s">
        <v>91</v>
      </c>
      <c r="D49" s="153" t="s">
        <v>53</v>
      </c>
      <c r="E49" s="154">
        <v>249</v>
      </c>
      <c r="F49" s="154">
        <v>75</v>
      </c>
      <c r="G49" s="182">
        <f t="shared" si="1"/>
        <v>18675</v>
      </c>
      <c r="H49" s="154">
        <v>0</v>
      </c>
      <c r="I49" s="154">
        <v>0</v>
      </c>
      <c r="J49" s="149"/>
      <c r="K49" s="149"/>
      <c r="L49" s="149"/>
      <c r="M49" s="154">
        <v>18675</v>
      </c>
      <c r="N49" s="149"/>
      <c r="O49" s="149"/>
      <c r="P49" s="149"/>
      <c r="Q49" s="154">
        <v>0</v>
      </c>
    </row>
    <row r="50" spans="2:17" x14ac:dyDescent="0.25">
      <c r="B50" s="153" t="s">
        <v>92</v>
      </c>
      <c r="C50" s="153" t="s">
        <v>93</v>
      </c>
      <c r="D50" s="153" t="s">
        <v>53</v>
      </c>
      <c r="E50" s="154">
        <v>1</v>
      </c>
      <c r="F50" s="154">
        <v>850</v>
      </c>
      <c r="G50" s="182">
        <f t="shared" si="1"/>
        <v>850</v>
      </c>
      <c r="H50" s="154">
        <v>0</v>
      </c>
      <c r="I50" s="154">
        <v>0</v>
      </c>
      <c r="J50" s="149"/>
      <c r="K50" s="149"/>
      <c r="L50" s="149"/>
      <c r="M50" s="154">
        <v>850</v>
      </c>
      <c r="N50" s="149"/>
      <c r="O50" s="149"/>
      <c r="P50" s="149"/>
      <c r="Q50" s="154">
        <v>0</v>
      </c>
    </row>
    <row r="51" spans="2:17" x14ac:dyDescent="0.25">
      <c r="B51" s="153" t="s">
        <v>94</v>
      </c>
      <c r="C51" s="153" t="s">
        <v>95</v>
      </c>
      <c r="D51" s="153" t="s">
        <v>82</v>
      </c>
      <c r="E51" s="154">
        <v>5500</v>
      </c>
      <c r="F51" s="154">
        <v>5.32</v>
      </c>
      <c r="G51" s="182">
        <f t="shared" si="1"/>
        <v>29260</v>
      </c>
      <c r="H51" s="154">
        <v>0</v>
      </c>
      <c r="I51" s="154">
        <v>0</v>
      </c>
      <c r="J51" s="154">
        <v>10194.61</v>
      </c>
      <c r="K51" s="154">
        <v>19052.55</v>
      </c>
      <c r="L51" s="149"/>
      <c r="M51" s="149"/>
      <c r="N51" s="154">
        <v>0</v>
      </c>
      <c r="O51" s="154">
        <v>0</v>
      </c>
      <c r="P51" s="149"/>
      <c r="Q51" s="149"/>
    </row>
    <row r="52" spans="2:17" x14ac:dyDescent="0.25">
      <c r="B52" s="151" t="s">
        <v>96</v>
      </c>
      <c r="C52" s="151" t="s">
        <v>97</v>
      </c>
      <c r="D52" s="149"/>
      <c r="E52" s="149"/>
      <c r="F52" s="149"/>
      <c r="G52" s="182">
        <f t="shared" si="1"/>
        <v>0</v>
      </c>
      <c r="H52" s="149"/>
      <c r="I52" s="152"/>
      <c r="J52" s="152"/>
      <c r="K52" s="152"/>
      <c r="L52" s="152"/>
      <c r="M52" s="152"/>
      <c r="N52" s="152"/>
      <c r="O52" s="152"/>
      <c r="P52" s="152"/>
      <c r="Q52" s="152"/>
    </row>
    <row r="53" spans="2:17" x14ac:dyDescent="0.25">
      <c r="B53" s="153" t="s">
        <v>98</v>
      </c>
      <c r="C53" s="153" t="s">
        <v>99</v>
      </c>
      <c r="D53" s="153" t="s">
        <v>20</v>
      </c>
      <c r="E53" s="154">
        <v>17.5</v>
      </c>
      <c r="F53" s="154">
        <v>6000</v>
      </c>
      <c r="G53" s="182">
        <f t="shared" si="1"/>
        <v>105000</v>
      </c>
      <c r="H53" s="154">
        <v>0</v>
      </c>
      <c r="I53" s="154">
        <v>0</v>
      </c>
      <c r="J53" s="149"/>
      <c r="K53" s="149"/>
      <c r="L53" s="149"/>
      <c r="M53" s="154">
        <v>105000</v>
      </c>
      <c r="N53" s="149"/>
      <c r="O53" s="149"/>
      <c r="P53" s="149"/>
      <c r="Q53" s="154">
        <v>0</v>
      </c>
    </row>
    <row r="54" spans="2:17" x14ac:dyDescent="0.25">
      <c r="B54" s="151" t="s">
        <v>100</v>
      </c>
      <c r="C54" s="151" t="s">
        <v>101</v>
      </c>
      <c r="D54" s="149"/>
      <c r="E54" s="149"/>
      <c r="F54" s="149"/>
      <c r="G54" s="182">
        <f t="shared" si="1"/>
        <v>0</v>
      </c>
      <c r="H54" s="149"/>
      <c r="I54" s="152"/>
      <c r="J54" s="152"/>
      <c r="K54" s="152"/>
      <c r="L54" s="152"/>
      <c r="M54" s="152"/>
      <c r="N54" s="152"/>
      <c r="O54" s="152"/>
      <c r="P54" s="152"/>
      <c r="Q54" s="152"/>
    </row>
    <row r="55" spans="2:17" x14ac:dyDescent="0.25">
      <c r="B55" s="153" t="s">
        <v>102</v>
      </c>
      <c r="C55" s="153" t="s">
        <v>103</v>
      </c>
      <c r="D55" s="153" t="s">
        <v>15</v>
      </c>
      <c r="E55" s="154">
        <v>1</v>
      </c>
      <c r="F55" s="154">
        <v>51500</v>
      </c>
      <c r="G55" s="182">
        <f t="shared" si="1"/>
        <v>51500</v>
      </c>
      <c r="H55" s="154">
        <v>0</v>
      </c>
      <c r="I55" s="154">
        <v>0</v>
      </c>
      <c r="J55" s="149"/>
      <c r="K55" s="154">
        <v>4160</v>
      </c>
      <c r="L55" s="149"/>
      <c r="M55" s="154">
        <v>47340</v>
      </c>
      <c r="N55" s="149"/>
      <c r="O55" s="154">
        <v>0</v>
      </c>
      <c r="P55" s="149"/>
      <c r="Q55" s="154">
        <v>0</v>
      </c>
    </row>
    <row r="56" spans="2:17" x14ac:dyDescent="0.25">
      <c r="B56" s="153" t="s">
        <v>104</v>
      </c>
      <c r="C56" s="153" t="s">
        <v>731</v>
      </c>
      <c r="D56" s="153" t="s">
        <v>15</v>
      </c>
      <c r="E56" s="154">
        <v>1</v>
      </c>
      <c r="F56" s="154">
        <v>42880</v>
      </c>
      <c r="G56" s="182">
        <f t="shared" si="1"/>
        <v>42880</v>
      </c>
      <c r="H56" s="154">
        <v>0</v>
      </c>
      <c r="I56" s="154">
        <v>0</v>
      </c>
      <c r="J56" s="149"/>
      <c r="K56" s="154">
        <v>12480</v>
      </c>
      <c r="L56" s="149"/>
      <c r="M56" s="154">
        <v>30400</v>
      </c>
      <c r="N56" s="149"/>
      <c r="O56" s="154">
        <v>0</v>
      </c>
      <c r="P56" s="149"/>
      <c r="Q56" s="154">
        <v>0</v>
      </c>
    </row>
    <row r="57" spans="2:17" x14ac:dyDescent="0.25">
      <c r="B57" s="153" t="s">
        <v>105</v>
      </c>
      <c r="C57" s="153" t="s">
        <v>106</v>
      </c>
      <c r="D57" s="153" t="s">
        <v>53</v>
      </c>
      <c r="E57" s="154">
        <v>80</v>
      </c>
      <c r="F57" s="154">
        <v>120</v>
      </c>
      <c r="G57" s="182">
        <f t="shared" si="1"/>
        <v>9600</v>
      </c>
      <c r="H57" s="154">
        <v>0</v>
      </c>
      <c r="I57" s="154">
        <v>0</v>
      </c>
      <c r="J57" s="149"/>
      <c r="K57" s="149"/>
      <c r="L57" s="149"/>
      <c r="M57" s="154">
        <v>9600</v>
      </c>
      <c r="N57" s="149"/>
      <c r="O57" s="149"/>
      <c r="P57" s="149"/>
      <c r="Q57" s="154">
        <v>0</v>
      </c>
    </row>
    <row r="58" spans="2:17" x14ac:dyDescent="0.25">
      <c r="B58" s="153" t="s">
        <v>107</v>
      </c>
      <c r="C58" s="153" t="s">
        <v>108</v>
      </c>
      <c r="D58" s="153" t="s">
        <v>53</v>
      </c>
      <c r="E58" s="154">
        <v>1</v>
      </c>
      <c r="F58" s="154">
        <v>56573</v>
      </c>
      <c r="G58" s="182">
        <f t="shared" si="1"/>
        <v>56573</v>
      </c>
      <c r="H58" s="154">
        <v>0</v>
      </c>
      <c r="I58" s="154">
        <v>0</v>
      </c>
      <c r="J58" s="149"/>
      <c r="K58" s="149"/>
      <c r="L58" s="149"/>
      <c r="M58" s="154">
        <v>56573</v>
      </c>
      <c r="N58" s="149"/>
      <c r="O58" s="149"/>
      <c r="P58" s="149"/>
      <c r="Q58" s="154">
        <v>0</v>
      </c>
    </row>
    <row r="59" spans="2:17" x14ac:dyDescent="0.25">
      <c r="B59" s="153" t="s">
        <v>109</v>
      </c>
      <c r="C59" s="153" t="s">
        <v>110</v>
      </c>
      <c r="D59" s="153" t="s">
        <v>15</v>
      </c>
      <c r="E59" s="154">
        <v>1</v>
      </c>
      <c r="F59" s="154">
        <v>15631.59</v>
      </c>
      <c r="G59" s="182">
        <f t="shared" si="1"/>
        <v>15631.59</v>
      </c>
      <c r="H59" s="154">
        <v>0</v>
      </c>
      <c r="I59" s="154">
        <v>0</v>
      </c>
      <c r="J59" s="154">
        <v>625.5</v>
      </c>
      <c r="K59" s="154">
        <v>10756.09</v>
      </c>
      <c r="L59" s="149"/>
      <c r="M59" s="154">
        <v>4250</v>
      </c>
      <c r="N59" s="154">
        <v>0</v>
      </c>
      <c r="O59" s="154">
        <v>0</v>
      </c>
      <c r="P59" s="149"/>
      <c r="Q59" s="154">
        <v>0</v>
      </c>
    </row>
    <row r="60" spans="2:17" x14ac:dyDescent="0.25">
      <c r="B60" s="153" t="s">
        <v>111</v>
      </c>
      <c r="C60" s="153" t="s">
        <v>112</v>
      </c>
      <c r="D60" s="153" t="s">
        <v>15</v>
      </c>
      <c r="E60" s="154">
        <v>1</v>
      </c>
      <c r="F60" s="154">
        <v>2500</v>
      </c>
      <c r="G60" s="182">
        <f t="shared" si="1"/>
        <v>2500</v>
      </c>
      <c r="H60" s="154">
        <v>0</v>
      </c>
      <c r="I60" s="154">
        <v>0</v>
      </c>
      <c r="J60" s="149"/>
      <c r="K60" s="149"/>
      <c r="L60" s="149"/>
      <c r="M60" s="154">
        <v>2500</v>
      </c>
      <c r="N60" s="149"/>
      <c r="O60" s="149"/>
      <c r="P60" s="149"/>
      <c r="Q60" s="154">
        <v>0</v>
      </c>
    </row>
    <row r="61" spans="2:17" x14ac:dyDescent="0.25">
      <c r="B61" s="153" t="s">
        <v>113</v>
      </c>
      <c r="C61" s="153" t="s">
        <v>114</v>
      </c>
      <c r="D61" s="153" t="s">
        <v>15</v>
      </c>
      <c r="E61" s="154">
        <v>1</v>
      </c>
      <c r="F61" s="154">
        <v>9422.4</v>
      </c>
      <c r="G61" s="182">
        <f t="shared" si="1"/>
        <v>9422.4</v>
      </c>
      <c r="H61" s="154">
        <v>0</v>
      </c>
      <c r="I61" s="154">
        <v>0</v>
      </c>
      <c r="J61" s="149"/>
      <c r="K61" s="149"/>
      <c r="L61" s="149"/>
      <c r="M61" s="154">
        <v>9422.4</v>
      </c>
      <c r="N61" s="149"/>
      <c r="O61" s="149"/>
      <c r="P61" s="149"/>
      <c r="Q61" s="154">
        <v>0</v>
      </c>
    </row>
    <row r="62" spans="2:17" x14ac:dyDescent="0.25">
      <c r="B62" s="153" t="s">
        <v>115</v>
      </c>
      <c r="C62" s="153" t="s">
        <v>732</v>
      </c>
      <c r="D62" s="153" t="s">
        <v>20</v>
      </c>
      <c r="E62" s="154">
        <v>12.5</v>
      </c>
      <c r="F62" s="154">
        <v>4170</v>
      </c>
      <c r="G62" s="182">
        <f t="shared" si="1"/>
        <v>52125</v>
      </c>
      <c r="H62" s="154">
        <v>0</v>
      </c>
      <c r="I62" s="154">
        <v>0</v>
      </c>
      <c r="J62" s="154">
        <v>52125</v>
      </c>
      <c r="K62" s="149"/>
      <c r="L62" s="149"/>
      <c r="M62" s="149"/>
      <c r="N62" s="154">
        <v>0</v>
      </c>
      <c r="O62" s="149"/>
      <c r="P62" s="149"/>
      <c r="Q62" s="149"/>
    </row>
    <row r="63" spans="2:17" x14ac:dyDescent="0.25">
      <c r="B63" s="153" t="s">
        <v>116</v>
      </c>
      <c r="C63" s="153" t="s">
        <v>117</v>
      </c>
      <c r="D63" s="153" t="s">
        <v>53</v>
      </c>
      <c r="E63" s="154">
        <v>2</v>
      </c>
      <c r="F63" s="154">
        <v>2500</v>
      </c>
      <c r="G63" s="182">
        <f t="shared" si="1"/>
        <v>5000</v>
      </c>
      <c r="H63" s="154">
        <v>0</v>
      </c>
      <c r="I63" s="154">
        <v>0</v>
      </c>
      <c r="J63" s="149"/>
      <c r="K63" s="149"/>
      <c r="L63" s="149"/>
      <c r="M63" s="154">
        <v>5000</v>
      </c>
      <c r="N63" s="149"/>
      <c r="O63" s="149"/>
      <c r="P63" s="149"/>
      <c r="Q63" s="154">
        <v>0</v>
      </c>
    </row>
    <row r="64" spans="2:17" x14ac:dyDescent="0.25">
      <c r="B64" s="153" t="s">
        <v>118</v>
      </c>
      <c r="C64" s="153" t="s">
        <v>120</v>
      </c>
      <c r="D64" s="153" t="s">
        <v>20</v>
      </c>
      <c r="E64" s="154">
        <v>7</v>
      </c>
      <c r="F64" s="154">
        <v>4253.3999999999996</v>
      </c>
      <c r="G64" s="182">
        <f t="shared" si="1"/>
        <v>29773.799999999996</v>
      </c>
      <c r="H64" s="154">
        <v>0</v>
      </c>
      <c r="I64" s="154">
        <v>0</v>
      </c>
      <c r="J64" s="154">
        <v>29773.8</v>
      </c>
      <c r="K64" s="149"/>
      <c r="L64" s="149"/>
      <c r="M64" s="149"/>
      <c r="N64" s="154">
        <v>0</v>
      </c>
      <c r="O64" s="149"/>
      <c r="P64" s="149"/>
      <c r="Q64" s="149"/>
    </row>
    <row r="65" spans="2:17" x14ac:dyDescent="0.25">
      <c r="B65" s="153" t="s">
        <v>119</v>
      </c>
      <c r="C65" s="153" t="s">
        <v>122</v>
      </c>
      <c r="D65" s="153" t="s">
        <v>15</v>
      </c>
      <c r="E65" s="154">
        <v>1</v>
      </c>
      <c r="F65" s="154">
        <v>9000</v>
      </c>
      <c r="G65" s="182">
        <f t="shared" si="1"/>
        <v>9000</v>
      </c>
      <c r="H65" s="154">
        <v>0</v>
      </c>
      <c r="I65" s="154">
        <v>0</v>
      </c>
      <c r="J65" s="149"/>
      <c r="K65" s="149"/>
      <c r="L65" s="149"/>
      <c r="M65" s="154">
        <v>9000</v>
      </c>
      <c r="N65" s="149"/>
      <c r="O65" s="149"/>
      <c r="P65" s="149"/>
      <c r="Q65" s="154">
        <v>0</v>
      </c>
    </row>
    <row r="66" spans="2:17" x14ac:dyDescent="0.25">
      <c r="B66" s="153" t="s">
        <v>121</v>
      </c>
      <c r="C66" s="153" t="s">
        <v>124</v>
      </c>
      <c r="D66" s="153" t="s">
        <v>15</v>
      </c>
      <c r="E66" s="154">
        <v>1</v>
      </c>
      <c r="F66" s="154">
        <v>40000</v>
      </c>
      <c r="G66" s="182">
        <f t="shared" si="1"/>
        <v>40000</v>
      </c>
      <c r="H66" s="154">
        <v>0</v>
      </c>
      <c r="I66" s="154">
        <v>0</v>
      </c>
      <c r="J66" s="149"/>
      <c r="K66" s="149"/>
      <c r="L66" s="149"/>
      <c r="M66" s="149"/>
      <c r="N66" s="149"/>
      <c r="O66" s="149"/>
      <c r="P66" s="149"/>
      <c r="Q66" s="149"/>
    </row>
    <row r="67" spans="2:17" x14ac:dyDescent="0.25">
      <c r="B67" s="153" t="s">
        <v>125</v>
      </c>
      <c r="C67" s="185" t="s">
        <v>2180</v>
      </c>
      <c r="D67" s="153" t="s">
        <v>15</v>
      </c>
      <c r="E67" s="154">
        <v>1</v>
      </c>
      <c r="F67" s="154">
        <v>60000</v>
      </c>
      <c r="G67" s="184">
        <f t="shared" si="1"/>
        <v>60000</v>
      </c>
      <c r="H67" s="154">
        <v>0</v>
      </c>
      <c r="I67" s="154">
        <v>0</v>
      </c>
      <c r="J67" s="149"/>
      <c r="K67" s="149"/>
      <c r="L67" s="149"/>
      <c r="M67" s="154">
        <v>60000</v>
      </c>
      <c r="N67" s="149"/>
      <c r="O67" s="149"/>
      <c r="P67" s="149"/>
      <c r="Q67" s="149"/>
    </row>
    <row r="68" spans="2:17" x14ac:dyDescent="0.25">
      <c r="B68" s="153" t="s">
        <v>123</v>
      </c>
      <c r="C68" s="153" t="s">
        <v>126</v>
      </c>
      <c r="D68" s="153" t="s">
        <v>15</v>
      </c>
      <c r="E68" s="154">
        <v>1</v>
      </c>
      <c r="F68" s="154">
        <v>97200</v>
      </c>
      <c r="G68" s="182">
        <f t="shared" si="1"/>
        <v>97200</v>
      </c>
      <c r="H68" s="154">
        <v>0</v>
      </c>
      <c r="I68" s="154">
        <v>0</v>
      </c>
      <c r="J68" s="149"/>
      <c r="K68" s="149"/>
      <c r="L68" s="149"/>
      <c r="M68" s="154">
        <v>97200</v>
      </c>
      <c r="N68" s="149"/>
      <c r="O68" s="149"/>
      <c r="P68" s="149"/>
      <c r="Q68" s="154">
        <v>0</v>
      </c>
    </row>
    <row r="69" spans="2:17" x14ac:dyDescent="0.25">
      <c r="B69" s="153" t="s">
        <v>701</v>
      </c>
      <c r="C69" s="153" t="s">
        <v>1892</v>
      </c>
      <c r="D69" s="153" t="s">
        <v>15</v>
      </c>
      <c r="E69" s="154">
        <v>1</v>
      </c>
      <c r="F69" s="154">
        <v>17600</v>
      </c>
      <c r="G69" s="182">
        <f t="shared" si="1"/>
        <v>17600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97200</v>
      </c>
      <c r="N69" s="154">
        <v>0</v>
      </c>
      <c r="O69" s="154">
        <v>0</v>
      </c>
      <c r="P69" s="154">
        <v>0</v>
      </c>
      <c r="Q69" s="149"/>
    </row>
  </sheetData>
  <mergeCells count="1">
    <mergeCell ref="B1:D1"/>
  </mergeCells>
  <phoneticPr fontId="3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CFB3-ABBF-4365-9DB5-7FB8423DE685}">
  <dimension ref="A1:Q191"/>
  <sheetViews>
    <sheetView workbookViewId="0">
      <selection activeCell="Z7" sqref="Z7"/>
    </sheetView>
  </sheetViews>
  <sheetFormatPr defaultColWidth="11.42578125" defaultRowHeight="15" x14ac:dyDescent="0.25"/>
  <cols>
    <col min="3" max="3" width="38.28515625" customWidth="1"/>
    <col min="4" max="4" width="4.140625" bestFit="1" customWidth="1"/>
    <col min="5" max="5" width="11.42578125" bestFit="1" customWidth="1"/>
    <col min="6" max="6" width="10.42578125" customWidth="1"/>
    <col min="7" max="7" width="10" bestFit="1" customWidth="1"/>
    <col min="8" max="8" width="11" customWidth="1"/>
    <col min="9" max="9" width="8.7109375" bestFit="1" customWidth="1"/>
    <col min="17" max="17" width="9.28515625" bestFit="1" customWidth="1"/>
  </cols>
  <sheetData>
    <row r="1" spans="2:17" ht="16.5" x14ac:dyDescent="0.25">
      <c r="B1" s="190" t="s">
        <v>733</v>
      </c>
      <c r="C1" s="191"/>
      <c r="D1" s="191"/>
      <c r="E1" s="117"/>
      <c r="F1" s="118"/>
      <c r="G1" s="119"/>
      <c r="H1" s="117"/>
      <c r="I1" s="117"/>
    </row>
    <row r="2" spans="2:17" x14ac:dyDescent="0.25">
      <c r="B2" s="120"/>
      <c r="C2" s="121"/>
      <c r="D2" s="121"/>
      <c r="E2" s="117"/>
      <c r="F2" s="118"/>
      <c r="G2" s="119"/>
      <c r="H2" s="117"/>
      <c r="I2" s="117"/>
    </row>
    <row r="3" spans="2:17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17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17" ht="16.5" x14ac:dyDescent="0.25">
      <c r="B5" s="138" t="s">
        <v>722</v>
      </c>
      <c r="C5" s="139" t="s">
        <v>723</v>
      </c>
      <c r="D5" s="140"/>
      <c r="E5" s="144"/>
      <c r="F5" s="144"/>
      <c r="G5" s="144"/>
      <c r="H5" s="145" t="s">
        <v>724</v>
      </c>
      <c r="I5" s="146" t="s">
        <v>2177</v>
      </c>
      <c r="J5" s="141"/>
      <c r="K5" s="141"/>
      <c r="L5" s="141"/>
      <c r="M5" s="141"/>
      <c r="N5" s="141"/>
      <c r="O5" s="141"/>
      <c r="P5" s="141"/>
      <c r="Q5" s="141"/>
    </row>
    <row r="6" spans="2:17" ht="22.5" x14ac:dyDescent="0.25">
      <c r="B6" s="142" t="s">
        <v>2</v>
      </c>
      <c r="C6" s="142" t="s">
        <v>3</v>
      </c>
      <c r="D6" s="142" t="s">
        <v>0</v>
      </c>
      <c r="E6" s="143" t="s">
        <v>4</v>
      </c>
      <c r="F6" s="143" t="s">
        <v>5</v>
      </c>
      <c r="G6" s="143" t="s">
        <v>6</v>
      </c>
      <c r="H6" s="143" t="s">
        <v>7</v>
      </c>
      <c r="I6" s="143" t="s">
        <v>8</v>
      </c>
      <c r="J6" s="143" t="s">
        <v>1880</v>
      </c>
      <c r="K6" s="143" t="s">
        <v>1881</v>
      </c>
      <c r="L6" s="143" t="s">
        <v>1882</v>
      </c>
      <c r="M6" s="143" t="s">
        <v>1883</v>
      </c>
      <c r="N6" s="143" t="s">
        <v>1884</v>
      </c>
      <c r="O6" s="143" t="s">
        <v>1885</v>
      </c>
      <c r="P6" s="143" t="s">
        <v>1886</v>
      </c>
      <c r="Q6" s="143" t="s">
        <v>1887</v>
      </c>
    </row>
    <row r="7" spans="2:17" x14ac:dyDescent="0.25">
      <c r="B7" s="148" t="s">
        <v>9</v>
      </c>
      <c r="C7" s="148" t="s">
        <v>127</v>
      </c>
      <c r="D7" s="149"/>
      <c r="E7" s="149"/>
      <c r="F7" s="149"/>
      <c r="G7" s="150">
        <v>4330724.38</v>
      </c>
      <c r="H7" s="149"/>
      <c r="I7" s="150">
        <v>305119.48</v>
      </c>
      <c r="J7" s="150">
        <v>1071974.0900000001</v>
      </c>
      <c r="K7" s="150">
        <v>1471599.33</v>
      </c>
      <c r="L7" s="150">
        <v>35521.15</v>
      </c>
      <c r="M7" s="150">
        <v>16215588.699999999</v>
      </c>
      <c r="N7" s="150">
        <v>0</v>
      </c>
      <c r="O7" s="150">
        <v>302864.96000000002</v>
      </c>
      <c r="P7" s="150">
        <v>0</v>
      </c>
      <c r="Q7" s="150">
        <v>0</v>
      </c>
    </row>
    <row r="8" spans="2:17" x14ac:dyDescent="0.25">
      <c r="B8" s="151" t="s">
        <v>11</v>
      </c>
      <c r="C8" s="151" t="s">
        <v>128</v>
      </c>
      <c r="D8" s="149"/>
      <c r="E8" s="149"/>
      <c r="F8" s="149"/>
      <c r="G8" s="152">
        <v>358898.06</v>
      </c>
      <c r="H8" s="149"/>
      <c r="I8" s="152">
        <v>0</v>
      </c>
      <c r="J8" s="152">
        <v>0</v>
      </c>
      <c r="K8" s="152">
        <v>0</v>
      </c>
      <c r="L8" s="152">
        <v>0</v>
      </c>
      <c r="M8" s="152">
        <v>358898.06</v>
      </c>
      <c r="N8" s="152">
        <v>0</v>
      </c>
      <c r="O8" s="152">
        <v>0</v>
      </c>
      <c r="P8" s="152">
        <v>0</v>
      </c>
      <c r="Q8" s="152">
        <v>0</v>
      </c>
    </row>
    <row r="9" spans="2:17" x14ac:dyDescent="0.25">
      <c r="B9" s="155" t="s">
        <v>13</v>
      </c>
      <c r="C9" s="155" t="s">
        <v>129</v>
      </c>
      <c r="D9" s="149"/>
      <c r="E9" s="149"/>
      <c r="F9" s="149"/>
      <c r="G9" s="156">
        <v>99900</v>
      </c>
      <c r="H9" s="149"/>
      <c r="I9" s="156">
        <v>0</v>
      </c>
      <c r="J9" s="156">
        <v>0</v>
      </c>
      <c r="K9" s="156">
        <v>0</v>
      </c>
      <c r="L9" s="156">
        <v>0</v>
      </c>
      <c r="M9" s="156">
        <v>99900</v>
      </c>
      <c r="N9" s="156">
        <v>0</v>
      </c>
      <c r="O9" s="156">
        <v>0</v>
      </c>
      <c r="P9" s="156">
        <v>0</v>
      </c>
      <c r="Q9" s="156">
        <v>0</v>
      </c>
    </row>
    <row r="10" spans="2:17" x14ac:dyDescent="0.25">
      <c r="B10" s="153" t="s">
        <v>130</v>
      </c>
      <c r="C10" s="153" t="s">
        <v>131</v>
      </c>
      <c r="D10" s="153" t="s">
        <v>15</v>
      </c>
      <c r="E10" s="154">
        <v>1</v>
      </c>
      <c r="F10" s="154">
        <v>8000</v>
      </c>
      <c r="G10" s="154">
        <v>8000</v>
      </c>
      <c r="H10" s="154">
        <v>0</v>
      </c>
      <c r="I10" s="154">
        <v>0</v>
      </c>
      <c r="J10" s="149"/>
      <c r="K10" s="149"/>
      <c r="L10" s="149"/>
      <c r="M10" s="154">
        <v>8000</v>
      </c>
      <c r="N10" s="149"/>
      <c r="O10" s="149"/>
      <c r="P10" s="149"/>
      <c r="Q10" s="154">
        <v>0</v>
      </c>
    </row>
    <row r="11" spans="2:17" x14ac:dyDescent="0.25">
      <c r="B11" s="153" t="s">
        <v>132</v>
      </c>
      <c r="C11" s="153" t="s">
        <v>134</v>
      </c>
      <c r="D11" s="153" t="s">
        <v>15</v>
      </c>
      <c r="E11" s="154">
        <v>1</v>
      </c>
      <c r="F11" s="154">
        <v>5000</v>
      </c>
      <c r="G11" s="154">
        <v>5000</v>
      </c>
      <c r="H11" s="154">
        <v>0</v>
      </c>
      <c r="I11" s="154">
        <v>0</v>
      </c>
      <c r="J11" s="149"/>
      <c r="K11" s="149"/>
      <c r="L11" s="149"/>
      <c r="M11" s="154">
        <v>5000</v>
      </c>
      <c r="N11" s="149"/>
      <c r="O11" s="149"/>
      <c r="P11" s="149"/>
      <c r="Q11" s="154">
        <v>0</v>
      </c>
    </row>
    <row r="12" spans="2:17" x14ac:dyDescent="0.25">
      <c r="B12" s="153" t="s">
        <v>133</v>
      </c>
      <c r="C12" s="153" t="s">
        <v>136</v>
      </c>
      <c r="D12" s="153" t="s">
        <v>15</v>
      </c>
      <c r="E12" s="154">
        <v>1</v>
      </c>
      <c r="F12" s="154">
        <v>86900</v>
      </c>
      <c r="G12" s="154">
        <v>86900</v>
      </c>
      <c r="H12" s="154">
        <v>0</v>
      </c>
      <c r="I12" s="154">
        <v>0</v>
      </c>
      <c r="J12" s="149"/>
      <c r="K12" s="149"/>
      <c r="L12" s="149"/>
      <c r="M12" s="154">
        <v>86900</v>
      </c>
      <c r="N12" s="149"/>
      <c r="O12" s="149"/>
      <c r="P12" s="149"/>
      <c r="Q12" s="154">
        <v>0</v>
      </c>
    </row>
    <row r="13" spans="2:17" x14ac:dyDescent="0.25">
      <c r="B13" s="155" t="s">
        <v>16</v>
      </c>
      <c r="C13" s="155" t="s">
        <v>561</v>
      </c>
      <c r="D13" s="149"/>
      <c r="E13" s="149"/>
      <c r="F13" s="149"/>
      <c r="G13" s="156">
        <v>234880.7</v>
      </c>
      <c r="H13" s="149"/>
      <c r="I13" s="156">
        <v>0</v>
      </c>
      <c r="J13" s="156">
        <v>0</v>
      </c>
      <c r="K13" s="156">
        <v>0</v>
      </c>
      <c r="L13" s="156">
        <v>0</v>
      </c>
      <c r="M13" s="156">
        <v>234880.7</v>
      </c>
      <c r="N13" s="156">
        <v>0</v>
      </c>
      <c r="O13" s="156">
        <v>0</v>
      </c>
      <c r="P13" s="156">
        <v>0</v>
      </c>
      <c r="Q13" s="156">
        <v>0</v>
      </c>
    </row>
    <row r="14" spans="2:17" x14ac:dyDescent="0.25">
      <c r="B14" s="153" t="s">
        <v>137</v>
      </c>
      <c r="C14" s="153" t="s">
        <v>562</v>
      </c>
      <c r="D14" s="153" t="s">
        <v>138</v>
      </c>
      <c r="E14" s="154">
        <v>7873.6</v>
      </c>
      <c r="F14" s="154">
        <v>26</v>
      </c>
      <c r="G14" s="154">
        <v>204713.60000000001</v>
      </c>
      <c r="H14" s="154">
        <v>0</v>
      </c>
      <c r="I14" s="154">
        <v>0</v>
      </c>
      <c r="J14" s="149"/>
      <c r="K14" s="149"/>
      <c r="L14" s="149"/>
      <c r="M14" s="154">
        <v>204713.60000000001</v>
      </c>
      <c r="N14" s="149"/>
      <c r="O14" s="149"/>
      <c r="P14" s="149"/>
      <c r="Q14" s="154">
        <v>0</v>
      </c>
    </row>
    <row r="15" spans="2:17" x14ac:dyDescent="0.25">
      <c r="B15" s="153" t="s">
        <v>268</v>
      </c>
      <c r="C15" s="153" t="s">
        <v>563</v>
      </c>
      <c r="D15" s="153" t="s">
        <v>138</v>
      </c>
      <c r="E15" s="154">
        <v>670.38</v>
      </c>
      <c r="F15" s="154">
        <v>45</v>
      </c>
      <c r="G15" s="154">
        <v>30167.1</v>
      </c>
      <c r="H15" s="154">
        <v>0</v>
      </c>
      <c r="I15" s="154">
        <v>0</v>
      </c>
      <c r="J15" s="149"/>
      <c r="K15" s="149"/>
      <c r="L15" s="149"/>
      <c r="M15" s="154">
        <v>30167.1</v>
      </c>
      <c r="N15" s="149"/>
      <c r="O15" s="149"/>
      <c r="P15" s="149"/>
      <c r="Q15" s="154">
        <v>0</v>
      </c>
    </row>
    <row r="16" spans="2:17" x14ac:dyDescent="0.25">
      <c r="B16" s="155" t="s">
        <v>18</v>
      </c>
      <c r="C16" s="155" t="s">
        <v>141</v>
      </c>
      <c r="D16" s="149"/>
      <c r="E16" s="149"/>
      <c r="F16" s="149"/>
      <c r="G16" s="156">
        <v>24117.360000000001</v>
      </c>
      <c r="H16" s="149"/>
      <c r="I16" s="156">
        <v>0</v>
      </c>
      <c r="J16" s="156">
        <v>0</v>
      </c>
      <c r="K16" s="156">
        <v>0</v>
      </c>
      <c r="L16" s="156">
        <v>0</v>
      </c>
      <c r="M16" s="156">
        <v>24117.360000000001</v>
      </c>
      <c r="N16" s="156">
        <v>0</v>
      </c>
      <c r="O16" s="156">
        <v>0</v>
      </c>
      <c r="P16" s="156">
        <v>0</v>
      </c>
      <c r="Q16" s="156">
        <v>0</v>
      </c>
    </row>
    <row r="17" spans="1:17" x14ac:dyDescent="0.25">
      <c r="B17" s="153" t="s">
        <v>139</v>
      </c>
      <c r="C17" s="153" t="s">
        <v>142</v>
      </c>
      <c r="D17" s="153" t="s">
        <v>138</v>
      </c>
      <c r="E17" s="154">
        <v>189.03</v>
      </c>
      <c r="F17" s="154">
        <v>32</v>
      </c>
      <c r="G17" s="154">
        <v>6048.96</v>
      </c>
      <c r="H17" s="154">
        <v>0</v>
      </c>
      <c r="I17" s="154">
        <v>0</v>
      </c>
      <c r="J17" s="149"/>
      <c r="K17" s="149"/>
      <c r="L17" s="149"/>
      <c r="M17" s="154">
        <v>6048.96</v>
      </c>
      <c r="N17" s="149"/>
      <c r="O17" s="149"/>
      <c r="P17" s="149"/>
      <c r="Q17" s="154">
        <v>0</v>
      </c>
    </row>
    <row r="18" spans="1:17" x14ac:dyDescent="0.25">
      <c r="B18" s="153" t="s">
        <v>140</v>
      </c>
      <c r="C18" s="153" t="s">
        <v>143</v>
      </c>
      <c r="D18" s="153" t="s">
        <v>82</v>
      </c>
      <c r="E18" s="154">
        <v>602.28</v>
      </c>
      <c r="F18" s="154">
        <v>9</v>
      </c>
      <c r="G18" s="154">
        <v>5420.52</v>
      </c>
      <c r="H18" s="154">
        <v>0</v>
      </c>
      <c r="I18" s="154">
        <v>0</v>
      </c>
      <c r="J18" s="149"/>
      <c r="K18" s="149"/>
      <c r="L18" s="149"/>
      <c r="M18" s="154">
        <v>5420.52</v>
      </c>
      <c r="N18" s="149"/>
      <c r="O18" s="149"/>
      <c r="P18" s="149"/>
      <c r="Q18" s="154">
        <v>0</v>
      </c>
    </row>
    <row r="19" spans="1:17" x14ac:dyDescent="0.25">
      <c r="B19" s="153" t="s">
        <v>275</v>
      </c>
      <c r="C19" s="153" t="s">
        <v>144</v>
      </c>
      <c r="D19" s="153" t="s">
        <v>82</v>
      </c>
      <c r="E19" s="154">
        <v>602.28</v>
      </c>
      <c r="F19" s="154">
        <v>21</v>
      </c>
      <c r="G19" s="154">
        <v>12647.88</v>
      </c>
      <c r="H19" s="154">
        <v>0</v>
      </c>
      <c r="I19" s="154">
        <v>0</v>
      </c>
      <c r="J19" s="149"/>
      <c r="K19" s="149"/>
      <c r="L19" s="149"/>
      <c r="M19" s="154">
        <v>12647.88</v>
      </c>
      <c r="N19" s="149"/>
      <c r="O19" s="149"/>
      <c r="P19" s="149"/>
      <c r="Q19" s="154">
        <v>0</v>
      </c>
    </row>
    <row r="20" spans="1:17" x14ac:dyDescent="0.25">
      <c r="A20" t="s">
        <v>716</v>
      </c>
      <c r="B20" s="151" t="s">
        <v>25</v>
      </c>
      <c r="C20" s="151" t="s">
        <v>171</v>
      </c>
      <c r="D20" s="149"/>
      <c r="E20" s="149"/>
      <c r="F20" s="149"/>
      <c r="G20" s="152">
        <v>21881.93</v>
      </c>
      <c r="H20" s="149"/>
      <c r="I20" s="152">
        <v>17.739999999999998</v>
      </c>
      <c r="J20" s="152">
        <v>2925.78</v>
      </c>
      <c r="K20" s="152">
        <v>16304.24</v>
      </c>
      <c r="L20" s="152">
        <v>146.26</v>
      </c>
      <c r="M20" s="152">
        <v>2502.41</v>
      </c>
      <c r="N20" s="152">
        <v>0</v>
      </c>
      <c r="O20" s="152">
        <v>17.5</v>
      </c>
      <c r="P20" s="152">
        <v>0</v>
      </c>
      <c r="Q20" s="152">
        <v>0</v>
      </c>
    </row>
    <row r="21" spans="1:17" x14ac:dyDescent="0.25">
      <c r="B21" s="155" t="s">
        <v>27</v>
      </c>
      <c r="C21" s="155" t="s">
        <v>172</v>
      </c>
      <c r="D21" s="149"/>
      <c r="E21" s="149"/>
      <c r="F21" s="149"/>
      <c r="G21" s="156">
        <v>14353.55</v>
      </c>
      <c r="H21" s="149"/>
      <c r="I21" s="156">
        <v>0</v>
      </c>
      <c r="J21" s="156">
        <v>1490.19</v>
      </c>
      <c r="K21" s="156">
        <v>11093.86</v>
      </c>
      <c r="L21" s="156">
        <v>74.459999999999994</v>
      </c>
      <c r="M21" s="156">
        <v>1692.28</v>
      </c>
      <c r="N21" s="156">
        <v>0</v>
      </c>
      <c r="O21" s="156">
        <v>0</v>
      </c>
      <c r="P21" s="156">
        <v>0</v>
      </c>
      <c r="Q21" s="156">
        <v>0</v>
      </c>
    </row>
    <row r="22" spans="1:17" x14ac:dyDescent="0.25">
      <c r="B22" s="153" t="s">
        <v>146</v>
      </c>
      <c r="C22" s="153" t="s">
        <v>564</v>
      </c>
      <c r="D22" s="153" t="s">
        <v>82</v>
      </c>
      <c r="E22" s="154">
        <v>300.85000000000002</v>
      </c>
      <c r="F22" s="154">
        <v>47.71</v>
      </c>
      <c r="G22" s="154">
        <v>14353.55</v>
      </c>
      <c r="H22" s="154">
        <v>0</v>
      </c>
      <c r="I22" s="154">
        <v>0</v>
      </c>
      <c r="J22" s="154">
        <v>1490.19</v>
      </c>
      <c r="K22" s="154">
        <v>11093.86</v>
      </c>
      <c r="L22" s="154">
        <v>74.459999999999994</v>
      </c>
      <c r="M22" s="154">
        <v>1692.28</v>
      </c>
      <c r="N22" s="154">
        <v>0</v>
      </c>
      <c r="O22" s="154">
        <v>0</v>
      </c>
      <c r="P22" s="154">
        <v>0</v>
      </c>
      <c r="Q22" s="154">
        <v>0</v>
      </c>
    </row>
    <row r="23" spans="1:17" x14ac:dyDescent="0.25">
      <c r="B23" s="155" t="s">
        <v>30</v>
      </c>
      <c r="C23" s="155" t="s">
        <v>174</v>
      </c>
      <c r="D23" s="149"/>
      <c r="E23" s="149"/>
      <c r="F23" s="149"/>
      <c r="G23" s="156">
        <v>7528.38</v>
      </c>
      <c r="H23" s="149"/>
      <c r="I23" s="156">
        <v>17.739999999999998</v>
      </c>
      <c r="J23" s="156">
        <v>1435.59</v>
      </c>
      <c r="K23" s="156">
        <v>5210.38</v>
      </c>
      <c r="L23" s="156">
        <v>71.8</v>
      </c>
      <c r="M23" s="156">
        <v>810.13</v>
      </c>
      <c r="N23" s="156">
        <v>0</v>
      </c>
      <c r="O23" s="156">
        <v>17.5</v>
      </c>
      <c r="P23" s="156">
        <v>0</v>
      </c>
      <c r="Q23" s="156">
        <v>0</v>
      </c>
    </row>
    <row r="24" spans="1:17" x14ac:dyDescent="0.25">
      <c r="A24" t="s">
        <v>716</v>
      </c>
      <c r="B24" s="153" t="s">
        <v>154</v>
      </c>
      <c r="C24" s="153" t="s">
        <v>176</v>
      </c>
      <c r="D24" s="153" t="s">
        <v>138</v>
      </c>
      <c r="E24" s="154">
        <v>14.61</v>
      </c>
      <c r="F24" s="154">
        <v>383.78</v>
      </c>
      <c r="G24" s="154">
        <v>5607.03</v>
      </c>
      <c r="H24" s="154">
        <v>0</v>
      </c>
      <c r="I24" s="154">
        <v>0</v>
      </c>
      <c r="J24" s="154">
        <v>325.33999999999997</v>
      </c>
      <c r="K24" s="154">
        <v>4455.32</v>
      </c>
      <c r="L24" s="154">
        <v>16.27</v>
      </c>
      <c r="M24" s="154">
        <v>810.13</v>
      </c>
      <c r="N24" s="154">
        <v>0</v>
      </c>
      <c r="O24" s="154">
        <v>0</v>
      </c>
      <c r="P24" s="154">
        <v>0</v>
      </c>
      <c r="Q24" s="154">
        <v>0</v>
      </c>
    </row>
    <row r="25" spans="1:17" x14ac:dyDescent="0.25">
      <c r="A25" t="s">
        <v>717</v>
      </c>
      <c r="B25" s="153" t="s">
        <v>155</v>
      </c>
      <c r="C25" s="153" t="s">
        <v>178</v>
      </c>
      <c r="D25" s="153" t="s">
        <v>82</v>
      </c>
      <c r="E25" s="154">
        <v>46.68</v>
      </c>
      <c r="F25" s="154">
        <v>41.16</v>
      </c>
      <c r="G25" s="154">
        <v>1921.35</v>
      </c>
      <c r="H25" s="154">
        <v>0.38</v>
      </c>
      <c r="I25" s="154">
        <v>17.739999999999998</v>
      </c>
      <c r="J25" s="154">
        <v>1110.25</v>
      </c>
      <c r="K25" s="154">
        <v>755.06</v>
      </c>
      <c r="L25" s="154">
        <v>55.53</v>
      </c>
      <c r="M25" s="149"/>
      <c r="N25" s="154">
        <v>0</v>
      </c>
      <c r="O25" s="154">
        <v>17.5</v>
      </c>
      <c r="P25" s="154">
        <v>0</v>
      </c>
      <c r="Q25" s="149"/>
    </row>
    <row r="26" spans="1:17" x14ac:dyDescent="0.25">
      <c r="B26" s="151" t="s">
        <v>55</v>
      </c>
      <c r="C26" s="151" t="s">
        <v>201</v>
      </c>
      <c r="D26" s="149"/>
      <c r="E26" s="149"/>
      <c r="F26" s="149"/>
      <c r="G26" s="152">
        <v>42027.22</v>
      </c>
      <c r="H26" s="149"/>
      <c r="I26" s="152">
        <v>200</v>
      </c>
      <c r="J26" s="152">
        <v>17709.400000000001</v>
      </c>
      <c r="K26" s="152">
        <v>17562.29</v>
      </c>
      <c r="L26" s="152">
        <v>806.84</v>
      </c>
      <c r="M26" s="152">
        <v>5949.38</v>
      </c>
      <c r="N26" s="152">
        <v>0</v>
      </c>
      <c r="O26" s="152">
        <v>200</v>
      </c>
      <c r="P26" s="152">
        <v>0</v>
      </c>
      <c r="Q26" s="152">
        <v>0</v>
      </c>
    </row>
    <row r="27" spans="1:17" x14ac:dyDescent="0.25">
      <c r="A27" t="s">
        <v>716</v>
      </c>
      <c r="B27" s="153" t="s">
        <v>57</v>
      </c>
      <c r="C27" s="153" t="s">
        <v>202</v>
      </c>
      <c r="D27" s="153" t="s">
        <v>138</v>
      </c>
      <c r="E27" s="154">
        <v>42.74</v>
      </c>
      <c r="F27" s="154">
        <v>411.61</v>
      </c>
      <c r="G27" s="154">
        <v>17592.21</v>
      </c>
      <c r="H27" s="154">
        <v>0</v>
      </c>
      <c r="I27" s="154">
        <v>0</v>
      </c>
      <c r="J27" s="154">
        <v>1313.01</v>
      </c>
      <c r="K27" s="154">
        <v>13843.49</v>
      </c>
      <c r="L27" s="154">
        <v>65.650000000000006</v>
      </c>
      <c r="M27" s="154">
        <v>2369.94</v>
      </c>
      <c r="N27" s="154">
        <v>0</v>
      </c>
      <c r="O27" s="154">
        <v>0</v>
      </c>
      <c r="P27" s="154">
        <v>0</v>
      </c>
      <c r="Q27" s="154">
        <v>0</v>
      </c>
    </row>
    <row r="28" spans="1:17" x14ac:dyDescent="0.25">
      <c r="B28" s="153" t="s">
        <v>60</v>
      </c>
      <c r="C28" s="153" t="s">
        <v>204</v>
      </c>
      <c r="D28" s="153" t="s">
        <v>29</v>
      </c>
      <c r="E28" s="154">
        <v>80</v>
      </c>
      <c r="F28" s="154">
        <v>192.26</v>
      </c>
      <c r="G28" s="154">
        <v>15380.8</v>
      </c>
      <c r="H28" s="154">
        <v>2.5</v>
      </c>
      <c r="I28" s="154">
        <v>200</v>
      </c>
      <c r="J28" s="154">
        <v>11418.46</v>
      </c>
      <c r="K28" s="154">
        <v>3391.36</v>
      </c>
      <c r="L28" s="154">
        <v>570.91999999999996</v>
      </c>
      <c r="M28" s="149"/>
      <c r="N28" s="154">
        <v>0</v>
      </c>
      <c r="O28" s="154">
        <v>200</v>
      </c>
      <c r="P28" s="154">
        <v>0</v>
      </c>
      <c r="Q28" s="149"/>
    </row>
    <row r="29" spans="1:17" x14ac:dyDescent="0.25">
      <c r="B29" s="153" t="s">
        <v>326</v>
      </c>
      <c r="C29" s="153" t="s">
        <v>188</v>
      </c>
      <c r="D29" s="153" t="s">
        <v>82</v>
      </c>
      <c r="E29" s="154">
        <v>284.95</v>
      </c>
      <c r="F29" s="154">
        <v>1.82</v>
      </c>
      <c r="G29" s="154">
        <v>518.61</v>
      </c>
      <c r="H29" s="154">
        <v>0</v>
      </c>
      <c r="I29" s="154">
        <v>0</v>
      </c>
      <c r="J29" s="154">
        <v>469.62</v>
      </c>
      <c r="K29" s="154">
        <v>34.19</v>
      </c>
      <c r="L29" s="154">
        <v>14.11</v>
      </c>
      <c r="M29" s="149"/>
      <c r="N29" s="154">
        <v>0</v>
      </c>
      <c r="O29" s="154">
        <v>0</v>
      </c>
      <c r="P29" s="154">
        <v>0</v>
      </c>
      <c r="Q29" s="149"/>
    </row>
    <row r="30" spans="1:17" x14ac:dyDescent="0.25">
      <c r="B30" s="153" t="s">
        <v>382</v>
      </c>
      <c r="C30" s="153" t="s">
        <v>210</v>
      </c>
      <c r="D30" s="153" t="s">
        <v>157</v>
      </c>
      <c r="E30" s="154">
        <v>119.29</v>
      </c>
      <c r="F30" s="154">
        <v>18.239999999999998</v>
      </c>
      <c r="G30" s="154">
        <v>2175.85</v>
      </c>
      <c r="H30" s="154">
        <v>0</v>
      </c>
      <c r="I30" s="154">
        <v>0</v>
      </c>
      <c r="J30" s="154">
        <v>369.64</v>
      </c>
      <c r="K30" s="149"/>
      <c r="L30" s="154">
        <v>18.489999999999998</v>
      </c>
      <c r="M30" s="154">
        <v>1786.97</v>
      </c>
      <c r="N30" s="154">
        <v>0</v>
      </c>
      <c r="O30" s="149"/>
      <c r="P30" s="154">
        <v>0</v>
      </c>
      <c r="Q30" s="154">
        <v>0</v>
      </c>
    </row>
    <row r="31" spans="1:17" x14ac:dyDescent="0.25">
      <c r="B31" s="153" t="s">
        <v>385</v>
      </c>
      <c r="C31" s="153" t="s">
        <v>208</v>
      </c>
      <c r="D31" s="153" t="s">
        <v>157</v>
      </c>
      <c r="E31" s="154">
        <v>40.619999999999997</v>
      </c>
      <c r="F31" s="154">
        <v>15.25</v>
      </c>
      <c r="G31" s="154">
        <v>619.46</v>
      </c>
      <c r="H31" s="154">
        <v>0</v>
      </c>
      <c r="I31" s="154">
        <v>0</v>
      </c>
      <c r="J31" s="154">
        <v>150.01</v>
      </c>
      <c r="K31" s="154">
        <v>64.989999999999995</v>
      </c>
      <c r="L31" s="154">
        <v>7.49</v>
      </c>
      <c r="M31" s="154">
        <v>397.26</v>
      </c>
      <c r="N31" s="154">
        <v>0</v>
      </c>
      <c r="O31" s="154">
        <v>0</v>
      </c>
      <c r="P31" s="154">
        <v>0</v>
      </c>
      <c r="Q31" s="154">
        <v>0</v>
      </c>
    </row>
    <row r="32" spans="1:17" x14ac:dyDescent="0.25">
      <c r="B32" s="153" t="s">
        <v>565</v>
      </c>
      <c r="C32" s="153" t="s">
        <v>212</v>
      </c>
      <c r="D32" s="153" t="s">
        <v>157</v>
      </c>
      <c r="E32" s="154">
        <v>142.66</v>
      </c>
      <c r="F32" s="154">
        <v>15.25</v>
      </c>
      <c r="G32" s="154">
        <v>2175.5700000000002</v>
      </c>
      <c r="H32" s="154">
        <v>0</v>
      </c>
      <c r="I32" s="154">
        <v>0</v>
      </c>
      <c r="J32" s="154">
        <v>526.88</v>
      </c>
      <c r="K32" s="154">
        <v>228.26</v>
      </c>
      <c r="L32" s="154">
        <v>26.32</v>
      </c>
      <c r="M32" s="154">
        <v>1395.21</v>
      </c>
      <c r="N32" s="154">
        <v>0</v>
      </c>
      <c r="O32" s="154">
        <v>0</v>
      </c>
      <c r="P32" s="154">
        <v>0</v>
      </c>
      <c r="Q32" s="154">
        <v>0</v>
      </c>
    </row>
    <row r="33" spans="1:17" x14ac:dyDescent="0.25">
      <c r="B33" s="153" t="s">
        <v>566</v>
      </c>
      <c r="C33" s="153" t="s">
        <v>214</v>
      </c>
      <c r="D33" s="153" t="s">
        <v>82</v>
      </c>
      <c r="E33" s="154">
        <v>284.95</v>
      </c>
      <c r="F33" s="154">
        <v>12.51</v>
      </c>
      <c r="G33" s="154">
        <v>3564.72</v>
      </c>
      <c r="H33" s="154">
        <v>0</v>
      </c>
      <c r="I33" s="154">
        <v>0</v>
      </c>
      <c r="J33" s="154">
        <v>3461.78</v>
      </c>
      <c r="K33" s="149"/>
      <c r="L33" s="154">
        <v>103.86</v>
      </c>
      <c r="M33" s="149"/>
      <c r="N33" s="154">
        <v>0</v>
      </c>
      <c r="O33" s="149"/>
      <c r="P33" s="154">
        <v>0</v>
      </c>
      <c r="Q33" s="149"/>
    </row>
    <row r="34" spans="1:17" x14ac:dyDescent="0.25">
      <c r="B34" s="151" t="s">
        <v>62</v>
      </c>
      <c r="C34" s="151" t="s">
        <v>179</v>
      </c>
      <c r="D34" s="149"/>
      <c r="E34" s="149"/>
      <c r="F34" s="149"/>
      <c r="G34" s="152">
        <v>171062.31</v>
      </c>
      <c r="H34" s="149"/>
      <c r="I34" s="152">
        <v>17395.63</v>
      </c>
      <c r="J34" s="152">
        <v>20053.310000000001</v>
      </c>
      <c r="K34" s="152">
        <v>113728.05</v>
      </c>
      <c r="L34" s="152">
        <v>824.04</v>
      </c>
      <c r="M34" s="152">
        <v>36448.43</v>
      </c>
      <c r="N34" s="152">
        <v>0</v>
      </c>
      <c r="O34" s="152">
        <v>17270.189999999999</v>
      </c>
      <c r="P34" s="152">
        <v>0</v>
      </c>
      <c r="Q34" s="152">
        <v>0</v>
      </c>
    </row>
    <row r="35" spans="1:17" x14ac:dyDescent="0.25">
      <c r="B35" s="155" t="s">
        <v>64</v>
      </c>
      <c r="C35" s="155" t="s">
        <v>567</v>
      </c>
      <c r="D35" s="149"/>
      <c r="E35" s="149"/>
      <c r="F35" s="149"/>
      <c r="G35" s="156">
        <v>77886.61</v>
      </c>
      <c r="H35" s="149"/>
      <c r="I35" s="156">
        <v>6471.15</v>
      </c>
      <c r="J35" s="156">
        <v>10038.09</v>
      </c>
      <c r="K35" s="156">
        <v>52460.84</v>
      </c>
      <c r="L35" s="156">
        <v>420.73</v>
      </c>
      <c r="M35" s="156">
        <v>14962.95</v>
      </c>
      <c r="N35" s="156">
        <v>0</v>
      </c>
      <c r="O35" s="156">
        <v>6424.52</v>
      </c>
      <c r="P35" s="156">
        <v>0</v>
      </c>
      <c r="Q35" s="156">
        <v>0</v>
      </c>
    </row>
    <row r="36" spans="1:17" x14ac:dyDescent="0.25">
      <c r="A36" t="s">
        <v>717</v>
      </c>
      <c r="B36" s="153" t="s">
        <v>180</v>
      </c>
      <c r="C36" s="153" t="s">
        <v>166</v>
      </c>
      <c r="D36" s="153" t="s">
        <v>82</v>
      </c>
      <c r="E36" s="154">
        <v>137.79</v>
      </c>
      <c r="F36" s="154">
        <v>47.98</v>
      </c>
      <c r="G36" s="154">
        <v>6611.16</v>
      </c>
      <c r="H36" s="154">
        <v>0.3</v>
      </c>
      <c r="I36" s="154">
        <v>41.34</v>
      </c>
      <c r="J36" s="154">
        <v>3575.46</v>
      </c>
      <c r="K36" s="154">
        <v>2855.01</v>
      </c>
      <c r="L36" s="154">
        <v>178.78</v>
      </c>
      <c r="M36" s="149"/>
      <c r="N36" s="154">
        <v>0</v>
      </c>
      <c r="O36" s="154">
        <v>41.34</v>
      </c>
      <c r="P36" s="154">
        <v>0</v>
      </c>
      <c r="Q36" s="149"/>
    </row>
    <row r="37" spans="1:17" x14ac:dyDescent="0.25">
      <c r="A37" t="s">
        <v>458</v>
      </c>
      <c r="B37" s="153" t="s">
        <v>181</v>
      </c>
      <c r="C37" s="153" t="s">
        <v>149</v>
      </c>
      <c r="D37" s="153" t="s">
        <v>150</v>
      </c>
      <c r="E37" s="154">
        <v>7065.73</v>
      </c>
      <c r="F37" s="154">
        <v>1.03</v>
      </c>
      <c r="G37" s="154">
        <v>7277.7</v>
      </c>
      <c r="H37" s="154">
        <v>0.91</v>
      </c>
      <c r="I37" s="154">
        <v>6429.81</v>
      </c>
      <c r="J37" s="149"/>
      <c r="K37" s="154">
        <v>211.97</v>
      </c>
      <c r="L37" s="149"/>
      <c r="M37" s="154">
        <v>7065.73</v>
      </c>
      <c r="N37" s="149"/>
      <c r="O37" s="154">
        <v>6383.18</v>
      </c>
      <c r="P37" s="149"/>
      <c r="Q37" s="154">
        <v>0</v>
      </c>
    </row>
    <row r="38" spans="1:17" x14ac:dyDescent="0.25">
      <c r="A38" t="s">
        <v>716</v>
      </c>
      <c r="B38" s="153" t="s">
        <v>183</v>
      </c>
      <c r="C38" s="153" t="s">
        <v>568</v>
      </c>
      <c r="D38" s="153" t="s">
        <v>138</v>
      </c>
      <c r="E38" s="154">
        <v>150.28</v>
      </c>
      <c r="F38" s="154">
        <v>398.24</v>
      </c>
      <c r="G38" s="154">
        <v>59847.51</v>
      </c>
      <c r="H38" s="154">
        <v>0</v>
      </c>
      <c r="I38" s="154">
        <v>0</v>
      </c>
      <c r="J38" s="154">
        <v>3834.76</v>
      </c>
      <c r="K38" s="154">
        <v>47999.43</v>
      </c>
      <c r="L38" s="154">
        <v>115.05</v>
      </c>
      <c r="M38" s="154">
        <v>7897.22</v>
      </c>
      <c r="N38" s="154">
        <v>0</v>
      </c>
      <c r="O38" s="154">
        <v>0</v>
      </c>
      <c r="P38" s="154">
        <v>0</v>
      </c>
      <c r="Q38" s="154">
        <v>0</v>
      </c>
    </row>
    <row r="39" spans="1:17" x14ac:dyDescent="0.25">
      <c r="B39" s="153" t="s">
        <v>184</v>
      </c>
      <c r="C39" s="153" t="s">
        <v>153</v>
      </c>
      <c r="D39" s="153" t="s">
        <v>82</v>
      </c>
      <c r="E39" s="154">
        <v>137.79</v>
      </c>
      <c r="F39" s="154">
        <v>1.82</v>
      </c>
      <c r="G39" s="154">
        <v>250.78</v>
      </c>
      <c r="H39" s="154">
        <v>0</v>
      </c>
      <c r="I39" s="154">
        <v>0</v>
      </c>
      <c r="J39" s="154">
        <v>227.09</v>
      </c>
      <c r="K39" s="154">
        <v>16.53</v>
      </c>
      <c r="L39" s="154">
        <v>6.82</v>
      </c>
      <c r="M39" s="149"/>
      <c r="N39" s="154">
        <v>0</v>
      </c>
      <c r="O39" s="154">
        <v>0</v>
      </c>
      <c r="P39" s="154">
        <v>0</v>
      </c>
      <c r="Q39" s="149"/>
    </row>
    <row r="40" spans="1:17" x14ac:dyDescent="0.25">
      <c r="B40" s="153" t="s">
        <v>388</v>
      </c>
      <c r="C40" s="153" t="s">
        <v>170</v>
      </c>
      <c r="D40" s="153" t="s">
        <v>82</v>
      </c>
      <c r="E40" s="154">
        <v>137.79</v>
      </c>
      <c r="F40" s="154">
        <v>28.3</v>
      </c>
      <c r="G40" s="154">
        <v>3899.46</v>
      </c>
      <c r="H40" s="154">
        <v>0</v>
      </c>
      <c r="I40" s="154">
        <v>0</v>
      </c>
      <c r="J40" s="154">
        <v>2400.7800000000002</v>
      </c>
      <c r="K40" s="154">
        <v>1377.9</v>
      </c>
      <c r="L40" s="154">
        <v>120.08</v>
      </c>
      <c r="M40" s="149"/>
      <c r="N40" s="154">
        <v>0</v>
      </c>
      <c r="O40" s="154">
        <v>0</v>
      </c>
      <c r="P40" s="154">
        <v>0</v>
      </c>
      <c r="Q40" s="149"/>
    </row>
    <row r="41" spans="1:17" x14ac:dyDescent="0.25">
      <c r="B41" s="155" t="s">
        <v>66</v>
      </c>
      <c r="C41" s="155" t="s">
        <v>569</v>
      </c>
      <c r="D41" s="149"/>
      <c r="E41" s="149"/>
      <c r="F41" s="149"/>
      <c r="G41" s="156">
        <v>78848.179999999993</v>
      </c>
      <c r="H41" s="149"/>
      <c r="I41" s="156">
        <v>6950.07</v>
      </c>
      <c r="J41" s="156">
        <v>7264.04</v>
      </c>
      <c r="K41" s="156">
        <v>55063.95</v>
      </c>
      <c r="L41" s="156">
        <v>275.64999999999998</v>
      </c>
      <c r="M41" s="156">
        <v>16241.59</v>
      </c>
      <c r="N41" s="156">
        <v>0</v>
      </c>
      <c r="O41" s="156">
        <v>6899.9</v>
      </c>
      <c r="P41" s="156">
        <v>0</v>
      </c>
      <c r="Q41" s="156">
        <v>0</v>
      </c>
    </row>
    <row r="42" spans="1:17" x14ac:dyDescent="0.25">
      <c r="A42" t="s">
        <v>717</v>
      </c>
      <c r="B42" s="153" t="s">
        <v>276</v>
      </c>
      <c r="C42" s="153" t="s">
        <v>182</v>
      </c>
      <c r="D42" s="153" t="s">
        <v>82</v>
      </c>
      <c r="E42" s="154">
        <v>111.18</v>
      </c>
      <c r="F42" s="154">
        <v>47.98</v>
      </c>
      <c r="G42" s="154">
        <v>5334.42</v>
      </c>
      <c r="H42" s="154">
        <v>0.3</v>
      </c>
      <c r="I42" s="154">
        <v>33.35</v>
      </c>
      <c r="J42" s="154">
        <v>2884.97</v>
      </c>
      <c r="K42" s="154">
        <v>2303.65</v>
      </c>
      <c r="L42" s="154">
        <v>144.26</v>
      </c>
      <c r="M42" s="149"/>
      <c r="N42" s="154">
        <v>0</v>
      </c>
      <c r="O42" s="154">
        <v>33.35</v>
      </c>
      <c r="P42" s="154">
        <v>0</v>
      </c>
      <c r="Q42" s="149"/>
    </row>
    <row r="43" spans="1:17" x14ac:dyDescent="0.25">
      <c r="A43" t="s">
        <v>458</v>
      </c>
      <c r="B43" s="153" t="s">
        <v>277</v>
      </c>
      <c r="C43" s="153" t="s">
        <v>149</v>
      </c>
      <c r="D43" s="153" t="s">
        <v>150</v>
      </c>
      <c r="E43" s="154">
        <v>7600.79</v>
      </c>
      <c r="F43" s="154">
        <v>1.03</v>
      </c>
      <c r="G43" s="154">
        <v>7828.81</v>
      </c>
      <c r="H43" s="154">
        <v>0.91</v>
      </c>
      <c r="I43" s="154">
        <v>6916.72</v>
      </c>
      <c r="J43" s="149"/>
      <c r="K43" s="154">
        <v>228.02</v>
      </c>
      <c r="L43" s="149"/>
      <c r="M43" s="154">
        <v>7600.79</v>
      </c>
      <c r="N43" s="149"/>
      <c r="O43" s="154">
        <v>6866.55</v>
      </c>
      <c r="P43" s="149"/>
      <c r="Q43" s="154">
        <v>0</v>
      </c>
    </row>
    <row r="44" spans="1:17" x14ac:dyDescent="0.25">
      <c r="A44" t="s">
        <v>716</v>
      </c>
      <c r="B44" s="153" t="s">
        <v>278</v>
      </c>
      <c r="C44" s="153" t="s">
        <v>570</v>
      </c>
      <c r="D44" s="153" t="s">
        <v>138</v>
      </c>
      <c r="E44" s="154">
        <v>164.43</v>
      </c>
      <c r="F44" s="154">
        <v>398.24</v>
      </c>
      <c r="G44" s="154">
        <v>65482.6</v>
      </c>
      <c r="H44" s="154">
        <v>0</v>
      </c>
      <c r="I44" s="154">
        <v>0</v>
      </c>
      <c r="J44" s="154">
        <v>4195.83</v>
      </c>
      <c r="K44" s="154">
        <v>52518.94</v>
      </c>
      <c r="L44" s="154">
        <v>125.89</v>
      </c>
      <c r="M44" s="154">
        <v>8640.7999999999993</v>
      </c>
      <c r="N44" s="154">
        <v>0</v>
      </c>
      <c r="O44" s="154">
        <v>0</v>
      </c>
      <c r="P44" s="154">
        <v>0</v>
      </c>
      <c r="Q44" s="154">
        <v>0</v>
      </c>
    </row>
    <row r="45" spans="1:17" x14ac:dyDescent="0.25">
      <c r="B45" s="153" t="s">
        <v>571</v>
      </c>
      <c r="C45" s="153" t="s">
        <v>153</v>
      </c>
      <c r="D45" s="153" t="s">
        <v>82</v>
      </c>
      <c r="E45" s="154">
        <v>111.18</v>
      </c>
      <c r="F45" s="154">
        <v>1.82</v>
      </c>
      <c r="G45" s="154">
        <v>202.35</v>
      </c>
      <c r="H45" s="154">
        <v>0</v>
      </c>
      <c r="I45" s="154">
        <v>0</v>
      </c>
      <c r="J45" s="154">
        <v>183.24</v>
      </c>
      <c r="K45" s="154">
        <v>13.34</v>
      </c>
      <c r="L45" s="154">
        <v>5.5</v>
      </c>
      <c r="M45" s="149"/>
      <c r="N45" s="154">
        <v>0</v>
      </c>
      <c r="O45" s="154">
        <v>0</v>
      </c>
      <c r="P45" s="154">
        <v>0</v>
      </c>
      <c r="Q45" s="149"/>
    </row>
    <row r="46" spans="1:17" x14ac:dyDescent="0.25">
      <c r="B46" s="155" t="s">
        <v>68</v>
      </c>
      <c r="C46" s="155" t="s">
        <v>572</v>
      </c>
      <c r="D46" s="149"/>
      <c r="E46" s="149"/>
      <c r="F46" s="149"/>
      <c r="G46" s="156">
        <v>14327.52</v>
      </c>
      <c r="H46" s="149"/>
      <c r="I46" s="156">
        <v>3974.41</v>
      </c>
      <c r="J46" s="156">
        <v>2751.18</v>
      </c>
      <c r="K46" s="156">
        <v>6203.26</v>
      </c>
      <c r="L46" s="156">
        <v>127.66</v>
      </c>
      <c r="M46" s="156">
        <v>5243.89</v>
      </c>
      <c r="N46" s="156">
        <v>0</v>
      </c>
      <c r="O46" s="156">
        <v>3945.77</v>
      </c>
      <c r="P46" s="156">
        <v>0</v>
      </c>
      <c r="Q46" s="156">
        <v>0</v>
      </c>
    </row>
    <row r="47" spans="1:17" x14ac:dyDescent="0.25">
      <c r="A47" t="s">
        <v>717</v>
      </c>
      <c r="B47" s="153" t="s">
        <v>279</v>
      </c>
      <c r="C47" s="153" t="s">
        <v>182</v>
      </c>
      <c r="D47" s="153" t="s">
        <v>82</v>
      </c>
      <c r="E47" s="154">
        <v>86.92</v>
      </c>
      <c r="F47" s="154">
        <v>47.98</v>
      </c>
      <c r="G47" s="154">
        <v>4170.42</v>
      </c>
      <c r="H47" s="154">
        <v>0.3</v>
      </c>
      <c r="I47" s="154">
        <v>26.08</v>
      </c>
      <c r="J47" s="154">
        <v>2255.4499999999998</v>
      </c>
      <c r="K47" s="154">
        <v>1800.99</v>
      </c>
      <c r="L47" s="154">
        <v>112.78</v>
      </c>
      <c r="M47" s="149"/>
      <c r="N47" s="154">
        <v>0</v>
      </c>
      <c r="O47" s="154">
        <v>26.08</v>
      </c>
      <c r="P47" s="154">
        <v>0</v>
      </c>
      <c r="Q47" s="149"/>
    </row>
    <row r="48" spans="1:17" x14ac:dyDescent="0.25">
      <c r="A48" t="s">
        <v>458</v>
      </c>
      <c r="B48" s="153" t="s">
        <v>467</v>
      </c>
      <c r="C48" s="153" t="s">
        <v>149</v>
      </c>
      <c r="D48" s="153" t="s">
        <v>150</v>
      </c>
      <c r="E48" s="154">
        <v>4338.82</v>
      </c>
      <c r="F48" s="154">
        <v>1.03</v>
      </c>
      <c r="G48" s="154">
        <v>4468.9799999999996</v>
      </c>
      <c r="H48" s="154">
        <v>0.91</v>
      </c>
      <c r="I48" s="154">
        <v>3948.33</v>
      </c>
      <c r="J48" s="149"/>
      <c r="K48" s="154">
        <v>130.16</v>
      </c>
      <c r="L48" s="149"/>
      <c r="M48" s="154">
        <v>4338.82</v>
      </c>
      <c r="N48" s="149"/>
      <c r="O48" s="154">
        <v>3919.69</v>
      </c>
      <c r="P48" s="149"/>
      <c r="Q48" s="154">
        <v>0</v>
      </c>
    </row>
    <row r="49" spans="1:17" x14ac:dyDescent="0.25">
      <c r="A49" t="s">
        <v>716</v>
      </c>
      <c r="B49" s="153" t="s">
        <v>573</v>
      </c>
      <c r="C49" s="153" t="s">
        <v>570</v>
      </c>
      <c r="D49" s="153" t="s">
        <v>138</v>
      </c>
      <c r="E49" s="154">
        <v>13.34</v>
      </c>
      <c r="F49" s="154">
        <v>398.24</v>
      </c>
      <c r="G49" s="154">
        <v>5312.52</v>
      </c>
      <c r="H49" s="154">
        <v>0</v>
      </c>
      <c r="I49" s="154">
        <v>0</v>
      </c>
      <c r="J49" s="154">
        <v>340.39</v>
      </c>
      <c r="K49" s="154">
        <v>4260.8</v>
      </c>
      <c r="L49" s="154">
        <v>10.210000000000001</v>
      </c>
      <c r="M49" s="154">
        <v>701.02</v>
      </c>
      <c r="N49" s="154">
        <v>0</v>
      </c>
      <c r="O49" s="154">
        <v>0</v>
      </c>
      <c r="P49" s="154">
        <v>0</v>
      </c>
      <c r="Q49" s="154">
        <v>0</v>
      </c>
    </row>
    <row r="50" spans="1:17" x14ac:dyDescent="0.25">
      <c r="B50" s="153" t="s">
        <v>574</v>
      </c>
      <c r="C50" s="153" t="s">
        <v>153</v>
      </c>
      <c r="D50" s="153" t="s">
        <v>82</v>
      </c>
      <c r="E50" s="154">
        <v>94.26</v>
      </c>
      <c r="F50" s="154">
        <v>1.82</v>
      </c>
      <c r="G50" s="154">
        <v>171.55</v>
      </c>
      <c r="H50" s="154">
        <v>0</v>
      </c>
      <c r="I50" s="154">
        <v>0</v>
      </c>
      <c r="J50" s="154">
        <v>155.34</v>
      </c>
      <c r="K50" s="154">
        <v>11.31</v>
      </c>
      <c r="L50" s="154">
        <v>4.67</v>
      </c>
      <c r="M50" s="149"/>
      <c r="N50" s="154">
        <v>0</v>
      </c>
      <c r="O50" s="154">
        <v>0</v>
      </c>
      <c r="P50" s="154">
        <v>0</v>
      </c>
      <c r="Q50" s="149"/>
    </row>
    <row r="51" spans="1:17" x14ac:dyDescent="0.25">
      <c r="B51" s="153" t="s">
        <v>575</v>
      </c>
      <c r="C51" s="153" t="s">
        <v>576</v>
      </c>
      <c r="D51" s="153" t="s">
        <v>82</v>
      </c>
      <c r="E51" s="154">
        <v>7.34</v>
      </c>
      <c r="F51" s="154">
        <v>27.8</v>
      </c>
      <c r="G51" s="154">
        <v>204.05</v>
      </c>
      <c r="H51" s="154">
        <v>0</v>
      </c>
      <c r="I51" s="154">
        <v>0</v>
      </c>
      <c r="J51" s="149"/>
      <c r="K51" s="149"/>
      <c r="L51" s="149"/>
      <c r="M51" s="154">
        <v>204.05</v>
      </c>
      <c r="N51" s="149"/>
      <c r="O51" s="149"/>
      <c r="P51" s="149"/>
      <c r="Q51" s="154">
        <v>0</v>
      </c>
    </row>
    <row r="52" spans="1:17" x14ac:dyDescent="0.25">
      <c r="B52" s="151" t="s">
        <v>73</v>
      </c>
      <c r="C52" s="151" t="s">
        <v>145</v>
      </c>
      <c r="D52" s="149"/>
      <c r="E52" s="149"/>
      <c r="F52" s="149"/>
      <c r="G52" s="152">
        <v>760281.52</v>
      </c>
      <c r="H52" s="149"/>
      <c r="I52" s="152">
        <v>43145.33</v>
      </c>
      <c r="J52" s="152">
        <v>218816.09</v>
      </c>
      <c r="K52" s="152">
        <v>302433.51</v>
      </c>
      <c r="L52" s="152">
        <v>4832.63</v>
      </c>
      <c r="M52" s="152">
        <v>14713461</v>
      </c>
      <c r="N52" s="152">
        <v>0</v>
      </c>
      <c r="O52" s="152">
        <v>42828.46</v>
      </c>
      <c r="P52" s="152">
        <v>0</v>
      </c>
      <c r="Q52" s="152">
        <v>0</v>
      </c>
    </row>
    <row r="53" spans="1:17" x14ac:dyDescent="0.25">
      <c r="A53" t="s">
        <v>717</v>
      </c>
      <c r="B53" s="153" t="s">
        <v>75</v>
      </c>
      <c r="C53" s="153" t="s">
        <v>577</v>
      </c>
      <c r="D53" s="153" t="s">
        <v>82</v>
      </c>
      <c r="E53" s="154">
        <v>1634.69</v>
      </c>
      <c r="F53" s="154">
        <v>64.040000000000006</v>
      </c>
      <c r="G53" s="154">
        <v>104685.55</v>
      </c>
      <c r="H53" s="154">
        <v>0.38</v>
      </c>
      <c r="I53" s="154">
        <v>621.17999999999995</v>
      </c>
      <c r="J53" s="154">
        <v>58333.58</v>
      </c>
      <c r="K53" s="154">
        <v>43441.9</v>
      </c>
      <c r="L53" s="154">
        <v>2916.29</v>
      </c>
      <c r="M53" s="149"/>
      <c r="N53" s="154">
        <v>0</v>
      </c>
      <c r="O53" s="154">
        <v>613</v>
      </c>
      <c r="P53" s="154">
        <v>0</v>
      </c>
      <c r="Q53" s="149"/>
    </row>
    <row r="54" spans="1:17" x14ac:dyDescent="0.25">
      <c r="A54" t="s">
        <v>717</v>
      </c>
      <c r="B54" s="153" t="s">
        <v>77</v>
      </c>
      <c r="C54" s="153" t="s">
        <v>578</v>
      </c>
      <c r="D54" s="153" t="s">
        <v>82</v>
      </c>
      <c r="E54" s="154">
        <v>115.25</v>
      </c>
      <c r="F54" s="154">
        <v>64.040000000000006</v>
      </c>
      <c r="G54" s="154">
        <v>7380.61</v>
      </c>
      <c r="H54" s="154">
        <v>0.38</v>
      </c>
      <c r="I54" s="154">
        <v>43.8</v>
      </c>
      <c r="J54" s="154">
        <v>4112.68</v>
      </c>
      <c r="K54" s="154">
        <v>3062.77</v>
      </c>
      <c r="L54" s="154">
        <v>205.61</v>
      </c>
      <c r="M54" s="149"/>
      <c r="N54" s="154">
        <v>0</v>
      </c>
      <c r="O54" s="154">
        <v>43.22</v>
      </c>
      <c r="P54" s="154">
        <v>0</v>
      </c>
      <c r="Q54" s="149"/>
    </row>
    <row r="55" spans="1:17" x14ac:dyDescent="0.25">
      <c r="A55" t="s">
        <v>458</v>
      </c>
      <c r="B55" s="153" t="s">
        <v>185</v>
      </c>
      <c r="C55" s="153" t="s">
        <v>186</v>
      </c>
      <c r="D55" s="153" t="s">
        <v>150</v>
      </c>
      <c r="E55" s="154">
        <v>46681.7</v>
      </c>
      <c r="F55" s="154">
        <v>1.03</v>
      </c>
      <c r="G55" s="154">
        <v>48082.15</v>
      </c>
      <c r="H55" s="154">
        <v>0.91</v>
      </c>
      <c r="I55" s="154">
        <v>42480.35</v>
      </c>
      <c r="J55" s="149"/>
      <c r="K55" s="154">
        <v>1400.45</v>
      </c>
      <c r="L55" s="149"/>
      <c r="M55" s="154">
        <v>46681.7</v>
      </c>
      <c r="N55" s="149"/>
      <c r="O55" s="154">
        <v>42172.24</v>
      </c>
      <c r="P55" s="149"/>
      <c r="Q55" s="154">
        <v>0</v>
      </c>
    </row>
    <row r="56" spans="1:17" x14ac:dyDescent="0.25">
      <c r="A56" t="s">
        <v>716</v>
      </c>
      <c r="B56" s="153" t="s">
        <v>187</v>
      </c>
      <c r="C56" s="153" t="s">
        <v>579</v>
      </c>
      <c r="D56" s="153" t="s">
        <v>138</v>
      </c>
      <c r="E56" s="154">
        <v>554.6</v>
      </c>
      <c r="F56" s="154">
        <v>547.34</v>
      </c>
      <c r="G56" s="154">
        <v>303554.76</v>
      </c>
      <c r="H56" s="154">
        <v>0</v>
      </c>
      <c r="I56" s="154">
        <v>0</v>
      </c>
      <c r="J56" s="154">
        <v>19752.38</v>
      </c>
      <c r="K56" s="154">
        <v>235954.57</v>
      </c>
      <c r="L56" s="154">
        <v>987.47</v>
      </c>
      <c r="M56" s="154">
        <v>46863.7</v>
      </c>
      <c r="N56" s="154">
        <v>0</v>
      </c>
      <c r="O56" s="154">
        <v>0</v>
      </c>
      <c r="P56" s="154">
        <v>0</v>
      </c>
      <c r="Q56" s="154">
        <v>0</v>
      </c>
    </row>
    <row r="57" spans="1:17" x14ac:dyDescent="0.25">
      <c r="B57" s="153" t="s">
        <v>580</v>
      </c>
      <c r="C57" s="153" t="s">
        <v>581</v>
      </c>
      <c r="D57" s="153" t="s">
        <v>157</v>
      </c>
      <c r="E57" s="154">
        <v>292.32</v>
      </c>
      <c r="F57" s="154">
        <v>54</v>
      </c>
      <c r="G57" s="154">
        <v>15785.28</v>
      </c>
      <c r="H57" s="154">
        <v>0</v>
      </c>
      <c r="I57" s="154">
        <v>0</v>
      </c>
      <c r="J57" s="154">
        <v>112364.61</v>
      </c>
      <c r="K57" s="149"/>
      <c r="L57" s="149"/>
      <c r="M57" s="154">
        <v>37416.959999999999</v>
      </c>
      <c r="N57" s="154">
        <v>0</v>
      </c>
      <c r="O57" s="149"/>
      <c r="P57" s="149"/>
      <c r="Q57" s="154">
        <v>0</v>
      </c>
    </row>
    <row r="58" spans="1:17" x14ac:dyDescent="0.25">
      <c r="B58" s="153" t="s">
        <v>582</v>
      </c>
      <c r="C58" s="153" t="s">
        <v>583</v>
      </c>
      <c r="D58" s="153" t="s">
        <v>157</v>
      </c>
      <c r="E58" s="154">
        <v>292.32</v>
      </c>
      <c r="F58" s="154">
        <v>14.49</v>
      </c>
      <c r="G58" s="154">
        <v>4235.72</v>
      </c>
      <c r="H58" s="154">
        <v>0</v>
      </c>
      <c r="I58" s="154">
        <v>0</v>
      </c>
      <c r="J58" s="154">
        <v>1528.16</v>
      </c>
      <c r="K58" s="154">
        <v>2630.88</v>
      </c>
      <c r="L58" s="154">
        <v>76.44</v>
      </c>
      <c r="M58" s="149"/>
      <c r="N58" s="154">
        <v>0</v>
      </c>
      <c r="O58" s="154">
        <v>0</v>
      </c>
      <c r="P58" s="154">
        <v>0</v>
      </c>
      <c r="Q58" s="149"/>
    </row>
    <row r="59" spans="1:17" x14ac:dyDescent="0.25">
      <c r="B59" s="153" t="s">
        <v>584</v>
      </c>
      <c r="C59" s="153" t="s">
        <v>585</v>
      </c>
      <c r="D59" s="153" t="s">
        <v>157</v>
      </c>
      <c r="E59" s="154">
        <v>292.32</v>
      </c>
      <c r="F59" s="154">
        <v>24.47</v>
      </c>
      <c r="G59" s="154">
        <v>7153.07</v>
      </c>
      <c r="H59" s="154">
        <v>0</v>
      </c>
      <c r="I59" s="154">
        <v>0</v>
      </c>
      <c r="J59" s="154">
        <v>4244.0600000000004</v>
      </c>
      <c r="K59" s="149"/>
      <c r="L59" s="154">
        <v>212.22</v>
      </c>
      <c r="M59" s="154">
        <v>1239.44</v>
      </c>
      <c r="N59" s="154">
        <v>0</v>
      </c>
      <c r="O59" s="149"/>
      <c r="P59" s="154">
        <v>0</v>
      </c>
      <c r="Q59" s="154">
        <v>0</v>
      </c>
    </row>
    <row r="60" spans="1:17" x14ac:dyDescent="0.25">
      <c r="B60" s="153" t="s">
        <v>586</v>
      </c>
      <c r="C60" s="153" t="s">
        <v>587</v>
      </c>
      <c r="D60" s="153" t="s">
        <v>29</v>
      </c>
      <c r="E60" s="154">
        <v>292.32</v>
      </c>
      <c r="F60" s="154">
        <v>42.97</v>
      </c>
      <c r="G60" s="154">
        <v>12560.99</v>
      </c>
      <c r="H60" s="154">
        <v>0</v>
      </c>
      <c r="I60" s="154">
        <v>0</v>
      </c>
      <c r="J60" s="154">
        <v>3425.99</v>
      </c>
      <c r="K60" s="154">
        <v>9135</v>
      </c>
      <c r="L60" s="149"/>
      <c r="M60" s="149"/>
      <c r="N60" s="154">
        <v>0</v>
      </c>
      <c r="O60" s="154">
        <v>0</v>
      </c>
      <c r="P60" s="149"/>
      <c r="Q60" s="149"/>
    </row>
    <row r="61" spans="1:17" x14ac:dyDescent="0.25">
      <c r="B61" s="153" t="s">
        <v>588</v>
      </c>
      <c r="C61" s="153" t="s">
        <v>589</v>
      </c>
      <c r="D61" s="153" t="s">
        <v>53</v>
      </c>
      <c r="E61" s="154">
        <v>76</v>
      </c>
      <c r="F61" s="154">
        <v>22.72</v>
      </c>
      <c r="G61" s="154">
        <v>1726.72</v>
      </c>
      <c r="H61" s="154">
        <v>0</v>
      </c>
      <c r="I61" s="154">
        <v>0</v>
      </c>
      <c r="J61" s="154">
        <v>993.26</v>
      </c>
      <c r="K61" s="154">
        <v>684</v>
      </c>
      <c r="L61" s="154">
        <v>49.67</v>
      </c>
      <c r="M61" s="149"/>
      <c r="N61" s="154">
        <v>0</v>
      </c>
      <c r="O61" s="154">
        <v>0</v>
      </c>
      <c r="P61" s="154">
        <v>0</v>
      </c>
      <c r="Q61" s="149"/>
    </row>
    <row r="62" spans="1:17" x14ac:dyDescent="0.25">
      <c r="B62" s="153" t="s">
        <v>590</v>
      </c>
      <c r="C62" s="153" t="s">
        <v>591</v>
      </c>
      <c r="D62" s="153" t="s">
        <v>53</v>
      </c>
      <c r="E62" s="154">
        <v>76</v>
      </c>
      <c r="F62" s="154">
        <v>44.03</v>
      </c>
      <c r="G62" s="154">
        <v>3346.28</v>
      </c>
      <c r="H62" s="154">
        <v>0</v>
      </c>
      <c r="I62" s="154">
        <v>0</v>
      </c>
      <c r="J62" s="154">
        <v>2607.48</v>
      </c>
      <c r="K62" s="149"/>
      <c r="L62" s="154">
        <v>130.38</v>
      </c>
      <c r="M62" s="154">
        <v>608</v>
      </c>
      <c r="N62" s="154">
        <v>0</v>
      </c>
      <c r="O62" s="149"/>
      <c r="P62" s="154">
        <v>0</v>
      </c>
      <c r="Q62" s="154">
        <v>0</v>
      </c>
    </row>
    <row r="63" spans="1:17" x14ac:dyDescent="0.25">
      <c r="B63" s="153" t="s">
        <v>592</v>
      </c>
      <c r="C63" s="153" t="s">
        <v>593</v>
      </c>
      <c r="D63" s="153" t="s">
        <v>53</v>
      </c>
      <c r="E63" s="154">
        <v>76</v>
      </c>
      <c r="F63" s="154">
        <v>42.97</v>
      </c>
      <c r="G63" s="154">
        <v>3265.72</v>
      </c>
      <c r="H63" s="154">
        <v>0</v>
      </c>
      <c r="I63" s="154">
        <v>0</v>
      </c>
      <c r="J63" s="154">
        <v>890.72</v>
      </c>
      <c r="K63" s="154">
        <v>2375</v>
      </c>
      <c r="L63" s="149"/>
      <c r="M63" s="149"/>
      <c r="N63" s="154">
        <v>0</v>
      </c>
      <c r="O63" s="154">
        <v>0</v>
      </c>
      <c r="P63" s="149"/>
      <c r="Q63" s="149"/>
    </row>
    <row r="64" spans="1:17" x14ac:dyDescent="0.25">
      <c r="B64" s="153" t="s">
        <v>594</v>
      </c>
      <c r="C64" s="153" t="s">
        <v>188</v>
      </c>
      <c r="D64" s="153" t="s">
        <v>82</v>
      </c>
      <c r="E64" s="154">
        <v>1634.69</v>
      </c>
      <c r="F64" s="154">
        <v>1.82</v>
      </c>
      <c r="G64" s="154">
        <v>2975.14</v>
      </c>
      <c r="H64" s="154">
        <v>0</v>
      </c>
      <c r="I64" s="154">
        <v>0</v>
      </c>
      <c r="J64" s="154">
        <v>2694.1</v>
      </c>
      <c r="K64" s="154">
        <v>196.16</v>
      </c>
      <c r="L64" s="154">
        <v>80.92</v>
      </c>
      <c r="M64" s="149"/>
      <c r="N64" s="154">
        <v>0</v>
      </c>
      <c r="O64" s="154">
        <v>0</v>
      </c>
      <c r="P64" s="154">
        <v>0</v>
      </c>
      <c r="Q64" s="149"/>
    </row>
    <row r="65" spans="1:17" x14ac:dyDescent="0.25">
      <c r="B65" s="153" t="s">
        <v>595</v>
      </c>
      <c r="C65" s="153" t="s">
        <v>596</v>
      </c>
      <c r="D65" s="153" t="s">
        <v>15</v>
      </c>
      <c r="E65" s="154">
        <v>1</v>
      </c>
      <c r="F65" s="154">
        <v>224200</v>
      </c>
      <c r="G65" s="154">
        <v>224200</v>
      </c>
      <c r="H65" s="154">
        <v>0</v>
      </c>
      <c r="I65" s="154">
        <v>0</v>
      </c>
      <c r="J65" s="149"/>
      <c r="K65" s="149"/>
      <c r="L65" s="149"/>
      <c r="M65" s="154">
        <v>224200</v>
      </c>
      <c r="N65" s="149"/>
      <c r="O65" s="149"/>
      <c r="P65" s="149"/>
      <c r="Q65" s="154">
        <v>0</v>
      </c>
    </row>
    <row r="66" spans="1:17" x14ac:dyDescent="0.25">
      <c r="B66" s="153" t="s">
        <v>597</v>
      </c>
      <c r="C66" s="153" t="s">
        <v>598</v>
      </c>
      <c r="D66" s="153" t="s">
        <v>53</v>
      </c>
      <c r="E66" s="154">
        <v>64</v>
      </c>
      <c r="F66" s="154">
        <v>32.5</v>
      </c>
      <c r="G66" s="154">
        <v>2080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14348800</v>
      </c>
      <c r="N66" s="149"/>
      <c r="O66" s="149"/>
      <c r="P66" s="149"/>
      <c r="Q66" s="154">
        <v>0</v>
      </c>
    </row>
    <row r="67" spans="1:17" x14ac:dyDescent="0.25">
      <c r="B67" s="153" t="s">
        <v>599</v>
      </c>
      <c r="C67" s="153" t="s">
        <v>600</v>
      </c>
      <c r="D67" s="153" t="s">
        <v>82</v>
      </c>
      <c r="E67" s="154">
        <v>64</v>
      </c>
      <c r="F67" s="154">
        <v>40.200000000000003</v>
      </c>
      <c r="G67" s="154">
        <v>2572.8000000000002</v>
      </c>
      <c r="H67" s="154">
        <v>0</v>
      </c>
      <c r="I67" s="154">
        <v>0</v>
      </c>
      <c r="J67" s="154">
        <v>623.16</v>
      </c>
      <c r="K67" s="154">
        <v>1918.08</v>
      </c>
      <c r="L67" s="154">
        <v>31.17</v>
      </c>
      <c r="M67" s="149"/>
      <c r="N67" s="154">
        <v>0</v>
      </c>
      <c r="O67" s="154">
        <v>0</v>
      </c>
      <c r="P67" s="154">
        <v>0</v>
      </c>
      <c r="Q67" s="149"/>
    </row>
    <row r="68" spans="1:17" x14ac:dyDescent="0.25">
      <c r="B68" s="153" t="s">
        <v>601</v>
      </c>
      <c r="C68" s="153" t="s">
        <v>602</v>
      </c>
      <c r="D68" s="153" t="s">
        <v>82</v>
      </c>
      <c r="E68" s="154">
        <v>163.47</v>
      </c>
      <c r="F68" s="154">
        <v>28.3</v>
      </c>
      <c r="G68" s="154">
        <v>4626.2</v>
      </c>
      <c r="H68" s="154">
        <v>0</v>
      </c>
      <c r="I68" s="154">
        <v>0</v>
      </c>
      <c r="J68" s="154">
        <v>2848.22</v>
      </c>
      <c r="K68" s="154">
        <v>1634.7</v>
      </c>
      <c r="L68" s="154">
        <v>142.46</v>
      </c>
      <c r="M68" s="149"/>
      <c r="N68" s="154">
        <v>0</v>
      </c>
      <c r="O68" s="154">
        <v>0</v>
      </c>
      <c r="P68" s="154">
        <v>0</v>
      </c>
      <c r="Q68" s="149"/>
    </row>
    <row r="69" spans="1:17" x14ac:dyDescent="0.25">
      <c r="B69" s="153" t="s">
        <v>603</v>
      </c>
      <c r="C69" s="153" t="s">
        <v>604</v>
      </c>
      <c r="D69" s="153" t="s">
        <v>82</v>
      </c>
      <c r="E69" s="154">
        <v>176</v>
      </c>
      <c r="F69" s="154">
        <v>32</v>
      </c>
      <c r="G69" s="154">
        <v>5632</v>
      </c>
      <c r="H69" s="154">
        <v>0</v>
      </c>
      <c r="I69" s="154">
        <v>0</v>
      </c>
      <c r="J69" s="149"/>
      <c r="K69" s="149"/>
      <c r="L69" s="149"/>
      <c r="M69" s="154">
        <v>5632</v>
      </c>
      <c r="N69" s="149"/>
      <c r="O69" s="149"/>
      <c r="P69" s="149"/>
      <c r="Q69" s="154">
        <v>0</v>
      </c>
    </row>
    <row r="70" spans="1:17" x14ac:dyDescent="0.25">
      <c r="B70" s="153" t="s">
        <v>605</v>
      </c>
      <c r="C70" s="153" t="s">
        <v>606</v>
      </c>
      <c r="D70" s="153" t="s">
        <v>82</v>
      </c>
      <c r="E70" s="154">
        <v>252.4</v>
      </c>
      <c r="F70" s="154">
        <v>25.43</v>
      </c>
      <c r="G70" s="154">
        <v>6418.53</v>
      </c>
      <c r="H70" s="154">
        <v>0</v>
      </c>
      <c r="I70" s="154">
        <v>0</v>
      </c>
      <c r="J70" s="154">
        <v>4397.6899999999996</v>
      </c>
      <c r="K70" s="149"/>
      <c r="L70" s="149"/>
      <c r="M70" s="154">
        <v>2019.2</v>
      </c>
      <c r="N70" s="154">
        <v>0</v>
      </c>
      <c r="O70" s="149"/>
      <c r="P70" s="149"/>
      <c r="Q70" s="154">
        <v>0</v>
      </c>
    </row>
    <row r="71" spans="1:17" x14ac:dyDescent="0.25">
      <c r="B71" s="151" t="s">
        <v>79</v>
      </c>
      <c r="C71" s="151" t="s">
        <v>189</v>
      </c>
      <c r="D71" s="149"/>
      <c r="E71" s="149"/>
      <c r="F71" s="149"/>
      <c r="G71" s="152">
        <v>49259.22</v>
      </c>
      <c r="H71" s="149"/>
      <c r="I71" s="152">
        <v>4004.42</v>
      </c>
      <c r="J71" s="152">
        <v>10924.45</v>
      </c>
      <c r="K71" s="152">
        <v>25880.76</v>
      </c>
      <c r="L71" s="152">
        <v>479.61</v>
      </c>
      <c r="M71" s="152">
        <v>11969.54</v>
      </c>
      <c r="N71" s="152">
        <v>0</v>
      </c>
      <c r="O71" s="152">
        <v>3974.52</v>
      </c>
      <c r="P71" s="152">
        <v>0</v>
      </c>
      <c r="Q71" s="152">
        <v>0</v>
      </c>
    </row>
    <row r="72" spans="1:17" x14ac:dyDescent="0.25">
      <c r="A72" t="s">
        <v>717</v>
      </c>
      <c r="B72" s="153" t="s">
        <v>81</v>
      </c>
      <c r="C72" s="153" t="s">
        <v>607</v>
      </c>
      <c r="D72" s="153" t="s">
        <v>82</v>
      </c>
      <c r="E72" s="154">
        <v>10.98</v>
      </c>
      <c r="F72" s="154">
        <v>50.43</v>
      </c>
      <c r="G72" s="154">
        <v>553.72</v>
      </c>
      <c r="H72" s="154">
        <v>0.38</v>
      </c>
      <c r="I72" s="154">
        <v>4.17</v>
      </c>
      <c r="J72" s="154">
        <v>335.79</v>
      </c>
      <c r="K72" s="154">
        <v>27.99</v>
      </c>
      <c r="L72" s="154">
        <v>16.79</v>
      </c>
      <c r="M72" s="154">
        <v>172.99</v>
      </c>
      <c r="N72" s="154">
        <v>0</v>
      </c>
      <c r="O72" s="154">
        <v>4.12</v>
      </c>
      <c r="P72" s="154">
        <v>0</v>
      </c>
      <c r="Q72" s="154">
        <v>0</v>
      </c>
    </row>
    <row r="73" spans="1:17" x14ac:dyDescent="0.25">
      <c r="A73" t="s">
        <v>717</v>
      </c>
      <c r="B73" s="153" t="s">
        <v>83</v>
      </c>
      <c r="C73" s="153" t="s">
        <v>194</v>
      </c>
      <c r="D73" s="153" t="s">
        <v>82</v>
      </c>
      <c r="E73" s="154">
        <v>243.52</v>
      </c>
      <c r="F73" s="154">
        <v>50.43</v>
      </c>
      <c r="G73" s="154">
        <v>12280.71</v>
      </c>
      <c r="H73" s="154">
        <v>0.38</v>
      </c>
      <c r="I73" s="154">
        <v>92.54</v>
      </c>
      <c r="J73" s="154">
        <v>7447.26</v>
      </c>
      <c r="K73" s="154">
        <v>620.98</v>
      </c>
      <c r="L73" s="154">
        <v>372.34</v>
      </c>
      <c r="M73" s="154">
        <v>3836.66</v>
      </c>
      <c r="N73" s="154">
        <v>0</v>
      </c>
      <c r="O73" s="154">
        <v>91.32</v>
      </c>
      <c r="P73" s="154">
        <v>0</v>
      </c>
      <c r="Q73" s="154">
        <v>0</v>
      </c>
    </row>
    <row r="74" spans="1:17" x14ac:dyDescent="0.25">
      <c r="A74" t="s">
        <v>458</v>
      </c>
      <c r="B74" s="153" t="s">
        <v>85</v>
      </c>
      <c r="C74" s="153" t="s">
        <v>608</v>
      </c>
      <c r="D74" s="153" t="s">
        <v>150</v>
      </c>
      <c r="E74" s="154">
        <v>4289.26</v>
      </c>
      <c r="F74" s="154">
        <v>1.03</v>
      </c>
      <c r="G74" s="154">
        <v>4417.9399999999996</v>
      </c>
      <c r="H74" s="154">
        <v>0.91</v>
      </c>
      <c r="I74" s="154">
        <v>3903.23</v>
      </c>
      <c r="J74" s="149"/>
      <c r="K74" s="154">
        <v>128.68</v>
      </c>
      <c r="L74" s="149"/>
      <c r="M74" s="154">
        <v>4289.26</v>
      </c>
      <c r="N74" s="149"/>
      <c r="O74" s="154">
        <v>3874.92</v>
      </c>
      <c r="P74" s="149"/>
      <c r="Q74" s="154">
        <v>0</v>
      </c>
    </row>
    <row r="75" spans="1:17" x14ac:dyDescent="0.25">
      <c r="A75" t="s">
        <v>716</v>
      </c>
      <c r="B75" s="153" t="s">
        <v>87</v>
      </c>
      <c r="C75" s="153" t="s">
        <v>190</v>
      </c>
      <c r="D75" s="153" t="s">
        <v>138</v>
      </c>
      <c r="E75" s="154">
        <v>24.38</v>
      </c>
      <c r="F75" s="154">
        <v>401.68</v>
      </c>
      <c r="G75" s="154">
        <v>9792.9599999999991</v>
      </c>
      <c r="H75" s="154">
        <v>0</v>
      </c>
      <c r="I75" s="154">
        <v>0</v>
      </c>
      <c r="J75" s="154">
        <v>612.72</v>
      </c>
      <c r="K75" s="154">
        <v>7880.84</v>
      </c>
      <c r="L75" s="154">
        <v>18.38</v>
      </c>
      <c r="M75" s="154">
        <v>1281.18</v>
      </c>
      <c r="N75" s="154">
        <v>0</v>
      </c>
      <c r="O75" s="154">
        <v>0</v>
      </c>
      <c r="P75" s="154">
        <v>0</v>
      </c>
      <c r="Q75" s="154">
        <v>0</v>
      </c>
    </row>
    <row r="76" spans="1:17" x14ac:dyDescent="0.25">
      <c r="A76" t="s">
        <v>716</v>
      </c>
      <c r="B76" s="153" t="s">
        <v>192</v>
      </c>
      <c r="C76" s="153" t="s">
        <v>191</v>
      </c>
      <c r="D76" s="153" t="s">
        <v>138</v>
      </c>
      <c r="E76" s="154">
        <v>45.47</v>
      </c>
      <c r="F76" s="154">
        <v>437.95</v>
      </c>
      <c r="G76" s="154">
        <v>19913.59</v>
      </c>
      <c r="H76" s="154">
        <v>0</v>
      </c>
      <c r="I76" s="154">
        <v>0</v>
      </c>
      <c r="J76" s="154">
        <v>1547.04</v>
      </c>
      <c r="K76" s="154">
        <v>15930.42</v>
      </c>
      <c r="L76" s="154">
        <v>46.42</v>
      </c>
      <c r="M76" s="154">
        <v>2389.4499999999998</v>
      </c>
      <c r="N76" s="154">
        <v>0</v>
      </c>
      <c r="O76" s="154">
        <v>0</v>
      </c>
      <c r="P76" s="154">
        <v>0</v>
      </c>
      <c r="Q76" s="154">
        <v>0</v>
      </c>
    </row>
    <row r="77" spans="1:17" x14ac:dyDescent="0.25">
      <c r="B77" s="153" t="s">
        <v>193</v>
      </c>
      <c r="C77" s="153" t="s">
        <v>188</v>
      </c>
      <c r="D77" s="153" t="s">
        <v>82</v>
      </c>
      <c r="E77" s="154">
        <v>365.44</v>
      </c>
      <c r="F77" s="154">
        <v>1.82</v>
      </c>
      <c r="G77" s="154">
        <v>665.1</v>
      </c>
      <c r="H77" s="154">
        <v>0</v>
      </c>
      <c r="I77" s="154">
        <v>0</v>
      </c>
      <c r="J77" s="154">
        <v>602.28</v>
      </c>
      <c r="K77" s="154">
        <v>43.85</v>
      </c>
      <c r="L77" s="154">
        <v>18.09</v>
      </c>
      <c r="M77" s="149"/>
      <c r="N77" s="154">
        <v>0</v>
      </c>
      <c r="O77" s="154">
        <v>0</v>
      </c>
      <c r="P77" s="154">
        <v>0</v>
      </c>
      <c r="Q77" s="149"/>
    </row>
    <row r="78" spans="1:17" x14ac:dyDescent="0.25">
      <c r="B78" s="153" t="s">
        <v>195</v>
      </c>
      <c r="C78" s="153" t="s">
        <v>196</v>
      </c>
      <c r="D78" s="153" t="s">
        <v>29</v>
      </c>
      <c r="E78" s="154">
        <v>64</v>
      </c>
      <c r="F78" s="154">
        <v>25.55</v>
      </c>
      <c r="G78" s="154">
        <v>1635.2</v>
      </c>
      <c r="H78" s="154">
        <v>7.0000000000000007E-2</v>
      </c>
      <c r="I78" s="154">
        <v>4.4800000000000004</v>
      </c>
      <c r="J78" s="154">
        <v>379.36</v>
      </c>
      <c r="K78" s="154">
        <v>1248</v>
      </c>
      <c r="L78" s="154">
        <v>7.59</v>
      </c>
      <c r="M78" s="149"/>
      <c r="N78" s="154">
        <v>0</v>
      </c>
      <c r="O78" s="154">
        <v>4.16</v>
      </c>
      <c r="P78" s="154">
        <v>0</v>
      </c>
      <c r="Q78" s="149"/>
    </row>
    <row r="79" spans="1:17" x14ac:dyDescent="0.25">
      <c r="B79" s="151" t="s">
        <v>88</v>
      </c>
      <c r="C79" s="151" t="s">
        <v>197</v>
      </c>
      <c r="D79" s="149"/>
      <c r="E79" s="149"/>
      <c r="F79" s="149"/>
      <c r="G79" s="152">
        <v>2735.18</v>
      </c>
      <c r="H79" s="149"/>
      <c r="I79" s="152">
        <v>225.17</v>
      </c>
      <c r="J79" s="152">
        <v>558.23</v>
      </c>
      <c r="K79" s="152">
        <v>1488.8</v>
      </c>
      <c r="L79" s="152">
        <v>24.68</v>
      </c>
      <c r="M79" s="152">
        <v>663.24</v>
      </c>
      <c r="N79" s="152">
        <v>0</v>
      </c>
      <c r="O79" s="152">
        <v>223.51</v>
      </c>
      <c r="P79" s="152">
        <v>0</v>
      </c>
      <c r="Q79" s="152">
        <v>0</v>
      </c>
    </row>
    <row r="80" spans="1:17" x14ac:dyDescent="0.25">
      <c r="A80" t="s">
        <v>717</v>
      </c>
      <c r="B80" s="153" t="s">
        <v>90</v>
      </c>
      <c r="C80" s="153" t="s">
        <v>199</v>
      </c>
      <c r="D80" s="153" t="s">
        <v>82</v>
      </c>
      <c r="E80" s="154">
        <v>12.96</v>
      </c>
      <c r="F80" s="154">
        <v>50.43</v>
      </c>
      <c r="G80" s="154">
        <v>653.57000000000005</v>
      </c>
      <c r="H80" s="154">
        <v>0.38</v>
      </c>
      <c r="I80" s="154">
        <v>4.92</v>
      </c>
      <c r="J80" s="154">
        <v>396.34</v>
      </c>
      <c r="K80" s="154">
        <v>33.04</v>
      </c>
      <c r="L80" s="154">
        <v>19.82</v>
      </c>
      <c r="M80" s="154">
        <v>204.18</v>
      </c>
      <c r="N80" s="154">
        <v>0</v>
      </c>
      <c r="O80" s="154">
        <v>4.8600000000000003</v>
      </c>
      <c r="P80" s="154">
        <v>0</v>
      </c>
      <c r="Q80" s="154">
        <v>0</v>
      </c>
    </row>
    <row r="81" spans="1:17" x14ac:dyDescent="0.25">
      <c r="A81" t="s">
        <v>458</v>
      </c>
      <c r="B81" s="153" t="s">
        <v>92</v>
      </c>
      <c r="C81" s="153" t="s">
        <v>186</v>
      </c>
      <c r="D81" s="153" t="s">
        <v>150</v>
      </c>
      <c r="E81" s="154">
        <v>242.03</v>
      </c>
      <c r="F81" s="154">
        <v>1.03</v>
      </c>
      <c r="G81" s="154">
        <v>249.29</v>
      </c>
      <c r="H81" s="154">
        <v>0.91</v>
      </c>
      <c r="I81" s="154">
        <v>220.25</v>
      </c>
      <c r="J81" s="149"/>
      <c r="K81" s="154">
        <v>7.26</v>
      </c>
      <c r="L81" s="149"/>
      <c r="M81" s="154">
        <v>242.03</v>
      </c>
      <c r="N81" s="149"/>
      <c r="O81" s="154">
        <v>218.65</v>
      </c>
      <c r="P81" s="149"/>
      <c r="Q81" s="154">
        <v>0</v>
      </c>
    </row>
    <row r="82" spans="1:17" x14ac:dyDescent="0.25">
      <c r="A82" t="s">
        <v>716</v>
      </c>
      <c r="B82" s="153" t="s">
        <v>94</v>
      </c>
      <c r="C82" s="153" t="s">
        <v>198</v>
      </c>
      <c r="D82" s="153" t="s">
        <v>138</v>
      </c>
      <c r="E82" s="154">
        <v>4.13</v>
      </c>
      <c r="F82" s="154">
        <v>437.95</v>
      </c>
      <c r="G82" s="154">
        <v>1808.73</v>
      </c>
      <c r="H82" s="154">
        <v>0</v>
      </c>
      <c r="I82" s="154">
        <v>0</v>
      </c>
      <c r="J82" s="154">
        <v>140.53</v>
      </c>
      <c r="K82" s="154">
        <v>1446.94</v>
      </c>
      <c r="L82" s="154">
        <v>4.22</v>
      </c>
      <c r="M82" s="154">
        <v>217.03</v>
      </c>
      <c r="N82" s="154">
        <v>0</v>
      </c>
      <c r="O82" s="154">
        <v>0</v>
      </c>
      <c r="P82" s="154">
        <v>0</v>
      </c>
      <c r="Q82" s="154">
        <v>0</v>
      </c>
    </row>
    <row r="83" spans="1:17" x14ac:dyDescent="0.25">
      <c r="B83" s="153" t="s">
        <v>200</v>
      </c>
      <c r="C83" s="153" t="s">
        <v>188</v>
      </c>
      <c r="D83" s="153" t="s">
        <v>82</v>
      </c>
      <c r="E83" s="154">
        <v>12.96</v>
      </c>
      <c r="F83" s="154">
        <v>1.82</v>
      </c>
      <c r="G83" s="154">
        <v>23.59</v>
      </c>
      <c r="H83" s="154">
        <v>0</v>
      </c>
      <c r="I83" s="154">
        <v>0</v>
      </c>
      <c r="J83" s="154">
        <v>21.36</v>
      </c>
      <c r="K83" s="154">
        <v>1.56</v>
      </c>
      <c r="L83" s="154">
        <v>0.64</v>
      </c>
      <c r="M83" s="149"/>
      <c r="N83" s="154">
        <v>0</v>
      </c>
      <c r="O83" s="154">
        <v>0</v>
      </c>
      <c r="P83" s="154">
        <v>0</v>
      </c>
      <c r="Q83" s="149"/>
    </row>
    <row r="84" spans="1:17" x14ac:dyDescent="0.25">
      <c r="B84" s="151" t="s">
        <v>96</v>
      </c>
      <c r="C84" s="151" t="s">
        <v>609</v>
      </c>
      <c r="D84" s="149"/>
      <c r="E84" s="149"/>
      <c r="F84" s="149"/>
      <c r="G84" s="152">
        <v>1312.53</v>
      </c>
      <c r="H84" s="149"/>
      <c r="I84" s="152">
        <v>36.78</v>
      </c>
      <c r="J84" s="152">
        <v>227.9</v>
      </c>
      <c r="K84" s="152">
        <v>840.2</v>
      </c>
      <c r="L84" s="152">
        <v>9.64</v>
      </c>
      <c r="M84" s="152">
        <v>234.68</v>
      </c>
      <c r="N84" s="152">
        <v>0</v>
      </c>
      <c r="O84" s="152">
        <v>36.49</v>
      </c>
      <c r="P84" s="152">
        <v>0</v>
      </c>
      <c r="Q84" s="152">
        <v>0</v>
      </c>
    </row>
    <row r="85" spans="1:17" x14ac:dyDescent="0.25">
      <c r="A85" t="s">
        <v>717</v>
      </c>
      <c r="B85" s="153" t="s">
        <v>98</v>
      </c>
      <c r="C85" s="153" t="s">
        <v>199</v>
      </c>
      <c r="D85" s="153" t="s">
        <v>82</v>
      </c>
      <c r="E85" s="154">
        <v>4.58</v>
      </c>
      <c r="F85" s="154">
        <v>50.43</v>
      </c>
      <c r="G85" s="154">
        <v>230.97</v>
      </c>
      <c r="H85" s="154">
        <v>0.38</v>
      </c>
      <c r="I85" s="154">
        <v>1.74</v>
      </c>
      <c r="J85" s="154">
        <v>140.06</v>
      </c>
      <c r="K85" s="154">
        <v>11.67</v>
      </c>
      <c r="L85" s="154">
        <v>7</v>
      </c>
      <c r="M85" s="154">
        <v>72.16</v>
      </c>
      <c r="N85" s="154">
        <v>0</v>
      </c>
      <c r="O85" s="154">
        <v>1.71</v>
      </c>
      <c r="P85" s="154">
        <v>0</v>
      </c>
      <c r="Q85" s="154">
        <v>0</v>
      </c>
    </row>
    <row r="86" spans="1:17" x14ac:dyDescent="0.25">
      <c r="A86" t="s">
        <v>458</v>
      </c>
      <c r="B86" s="153" t="s">
        <v>203</v>
      </c>
      <c r="C86" s="153" t="s">
        <v>186</v>
      </c>
      <c r="D86" s="153" t="s">
        <v>150</v>
      </c>
      <c r="E86" s="154">
        <v>38.5</v>
      </c>
      <c r="F86" s="154">
        <v>1.03</v>
      </c>
      <c r="G86" s="154">
        <v>39.659999999999997</v>
      </c>
      <c r="H86" s="154">
        <v>0.91</v>
      </c>
      <c r="I86" s="154">
        <v>35.04</v>
      </c>
      <c r="J86" s="149"/>
      <c r="K86" s="154">
        <v>1.1599999999999999</v>
      </c>
      <c r="L86" s="149"/>
      <c r="M86" s="154">
        <v>38.5</v>
      </c>
      <c r="N86" s="149"/>
      <c r="O86" s="154">
        <v>34.78</v>
      </c>
      <c r="P86" s="149"/>
      <c r="Q86" s="154">
        <v>0</v>
      </c>
    </row>
    <row r="87" spans="1:17" x14ac:dyDescent="0.25">
      <c r="A87" t="s">
        <v>716</v>
      </c>
      <c r="B87" s="153" t="s">
        <v>610</v>
      </c>
      <c r="C87" s="153" t="s">
        <v>198</v>
      </c>
      <c r="D87" s="153" t="s">
        <v>138</v>
      </c>
      <c r="E87" s="154">
        <v>2.36</v>
      </c>
      <c r="F87" s="154">
        <v>437.95</v>
      </c>
      <c r="G87" s="154">
        <v>1033.56</v>
      </c>
      <c r="H87" s="154">
        <v>0</v>
      </c>
      <c r="I87" s="154">
        <v>0</v>
      </c>
      <c r="J87" s="154">
        <v>80.290000000000006</v>
      </c>
      <c r="K87" s="154">
        <v>826.82</v>
      </c>
      <c r="L87" s="154">
        <v>2.41</v>
      </c>
      <c r="M87" s="154">
        <v>124.02</v>
      </c>
      <c r="N87" s="154">
        <v>0</v>
      </c>
      <c r="O87" s="154">
        <v>0</v>
      </c>
      <c r="P87" s="154">
        <v>0</v>
      </c>
      <c r="Q87" s="154">
        <v>0</v>
      </c>
    </row>
    <row r="88" spans="1:17" x14ac:dyDescent="0.25">
      <c r="B88" s="153" t="s">
        <v>205</v>
      </c>
      <c r="C88" s="153" t="s">
        <v>188</v>
      </c>
      <c r="D88" s="153" t="s">
        <v>82</v>
      </c>
      <c r="E88" s="154">
        <v>4.58</v>
      </c>
      <c r="F88" s="154">
        <v>1.82</v>
      </c>
      <c r="G88" s="154">
        <v>8.34</v>
      </c>
      <c r="H88" s="154">
        <v>0</v>
      </c>
      <c r="I88" s="154">
        <v>0</v>
      </c>
      <c r="J88" s="154">
        <v>7.55</v>
      </c>
      <c r="K88" s="154">
        <v>0.55000000000000004</v>
      </c>
      <c r="L88" s="154">
        <v>0.23</v>
      </c>
      <c r="M88" s="149"/>
      <c r="N88" s="154">
        <v>0</v>
      </c>
      <c r="O88" s="154">
        <v>0</v>
      </c>
      <c r="P88" s="154">
        <v>0</v>
      </c>
      <c r="Q88" s="149"/>
    </row>
    <row r="89" spans="1:17" x14ac:dyDescent="0.25">
      <c r="A89" t="s">
        <v>716</v>
      </c>
      <c r="B89" s="151" t="s">
        <v>100</v>
      </c>
      <c r="C89" s="151" t="s">
        <v>611</v>
      </c>
      <c r="D89" s="149"/>
      <c r="E89" s="149"/>
      <c r="F89" s="149"/>
      <c r="G89" s="152">
        <v>2923266.41</v>
      </c>
      <c r="H89" s="149"/>
      <c r="I89" s="152">
        <v>240094.41</v>
      </c>
      <c r="J89" s="152">
        <v>800758.93</v>
      </c>
      <c r="K89" s="152">
        <v>993361.48</v>
      </c>
      <c r="L89" s="152">
        <v>28397.45</v>
      </c>
      <c r="M89" s="152">
        <v>1085461.96</v>
      </c>
      <c r="N89" s="152">
        <v>0</v>
      </c>
      <c r="O89" s="152">
        <v>238314.29</v>
      </c>
      <c r="P89" s="152">
        <v>0</v>
      </c>
      <c r="Q89" s="152">
        <v>0</v>
      </c>
    </row>
    <row r="90" spans="1:17" x14ac:dyDescent="0.25">
      <c r="B90" s="155" t="s">
        <v>102</v>
      </c>
      <c r="C90" s="155" t="s">
        <v>612</v>
      </c>
      <c r="D90" s="149"/>
      <c r="E90" s="149"/>
      <c r="F90" s="149"/>
      <c r="G90" s="156">
        <v>23776.68</v>
      </c>
      <c r="H90" s="149"/>
      <c r="I90" s="156">
        <v>1838.98</v>
      </c>
      <c r="J90" s="156">
        <v>8259.09</v>
      </c>
      <c r="K90" s="156">
        <v>10019.459999999999</v>
      </c>
      <c r="L90" s="156">
        <v>247.86</v>
      </c>
      <c r="M90" s="156">
        <v>5245.34</v>
      </c>
      <c r="N90" s="156">
        <v>0</v>
      </c>
      <c r="O90" s="156">
        <v>1825.06</v>
      </c>
      <c r="P90" s="156">
        <v>0</v>
      </c>
      <c r="Q90" s="156">
        <v>0</v>
      </c>
    </row>
    <row r="91" spans="1:17" x14ac:dyDescent="0.25">
      <c r="A91" t="s">
        <v>717</v>
      </c>
      <c r="B91" s="153" t="s">
        <v>215</v>
      </c>
      <c r="C91" s="153" t="s">
        <v>218</v>
      </c>
      <c r="D91" s="153" t="s">
        <v>82</v>
      </c>
      <c r="E91" s="154">
        <v>260.92</v>
      </c>
      <c r="F91" s="154">
        <v>36.630000000000003</v>
      </c>
      <c r="G91" s="154">
        <v>9557.5</v>
      </c>
      <c r="H91" s="154">
        <v>0.38</v>
      </c>
      <c r="I91" s="154">
        <v>99.15</v>
      </c>
      <c r="J91" s="154">
        <v>6982.61</v>
      </c>
      <c r="K91" s="154">
        <v>665.36</v>
      </c>
      <c r="L91" s="154">
        <v>209.54</v>
      </c>
      <c r="M91" s="154">
        <v>1695.98</v>
      </c>
      <c r="N91" s="154">
        <v>0</v>
      </c>
      <c r="O91" s="154">
        <v>97.85</v>
      </c>
      <c r="P91" s="154">
        <v>0</v>
      </c>
      <c r="Q91" s="154">
        <v>0</v>
      </c>
    </row>
    <row r="92" spans="1:17" x14ac:dyDescent="0.25">
      <c r="A92" t="s">
        <v>458</v>
      </c>
      <c r="B92" s="153" t="s">
        <v>217</v>
      </c>
      <c r="C92" s="153" t="s">
        <v>149</v>
      </c>
      <c r="D92" s="153" t="s">
        <v>150</v>
      </c>
      <c r="E92" s="154">
        <v>1911.9</v>
      </c>
      <c r="F92" s="154">
        <v>1.03</v>
      </c>
      <c r="G92" s="154">
        <v>1969.26</v>
      </c>
      <c r="H92" s="154">
        <v>0.91</v>
      </c>
      <c r="I92" s="154">
        <v>1739.83</v>
      </c>
      <c r="J92" s="149"/>
      <c r="K92" s="154">
        <v>57.36</v>
      </c>
      <c r="L92" s="149"/>
      <c r="M92" s="154">
        <v>1911.9</v>
      </c>
      <c r="N92" s="149"/>
      <c r="O92" s="154">
        <v>1727.21</v>
      </c>
      <c r="P92" s="149"/>
      <c r="Q92" s="154">
        <v>0</v>
      </c>
    </row>
    <row r="93" spans="1:17" x14ac:dyDescent="0.25">
      <c r="A93" t="s">
        <v>716</v>
      </c>
      <c r="B93" s="153" t="s">
        <v>219</v>
      </c>
      <c r="C93" s="153" t="s">
        <v>216</v>
      </c>
      <c r="D93" s="153" t="s">
        <v>138</v>
      </c>
      <c r="E93" s="154">
        <v>31.16</v>
      </c>
      <c r="F93" s="154">
        <v>377.89</v>
      </c>
      <c r="G93" s="154">
        <v>11775.05</v>
      </c>
      <c r="H93" s="154">
        <v>0</v>
      </c>
      <c r="I93" s="154">
        <v>0</v>
      </c>
      <c r="J93" s="154">
        <v>846.47</v>
      </c>
      <c r="K93" s="154">
        <v>9265.43</v>
      </c>
      <c r="L93" s="154">
        <v>25.4</v>
      </c>
      <c r="M93" s="154">
        <v>1637.46</v>
      </c>
      <c r="N93" s="154">
        <v>0</v>
      </c>
      <c r="O93" s="154">
        <v>0</v>
      </c>
      <c r="P93" s="154">
        <v>0</v>
      </c>
      <c r="Q93" s="154">
        <v>0</v>
      </c>
    </row>
    <row r="94" spans="1:17" x14ac:dyDescent="0.25">
      <c r="B94" s="153" t="s">
        <v>220</v>
      </c>
      <c r="C94" s="153" t="s">
        <v>153</v>
      </c>
      <c r="D94" s="153" t="s">
        <v>82</v>
      </c>
      <c r="E94" s="154">
        <v>260.92</v>
      </c>
      <c r="F94" s="154">
        <v>1.82</v>
      </c>
      <c r="G94" s="154">
        <v>474.87</v>
      </c>
      <c r="H94" s="154">
        <v>0</v>
      </c>
      <c r="I94" s="154">
        <v>0</v>
      </c>
      <c r="J94" s="154">
        <v>430.01</v>
      </c>
      <c r="K94" s="154">
        <v>31.31</v>
      </c>
      <c r="L94" s="154">
        <v>12.92</v>
      </c>
      <c r="M94" s="149"/>
      <c r="N94" s="154">
        <v>0</v>
      </c>
      <c r="O94" s="154">
        <v>0</v>
      </c>
      <c r="P94" s="154">
        <v>0</v>
      </c>
      <c r="Q94" s="149"/>
    </row>
    <row r="95" spans="1:17" x14ac:dyDescent="0.25">
      <c r="B95" s="155" t="s">
        <v>104</v>
      </c>
      <c r="C95" s="155" t="s">
        <v>613</v>
      </c>
      <c r="D95" s="149"/>
      <c r="E95" s="149"/>
      <c r="F95" s="149"/>
      <c r="G95" s="156">
        <v>866309.02</v>
      </c>
      <c r="H95" s="149"/>
      <c r="I95" s="156">
        <v>64643.28</v>
      </c>
      <c r="J95" s="156">
        <v>263528.65999999997</v>
      </c>
      <c r="K95" s="156">
        <v>410650.44</v>
      </c>
      <c r="L95" s="156">
        <v>7908.57</v>
      </c>
      <c r="M95" s="156">
        <v>184064.9</v>
      </c>
      <c r="N95" s="156">
        <v>0</v>
      </c>
      <c r="O95" s="156">
        <v>64156.22</v>
      </c>
      <c r="P95" s="156">
        <v>0</v>
      </c>
      <c r="Q95" s="156">
        <v>0</v>
      </c>
    </row>
    <row r="96" spans="1:17" x14ac:dyDescent="0.25">
      <c r="A96" t="s">
        <v>717</v>
      </c>
      <c r="B96" s="153" t="s">
        <v>223</v>
      </c>
      <c r="C96" s="153" t="s">
        <v>218</v>
      </c>
      <c r="D96" s="153" t="s">
        <v>82</v>
      </c>
      <c r="E96" s="154">
        <v>8113.52</v>
      </c>
      <c r="F96" s="154">
        <v>36.630000000000003</v>
      </c>
      <c r="G96" s="154">
        <v>297198.24</v>
      </c>
      <c r="H96" s="154">
        <v>0.38</v>
      </c>
      <c r="I96" s="154">
        <v>3083.14</v>
      </c>
      <c r="J96" s="154">
        <v>217129.97</v>
      </c>
      <c r="K96" s="154">
        <v>20689.48</v>
      </c>
      <c r="L96" s="154">
        <v>6515.97</v>
      </c>
      <c r="M96" s="154">
        <v>52737.88</v>
      </c>
      <c r="N96" s="154">
        <v>0</v>
      </c>
      <c r="O96" s="154">
        <v>3042.57</v>
      </c>
      <c r="P96" s="154">
        <v>0</v>
      </c>
      <c r="Q96" s="154">
        <v>0</v>
      </c>
    </row>
    <row r="97" spans="1:17" x14ac:dyDescent="0.25">
      <c r="A97" t="s">
        <v>458</v>
      </c>
      <c r="B97" s="153" t="s">
        <v>225</v>
      </c>
      <c r="C97" s="153" t="s">
        <v>149</v>
      </c>
      <c r="D97" s="153" t="s">
        <v>150</v>
      </c>
      <c r="E97" s="154">
        <v>67648.5</v>
      </c>
      <c r="F97" s="154">
        <v>1.03</v>
      </c>
      <c r="G97" s="154">
        <v>69677.960000000006</v>
      </c>
      <c r="H97" s="154">
        <v>0.91</v>
      </c>
      <c r="I97" s="154">
        <v>61560.14</v>
      </c>
      <c r="J97" s="149"/>
      <c r="K97" s="154">
        <v>2029.46</v>
      </c>
      <c r="L97" s="149"/>
      <c r="M97" s="154">
        <v>67648.5</v>
      </c>
      <c r="N97" s="149"/>
      <c r="O97" s="154">
        <v>61113.65</v>
      </c>
      <c r="P97" s="149"/>
      <c r="Q97" s="154">
        <v>0</v>
      </c>
    </row>
    <row r="98" spans="1:17" x14ac:dyDescent="0.25">
      <c r="A98" t="s">
        <v>716</v>
      </c>
      <c r="B98" s="153" t="s">
        <v>227</v>
      </c>
      <c r="C98" s="153" t="s">
        <v>216</v>
      </c>
      <c r="D98" s="153" t="s">
        <v>138</v>
      </c>
      <c r="E98" s="154">
        <v>602.88</v>
      </c>
      <c r="F98" s="154">
        <v>377.89</v>
      </c>
      <c r="G98" s="154">
        <v>227822.32</v>
      </c>
      <c r="H98" s="154">
        <v>0</v>
      </c>
      <c r="I98" s="154">
        <v>0</v>
      </c>
      <c r="J98" s="154">
        <v>16377.37</v>
      </c>
      <c r="K98" s="154">
        <v>179266.37</v>
      </c>
      <c r="L98" s="154">
        <v>491.41</v>
      </c>
      <c r="M98" s="154">
        <v>31681.35</v>
      </c>
      <c r="N98" s="154">
        <v>0</v>
      </c>
      <c r="O98" s="154">
        <v>0</v>
      </c>
      <c r="P98" s="154">
        <v>0</v>
      </c>
      <c r="Q98" s="154">
        <v>0</v>
      </c>
    </row>
    <row r="99" spans="1:17" x14ac:dyDescent="0.25">
      <c r="A99" t="s">
        <v>716</v>
      </c>
      <c r="B99" s="153" t="s">
        <v>228</v>
      </c>
      <c r="C99" s="153" t="s">
        <v>614</v>
      </c>
      <c r="D99" s="153" t="s">
        <v>138</v>
      </c>
      <c r="E99" s="154">
        <v>188.24</v>
      </c>
      <c r="F99" s="154">
        <v>402.04</v>
      </c>
      <c r="G99" s="154">
        <v>75680.009999999995</v>
      </c>
      <c r="H99" s="154">
        <v>0</v>
      </c>
      <c r="I99" s="154">
        <v>0</v>
      </c>
      <c r="J99" s="154">
        <v>5113.59</v>
      </c>
      <c r="K99" s="154">
        <v>60519.16</v>
      </c>
      <c r="L99" s="154">
        <v>153.43</v>
      </c>
      <c r="M99" s="154">
        <v>9892.01</v>
      </c>
      <c r="N99" s="154">
        <v>0</v>
      </c>
      <c r="O99" s="154">
        <v>0</v>
      </c>
      <c r="P99" s="154">
        <v>0</v>
      </c>
      <c r="Q99" s="154">
        <v>0</v>
      </c>
    </row>
    <row r="100" spans="1:17" x14ac:dyDescent="0.25">
      <c r="A100" t="s">
        <v>716</v>
      </c>
      <c r="B100" s="153" t="s">
        <v>229</v>
      </c>
      <c r="C100" s="153" t="s">
        <v>615</v>
      </c>
      <c r="D100" s="153" t="s">
        <v>138</v>
      </c>
      <c r="E100" s="154">
        <v>420.65</v>
      </c>
      <c r="F100" s="154">
        <v>430.39</v>
      </c>
      <c r="G100" s="154">
        <v>181043.55</v>
      </c>
      <c r="H100" s="154">
        <v>0</v>
      </c>
      <c r="I100" s="154">
        <v>0</v>
      </c>
      <c r="J100" s="154">
        <v>11427.05</v>
      </c>
      <c r="K100" s="154">
        <v>147164.41</v>
      </c>
      <c r="L100" s="154">
        <v>342.87</v>
      </c>
      <c r="M100" s="154">
        <v>22105.16</v>
      </c>
      <c r="N100" s="154">
        <v>0</v>
      </c>
      <c r="O100" s="154">
        <v>0</v>
      </c>
      <c r="P100" s="154">
        <v>0</v>
      </c>
      <c r="Q100" s="154">
        <v>0</v>
      </c>
    </row>
    <row r="101" spans="1:17" x14ac:dyDescent="0.25">
      <c r="B101" s="153" t="s">
        <v>616</v>
      </c>
      <c r="C101" s="153" t="s">
        <v>153</v>
      </c>
      <c r="D101" s="153" t="s">
        <v>82</v>
      </c>
      <c r="E101" s="154">
        <v>8179.64</v>
      </c>
      <c r="F101" s="154">
        <v>1.82</v>
      </c>
      <c r="G101" s="154">
        <v>14886.94</v>
      </c>
      <c r="H101" s="154">
        <v>0</v>
      </c>
      <c r="I101" s="154">
        <v>0</v>
      </c>
      <c r="J101" s="154">
        <v>13480.68</v>
      </c>
      <c r="K101" s="154">
        <v>981.56</v>
      </c>
      <c r="L101" s="154">
        <v>404.89</v>
      </c>
      <c r="M101" s="149"/>
      <c r="N101" s="154">
        <v>0</v>
      </c>
      <c r="O101" s="154">
        <v>0</v>
      </c>
      <c r="P101" s="154">
        <v>0</v>
      </c>
      <c r="Q101" s="149"/>
    </row>
    <row r="102" spans="1:17" x14ac:dyDescent="0.25">
      <c r="B102" s="155" t="s">
        <v>105</v>
      </c>
      <c r="C102" s="155" t="s">
        <v>617</v>
      </c>
      <c r="D102" s="149"/>
      <c r="E102" s="149"/>
      <c r="F102" s="149"/>
      <c r="G102" s="156">
        <v>68709.87</v>
      </c>
      <c r="H102" s="149"/>
      <c r="I102" s="156">
        <v>11974.94</v>
      </c>
      <c r="J102" s="156">
        <v>18062.32</v>
      </c>
      <c r="K102" s="156">
        <v>29123.64</v>
      </c>
      <c r="L102" s="156">
        <v>542.07000000000005</v>
      </c>
      <c r="M102" s="156">
        <v>20971.2</v>
      </c>
      <c r="N102" s="156">
        <v>0</v>
      </c>
      <c r="O102" s="156">
        <v>11886.83</v>
      </c>
      <c r="P102" s="156">
        <v>0</v>
      </c>
      <c r="Q102" s="156">
        <v>0</v>
      </c>
    </row>
    <row r="103" spans="1:17" x14ac:dyDescent="0.25">
      <c r="A103" t="s">
        <v>717</v>
      </c>
      <c r="B103" s="153" t="s">
        <v>230</v>
      </c>
      <c r="C103" s="153" t="s">
        <v>218</v>
      </c>
      <c r="D103" s="153" t="s">
        <v>82</v>
      </c>
      <c r="E103" s="154">
        <v>555.07000000000005</v>
      </c>
      <c r="F103" s="154">
        <v>36.630000000000003</v>
      </c>
      <c r="G103" s="154">
        <v>20332.21</v>
      </c>
      <c r="H103" s="154">
        <v>0.38</v>
      </c>
      <c r="I103" s="154">
        <v>210.93</v>
      </c>
      <c r="J103" s="154">
        <v>14854.51</v>
      </c>
      <c r="K103" s="154">
        <v>1415.44</v>
      </c>
      <c r="L103" s="154">
        <v>445.78</v>
      </c>
      <c r="M103" s="154">
        <v>3607.96</v>
      </c>
      <c r="N103" s="154">
        <v>0</v>
      </c>
      <c r="O103" s="154">
        <v>208.15</v>
      </c>
      <c r="P103" s="154">
        <v>0</v>
      </c>
      <c r="Q103" s="154">
        <v>0</v>
      </c>
    </row>
    <row r="104" spans="1:17" x14ac:dyDescent="0.25">
      <c r="A104" t="s">
        <v>458</v>
      </c>
      <c r="B104" s="153" t="s">
        <v>232</v>
      </c>
      <c r="C104" s="153" t="s">
        <v>149</v>
      </c>
      <c r="D104" s="153" t="s">
        <v>150</v>
      </c>
      <c r="E104" s="154">
        <v>12927.48</v>
      </c>
      <c r="F104" s="154">
        <v>1.03</v>
      </c>
      <c r="G104" s="154">
        <v>13315.3</v>
      </c>
      <c r="H104" s="154">
        <v>0.91</v>
      </c>
      <c r="I104" s="154">
        <v>11764.01</v>
      </c>
      <c r="J104" s="149"/>
      <c r="K104" s="154">
        <v>387.83</v>
      </c>
      <c r="L104" s="149"/>
      <c r="M104" s="154">
        <v>12927.48</v>
      </c>
      <c r="N104" s="149"/>
      <c r="O104" s="154">
        <v>11678.68</v>
      </c>
      <c r="P104" s="149"/>
      <c r="Q104" s="154">
        <v>0</v>
      </c>
    </row>
    <row r="105" spans="1:17" x14ac:dyDescent="0.25">
      <c r="A105" t="s">
        <v>716</v>
      </c>
      <c r="B105" s="153" t="s">
        <v>233</v>
      </c>
      <c r="C105" s="153" t="s">
        <v>216</v>
      </c>
      <c r="D105" s="153" t="s">
        <v>138</v>
      </c>
      <c r="E105" s="154">
        <v>37.119999999999997</v>
      </c>
      <c r="F105" s="154">
        <v>377.89</v>
      </c>
      <c r="G105" s="154">
        <v>14027.28</v>
      </c>
      <c r="H105" s="154">
        <v>0</v>
      </c>
      <c r="I105" s="154">
        <v>0</v>
      </c>
      <c r="J105" s="154">
        <v>1008.38</v>
      </c>
      <c r="K105" s="154">
        <v>11037.63</v>
      </c>
      <c r="L105" s="154">
        <v>30.26</v>
      </c>
      <c r="M105" s="154">
        <v>1950.65</v>
      </c>
      <c r="N105" s="154">
        <v>0</v>
      </c>
      <c r="O105" s="154">
        <v>0</v>
      </c>
      <c r="P105" s="154">
        <v>0</v>
      </c>
      <c r="Q105" s="154">
        <v>0</v>
      </c>
    </row>
    <row r="106" spans="1:17" x14ac:dyDescent="0.25">
      <c r="A106" t="s">
        <v>716</v>
      </c>
      <c r="B106" s="153" t="s">
        <v>234</v>
      </c>
      <c r="C106" s="153" t="s">
        <v>614</v>
      </c>
      <c r="D106" s="153" t="s">
        <v>138</v>
      </c>
      <c r="E106" s="154">
        <v>11.58</v>
      </c>
      <c r="F106" s="154">
        <v>402.04</v>
      </c>
      <c r="G106" s="154">
        <v>4655.62</v>
      </c>
      <c r="H106" s="154">
        <v>0</v>
      </c>
      <c r="I106" s="154">
        <v>0</v>
      </c>
      <c r="J106" s="154">
        <v>314.57</v>
      </c>
      <c r="K106" s="154">
        <v>3722.98</v>
      </c>
      <c r="L106" s="154">
        <v>9.44</v>
      </c>
      <c r="M106" s="154">
        <v>608.54</v>
      </c>
      <c r="N106" s="154">
        <v>0</v>
      </c>
      <c r="O106" s="154">
        <v>0</v>
      </c>
      <c r="P106" s="154">
        <v>0</v>
      </c>
      <c r="Q106" s="154">
        <v>0</v>
      </c>
    </row>
    <row r="107" spans="1:17" x14ac:dyDescent="0.25">
      <c r="A107" t="s">
        <v>716</v>
      </c>
      <c r="B107" s="153" t="s">
        <v>235</v>
      </c>
      <c r="C107" s="153" t="s">
        <v>615</v>
      </c>
      <c r="D107" s="153" t="s">
        <v>138</v>
      </c>
      <c r="E107" s="154">
        <v>35.71</v>
      </c>
      <c r="F107" s="154">
        <v>430.39</v>
      </c>
      <c r="G107" s="154">
        <v>15369.23</v>
      </c>
      <c r="H107" s="154">
        <v>0</v>
      </c>
      <c r="I107" s="154">
        <v>0</v>
      </c>
      <c r="J107" s="154">
        <v>970.07</v>
      </c>
      <c r="K107" s="154">
        <v>12493.15</v>
      </c>
      <c r="L107" s="154">
        <v>29.11</v>
      </c>
      <c r="M107" s="154">
        <v>1876.57</v>
      </c>
      <c r="N107" s="154">
        <v>0</v>
      </c>
      <c r="O107" s="154">
        <v>0</v>
      </c>
      <c r="P107" s="154">
        <v>0</v>
      </c>
      <c r="Q107" s="154">
        <v>0</v>
      </c>
    </row>
    <row r="108" spans="1:17" x14ac:dyDescent="0.25">
      <c r="B108" s="153" t="s">
        <v>236</v>
      </c>
      <c r="C108" s="153" t="s">
        <v>153</v>
      </c>
      <c r="D108" s="153" t="s">
        <v>82</v>
      </c>
      <c r="E108" s="154">
        <v>555.07000000000005</v>
      </c>
      <c r="F108" s="154">
        <v>1.82</v>
      </c>
      <c r="G108" s="154">
        <v>1010.23</v>
      </c>
      <c r="H108" s="154">
        <v>0</v>
      </c>
      <c r="I108" s="154">
        <v>0</v>
      </c>
      <c r="J108" s="154">
        <v>914.79</v>
      </c>
      <c r="K108" s="154">
        <v>66.61</v>
      </c>
      <c r="L108" s="154">
        <v>27.48</v>
      </c>
      <c r="M108" s="149"/>
      <c r="N108" s="154">
        <v>0</v>
      </c>
      <c r="O108" s="154">
        <v>0</v>
      </c>
      <c r="P108" s="154">
        <v>0</v>
      </c>
      <c r="Q108" s="149"/>
    </row>
    <row r="109" spans="1:17" x14ac:dyDescent="0.25">
      <c r="B109" s="155" t="s">
        <v>107</v>
      </c>
      <c r="C109" s="155" t="s">
        <v>222</v>
      </c>
      <c r="D109" s="149"/>
      <c r="E109" s="149"/>
      <c r="F109" s="149"/>
      <c r="G109" s="156">
        <v>665992.28</v>
      </c>
      <c r="H109" s="149"/>
      <c r="I109" s="156">
        <v>95094.69</v>
      </c>
      <c r="J109" s="156">
        <v>175344.79</v>
      </c>
      <c r="K109" s="156">
        <v>235848.98</v>
      </c>
      <c r="L109" s="156">
        <v>8292.7900000000009</v>
      </c>
      <c r="M109" s="156">
        <v>246494.46</v>
      </c>
      <c r="N109" s="156">
        <v>0</v>
      </c>
      <c r="O109" s="156">
        <v>94395.46</v>
      </c>
      <c r="P109" s="156">
        <v>0</v>
      </c>
      <c r="Q109" s="156">
        <v>0</v>
      </c>
    </row>
    <row r="110" spans="1:17" x14ac:dyDescent="0.25">
      <c r="A110" t="s">
        <v>717</v>
      </c>
      <c r="B110" s="153" t="s">
        <v>239</v>
      </c>
      <c r="C110" s="153" t="s">
        <v>226</v>
      </c>
      <c r="D110" s="153" t="s">
        <v>82</v>
      </c>
      <c r="E110" s="154">
        <v>4250.08</v>
      </c>
      <c r="F110" s="154">
        <v>79.02</v>
      </c>
      <c r="G110" s="154">
        <v>335841.32</v>
      </c>
      <c r="H110" s="154">
        <v>0.38</v>
      </c>
      <c r="I110" s="154">
        <v>1615.03</v>
      </c>
      <c r="J110" s="154">
        <v>151663.24</v>
      </c>
      <c r="K110" s="154">
        <v>36338.18</v>
      </c>
      <c r="L110" s="154">
        <v>7582.14</v>
      </c>
      <c r="M110" s="154">
        <v>140252.64000000001</v>
      </c>
      <c r="N110" s="154">
        <v>0</v>
      </c>
      <c r="O110" s="154">
        <v>1593.78</v>
      </c>
      <c r="P110" s="154">
        <v>0</v>
      </c>
      <c r="Q110" s="154">
        <v>0</v>
      </c>
    </row>
    <row r="111" spans="1:17" x14ac:dyDescent="0.25">
      <c r="A111" t="s">
        <v>458</v>
      </c>
      <c r="B111" s="153" t="s">
        <v>240</v>
      </c>
      <c r="C111" s="153" t="s">
        <v>149</v>
      </c>
      <c r="D111" s="153" t="s">
        <v>150</v>
      </c>
      <c r="E111" s="154">
        <v>102724.9</v>
      </c>
      <c r="F111" s="154">
        <v>1.03</v>
      </c>
      <c r="G111" s="154">
        <v>105806.65</v>
      </c>
      <c r="H111" s="154">
        <v>0.91</v>
      </c>
      <c r="I111" s="154">
        <v>93479.66</v>
      </c>
      <c r="J111" s="149"/>
      <c r="K111" s="154">
        <v>3081.75</v>
      </c>
      <c r="L111" s="149"/>
      <c r="M111" s="154">
        <v>102724.9</v>
      </c>
      <c r="N111" s="149"/>
      <c r="O111" s="154">
        <v>92801.68</v>
      </c>
      <c r="P111" s="149"/>
      <c r="Q111" s="154">
        <v>0</v>
      </c>
    </row>
    <row r="112" spans="1:17" x14ac:dyDescent="0.25">
      <c r="A112" t="s">
        <v>716</v>
      </c>
      <c r="B112" s="153" t="s">
        <v>241</v>
      </c>
      <c r="C112" s="153" t="s">
        <v>224</v>
      </c>
      <c r="D112" s="153" t="s">
        <v>138</v>
      </c>
      <c r="E112" s="154">
        <v>663.57</v>
      </c>
      <c r="F112" s="154">
        <v>326.43</v>
      </c>
      <c r="G112" s="154">
        <v>216609.16</v>
      </c>
      <c r="H112" s="154">
        <v>0</v>
      </c>
      <c r="I112" s="154">
        <v>0</v>
      </c>
      <c r="J112" s="154">
        <v>16677.09</v>
      </c>
      <c r="K112" s="154">
        <v>195919.04</v>
      </c>
      <c r="L112" s="154">
        <v>500.27</v>
      </c>
      <c r="M112" s="154">
        <v>3516.92</v>
      </c>
      <c r="N112" s="154">
        <v>0</v>
      </c>
      <c r="O112" s="154">
        <v>0</v>
      </c>
      <c r="P112" s="154">
        <v>0</v>
      </c>
      <c r="Q112" s="154">
        <v>0</v>
      </c>
    </row>
    <row r="113" spans="1:17" x14ac:dyDescent="0.25">
      <c r="B113" s="153" t="s">
        <v>242</v>
      </c>
      <c r="C113" s="153" t="s">
        <v>153</v>
      </c>
      <c r="D113" s="153" t="s">
        <v>82</v>
      </c>
      <c r="E113" s="154">
        <v>4250.08</v>
      </c>
      <c r="F113" s="154">
        <v>1.82</v>
      </c>
      <c r="G113" s="154">
        <v>7735.15</v>
      </c>
      <c r="H113" s="154">
        <v>0</v>
      </c>
      <c r="I113" s="154">
        <v>0</v>
      </c>
      <c r="J113" s="154">
        <v>7004.46</v>
      </c>
      <c r="K113" s="154">
        <v>510.01</v>
      </c>
      <c r="L113" s="154">
        <v>210.38</v>
      </c>
      <c r="M113" s="149"/>
      <c r="N113" s="154">
        <v>0</v>
      </c>
      <c r="O113" s="154">
        <v>0</v>
      </c>
      <c r="P113" s="154">
        <v>0</v>
      </c>
      <c r="Q113" s="149"/>
    </row>
    <row r="114" spans="1:17" x14ac:dyDescent="0.25">
      <c r="B114" s="155" t="s">
        <v>109</v>
      </c>
      <c r="C114" s="155" t="s">
        <v>618</v>
      </c>
      <c r="D114" s="149"/>
      <c r="E114" s="149"/>
      <c r="F114" s="149"/>
      <c r="G114" s="156">
        <v>6741.36</v>
      </c>
      <c r="H114" s="149"/>
      <c r="I114" s="156">
        <v>4718.95</v>
      </c>
      <c r="J114" s="156">
        <v>0</v>
      </c>
      <c r="K114" s="156">
        <v>0</v>
      </c>
      <c r="L114" s="156">
        <v>0</v>
      </c>
      <c r="M114" s="156">
        <v>6741.36</v>
      </c>
      <c r="N114" s="156">
        <v>0</v>
      </c>
      <c r="O114" s="156">
        <v>4684.7299999999996</v>
      </c>
      <c r="P114" s="156">
        <v>0</v>
      </c>
      <c r="Q114" s="156">
        <v>0</v>
      </c>
    </row>
    <row r="115" spans="1:17" x14ac:dyDescent="0.25">
      <c r="A115" t="s">
        <v>458</v>
      </c>
      <c r="B115" s="153" t="s">
        <v>619</v>
      </c>
      <c r="C115" s="153" t="s">
        <v>620</v>
      </c>
      <c r="D115" s="153" t="s">
        <v>150</v>
      </c>
      <c r="E115" s="154">
        <v>5185.66</v>
      </c>
      <c r="F115" s="154">
        <v>1.3</v>
      </c>
      <c r="G115" s="154">
        <v>6741.36</v>
      </c>
      <c r="H115" s="154">
        <v>0.91</v>
      </c>
      <c r="I115" s="154">
        <v>4718.95</v>
      </c>
      <c r="J115" s="149"/>
      <c r="K115" s="154">
        <v>0</v>
      </c>
      <c r="L115" s="149"/>
      <c r="M115" s="154">
        <v>6741.36</v>
      </c>
      <c r="N115" s="149"/>
      <c r="O115" s="154">
        <v>4684.7299999999996</v>
      </c>
      <c r="P115" s="149"/>
      <c r="Q115" s="154">
        <v>0</v>
      </c>
    </row>
    <row r="116" spans="1:17" x14ac:dyDescent="0.25">
      <c r="B116" s="155" t="s">
        <v>111</v>
      </c>
      <c r="C116" s="155" t="s">
        <v>621</v>
      </c>
      <c r="D116" s="149"/>
      <c r="E116" s="149"/>
      <c r="F116" s="149"/>
      <c r="G116" s="156">
        <v>1021379.11</v>
      </c>
      <c r="H116" s="149"/>
      <c r="I116" s="156">
        <v>47794.58</v>
      </c>
      <c r="J116" s="156">
        <v>262707.45</v>
      </c>
      <c r="K116" s="156">
        <v>213399.92</v>
      </c>
      <c r="L116" s="156">
        <v>8523.7000000000007</v>
      </c>
      <c r="M116" s="156">
        <v>536663.13</v>
      </c>
      <c r="N116" s="156">
        <v>0</v>
      </c>
      <c r="O116" s="156">
        <v>47433.45</v>
      </c>
      <c r="P116" s="156">
        <v>0</v>
      </c>
      <c r="Q116" s="156">
        <v>0</v>
      </c>
    </row>
    <row r="117" spans="1:17" x14ac:dyDescent="0.25">
      <c r="A117" t="s">
        <v>717</v>
      </c>
      <c r="B117" s="153" t="s">
        <v>622</v>
      </c>
      <c r="C117" s="153" t="s">
        <v>258</v>
      </c>
      <c r="D117" s="153" t="s">
        <v>82</v>
      </c>
      <c r="E117" s="154">
        <v>6458.58</v>
      </c>
      <c r="F117" s="154">
        <v>46.83</v>
      </c>
      <c r="G117" s="154">
        <v>302455.3</v>
      </c>
      <c r="H117" s="154">
        <v>0.38</v>
      </c>
      <c r="I117" s="154">
        <v>2454.2600000000002</v>
      </c>
      <c r="J117" s="154">
        <v>167591.26</v>
      </c>
      <c r="K117" s="154">
        <v>74919.520000000004</v>
      </c>
      <c r="L117" s="154">
        <v>5028</v>
      </c>
      <c r="M117" s="154">
        <v>54897.93</v>
      </c>
      <c r="N117" s="154">
        <v>0</v>
      </c>
      <c r="O117" s="154">
        <v>2421.96</v>
      </c>
      <c r="P117" s="154">
        <v>0</v>
      </c>
      <c r="Q117" s="154">
        <v>0</v>
      </c>
    </row>
    <row r="118" spans="1:17" x14ac:dyDescent="0.25">
      <c r="B118" s="153" t="s">
        <v>623</v>
      </c>
      <c r="C118" s="153" t="s">
        <v>624</v>
      </c>
      <c r="D118" s="153" t="s">
        <v>82</v>
      </c>
      <c r="E118" s="154">
        <v>6458.58</v>
      </c>
      <c r="F118" s="154">
        <v>63</v>
      </c>
      <c r="G118" s="154">
        <v>406890.54</v>
      </c>
      <c r="H118" s="154">
        <v>0</v>
      </c>
      <c r="I118" s="154">
        <v>0</v>
      </c>
      <c r="J118" s="149"/>
      <c r="K118" s="149"/>
      <c r="L118" s="149"/>
      <c r="M118" s="154">
        <v>406890.54</v>
      </c>
      <c r="N118" s="149"/>
      <c r="O118" s="149"/>
      <c r="P118" s="149"/>
      <c r="Q118" s="154">
        <v>0</v>
      </c>
    </row>
    <row r="119" spans="1:17" x14ac:dyDescent="0.25">
      <c r="A119" t="s">
        <v>458</v>
      </c>
      <c r="B119" s="153" t="s">
        <v>625</v>
      </c>
      <c r="C119" s="153" t="s">
        <v>626</v>
      </c>
      <c r="D119" s="153" t="s">
        <v>150</v>
      </c>
      <c r="E119" s="154">
        <v>13157.13</v>
      </c>
      <c r="F119" s="154">
        <v>1.03</v>
      </c>
      <c r="G119" s="154">
        <v>13551.84</v>
      </c>
      <c r="H119" s="154">
        <v>0.91</v>
      </c>
      <c r="I119" s="154">
        <v>11972.99</v>
      </c>
      <c r="J119" s="149"/>
      <c r="K119" s="154">
        <v>394.71</v>
      </c>
      <c r="L119" s="149"/>
      <c r="M119" s="154">
        <v>13157.13</v>
      </c>
      <c r="N119" s="149"/>
      <c r="O119" s="154">
        <v>11886.16</v>
      </c>
      <c r="P119" s="149"/>
      <c r="Q119" s="154">
        <v>0</v>
      </c>
    </row>
    <row r="120" spans="1:17" x14ac:dyDescent="0.25">
      <c r="A120" t="s">
        <v>458</v>
      </c>
      <c r="B120" s="153" t="s">
        <v>627</v>
      </c>
      <c r="C120" s="153" t="s">
        <v>628</v>
      </c>
      <c r="D120" s="153" t="s">
        <v>150</v>
      </c>
      <c r="E120" s="154">
        <v>28223.07</v>
      </c>
      <c r="F120" s="154">
        <v>1.03</v>
      </c>
      <c r="G120" s="154">
        <v>29069.759999999998</v>
      </c>
      <c r="H120" s="154">
        <v>0.91</v>
      </c>
      <c r="I120" s="154">
        <v>25682.99</v>
      </c>
      <c r="J120" s="149"/>
      <c r="K120" s="154">
        <v>846.69</v>
      </c>
      <c r="L120" s="149"/>
      <c r="M120" s="154">
        <v>28223.07</v>
      </c>
      <c r="N120" s="149"/>
      <c r="O120" s="154">
        <v>25496.720000000001</v>
      </c>
      <c r="P120" s="149"/>
      <c r="Q120" s="154">
        <v>0</v>
      </c>
    </row>
    <row r="121" spans="1:17" x14ac:dyDescent="0.25">
      <c r="A121" t="s">
        <v>458</v>
      </c>
      <c r="B121" s="153" t="s">
        <v>629</v>
      </c>
      <c r="C121" s="153" t="s">
        <v>630</v>
      </c>
      <c r="D121" s="153" t="s">
        <v>150</v>
      </c>
      <c r="E121" s="154">
        <v>8444.33</v>
      </c>
      <c r="F121" s="154">
        <v>1.03</v>
      </c>
      <c r="G121" s="154">
        <v>8697.66</v>
      </c>
      <c r="H121" s="154">
        <v>0.91</v>
      </c>
      <c r="I121" s="154">
        <v>7684.34</v>
      </c>
      <c r="J121" s="149"/>
      <c r="K121" s="154">
        <v>253.33</v>
      </c>
      <c r="L121" s="149"/>
      <c r="M121" s="154">
        <v>8444.33</v>
      </c>
      <c r="N121" s="149"/>
      <c r="O121" s="154">
        <v>7628.61</v>
      </c>
      <c r="P121" s="149"/>
      <c r="Q121" s="154">
        <v>0</v>
      </c>
    </row>
    <row r="122" spans="1:17" x14ac:dyDescent="0.25">
      <c r="A122" t="s">
        <v>716</v>
      </c>
      <c r="B122" s="153" t="s">
        <v>631</v>
      </c>
      <c r="C122" s="153" t="s">
        <v>632</v>
      </c>
      <c r="D122" s="153" t="s">
        <v>138</v>
      </c>
      <c r="E122" s="154">
        <v>461.34</v>
      </c>
      <c r="F122" s="154">
        <v>326.43</v>
      </c>
      <c r="G122" s="154">
        <v>150595.22</v>
      </c>
      <c r="H122" s="154">
        <v>0</v>
      </c>
      <c r="I122" s="154">
        <v>0</v>
      </c>
      <c r="J122" s="154">
        <v>11594.57</v>
      </c>
      <c r="K122" s="154">
        <v>136210.64000000001</v>
      </c>
      <c r="L122" s="154">
        <v>347.8</v>
      </c>
      <c r="M122" s="154">
        <v>2445.1</v>
      </c>
      <c r="N122" s="154">
        <v>0</v>
      </c>
      <c r="O122" s="154">
        <v>0</v>
      </c>
      <c r="P122" s="154">
        <v>0</v>
      </c>
      <c r="Q122" s="154">
        <v>0</v>
      </c>
    </row>
    <row r="123" spans="1:17" x14ac:dyDescent="0.25">
      <c r="B123" s="153" t="s">
        <v>633</v>
      </c>
      <c r="C123" s="153" t="s">
        <v>153</v>
      </c>
      <c r="D123" s="153" t="s">
        <v>82</v>
      </c>
      <c r="E123" s="154">
        <v>6458.58</v>
      </c>
      <c r="F123" s="154">
        <v>1.85</v>
      </c>
      <c r="G123" s="154">
        <v>11948.37</v>
      </c>
      <c r="H123" s="154">
        <v>0</v>
      </c>
      <c r="I123" s="154">
        <v>0</v>
      </c>
      <c r="J123" s="154">
        <v>10644.24</v>
      </c>
      <c r="K123" s="154">
        <v>775.03</v>
      </c>
      <c r="L123" s="154">
        <v>532.83000000000004</v>
      </c>
      <c r="M123" s="149"/>
      <c r="N123" s="154">
        <v>0</v>
      </c>
      <c r="O123" s="154">
        <v>0</v>
      </c>
      <c r="P123" s="154">
        <v>0</v>
      </c>
      <c r="Q123" s="149"/>
    </row>
    <row r="124" spans="1:17" x14ac:dyDescent="0.25">
      <c r="B124" s="153" t="s">
        <v>634</v>
      </c>
      <c r="C124" s="153" t="s">
        <v>237</v>
      </c>
      <c r="D124" s="153" t="s">
        <v>82</v>
      </c>
      <c r="E124" s="154">
        <v>6458.58</v>
      </c>
      <c r="F124" s="154">
        <v>8.2200000000000006</v>
      </c>
      <c r="G124" s="154">
        <v>53089.53</v>
      </c>
      <c r="H124" s="154">
        <v>0</v>
      </c>
      <c r="I124" s="154">
        <v>0</v>
      </c>
      <c r="J124" s="154">
        <v>51531.27</v>
      </c>
      <c r="K124" s="149"/>
      <c r="L124" s="154">
        <v>1546.18</v>
      </c>
      <c r="M124" s="149"/>
      <c r="N124" s="154">
        <v>0</v>
      </c>
      <c r="O124" s="149"/>
      <c r="P124" s="154">
        <v>0</v>
      </c>
      <c r="Q124" s="149"/>
    </row>
    <row r="125" spans="1:17" x14ac:dyDescent="0.25">
      <c r="B125" s="153" t="s">
        <v>635</v>
      </c>
      <c r="C125" s="153" t="s">
        <v>636</v>
      </c>
      <c r="D125" s="153" t="s">
        <v>82</v>
      </c>
      <c r="E125" s="154">
        <v>6458.58</v>
      </c>
      <c r="F125" s="154">
        <v>3.48</v>
      </c>
      <c r="G125" s="154">
        <v>22475.86</v>
      </c>
      <c r="H125" s="154">
        <v>0</v>
      </c>
      <c r="I125" s="154">
        <v>0</v>
      </c>
      <c r="J125" s="154">
        <v>21346.11</v>
      </c>
      <c r="K125" s="149"/>
      <c r="L125" s="154">
        <v>1068.8900000000001</v>
      </c>
      <c r="M125" s="149"/>
      <c r="N125" s="154">
        <v>0</v>
      </c>
      <c r="O125" s="149"/>
      <c r="P125" s="154">
        <v>0</v>
      </c>
      <c r="Q125" s="149"/>
    </row>
    <row r="126" spans="1:17" x14ac:dyDescent="0.25">
      <c r="B126" s="153" t="s">
        <v>637</v>
      </c>
      <c r="C126" s="153" t="s">
        <v>638</v>
      </c>
      <c r="D126" s="153" t="s">
        <v>82</v>
      </c>
      <c r="E126" s="154">
        <v>6458.58</v>
      </c>
      <c r="F126" s="154">
        <v>3.5</v>
      </c>
      <c r="G126" s="154">
        <v>22605.03</v>
      </c>
      <c r="H126" s="154">
        <v>0</v>
      </c>
      <c r="I126" s="154">
        <v>0</v>
      </c>
      <c r="J126" s="149"/>
      <c r="K126" s="149"/>
      <c r="L126" s="149"/>
      <c r="M126" s="154">
        <v>22605.03</v>
      </c>
      <c r="N126" s="149"/>
      <c r="O126" s="149"/>
      <c r="P126" s="149"/>
      <c r="Q126" s="154">
        <v>0</v>
      </c>
    </row>
    <row r="127" spans="1:17" x14ac:dyDescent="0.25">
      <c r="B127" s="155" t="s">
        <v>113</v>
      </c>
      <c r="C127" s="155" t="s">
        <v>639</v>
      </c>
      <c r="D127" s="149"/>
      <c r="E127" s="149"/>
      <c r="F127" s="149"/>
      <c r="G127" s="156">
        <v>151716.19</v>
      </c>
      <c r="H127" s="149"/>
      <c r="I127" s="156">
        <v>5986.63</v>
      </c>
      <c r="J127" s="156">
        <v>38297.43</v>
      </c>
      <c r="K127" s="156">
        <v>50477.19</v>
      </c>
      <c r="L127" s="156">
        <v>1238.25</v>
      </c>
      <c r="M127" s="156">
        <v>61691.94</v>
      </c>
      <c r="N127" s="156">
        <v>0</v>
      </c>
      <c r="O127" s="156">
        <v>5941.21</v>
      </c>
      <c r="P127" s="156">
        <v>0</v>
      </c>
      <c r="Q127" s="156">
        <v>0</v>
      </c>
    </row>
    <row r="128" spans="1:17" x14ac:dyDescent="0.25">
      <c r="A128" t="s">
        <v>717</v>
      </c>
      <c r="B128" s="153" t="s">
        <v>640</v>
      </c>
      <c r="C128" s="153" t="s">
        <v>258</v>
      </c>
      <c r="D128" s="153" t="s">
        <v>82</v>
      </c>
      <c r="E128" s="154">
        <v>897.94</v>
      </c>
      <c r="F128" s="154">
        <v>46.83</v>
      </c>
      <c r="G128" s="154">
        <v>42050.53</v>
      </c>
      <c r="H128" s="154">
        <v>0.38</v>
      </c>
      <c r="I128" s="154">
        <v>341.22</v>
      </c>
      <c r="J128" s="154">
        <v>23300.3</v>
      </c>
      <c r="K128" s="154">
        <v>10416.11</v>
      </c>
      <c r="L128" s="154">
        <v>699.05</v>
      </c>
      <c r="M128" s="154">
        <v>7632.49</v>
      </c>
      <c r="N128" s="154">
        <v>0</v>
      </c>
      <c r="O128" s="154">
        <v>336.73</v>
      </c>
      <c r="P128" s="154">
        <v>0</v>
      </c>
      <c r="Q128" s="154">
        <v>0</v>
      </c>
    </row>
    <row r="129" spans="1:17" x14ac:dyDescent="0.25">
      <c r="B129" s="153" t="s">
        <v>641</v>
      </c>
      <c r="C129" s="153" t="s">
        <v>642</v>
      </c>
      <c r="D129" s="153" t="s">
        <v>82</v>
      </c>
      <c r="E129" s="154">
        <v>897.94</v>
      </c>
      <c r="F129" s="154">
        <v>49</v>
      </c>
      <c r="G129" s="154">
        <v>43999.06</v>
      </c>
      <c r="H129" s="154">
        <v>0</v>
      </c>
      <c r="I129" s="154">
        <v>0</v>
      </c>
      <c r="J129" s="149"/>
      <c r="K129" s="149"/>
      <c r="L129" s="149"/>
      <c r="M129" s="154">
        <v>43999.06</v>
      </c>
      <c r="N129" s="149"/>
      <c r="O129" s="149"/>
      <c r="P129" s="149"/>
      <c r="Q129" s="154">
        <v>0</v>
      </c>
    </row>
    <row r="130" spans="1:17" x14ac:dyDescent="0.25">
      <c r="A130" t="s">
        <v>458</v>
      </c>
      <c r="B130" s="153" t="s">
        <v>643</v>
      </c>
      <c r="C130" s="153" t="s">
        <v>626</v>
      </c>
      <c r="D130" s="153" t="s">
        <v>150</v>
      </c>
      <c r="E130" s="154">
        <v>3133.89</v>
      </c>
      <c r="F130" s="154">
        <v>1.03</v>
      </c>
      <c r="G130" s="154">
        <v>3227.91</v>
      </c>
      <c r="H130" s="154">
        <v>0.91</v>
      </c>
      <c r="I130" s="154">
        <v>2851.84</v>
      </c>
      <c r="J130" s="149"/>
      <c r="K130" s="154">
        <v>94.02</v>
      </c>
      <c r="L130" s="149"/>
      <c r="M130" s="154">
        <v>3133.89</v>
      </c>
      <c r="N130" s="149"/>
      <c r="O130" s="154">
        <v>2831.16</v>
      </c>
      <c r="P130" s="149"/>
      <c r="Q130" s="154">
        <v>0</v>
      </c>
    </row>
    <row r="131" spans="1:17" x14ac:dyDescent="0.25">
      <c r="A131" t="s">
        <v>458</v>
      </c>
      <c r="B131" s="153" t="s">
        <v>644</v>
      </c>
      <c r="C131" s="153" t="s">
        <v>620</v>
      </c>
      <c r="D131" s="153" t="s">
        <v>150</v>
      </c>
      <c r="E131" s="154">
        <v>1812.74</v>
      </c>
      <c r="F131" s="154">
        <v>1.03</v>
      </c>
      <c r="G131" s="154">
        <v>1867.12</v>
      </c>
      <c r="H131" s="154">
        <v>0.91</v>
      </c>
      <c r="I131" s="154">
        <v>1649.59</v>
      </c>
      <c r="J131" s="149"/>
      <c r="K131" s="154">
        <v>54.38</v>
      </c>
      <c r="L131" s="149"/>
      <c r="M131" s="154">
        <v>1812.74</v>
      </c>
      <c r="N131" s="149"/>
      <c r="O131" s="154">
        <v>1637.63</v>
      </c>
      <c r="P131" s="149"/>
      <c r="Q131" s="154">
        <v>0</v>
      </c>
    </row>
    <row r="132" spans="1:17" x14ac:dyDescent="0.25">
      <c r="A132" t="s">
        <v>458</v>
      </c>
      <c r="B132" s="153" t="s">
        <v>645</v>
      </c>
      <c r="C132" s="153" t="s">
        <v>630</v>
      </c>
      <c r="D132" s="153" t="s">
        <v>150</v>
      </c>
      <c r="E132" s="154">
        <v>1257.1199999999999</v>
      </c>
      <c r="F132" s="154">
        <v>1.03</v>
      </c>
      <c r="G132" s="154">
        <v>1294.83</v>
      </c>
      <c r="H132" s="154">
        <v>0.91</v>
      </c>
      <c r="I132" s="154">
        <v>1143.98</v>
      </c>
      <c r="J132" s="149"/>
      <c r="K132" s="154">
        <v>37.71</v>
      </c>
      <c r="L132" s="149"/>
      <c r="M132" s="154">
        <v>1257.1199999999999</v>
      </c>
      <c r="N132" s="149"/>
      <c r="O132" s="154">
        <v>1135.69</v>
      </c>
      <c r="P132" s="149"/>
      <c r="Q132" s="154">
        <v>0</v>
      </c>
    </row>
    <row r="133" spans="1:17" x14ac:dyDescent="0.25">
      <c r="A133" t="s">
        <v>716</v>
      </c>
      <c r="B133" s="153" t="s">
        <v>646</v>
      </c>
      <c r="C133" s="153" t="s">
        <v>231</v>
      </c>
      <c r="D133" s="153" t="s">
        <v>138</v>
      </c>
      <c r="E133" s="154">
        <v>134.69</v>
      </c>
      <c r="F133" s="154">
        <v>326.43</v>
      </c>
      <c r="G133" s="154">
        <v>43966.86</v>
      </c>
      <c r="H133" s="154">
        <v>0</v>
      </c>
      <c r="I133" s="154">
        <v>0</v>
      </c>
      <c r="J133" s="154">
        <v>3385.07</v>
      </c>
      <c r="K133" s="154">
        <v>39767.22</v>
      </c>
      <c r="L133" s="154">
        <v>101.54</v>
      </c>
      <c r="M133" s="154">
        <v>713.85</v>
      </c>
      <c r="N133" s="154">
        <v>0</v>
      </c>
      <c r="O133" s="154">
        <v>0</v>
      </c>
      <c r="P133" s="154">
        <v>0</v>
      </c>
      <c r="Q133" s="154">
        <v>0</v>
      </c>
    </row>
    <row r="134" spans="1:17" x14ac:dyDescent="0.25">
      <c r="B134" s="153" t="s">
        <v>647</v>
      </c>
      <c r="C134" s="153" t="s">
        <v>153</v>
      </c>
      <c r="D134" s="153" t="s">
        <v>82</v>
      </c>
      <c r="E134" s="154">
        <v>897.94</v>
      </c>
      <c r="F134" s="154">
        <v>1.85</v>
      </c>
      <c r="G134" s="154">
        <v>1661.19</v>
      </c>
      <c r="H134" s="154">
        <v>0</v>
      </c>
      <c r="I134" s="154">
        <v>0</v>
      </c>
      <c r="J134" s="154">
        <v>1479.88</v>
      </c>
      <c r="K134" s="154">
        <v>107.75</v>
      </c>
      <c r="L134" s="154">
        <v>74.08</v>
      </c>
      <c r="M134" s="149"/>
      <c r="N134" s="154">
        <v>0</v>
      </c>
      <c r="O134" s="154">
        <v>0</v>
      </c>
      <c r="P134" s="154">
        <v>0</v>
      </c>
      <c r="Q134" s="149"/>
    </row>
    <row r="135" spans="1:17" x14ac:dyDescent="0.25">
      <c r="B135" s="153" t="s">
        <v>648</v>
      </c>
      <c r="C135" s="153" t="s">
        <v>237</v>
      </c>
      <c r="D135" s="153" t="s">
        <v>82</v>
      </c>
      <c r="E135" s="154">
        <v>897.94</v>
      </c>
      <c r="F135" s="154">
        <v>8.2200000000000006</v>
      </c>
      <c r="G135" s="154">
        <v>7381.07</v>
      </c>
      <c r="H135" s="154">
        <v>0</v>
      </c>
      <c r="I135" s="154">
        <v>0</v>
      </c>
      <c r="J135" s="154">
        <v>7164.42</v>
      </c>
      <c r="K135" s="149"/>
      <c r="L135" s="154">
        <v>214.97</v>
      </c>
      <c r="M135" s="149"/>
      <c r="N135" s="154">
        <v>0</v>
      </c>
      <c r="O135" s="149"/>
      <c r="P135" s="154">
        <v>0</v>
      </c>
      <c r="Q135" s="149"/>
    </row>
    <row r="136" spans="1:17" x14ac:dyDescent="0.25">
      <c r="B136" s="153" t="s">
        <v>649</v>
      </c>
      <c r="C136" s="153" t="s">
        <v>636</v>
      </c>
      <c r="D136" s="153" t="s">
        <v>82</v>
      </c>
      <c r="E136" s="154">
        <v>897.94</v>
      </c>
      <c r="F136" s="154">
        <v>3.48</v>
      </c>
      <c r="G136" s="154">
        <v>3124.83</v>
      </c>
      <c r="H136" s="154">
        <v>0</v>
      </c>
      <c r="I136" s="154">
        <v>0</v>
      </c>
      <c r="J136" s="154">
        <v>2967.76</v>
      </c>
      <c r="K136" s="149"/>
      <c r="L136" s="154">
        <v>148.61000000000001</v>
      </c>
      <c r="M136" s="149"/>
      <c r="N136" s="154">
        <v>0</v>
      </c>
      <c r="O136" s="149"/>
      <c r="P136" s="154">
        <v>0</v>
      </c>
      <c r="Q136" s="149"/>
    </row>
    <row r="137" spans="1:17" x14ac:dyDescent="0.25">
      <c r="B137" s="153" t="s">
        <v>650</v>
      </c>
      <c r="C137" s="153" t="s">
        <v>638</v>
      </c>
      <c r="D137" s="153" t="s">
        <v>82</v>
      </c>
      <c r="E137" s="154">
        <v>897.94</v>
      </c>
      <c r="F137" s="154">
        <v>3.5</v>
      </c>
      <c r="G137" s="154">
        <v>3142.79</v>
      </c>
      <c r="H137" s="154">
        <v>0</v>
      </c>
      <c r="I137" s="154">
        <v>0</v>
      </c>
      <c r="J137" s="149"/>
      <c r="K137" s="149"/>
      <c r="L137" s="149"/>
      <c r="M137" s="154">
        <v>3142.79</v>
      </c>
      <c r="N137" s="149"/>
      <c r="O137" s="149"/>
      <c r="P137" s="149"/>
      <c r="Q137" s="154">
        <v>0</v>
      </c>
    </row>
    <row r="138" spans="1:17" x14ac:dyDescent="0.25">
      <c r="B138" s="155" t="s">
        <v>115</v>
      </c>
      <c r="C138" s="155" t="s">
        <v>238</v>
      </c>
      <c r="D138" s="149"/>
      <c r="E138" s="149"/>
      <c r="F138" s="149"/>
      <c r="G138" s="156">
        <v>74105.06</v>
      </c>
      <c r="H138" s="149"/>
      <c r="I138" s="156">
        <v>6052.7</v>
      </c>
      <c r="J138" s="156">
        <v>24777.33</v>
      </c>
      <c r="K138" s="156">
        <v>31410.18</v>
      </c>
      <c r="L138" s="156">
        <v>1176.46</v>
      </c>
      <c r="M138" s="156">
        <v>16735.53</v>
      </c>
      <c r="N138" s="156">
        <v>0</v>
      </c>
      <c r="O138" s="156">
        <v>6014.1</v>
      </c>
      <c r="P138" s="156">
        <v>0</v>
      </c>
      <c r="Q138" s="156">
        <v>0</v>
      </c>
    </row>
    <row r="139" spans="1:17" x14ac:dyDescent="0.25">
      <c r="B139" s="157" t="s">
        <v>651</v>
      </c>
      <c r="C139" s="157" t="s">
        <v>652</v>
      </c>
      <c r="D139" s="149"/>
      <c r="E139" s="149"/>
      <c r="F139" s="149"/>
      <c r="G139" s="158">
        <v>12574.93</v>
      </c>
      <c r="H139" s="149"/>
      <c r="I139" s="158">
        <v>1012.53</v>
      </c>
      <c r="J139" s="158">
        <v>4066.19</v>
      </c>
      <c r="K139" s="158">
        <v>5493.47</v>
      </c>
      <c r="L139" s="158">
        <v>192.5</v>
      </c>
      <c r="M139" s="158">
        <v>2821.88</v>
      </c>
      <c r="N139" s="158">
        <v>0</v>
      </c>
      <c r="O139" s="158">
        <v>1006.05</v>
      </c>
      <c r="P139" s="158">
        <v>0</v>
      </c>
      <c r="Q139" s="158">
        <v>0</v>
      </c>
    </row>
    <row r="140" spans="1:17" x14ac:dyDescent="0.25">
      <c r="A140" t="s">
        <v>717</v>
      </c>
      <c r="B140" s="153" t="s">
        <v>653</v>
      </c>
      <c r="C140" s="153" t="s">
        <v>654</v>
      </c>
      <c r="D140" s="153" t="s">
        <v>82</v>
      </c>
      <c r="E140" s="154">
        <v>107.1</v>
      </c>
      <c r="F140" s="154">
        <v>55.09</v>
      </c>
      <c r="G140" s="154">
        <v>5900.14</v>
      </c>
      <c r="H140" s="154">
        <v>0.42</v>
      </c>
      <c r="I140" s="154">
        <v>44.98</v>
      </c>
      <c r="J140" s="154">
        <v>3527.52</v>
      </c>
      <c r="K140" s="154">
        <v>1194.17</v>
      </c>
      <c r="L140" s="154">
        <v>176.34</v>
      </c>
      <c r="M140" s="154">
        <v>1001.39</v>
      </c>
      <c r="N140" s="154">
        <v>0</v>
      </c>
      <c r="O140" s="154">
        <v>45.52</v>
      </c>
      <c r="P140" s="154">
        <v>0</v>
      </c>
      <c r="Q140" s="154">
        <v>0</v>
      </c>
    </row>
    <row r="141" spans="1:17" x14ac:dyDescent="0.25">
      <c r="A141" t="s">
        <v>458</v>
      </c>
      <c r="B141" s="153" t="s">
        <v>655</v>
      </c>
      <c r="C141" s="153" t="s">
        <v>656</v>
      </c>
      <c r="D141" s="153" t="s">
        <v>150</v>
      </c>
      <c r="E141" s="154">
        <v>1063.24</v>
      </c>
      <c r="F141" s="154">
        <v>1.03</v>
      </c>
      <c r="G141" s="154">
        <v>1095.1400000000001</v>
      </c>
      <c r="H141" s="154">
        <v>0.91</v>
      </c>
      <c r="I141" s="154">
        <v>967.55</v>
      </c>
      <c r="J141" s="149"/>
      <c r="K141" s="154">
        <v>31.9</v>
      </c>
      <c r="L141" s="149"/>
      <c r="M141" s="154">
        <v>1063.24</v>
      </c>
      <c r="N141" s="149"/>
      <c r="O141" s="154">
        <v>960.53</v>
      </c>
      <c r="P141" s="149"/>
      <c r="Q141" s="154">
        <v>0</v>
      </c>
    </row>
    <row r="142" spans="1:17" x14ac:dyDescent="0.25">
      <c r="A142" t="s">
        <v>716</v>
      </c>
      <c r="B142" s="153" t="s">
        <v>657</v>
      </c>
      <c r="C142" s="153" t="s">
        <v>658</v>
      </c>
      <c r="D142" s="153" t="s">
        <v>138</v>
      </c>
      <c r="E142" s="154">
        <v>14.41</v>
      </c>
      <c r="F142" s="154">
        <v>373.68</v>
      </c>
      <c r="G142" s="154">
        <v>5384.73</v>
      </c>
      <c r="H142" s="154">
        <v>0</v>
      </c>
      <c r="I142" s="154">
        <v>0</v>
      </c>
      <c r="J142" s="154">
        <v>362.16</v>
      </c>
      <c r="K142" s="154">
        <v>4254.55</v>
      </c>
      <c r="L142" s="154">
        <v>10.86</v>
      </c>
      <c r="M142" s="154">
        <v>757.25</v>
      </c>
      <c r="N142" s="154">
        <v>0</v>
      </c>
      <c r="O142" s="154">
        <v>0</v>
      </c>
      <c r="P142" s="154">
        <v>0</v>
      </c>
      <c r="Q142" s="154">
        <v>0</v>
      </c>
    </row>
    <row r="143" spans="1:17" x14ac:dyDescent="0.25">
      <c r="B143" s="153" t="s">
        <v>659</v>
      </c>
      <c r="C143" s="153" t="s">
        <v>660</v>
      </c>
      <c r="D143" s="153" t="s">
        <v>82</v>
      </c>
      <c r="E143" s="154">
        <v>107.1</v>
      </c>
      <c r="F143" s="154">
        <v>1.82</v>
      </c>
      <c r="G143" s="154">
        <v>194.92</v>
      </c>
      <c r="H143" s="154">
        <v>0</v>
      </c>
      <c r="I143" s="154">
        <v>0</v>
      </c>
      <c r="J143" s="154">
        <v>176.51</v>
      </c>
      <c r="K143" s="154">
        <v>12.85</v>
      </c>
      <c r="L143" s="154">
        <v>5.3</v>
      </c>
      <c r="M143" s="149"/>
      <c r="N143" s="154">
        <v>0</v>
      </c>
      <c r="O143" s="154">
        <v>0</v>
      </c>
      <c r="P143" s="154">
        <v>0</v>
      </c>
      <c r="Q143" s="149"/>
    </row>
    <row r="144" spans="1:17" x14ac:dyDescent="0.25">
      <c r="B144" s="157" t="s">
        <v>661</v>
      </c>
      <c r="C144" s="157" t="s">
        <v>662</v>
      </c>
      <c r="D144" s="149"/>
      <c r="E144" s="149"/>
      <c r="F144" s="149"/>
      <c r="G144" s="158">
        <v>61530.13</v>
      </c>
      <c r="H144" s="149"/>
      <c r="I144" s="158">
        <v>5040.17</v>
      </c>
      <c r="J144" s="158">
        <v>20711.14</v>
      </c>
      <c r="K144" s="158">
        <v>25916.71</v>
      </c>
      <c r="L144" s="158">
        <v>983.96</v>
      </c>
      <c r="M144" s="158">
        <v>13913.65</v>
      </c>
      <c r="N144" s="158">
        <v>0</v>
      </c>
      <c r="O144" s="158">
        <v>5008.05</v>
      </c>
      <c r="P144" s="158">
        <v>0</v>
      </c>
      <c r="Q144" s="158">
        <v>0</v>
      </c>
    </row>
    <row r="145" spans="1:17" x14ac:dyDescent="0.25">
      <c r="A145" t="s">
        <v>717</v>
      </c>
      <c r="B145" s="153" t="s">
        <v>663</v>
      </c>
      <c r="C145" s="153" t="s">
        <v>654</v>
      </c>
      <c r="D145" s="153" t="s">
        <v>82</v>
      </c>
      <c r="E145" s="154">
        <v>550.73</v>
      </c>
      <c r="F145" s="154">
        <v>55.09</v>
      </c>
      <c r="G145" s="154">
        <v>30339.72</v>
      </c>
      <c r="H145" s="154">
        <v>0.42</v>
      </c>
      <c r="I145" s="154">
        <v>231.31</v>
      </c>
      <c r="J145" s="154">
        <v>18139.23</v>
      </c>
      <c r="K145" s="154">
        <v>6140.63</v>
      </c>
      <c r="L145" s="154">
        <v>906.78</v>
      </c>
      <c r="M145" s="154">
        <v>5149.33</v>
      </c>
      <c r="N145" s="154">
        <v>0</v>
      </c>
      <c r="O145" s="154">
        <v>234.06</v>
      </c>
      <c r="P145" s="154">
        <v>0</v>
      </c>
      <c r="Q145" s="154">
        <v>0</v>
      </c>
    </row>
    <row r="146" spans="1:17" x14ac:dyDescent="0.25">
      <c r="A146" t="s">
        <v>458</v>
      </c>
      <c r="B146" s="153" t="s">
        <v>664</v>
      </c>
      <c r="C146" s="153" t="s">
        <v>656</v>
      </c>
      <c r="D146" s="153" t="s">
        <v>150</v>
      </c>
      <c r="E146" s="154">
        <v>5284.46</v>
      </c>
      <c r="F146" s="154">
        <v>1.03</v>
      </c>
      <c r="G146" s="154">
        <v>5442.99</v>
      </c>
      <c r="H146" s="154">
        <v>0.91</v>
      </c>
      <c r="I146" s="154">
        <v>4808.8599999999997</v>
      </c>
      <c r="J146" s="149"/>
      <c r="K146" s="154">
        <v>158.53</v>
      </c>
      <c r="L146" s="149"/>
      <c r="M146" s="154">
        <v>5284.46</v>
      </c>
      <c r="N146" s="149"/>
      <c r="O146" s="154">
        <v>4773.99</v>
      </c>
      <c r="P146" s="149"/>
      <c r="Q146" s="154">
        <v>0</v>
      </c>
    </row>
    <row r="147" spans="1:17" x14ac:dyDescent="0.25">
      <c r="A147" t="s">
        <v>716</v>
      </c>
      <c r="B147" s="153" t="s">
        <v>665</v>
      </c>
      <c r="C147" s="153" t="s">
        <v>658</v>
      </c>
      <c r="D147" s="153" t="s">
        <v>138</v>
      </c>
      <c r="E147" s="154">
        <v>66.22</v>
      </c>
      <c r="F147" s="154">
        <v>373.68</v>
      </c>
      <c r="G147" s="154">
        <v>24745.09</v>
      </c>
      <c r="H147" s="154">
        <v>0</v>
      </c>
      <c r="I147" s="154">
        <v>0</v>
      </c>
      <c r="J147" s="154">
        <v>1664.27</v>
      </c>
      <c r="K147" s="154">
        <v>19551.46</v>
      </c>
      <c r="L147" s="154">
        <v>49.92</v>
      </c>
      <c r="M147" s="154">
        <v>3479.86</v>
      </c>
      <c r="N147" s="154">
        <v>0</v>
      </c>
      <c r="O147" s="154">
        <v>0</v>
      </c>
      <c r="P147" s="154">
        <v>0</v>
      </c>
      <c r="Q147" s="154">
        <v>0</v>
      </c>
    </row>
    <row r="148" spans="1:17" x14ac:dyDescent="0.25">
      <c r="B148" s="153" t="s">
        <v>666</v>
      </c>
      <c r="C148" s="153" t="s">
        <v>660</v>
      </c>
      <c r="D148" s="153" t="s">
        <v>82</v>
      </c>
      <c r="E148" s="154">
        <v>550.73</v>
      </c>
      <c r="F148" s="154">
        <v>1.82</v>
      </c>
      <c r="G148" s="154">
        <v>1002.33</v>
      </c>
      <c r="H148" s="154">
        <v>0</v>
      </c>
      <c r="I148" s="154">
        <v>0</v>
      </c>
      <c r="J148" s="154">
        <v>907.64</v>
      </c>
      <c r="K148" s="154">
        <v>66.09</v>
      </c>
      <c r="L148" s="154">
        <v>27.26</v>
      </c>
      <c r="M148" s="149"/>
      <c r="N148" s="154">
        <v>0</v>
      </c>
      <c r="O148" s="154">
        <v>0</v>
      </c>
      <c r="P148" s="154">
        <v>0</v>
      </c>
      <c r="Q148" s="149"/>
    </row>
    <row r="149" spans="1:17" x14ac:dyDescent="0.25">
      <c r="B149" s="155" t="s">
        <v>116</v>
      </c>
      <c r="C149" s="155" t="s">
        <v>667</v>
      </c>
      <c r="D149" s="149"/>
      <c r="E149" s="149"/>
      <c r="F149" s="149"/>
      <c r="G149" s="156">
        <v>7120.13</v>
      </c>
      <c r="H149" s="149"/>
      <c r="I149" s="156">
        <v>791.86</v>
      </c>
      <c r="J149" s="156">
        <v>2550.09</v>
      </c>
      <c r="K149" s="156">
        <v>2659.69</v>
      </c>
      <c r="L149" s="156">
        <v>122.57</v>
      </c>
      <c r="M149" s="156">
        <v>1787.4</v>
      </c>
      <c r="N149" s="156">
        <v>0</v>
      </c>
      <c r="O149" s="156">
        <v>786.66</v>
      </c>
      <c r="P149" s="156">
        <v>0</v>
      </c>
      <c r="Q149" s="156">
        <v>0</v>
      </c>
    </row>
    <row r="150" spans="1:17" x14ac:dyDescent="0.25">
      <c r="A150" t="s">
        <v>717</v>
      </c>
      <c r="B150" s="153" t="s">
        <v>668</v>
      </c>
      <c r="C150" s="153" t="s">
        <v>669</v>
      </c>
      <c r="D150" s="153" t="s">
        <v>82</v>
      </c>
      <c r="E150" s="154">
        <v>66.62</v>
      </c>
      <c r="F150" s="154">
        <v>55.09</v>
      </c>
      <c r="G150" s="154">
        <v>3670.1</v>
      </c>
      <c r="H150" s="154">
        <v>0.42</v>
      </c>
      <c r="I150" s="154">
        <v>27.98</v>
      </c>
      <c r="J150" s="154">
        <v>2194.25</v>
      </c>
      <c r="K150" s="154">
        <v>742.82</v>
      </c>
      <c r="L150" s="154">
        <v>109.69</v>
      </c>
      <c r="M150" s="154">
        <v>622.9</v>
      </c>
      <c r="N150" s="154">
        <v>0</v>
      </c>
      <c r="O150" s="154">
        <v>28.31</v>
      </c>
      <c r="P150" s="154">
        <v>0</v>
      </c>
      <c r="Q150" s="154">
        <v>0</v>
      </c>
    </row>
    <row r="151" spans="1:17" x14ac:dyDescent="0.25">
      <c r="A151" t="s">
        <v>458</v>
      </c>
      <c r="B151" s="153" t="s">
        <v>670</v>
      </c>
      <c r="C151" s="153" t="s">
        <v>149</v>
      </c>
      <c r="D151" s="153" t="s">
        <v>150</v>
      </c>
      <c r="E151" s="154">
        <v>839.43</v>
      </c>
      <c r="F151" s="154">
        <v>1.03</v>
      </c>
      <c r="G151" s="154">
        <v>864.61</v>
      </c>
      <c r="H151" s="154">
        <v>0.91</v>
      </c>
      <c r="I151" s="154">
        <v>763.88</v>
      </c>
      <c r="J151" s="149"/>
      <c r="K151" s="154">
        <v>25.18</v>
      </c>
      <c r="L151" s="149"/>
      <c r="M151" s="154">
        <v>839.43</v>
      </c>
      <c r="N151" s="149"/>
      <c r="O151" s="154">
        <v>758.35</v>
      </c>
      <c r="P151" s="149"/>
      <c r="Q151" s="154">
        <v>0</v>
      </c>
    </row>
    <row r="152" spans="1:17" x14ac:dyDescent="0.25">
      <c r="A152" t="s">
        <v>716</v>
      </c>
      <c r="B152" s="153" t="s">
        <v>671</v>
      </c>
      <c r="C152" s="153" t="s">
        <v>672</v>
      </c>
      <c r="D152" s="153" t="s">
        <v>138</v>
      </c>
      <c r="E152" s="154">
        <v>6.38</v>
      </c>
      <c r="F152" s="154">
        <v>385.92</v>
      </c>
      <c r="G152" s="154">
        <v>2462.17</v>
      </c>
      <c r="H152" s="154">
        <v>0</v>
      </c>
      <c r="I152" s="154">
        <v>0</v>
      </c>
      <c r="J152" s="154">
        <v>246.05</v>
      </c>
      <c r="K152" s="154">
        <v>1883.7</v>
      </c>
      <c r="L152" s="154">
        <v>7.38</v>
      </c>
      <c r="M152" s="154">
        <v>325.07</v>
      </c>
      <c r="N152" s="154">
        <v>0</v>
      </c>
      <c r="O152" s="154">
        <v>0</v>
      </c>
      <c r="P152" s="154">
        <v>0</v>
      </c>
      <c r="Q152" s="154">
        <v>0</v>
      </c>
    </row>
    <row r="153" spans="1:17" x14ac:dyDescent="0.25">
      <c r="B153" s="153" t="s">
        <v>673</v>
      </c>
      <c r="C153" s="153" t="s">
        <v>153</v>
      </c>
      <c r="D153" s="153" t="s">
        <v>82</v>
      </c>
      <c r="E153" s="154">
        <v>66.62</v>
      </c>
      <c r="F153" s="154">
        <v>1.85</v>
      </c>
      <c r="G153" s="154">
        <v>123.25</v>
      </c>
      <c r="H153" s="154">
        <v>0</v>
      </c>
      <c r="I153" s="154">
        <v>0</v>
      </c>
      <c r="J153" s="154">
        <v>109.79</v>
      </c>
      <c r="K153" s="154">
        <v>7.99</v>
      </c>
      <c r="L153" s="154">
        <v>5.5</v>
      </c>
      <c r="M153" s="149"/>
      <c r="N153" s="154">
        <v>0</v>
      </c>
      <c r="O153" s="154">
        <v>0</v>
      </c>
      <c r="P153" s="154">
        <v>0</v>
      </c>
      <c r="Q153" s="149"/>
    </row>
    <row r="154" spans="1:17" x14ac:dyDescent="0.25">
      <c r="B154" s="155" t="s">
        <v>118</v>
      </c>
      <c r="C154" s="155" t="s">
        <v>674</v>
      </c>
      <c r="D154" s="149"/>
      <c r="E154" s="149"/>
      <c r="F154" s="149"/>
      <c r="G154" s="156">
        <v>3546.52</v>
      </c>
      <c r="H154" s="149"/>
      <c r="I154" s="156">
        <v>226.44</v>
      </c>
      <c r="J154" s="156">
        <v>1261.5999999999999</v>
      </c>
      <c r="K154" s="156">
        <v>1495.15</v>
      </c>
      <c r="L154" s="156">
        <v>60.14</v>
      </c>
      <c r="M154" s="156">
        <v>729.43</v>
      </c>
      <c r="N154" s="156">
        <v>0</v>
      </c>
      <c r="O154" s="156">
        <v>225.05</v>
      </c>
      <c r="P154" s="156">
        <v>0</v>
      </c>
      <c r="Q154" s="156">
        <v>0</v>
      </c>
    </row>
    <row r="155" spans="1:17" x14ac:dyDescent="0.25">
      <c r="A155" t="s">
        <v>717</v>
      </c>
      <c r="B155" s="153" t="s">
        <v>675</v>
      </c>
      <c r="C155" s="153" t="s">
        <v>669</v>
      </c>
      <c r="D155" s="153" t="s">
        <v>82</v>
      </c>
      <c r="E155" s="154">
        <v>32.229999999999997</v>
      </c>
      <c r="F155" s="154">
        <v>55.09</v>
      </c>
      <c r="G155" s="154">
        <v>1775.55</v>
      </c>
      <c r="H155" s="154">
        <v>0.42</v>
      </c>
      <c r="I155" s="154">
        <v>13.54</v>
      </c>
      <c r="J155" s="154">
        <v>1061.55</v>
      </c>
      <c r="K155" s="154">
        <v>359.36</v>
      </c>
      <c r="L155" s="154">
        <v>53.07</v>
      </c>
      <c r="M155" s="154">
        <v>301.35000000000002</v>
      </c>
      <c r="N155" s="154">
        <v>0</v>
      </c>
      <c r="O155" s="154">
        <v>13.69</v>
      </c>
      <c r="P155" s="154">
        <v>0</v>
      </c>
      <c r="Q155" s="154">
        <v>0</v>
      </c>
    </row>
    <row r="156" spans="1:17" x14ac:dyDescent="0.25">
      <c r="A156" t="s">
        <v>458</v>
      </c>
      <c r="B156" s="153" t="s">
        <v>676</v>
      </c>
      <c r="C156" s="153" t="s">
        <v>149</v>
      </c>
      <c r="D156" s="153" t="s">
        <v>150</v>
      </c>
      <c r="E156" s="154">
        <v>233.96</v>
      </c>
      <c r="F156" s="154">
        <v>1.03</v>
      </c>
      <c r="G156" s="154">
        <v>240.98</v>
      </c>
      <c r="H156" s="154">
        <v>0.91</v>
      </c>
      <c r="I156" s="154">
        <v>212.9</v>
      </c>
      <c r="J156" s="149"/>
      <c r="K156" s="154">
        <v>7.02</v>
      </c>
      <c r="L156" s="149"/>
      <c r="M156" s="154">
        <v>233.96</v>
      </c>
      <c r="N156" s="149"/>
      <c r="O156" s="154">
        <v>211.36</v>
      </c>
      <c r="P156" s="149"/>
      <c r="Q156" s="154">
        <v>0</v>
      </c>
    </row>
    <row r="157" spans="1:17" x14ac:dyDescent="0.25">
      <c r="A157" t="s">
        <v>716</v>
      </c>
      <c r="B157" s="153" t="s">
        <v>677</v>
      </c>
      <c r="C157" s="153" t="s">
        <v>672</v>
      </c>
      <c r="D157" s="153" t="s">
        <v>138</v>
      </c>
      <c r="E157" s="154">
        <v>3.81</v>
      </c>
      <c r="F157" s="154">
        <v>385.92</v>
      </c>
      <c r="G157" s="154">
        <v>1470.36</v>
      </c>
      <c r="H157" s="154">
        <v>0</v>
      </c>
      <c r="I157" s="154">
        <v>0</v>
      </c>
      <c r="J157" s="154">
        <v>146.93</v>
      </c>
      <c r="K157" s="154">
        <v>1124.9000000000001</v>
      </c>
      <c r="L157" s="154">
        <v>4.41</v>
      </c>
      <c r="M157" s="154">
        <v>194.12</v>
      </c>
      <c r="N157" s="154">
        <v>0</v>
      </c>
      <c r="O157" s="154">
        <v>0</v>
      </c>
      <c r="P157" s="154">
        <v>0</v>
      </c>
      <c r="Q157" s="154">
        <v>0</v>
      </c>
    </row>
    <row r="158" spans="1:17" x14ac:dyDescent="0.25">
      <c r="B158" s="153" t="s">
        <v>678</v>
      </c>
      <c r="C158" s="153" t="s">
        <v>153</v>
      </c>
      <c r="D158" s="153" t="s">
        <v>82</v>
      </c>
      <c r="E158" s="154">
        <v>32.229999999999997</v>
      </c>
      <c r="F158" s="154">
        <v>1.85</v>
      </c>
      <c r="G158" s="154">
        <v>59.63</v>
      </c>
      <c r="H158" s="154">
        <v>0</v>
      </c>
      <c r="I158" s="154">
        <v>0</v>
      </c>
      <c r="J158" s="154">
        <v>53.12</v>
      </c>
      <c r="K158" s="154">
        <v>3.87</v>
      </c>
      <c r="L158" s="154">
        <v>2.66</v>
      </c>
      <c r="M158" s="149"/>
      <c r="N158" s="154">
        <v>0</v>
      </c>
      <c r="O158" s="154">
        <v>0</v>
      </c>
      <c r="P158" s="154">
        <v>0</v>
      </c>
      <c r="Q158" s="149"/>
    </row>
    <row r="159" spans="1:17" x14ac:dyDescent="0.25">
      <c r="B159" s="155" t="s">
        <v>119</v>
      </c>
      <c r="C159" s="155" t="s">
        <v>679</v>
      </c>
      <c r="D159" s="149"/>
      <c r="E159" s="149"/>
      <c r="F159" s="149"/>
      <c r="G159" s="156">
        <v>6800.66</v>
      </c>
      <c r="H159" s="149"/>
      <c r="I159" s="156">
        <v>369.32</v>
      </c>
      <c r="J159" s="156">
        <v>2758.15</v>
      </c>
      <c r="K159" s="156">
        <v>2555.15</v>
      </c>
      <c r="L159" s="156">
        <v>133.38999999999999</v>
      </c>
      <c r="M159" s="156">
        <v>1353.54</v>
      </c>
      <c r="N159" s="156">
        <v>0</v>
      </c>
      <c r="O159" s="156">
        <v>367.23</v>
      </c>
      <c r="P159" s="156">
        <v>0</v>
      </c>
      <c r="Q159" s="156">
        <v>0</v>
      </c>
    </row>
    <row r="160" spans="1:17" x14ac:dyDescent="0.25">
      <c r="A160" t="s">
        <v>717</v>
      </c>
      <c r="B160" s="153" t="s">
        <v>680</v>
      </c>
      <c r="C160" s="153" t="s">
        <v>669</v>
      </c>
      <c r="D160" s="153" t="s">
        <v>82</v>
      </c>
      <c r="E160" s="154">
        <v>73.260000000000005</v>
      </c>
      <c r="F160" s="154">
        <v>55.09</v>
      </c>
      <c r="G160" s="154">
        <v>4035.89</v>
      </c>
      <c r="H160" s="154">
        <v>0.42</v>
      </c>
      <c r="I160" s="154">
        <v>30.77</v>
      </c>
      <c r="J160" s="154">
        <v>2412.9499999999998</v>
      </c>
      <c r="K160" s="154">
        <v>816.84</v>
      </c>
      <c r="L160" s="154">
        <v>120.62</v>
      </c>
      <c r="M160" s="154">
        <v>684.98</v>
      </c>
      <c r="N160" s="154">
        <v>0</v>
      </c>
      <c r="O160" s="154">
        <v>31.14</v>
      </c>
      <c r="P160" s="154">
        <v>0</v>
      </c>
      <c r="Q160" s="154">
        <v>0</v>
      </c>
    </row>
    <row r="161" spans="1:17" x14ac:dyDescent="0.25">
      <c r="A161" t="s">
        <v>458</v>
      </c>
      <c r="B161" s="153" t="s">
        <v>681</v>
      </c>
      <c r="C161" s="153" t="s">
        <v>149</v>
      </c>
      <c r="D161" s="153" t="s">
        <v>150</v>
      </c>
      <c r="E161" s="154">
        <v>372.03</v>
      </c>
      <c r="F161" s="154">
        <v>1.03</v>
      </c>
      <c r="G161" s="154">
        <v>383.19</v>
      </c>
      <c r="H161" s="154">
        <v>0.91</v>
      </c>
      <c r="I161" s="154">
        <v>338.55</v>
      </c>
      <c r="J161" s="149"/>
      <c r="K161" s="154">
        <v>11.16</v>
      </c>
      <c r="L161" s="149"/>
      <c r="M161" s="154">
        <v>372.03</v>
      </c>
      <c r="N161" s="149"/>
      <c r="O161" s="154">
        <v>336.09</v>
      </c>
      <c r="P161" s="149"/>
      <c r="Q161" s="154">
        <v>0</v>
      </c>
    </row>
    <row r="162" spans="1:17" x14ac:dyDescent="0.25">
      <c r="A162" t="s">
        <v>716</v>
      </c>
      <c r="B162" s="153" t="s">
        <v>682</v>
      </c>
      <c r="C162" s="153" t="s">
        <v>672</v>
      </c>
      <c r="D162" s="153" t="s">
        <v>138</v>
      </c>
      <c r="E162" s="154">
        <v>5.82</v>
      </c>
      <c r="F162" s="154">
        <v>385.92</v>
      </c>
      <c r="G162" s="154">
        <v>2246.0500000000002</v>
      </c>
      <c r="H162" s="154">
        <v>0</v>
      </c>
      <c r="I162" s="154">
        <v>0</v>
      </c>
      <c r="J162" s="154">
        <v>224.46</v>
      </c>
      <c r="K162" s="154">
        <v>1718.36</v>
      </c>
      <c r="L162" s="154">
        <v>6.73</v>
      </c>
      <c r="M162" s="154">
        <v>296.52999999999997</v>
      </c>
      <c r="N162" s="154">
        <v>0</v>
      </c>
      <c r="O162" s="154">
        <v>0</v>
      </c>
      <c r="P162" s="154">
        <v>0</v>
      </c>
      <c r="Q162" s="154">
        <v>0</v>
      </c>
    </row>
    <row r="163" spans="1:17" x14ac:dyDescent="0.25">
      <c r="B163" s="153" t="s">
        <v>683</v>
      </c>
      <c r="C163" s="153" t="s">
        <v>153</v>
      </c>
      <c r="D163" s="153" t="s">
        <v>82</v>
      </c>
      <c r="E163" s="154">
        <v>73.260000000000005</v>
      </c>
      <c r="F163" s="154">
        <v>1.85</v>
      </c>
      <c r="G163" s="154">
        <v>135.53</v>
      </c>
      <c r="H163" s="154">
        <v>0</v>
      </c>
      <c r="I163" s="154">
        <v>0</v>
      </c>
      <c r="J163" s="154">
        <v>120.74</v>
      </c>
      <c r="K163" s="154">
        <v>8.7899999999999991</v>
      </c>
      <c r="L163" s="154">
        <v>6.04</v>
      </c>
      <c r="M163" s="149"/>
      <c r="N163" s="154">
        <v>0</v>
      </c>
      <c r="O163" s="154">
        <v>0</v>
      </c>
      <c r="P163" s="154">
        <v>0</v>
      </c>
      <c r="Q163" s="149"/>
    </row>
    <row r="164" spans="1:17" x14ac:dyDescent="0.25">
      <c r="B164" s="155" t="s">
        <v>121</v>
      </c>
      <c r="C164" s="155" t="s">
        <v>684</v>
      </c>
      <c r="D164" s="149"/>
      <c r="E164" s="149"/>
      <c r="F164" s="149"/>
      <c r="G164" s="156">
        <v>2630.42</v>
      </c>
      <c r="H164" s="149"/>
      <c r="I164" s="156">
        <v>157.91999999999999</v>
      </c>
      <c r="J164" s="156">
        <v>819.22</v>
      </c>
      <c r="K164" s="156">
        <v>1247.1400000000001</v>
      </c>
      <c r="L164" s="156">
        <v>38.299999999999997</v>
      </c>
      <c r="M164" s="156">
        <v>525.66</v>
      </c>
      <c r="N164" s="156">
        <v>0</v>
      </c>
      <c r="O164" s="156">
        <v>156.93</v>
      </c>
      <c r="P164" s="156">
        <v>0</v>
      </c>
      <c r="Q164" s="156">
        <v>0</v>
      </c>
    </row>
    <row r="165" spans="1:17" x14ac:dyDescent="0.25">
      <c r="A165" t="s">
        <v>717</v>
      </c>
      <c r="B165" s="153" t="s">
        <v>685</v>
      </c>
      <c r="C165" s="153" t="s">
        <v>669</v>
      </c>
      <c r="D165" s="153" t="s">
        <v>82</v>
      </c>
      <c r="E165" s="154">
        <v>19.84</v>
      </c>
      <c r="F165" s="154">
        <v>55.09</v>
      </c>
      <c r="G165" s="154">
        <v>1092.99</v>
      </c>
      <c r="H165" s="154">
        <v>0.42</v>
      </c>
      <c r="I165" s="154">
        <v>8.33</v>
      </c>
      <c r="J165" s="154">
        <v>653.47</v>
      </c>
      <c r="K165" s="154">
        <v>221.22</v>
      </c>
      <c r="L165" s="154">
        <v>32.67</v>
      </c>
      <c r="M165" s="154">
        <v>185.5</v>
      </c>
      <c r="N165" s="154">
        <v>0</v>
      </c>
      <c r="O165" s="154">
        <v>8.43</v>
      </c>
      <c r="P165" s="154">
        <v>0</v>
      </c>
      <c r="Q165" s="154">
        <v>0</v>
      </c>
    </row>
    <row r="166" spans="1:17" x14ac:dyDescent="0.25">
      <c r="A166" t="s">
        <v>458</v>
      </c>
      <c r="B166" s="153" t="s">
        <v>686</v>
      </c>
      <c r="C166" s="153" t="s">
        <v>149</v>
      </c>
      <c r="D166" s="153" t="s">
        <v>150</v>
      </c>
      <c r="E166" s="154">
        <v>164.38</v>
      </c>
      <c r="F166" s="154">
        <v>1.03</v>
      </c>
      <c r="G166" s="154">
        <v>169.31</v>
      </c>
      <c r="H166" s="154">
        <v>0.91</v>
      </c>
      <c r="I166" s="154">
        <v>149.59</v>
      </c>
      <c r="J166" s="149"/>
      <c r="K166" s="154">
        <v>4.93</v>
      </c>
      <c r="L166" s="149"/>
      <c r="M166" s="154">
        <v>164.38</v>
      </c>
      <c r="N166" s="149"/>
      <c r="O166" s="154">
        <v>148.5</v>
      </c>
      <c r="P166" s="149"/>
      <c r="Q166" s="154">
        <v>0</v>
      </c>
    </row>
    <row r="167" spans="1:17" x14ac:dyDescent="0.25">
      <c r="A167" t="s">
        <v>716</v>
      </c>
      <c r="B167" s="153" t="s">
        <v>687</v>
      </c>
      <c r="C167" s="153" t="s">
        <v>672</v>
      </c>
      <c r="D167" s="153" t="s">
        <v>138</v>
      </c>
      <c r="E167" s="154">
        <v>3.45</v>
      </c>
      <c r="F167" s="154">
        <v>385.92</v>
      </c>
      <c r="G167" s="154">
        <v>1331.42</v>
      </c>
      <c r="H167" s="154">
        <v>0</v>
      </c>
      <c r="I167" s="154">
        <v>0</v>
      </c>
      <c r="J167" s="154">
        <v>133.05000000000001</v>
      </c>
      <c r="K167" s="154">
        <v>1018.61</v>
      </c>
      <c r="L167" s="154">
        <v>3.99</v>
      </c>
      <c r="M167" s="154">
        <v>175.78</v>
      </c>
      <c r="N167" s="154">
        <v>0</v>
      </c>
      <c r="O167" s="154">
        <v>0</v>
      </c>
      <c r="P167" s="154">
        <v>0</v>
      </c>
      <c r="Q167" s="154">
        <v>0</v>
      </c>
    </row>
    <row r="168" spans="1:17" x14ac:dyDescent="0.25">
      <c r="B168" s="153" t="s">
        <v>688</v>
      </c>
      <c r="C168" s="153" t="s">
        <v>153</v>
      </c>
      <c r="D168" s="153" t="s">
        <v>82</v>
      </c>
      <c r="E168" s="154">
        <v>19.84</v>
      </c>
      <c r="F168" s="154">
        <v>1.85</v>
      </c>
      <c r="G168" s="154">
        <v>36.700000000000003</v>
      </c>
      <c r="H168" s="154">
        <v>0</v>
      </c>
      <c r="I168" s="154">
        <v>0</v>
      </c>
      <c r="J168" s="154">
        <v>32.700000000000003</v>
      </c>
      <c r="K168" s="154">
        <v>2.38</v>
      </c>
      <c r="L168" s="154">
        <v>1.64</v>
      </c>
      <c r="M168" s="149"/>
      <c r="N168" s="154">
        <v>0</v>
      </c>
      <c r="O168" s="154">
        <v>0</v>
      </c>
      <c r="P168" s="154">
        <v>0</v>
      </c>
      <c r="Q168" s="149"/>
    </row>
    <row r="169" spans="1:17" x14ac:dyDescent="0.25">
      <c r="B169" s="155" t="s">
        <v>125</v>
      </c>
      <c r="C169" s="155" t="s">
        <v>689</v>
      </c>
      <c r="D169" s="149"/>
      <c r="E169" s="149"/>
      <c r="F169" s="149"/>
      <c r="G169" s="156">
        <v>3166.47</v>
      </c>
      <c r="H169" s="149"/>
      <c r="I169" s="156">
        <v>159.84</v>
      </c>
      <c r="J169" s="156">
        <v>1111.28</v>
      </c>
      <c r="K169" s="156">
        <v>1305.51</v>
      </c>
      <c r="L169" s="156">
        <v>53</v>
      </c>
      <c r="M169" s="156">
        <v>696.5</v>
      </c>
      <c r="N169" s="156">
        <v>0</v>
      </c>
      <c r="O169" s="156">
        <v>158.91</v>
      </c>
      <c r="P169" s="156">
        <v>0</v>
      </c>
      <c r="Q169" s="156">
        <v>0</v>
      </c>
    </row>
    <row r="170" spans="1:17" x14ac:dyDescent="0.25">
      <c r="A170" t="s">
        <v>717</v>
      </c>
      <c r="B170" s="153" t="s">
        <v>690</v>
      </c>
      <c r="C170" s="153" t="s">
        <v>669</v>
      </c>
      <c r="D170" s="153" t="s">
        <v>82</v>
      </c>
      <c r="E170" s="154">
        <v>28.43</v>
      </c>
      <c r="F170" s="154">
        <v>55.09</v>
      </c>
      <c r="G170" s="154">
        <v>1566.21</v>
      </c>
      <c r="H170" s="154">
        <v>0.42</v>
      </c>
      <c r="I170" s="154">
        <v>11.94</v>
      </c>
      <c r="J170" s="154">
        <v>936.39</v>
      </c>
      <c r="K170" s="154">
        <v>316.99</v>
      </c>
      <c r="L170" s="154">
        <v>46.81</v>
      </c>
      <c r="M170" s="154">
        <v>265.82</v>
      </c>
      <c r="N170" s="154">
        <v>0</v>
      </c>
      <c r="O170" s="154">
        <v>12.08</v>
      </c>
      <c r="P170" s="154">
        <v>0</v>
      </c>
      <c r="Q170" s="154">
        <v>0</v>
      </c>
    </row>
    <row r="171" spans="1:17" x14ac:dyDescent="0.25">
      <c r="A171" t="s">
        <v>458</v>
      </c>
      <c r="B171" s="153" t="s">
        <v>691</v>
      </c>
      <c r="C171" s="153" t="s">
        <v>149</v>
      </c>
      <c r="D171" s="153" t="s">
        <v>150</v>
      </c>
      <c r="E171" s="154">
        <v>162.53</v>
      </c>
      <c r="F171" s="154">
        <v>1.03</v>
      </c>
      <c r="G171" s="154">
        <v>167.41</v>
      </c>
      <c r="H171" s="154">
        <v>0.91</v>
      </c>
      <c r="I171" s="154">
        <v>147.9</v>
      </c>
      <c r="J171" s="149"/>
      <c r="K171" s="154">
        <v>4.88</v>
      </c>
      <c r="L171" s="149"/>
      <c r="M171" s="154">
        <v>162.53</v>
      </c>
      <c r="N171" s="149"/>
      <c r="O171" s="154">
        <v>146.83000000000001</v>
      </c>
      <c r="P171" s="149"/>
      <c r="Q171" s="154">
        <v>0</v>
      </c>
    </row>
    <row r="172" spans="1:17" x14ac:dyDescent="0.25">
      <c r="B172" s="153" t="s">
        <v>692</v>
      </c>
      <c r="C172" s="153" t="s">
        <v>693</v>
      </c>
      <c r="D172" s="153" t="s">
        <v>53</v>
      </c>
      <c r="E172" s="154">
        <v>33</v>
      </c>
      <c r="F172" s="154">
        <v>3</v>
      </c>
      <c r="G172" s="154">
        <v>99</v>
      </c>
      <c r="H172" s="154">
        <v>0</v>
      </c>
      <c r="I172" s="154">
        <v>0</v>
      </c>
      <c r="J172" s="149"/>
      <c r="K172" s="149"/>
      <c r="L172" s="149"/>
      <c r="M172" s="154">
        <v>99</v>
      </c>
      <c r="N172" s="149"/>
      <c r="O172" s="149"/>
      <c r="P172" s="149"/>
      <c r="Q172" s="154">
        <v>0</v>
      </c>
    </row>
    <row r="173" spans="1:17" x14ac:dyDescent="0.25">
      <c r="A173" t="s">
        <v>716</v>
      </c>
      <c r="B173" s="153" t="s">
        <v>694</v>
      </c>
      <c r="C173" s="153" t="s">
        <v>672</v>
      </c>
      <c r="D173" s="153" t="s">
        <v>138</v>
      </c>
      <c r="E173" s="154">
        <v>3.32</v>
      </c>
      <c r="F173" s="154">
        <v>385.92</v>
      </c>
      <c r="G173" s="154">
        <v>1281.25</v>
      </c>
      <c r="H173" s="154">
        <v>0</v>
      </c>
      <c r="I173" s="154">
        <v>0</v>
      </c>
      <c r="J173" s="154">
        <v>128.04</v>
      </c>
      <c r="K173" s="154">
        <v>980.23</v>
      </c>
      <c r="L173" s="154">
        <v>3.84</v>
      </c>
      <c r="M173" s="154">
        <v>169.15</v>
      </c>
      <c r="N173" s="154">
        <v>0</v>
      </c>
      <c r="O173" s="154">
        <v>0</v>
      </c>
      <c r="P173" s="154">
        <v>0</v>
      </c>
      <c r="Q173" s="154">
        <v>0</v>
      </c>
    </row>
    <row r="174" spans="1:17" x14ac:dyDescent="0.25">
      <c r="B174" s="153" t="s">
        <v>695</v>
      </c>
      <c r="C174" s="153" t="s">
        <v>153</v>
      </c>
      <c r="D174" s="153" t="s">
        <v>82</v>
      </c>
      <c r="E174" s="154">
        <v>28.43</v>
      </c>
      <c r="F174" s="154">
        <v>1.85</v>
      </c>
      <c r="G174" s="154">
        <v>52.6</v>
      </c>
      <c r="H174" s="154">
        <v>0</v>
      </c>
      <c r="I174" s="154">
        <v>0</v>
      </c>
      <c r="J174" s="154">
        <v>46.85</v>
      </c>
      <c r="K174" s="154">
        <v>3.41</v>
      </c>
      <c r="L174" s="154">
        <v>2.35</v>
      </c>
      <c r="M174" s="149"/>
      <c r="N174" s="154">
        <v>0</v>
      </c>
      <c r="O174" s="154">
        <v>0</v>
      </c>
      <c r="P174" s="154">
        <v>0</v>
      </c>
      <c r="Q174" s="149"/>
    </row>
    <row r="175" spans="1:17" x14ac:dyDescent="0.25">
      <c r="B175" s="155" t="s">
        <v>123</v>
      </c>
      <c r="C175" s="155" t="s">
        <v>696</v>
      </c>
      <c r="D175" s="149"/>
      <c r="E175" s="149"/>
      <c r="F175" s="149"/>
      <c r="G175" s="156">
        <v>2062.9899999999998</v>
      </c>
      <c r="H175" s="149"/>
      <c r="I175" s="156">
        <v>64.44</v>
      </c>
      <c r="J175" s="156">
        <v>323.26</v>
      </c>
      <c r="K175" s="156">
        <v>1386.38</v>
      </c>
      <c r="L175" s="156">
        <v>12.68</v>
      </c>
      <c r="M175" s="156">
        <v>340.66</v>
      </c>
      <c r="N175" s="156">
        <v>0</v>
      </c>
      <c r="O175" s="156">
        <v>64.010000000000005</v>
      </c>
      <c r="P175" s="156">
        <v>0</v>
      </c>
      <c r="Q175" s="156">
        <v>0</v>
      </c>
    </row>
    <row r="176" spans="1:17" x14ac:dyDescent="0.25">
      <c r="A176" t="s">
        <v>717</v>
      </c>
      <c r="B176" s="153" t="s">
        <v>697</v>
      </c>
      <c r="C176" s="153" t="s">
        <v>669</v>
      </c>
      <c r="D176" s="153" t="s">
        <v>82</v>
      </c>
      <c r="E176" s="154">
        <v>4.45</v>
      </c>
      <c r="F176" s="154">
        <v>55.09</v>
      </c>
      <c r="G176" s="154">
        <v>245.15</v>
      </c>
      <c r="H176" s="154">
        <v>0.42</v>
      </c>
      <c r="I176" s="154">
        <v>1.87</v>
      </c>
      <c r="J176" s="154">
        <v>146.57</v>
      </c>
      <c r="K176" s="154">
        <v>49.62</v>
      </c>
      <c r="L176" s="154">
        <v>7.33</v>
      </c>
      <c r="M176" s="154">
        <v>41.61</v>
      </c>
      <c r="N176" s="154">
        <v>0</v>
      </c>
      <c r="O176" s="154">
        <v>1.89</v>
      </c>
      <c r="P176" s="154">
        <v>0</v>
      </c>
      <c r="Q176" s="154">
        <v>0</v>
      </c>
    </row>
    <row r="177" spans="1:17" x14ac:dyDescent="0.25">
      <c r="A177" t="s">
        <v>458</v>
      </c>
      <c r="B177" s="153" t="s">
        <v>698</v>
      </c>
      <c r="C177" s="153" t="s">
        <v>149</v>
      </c>
      <c r="D177" s="153" t="s">
        <v>150</v>
      </c>
      <c r="E177" s="154">
        <v>68.760000000000005</v>
      </c>
      <c r="F177" s="154">
        <v>1.03</v>
      </c>
      <c r="G177" s="154">
        <v>70.819999999999993</v>
      </c>
      <c r="H177" s="154">
        <v>0.91</v>
      </c>
      <c r="I177" s="154">
        <v>62.57</v>
      </c>
      <c r="J177" s="149"/>
      <c r="K177" s="154">
        <v>2.06</v>
      </c>
      <c r="L177" s="149"/>
      <c r="M177" s="154">
        <v>68.760000000000005</v>
      </c>
      <c r="N177" s="149"/>
      <c r="O177" s="154">
        <v>62.12</v>
      </c>
      <c r="P177" s="149"/>
      <c r="Q177" s="154">
        <v>0</v>
      </c>
    </row>
    <row r="178" spans="1:17" x14ac:dyDescent="0.25">
      <c r="A178" t="s">
        <v>716</v>
      </c>
      <c r="B178" s="153" t="s">
        <v>699</v>
      </c>
      <c r="C178" s="153" t="s">
        <v>672</v>
      </c>
      <c r="D178" s="153" t="s">
        <v>138</v>
      </c>
      <c r="E178" s="154">
        <v>4.5199999999999996</v>
      </c>
      <c r="F178" s="154">
        <v>385.92</v>
      </c>
      <c r="G178" s="154">
        <v>1744.36</v>
      </c>
      <c r="H178" s="154">
        <v>0</v>
      </c>
      <c r="I178" s="154">
        <v>0</v>
      </c>
      <c r="J178" s="154">
        <v>174.32</v>
      </c>
      <c r="K178" s="154">
        <v>1334.53</v>
      </c>
      <c r="L178" s="154">
        <v>5.23</v>
      </c>
      <c r="M178" s="154">
        <v>230.29</v>
      </c>
      <c r="N178" s="154">
        <v>0</v>
      </c>
      <c r="O178" s="154">
        <v>0</v>
      </c>
      <c r="P178" s="154">
        <v>0</v>
      </c>
      <c r="Q178" s="154">
        <v>0</v>
      </c>
    </row>
    <row r="179" spans="1:17" x14ac:dyDescent="0.25">
      <c r="B179" s="153" t="s">
        <v>700</v>
      </c>
      <c r="C179" s="153" t="s">
        <v>153</v>
      </c>
      <c r="D179" s="153" t="s">
        <v>82</v>
      </c>
      <c r="E179" s="154">
        <v>1.44</v>
      </c>
      <c r="F179" s="154">
        <v>1.85</v>
      </c>
      <c r="G179" s="154">
        <v>2.66</v>
      </c>
      <c r="H179" s="154">
        <v>0</v>
      </c>
      <c r="I179" s="154">
        <v>0</v>
      </c>
      <c r="J179" s="154">
        <v>2.37</v>
      </c>
      <c r="K179" s="154">
        <v>0.17</v>
      </c>
      <c r="L179" s="154">
        <v>0.12</v>
      </c>
      <c r="M179" s="149"/>
      <c r="N179" s="154">
        <v>0</v>
      </c>
      <c r="O179" s="154">
        <v>0</v>
      </c>
      <c r="P179" s="154">
        <v>0</v>
      </c>
      <c r="Q179" s="149"/>
    </row>
    <row r="180" spans="1:17" x14ac:dyDescent="0.25">
      <c r="B180" s="155" t="s">
        <v>701</v>
      </c>
      <c r="C180" s="155" t="s">
        <v>702</v>
      </c>
      <c r="D180" s="149"/>
      <c r="E180" s="149"/>
      <c r="F180" s="149"/>
      <c r="G180" s="156">
        <v>1026.3699999999999</v>
      </c>
      <c r="H180" s="149"/>
      <c r="I180" s="156">
        <v>51.98</v>
      </c>
      <c r="J180" s="156">
        <v>99.1</v>
      </c>
      <c r="K180" s="156">
        <v>121.62</v>
      </c>
      <c r="L180" s="156">
        <v>4.72</v>
      </c>
      <c r="M180" s="156">
        <v>800.92</v>
      </c>
      <c r="N180" s="156">
        <v>0</v>
      </c>
      <c r="O180" s="156">
        <v>51.62</v>
      </c>
      <c r="P180" s="156">
        <v>0</v>
      </c>
      <c r="Q180" s="156">
        <v>0</v>
      </c>
    </row>
    <row r="181" spans="1:17" x14ac:dyDescent="0.25">
      <c r="A181" t="s">
        <v>717</v>
      </c>
      <c r="B181" s="153" t="s">
        <v>703</v>
      </c>
      <c r="C181" s="153" t="s">
        <v>669</v>
      </c>
      <c r="D181" s="153" t="s">
        <v>82</v>
      </c>
      <c r="E181" s="154">
        <v>2.52</v>
      </c>
      <c r="F181" s="154">
        <v>55.09</v>
      </c>
      <c r="G181" s="154">
        <v>138.83000000000001</v>
      </c>
      <c r="H181" s="154">
        <v>0.42</v>
      </c>
      <c r="I181" s="154">
        <v>1.06</v>
      </c>
      <c r="J181" s="154">
        <v>83</v>
      </c>
      <c r="K181" s="154">
        <v>28.11</v>
      </c>
      <c r="L181" s="154">
        <v>4.1500000000000004</v>
      </c>
      <c r="M181" s="154">
        <v>23.56</v>
      </c>
      <c r="N181" s="154">
        <v>0</v>
      </c>
      <c r="O181" s="154">
        <v>1.07</v>
      </c>
      <c r="P181" s="154">
        <v>0</v>
      </c>
      <c r="Q181" s="154">
        <v>0</v>
      </c>
    </row>
    <row r="182" spans="1:17" x14ac:dyDescent="0.25">
      <c r="A182" t="s">
        <v>458</v>
      </c>
      <c r="B182" s="153" t="s">
        <v>704</v>
      </c>
      <c r="C182" s="153" t="s">
        <v>149</v>
      </c>
      <c r="D182" s="153" t="s">
        <v>150</v>
      </c>
      <c r="E182" s="154">
        <v>55.96</v>
      </c>
      <c r="F182" s="154">
        <v>1.03</v>
      </c>
      <c r="G182" s="154">
        <v>57.64</v>
      </c>
      <c r="H182" s="154">
        <v>0.91</v>
      </c>
      <c r="I182" s="154">
        <v>50.92</v>
      </c>
      <c r="J182" s="149"/>
      <c r="K182" s="154">
        <v>1.68</v>
      </c>
      <c r="L182" s="149"/>
      <c r="M182" s="154">
        <v>55.96</v>
      </c>
      <c r="N182" s="149"/>
      <c r="O182" s="154">
        <v>50.55</v>
      </c>
      <c r="P182" s="149"/>
      <c r="Q182" s="154">
        <v>0</v>
      </c>
    </row>
    <row r="183" spans="1:17" x14ac:dyDescent="0.25">
      <c r="B183" s="153" t="s">
        <v>705</v>
      </c>
      <c r="C183" s="153" t="s">
        <v>706</v>
      </c>
      <c r="D183" s="153" t="s">
        <v>82</v>
      </c>
      <c r="E183" s="154">
        <v>2.52</v>
      </c>
      <c r="F183" s="154">
        <v>280</v>
      </c>
      <c r="G183" s="154">
        <v>705.6</v>
      </c>
      <c r="H183" s="154">
        <v>0</v>
      </c>
      <c r="I183" s="154">
        <v>0</v>
      </c>
      <c r="J183" s="149"/>
      <c r="K183" s="149"/>
      <c r="L183" s="149"/>
      <c r="M183" s="154">
        <v>705.6</v>
      </c>
      <c r="N183" s="149"/>
      <c r="O183" s="149"/>
      <c r="P183" s="149"/>
      <c r="Q183" s="154">
        <v>0</v>
      </c>
    </row>
    <row r="184" spans="1:17" x14ac:dyDescent="0.25">
      <c r="A184" t="s">
        <v>716</v>
      </c>
      <c r="B184" s="153" t="s">
        <v>707</v>
      </c>
      <c r="C184" s="153" t="s">
        <v>672</v>
      </c>
      <c r="D184" s="153" t="s">
        <v>138</v>
      </c>
      <c r="E184" s="154">
        <v>0.31</v>
      </c>
      <c r="F184" s="154">
        <v>385.92</v>
      </c>
      <c r="G184" s="154">
        <v>119.64</v>
      </c>
      <c r="H184" s="154">
        <v>0</v>
      </c>
      <c r="I184" s="154">
        <v>0</v>
      </c>
      <c r="J184" s="154">
        <v>11.95</v>
      </c>
      <c r="K184" s="154">
        <v>91.53</v>
      </c>
      <c r="L184" s="154">
        <v>0.36</v>
      </c>
      <c r="M184" s="154">
        <v>15.8</v>
      </c>
      <c r="N184" s="154">
        <v>0</v>
      </c>
      <c r="O184" s="154">
        <v>0</v>
      </c>
      <c r="P184" s="154">
        <v>0</v>
      </c>
      <c r="Q184" s="154">
        <v>0</v>
      </c>
    </row>
    <row r="185" spans="1:17" x14ac:dyDescent="0.25">
      <c r="B185" s="153" t="s">
        <v>708</v>
      </c>
      <c r="C185" s="153" t="s">
        <v>153</v>
      </c>
      <c r="D185" s="153" t="s">
        <v>82</v>
      </c>
      <c r="E185" s="154">
        <v>2.52</v>
      </c>
      <c r="F185" s="154">
        <v>1.85</v>
      </c>
      <c r="G185" s="154">
        <v>4.66</v>
      </c>
      <c r="H185" s="154">
        <v>0</v>
      </c>
      <c r="I185" s="154">
        <v>0</v>
      </c>
      <c r="J185" s="154">
        <v>4.1500000000000004</v>
      </c>
      <c r="K185" s="154">
        <v>0.3</v>
      </c>
      <c r="L185" s="154">
        <v>0.21</v>
      </c>
      <c r="M185" s="149"/>
      <c r="N185" s="154">
        <v>0</v>
      </c>
      <c r="O185" s="154">
        <v>0</v>
      </c>
      <c r="P185" s="154">
        <v>0</v>
      </c>
      <c r="Q185" s="149"/>
    </row>
    <row r="186" spans="1:17" x14ac:dyDescent="0.25">
      <c r="B186" s="155" t="s">
        <v>709</v>
      </c>
      <c r="C186" s="155" t="s">
        <v>261</v>
      </c>
      <c r="D186" s="149"/>
      <c r="E186" s="149"/>
      <c r="F186" s="149"/>
      <c r="G186" s="156">
        <v>3183.28</v>
      </c>
      <c r="H186" s="149"/>
      <c r="I186" s="156">
        <v>167.86</v>
      </c>
      <c r="J186" s="156">
        <v>859.16</v>
      </c>
      <c r="K186" s="156">
        <v>1661.03</v>
      </c>
      <c r="L186" s="156">
        <v>42.95</v>
      </c>
      <c r="M186" s="156">
        <v>619.99</v>
      </c>
      <c r="N186" s="156">
        <v>0</v>
      </c>
      <c r="O186" s="156">
        <v>166.82</v>
      </c>
      <c r="P186" s="156">
        <v>0</v>
      </c>
      <c r="Q186" s="156">
        <v>0</v>
      </c>
    </row>
    <row r="187" spans="1:17" x14ac:dyDescent="0.25">
      <c r="A187" t="s">
        <v>716</v>
      </c>
      <c r="B187" s="153" t="s">
        <v>710</v>
      </c>
      <c r="C187" s="153" t="s">
        <v>711</v>
      </c>
      <c r="D187" s="153" t="s">
        <v>138</v>
      </c>
      <c r="E187" s="154">
        <v>4.3600000000000003</v>
      </c>
      <c r="F187" s="154">
        <v>411.61</v>
      </c>
      <c r="G187" s="154">
        <v>1794.62</v>
      </c>
      <c r="H187" s="154">
        <v>0</v>
      </c>
      <c r="I187" s="154">
        <v>0</v>
      </c>
      <c r="J187" s="154">
        <v>133.94999999999999</v>
      </c>
      <c r="K187" s="154">
        <v>1412.2</v>
      </c>
      <c r="L187" s="154">
        <v>6.7</v>
      </c>
      <c r="M187" s="154">
        <v>241.76</v>
      </c>
      <c r="N187" s="154">
        <v>0</v>
      </c>
      <c r="O187" s="154">
        <v>0</v>
      </c>
      <c r="P187" s="154">
        <v>0</v>
      </c>
      <c r="Q187" s="154">
        <v>0</v>
      </c>
    </row>
    <row r="188" spans="1:17" x14ac:dyDescent="0.25">
      <c r="A188" t="s">
        <v>717</v>
      </c>
      <c r="B188" s="153" t="s">
        <v>712</v>
      </c>
      <c r="C188" s="153" t="s">
        <v>669</v>
      </c>
      <c r="D188" s="153" t="s">
        <v>82</v>
      </c>
      <c r="E188" s="154">
        <v>21.8</v>
      </c>
      <c r="F188" s="154">
        <v>55.09</v>
      </c>
      <c r="G188" s="154">
        <v>1200.96</v>
      </c>
      <c r="H188" s="154">
        <v>0.42</v>
      </c>
      <c r="I188" s="154">
        <v>9.16</v>
      </c>
      <c r="J188" s="154">
        <v>718.02</v>
      </c>
      <c r="K188" s="154">
        <v>243.08</v>
      </c>
      <c r="L188" s="154">
        <v>35.89</v>
      </c>
      <c r="M188" s="154">
        <v>203.83</v>
      </c>
      <c r="N188" s="154">
        <v>0</v>
      </c>
      <c r="O188" s="154">
        <v>9.27</v>
      </c>
      <c r="P188" s="154">
        <v>0</v>
      </c>
      <c r="Q188" s="154">
        <v>0</v>
      </c>
    </row>
    <row r="189" spans="1:17" x14ac:dyDescent="0.25">
      <c r="A189" t="s">
        <v>458</v>
      </c>
      <c r="B189" s="153" t="s">
        <v>713</v>
      </c>
      <c r="C189" s="153" t="s">
        <v>259</v>
      </c>
      <c r="D189" s="153" t="s">
        <v>150</v>
      </c>
      <c r="E189" s="154">
        <v>174.4</v>
      </c>
      <c r="F189" s="154">
        <v>1.03</v>
      </c>
      <c r="G189" s="154">
        <v>179.63</v>
      </c>
      <c r="H189" s="154">
        <v>0.91</v>
      </c>
      <c r="I189" s="154">
        <v>158.69999999999999</v>
      </c>
      <c r="J189" s="149"/>
      <c r="K189" s="154">
        <v>5.23</v>
      </c>
      <c r="L189" s="149"/>
      <c r="M189" s="154">
        <v>174.4</v>
      </c>
      <c r="N189" s="149"/>
      <c r="O189" s="154">
        <v>157.55000000000001</v>
      </c>
      <c r="P189" s="149"/>
      <c r="Q189" s="154">
        <v>0</v>
      </c>
    </row>
    <row r="190" spans="1:17" x14ac:dyDescent="0.25">
      <c r="B190" s="153" t="s">
        <v>714</v>
      </c>
      <c r="C190" s="153" t="s">
        <v>260</v>
      </c>
      <c r="D190" s="153" t="s">
        <v>82</v>
      </c>
      <c r="E190" s="154">
        <v>4.3600000000000003</v>
      </c>
      <c r="F190" s="154">
        <v>1.85</v>
      </c>
      <c r="G190" s="154">
        <v>8.07</v>
      </c>
      <c r="H190" s="154">
        <v>0</v>
      </c>
      <c r="I190" s="154">
        <v>0</v>
      </c>
      <c r="J190" s="154">
        <v>7.19</v>
      </c>
      <c r="K190" s="154">
        <v>0.52</v>
      </c>
      <c r="L190" s="154">
        <v>0.36</v>
      </c>
      <c r="M190" s="149"/>
      <c r="N190" s="154">
        <v>0</v>
      </c>
      <c r="O190" s="154">
        <v>0</v>
      </c>
      <c r="P190" s="154">
        <v>0</v>
      </c>
      <c r="Q190" s="149"/>
    </row>
    <row r="191" spans="1:17" x14ac:dyDescent="0.25">
      <c r="B191" s="153" t="s">
        <v>715</v>
      </c>
      <c r="C191" s="153" t="s">
        <v>262</v>
      </c>
      <c r="D191" s="153" t="s">
        <v>15</v>
      </c>
      <c r="E191" s="154">
        <v>1</v>
      </c>
      <c r="F191" s="154">
        <v>15000</v>
      </c>
      <c r="G191" s="154">
        <v>15000</v>
      </c>
      <c r="H191" s="154">
        <v>0</v>
      </c>
      <c r="I191" s="154">
        <v>0</v>
      </c>
      <c r="J191" s="154">
        <v>0</v>
      </c>
      <c r="K191" s="154">
        <v>0</v>
      </c>
      <c r="L191" s="154">
        <v>0</v>
      </c>
      <c r="M191" s="149"/>
      <c r="N191" s="154">
        <v>0</v>
      </c>
      <c r="O191" s="154">
        <v>0</v>
      </c>
      <c r="P191" s="154">
        <v>0</v>
      </c>
      <c r="Q191" s="149"/>
    </row>
  </sheetData>
  <autoFilter ref="A6:I191" xr:uid="{D500CFB3-ABBF-4365-9DB5-7FB8423DE685}"/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0492-8C94-4C61-9352-0B28D036A766}">
  <dimension ref="A1:Q541"/>
  <sheetViews>
    <sheetView topLeftCell="A18" zoomScale="90" zoomScaleNormal="90" workbookViewId="0">
      <selection activeCell="C166" sqref="C166"/>
    </sheetView>
  </sheetViews>
  <sheetFormatPr defaultColWidth="11.42578125" defaultRowHeight="15" x14ac:dyDescent="0.25"/>
  <cols>
    <col min="3" max="3" width="126.140625" customWidth="1"/>
    <col min="4" max="4" width="4.5703125" bestFit="1" customWidth="1"/>
    <col min="5" max="5" width="7.7109375" bestFit="1" customWidth="1"/>
    <col min="6" max="6" width="9.140625" bestFit="1" customWidth="1"/>
    <col min="7" max="7" width="11.140625" bestFit="1" customWidth="1"/>
    <col min="8" max="8" width="14.28515625" bestFit="1" customWidth="1"/>
    <col min="9" max="9" width="14.5703125" bestFit="1" customWidth="1"/>
    <col min="10" max="10" width="14.7109375" style="56" bestFit="1" customWidth="1"/>
    <col min="11" max="11" width="10.140625" style="56" bestFit="1" customWidth="1"/>
    <col min="12" max="12" width="9.5703125" bestFit="1" customWidth="1"/>
    <col min="13" max="13" width="13.5703125" bestFit="1" customWidth="1"/>
    <col min="14" max="14" width="14.7109375" bestFit="1" customWidth="1"/>
    <col min="15" max="15" width="10.140625" bestFit="1" customWidth="1"/>
    <col min="16" max="16" width="9.5703125" bestFit="1" customWidth="1"/>
    <col min="17" max="17" width="13.5703125" bestFit="1" customWidth="1"/>
  </cols>
  <sheetData>
    <row r="1" spans="2:17" ht="16.5" x14ac:dyDescent="0.25">
      <c r="B1" s="190" t="s">
        <v>734</v>
      </c>
      <c r="C1" s="191"/>
      <c r="D1" s="191"/>
      <c r="E1" s="117"/>
      <c r="F1" s="118"/>
      <c r="G1" s="119"/>
      <c r="H1" s="117"/>
      <c r="I1" s="117"/>
    </row>
    <row r="2" spans="2:17" x14ac:dyDescent="0.25">
      <c r="B2" s="120"/>
      <c r="C2" s="121"/>
      <c r="D2" s="121"/>
      <c r="E2" s="117"/>
      <c r="F2" s="118"/>
      <c r="G2" s="119"/>
      <c r="H2" s="117"/>
      <c r="I2" s="117"/>
    </row>
    <row r="3" spans="2:17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17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17" ht="16.5" x14ac:dyDescent="0.25">
      <c r="B5" s="138" t="s">
        <v>722</v>
      </c>
      <c r="C5" s="139" t="s">
        <v>723</v>
      </c>
      <c r="D5" s="140"/>
      <c r="E5" s="144"/>
      <c r="F5" s="144"/>
      <c r="G5" s="144"/>
      <c r="H5" s="145" t="s">
        <v>724</v>
      </c>
      <c r="I5" s="146" t="s">
        <v>2177</v>
      </c>
      <c r="J5" s="147"/>
      <c r="K5" s="147"/>
      <c r="L5" s="141"/>
      <c r="M5" s="141"/>
      <c r="N5" s="141"/>
      <c r="O5" s="141"/>
      <c r="P5" s="141"/>
      <c r="Q5" s="141"/>
    </row>
    <row r="6" spans="2:17" x14ac:dyDescent="0.25">
      <c r="B6" s="159" t="s">
        <v>2</v>
      </c>
      <c r="C6" s="159" t="s">
        <v>3</v>
      </c>
      <c r="D6" s="159" t="s">
        <v>0</v>
      </c>
      <c r="E6" s="160" t="s">
        <v>4</v>
      </c>
      <c r="F6" s="160" t="s">
        <v>5</v>
      </c>
      <c r="G6" s="160" t="s">
        <v>6</v>
      </c>
      <c r="H6" s="160" t="s">
        <v>7</v>
      </c>
      <c r="I6" s="160" t="s">
        <v>8</v>
      </c>
      <c r="J6" s="160" t="s">
        <v>1880</v>
      </c>
      <c r="K6" s="160" t="s">
        <v>1881</v>
      </c>
      <c r="L6" s="160" t="s">
        <v>1882</v>
      </c>
      <c r="M6" s="160" t="s">
        <v>1883</v>
      </c>
      <c r="N6" s="160" t="s">
        <v>1884</v>
      </c>
      <c r="O6" s="160" t="s">
        <v>1885</v>
      </c>
      <c r="P6" s="160" t="s">
        <v>1886</v>
      </c>
      <c r="Q6" s="160" t="s">
        <v>1887</v>
      </c>
    </row>
    <row r="7" spans="2:17" x14ac:dyDescent="0.25">
      <c r="B7" s="165" t="s">
        <v>9</v>
      </c>
      <c r="C7" s="165" t="s">
        <v>263</v>
      </c>
      <c r="D7" s="166"/>
      <c r="E7" s="166"/>
      <c r="F7" s="166"/>
      <c r="G7" s="167">
        <v>5976148.21</v>
      </c>
      <c r="H7" s="166"/>
      <c r="I7" s="167">
        <v>219313.66</v>
      </c>
      <c r="J7" s="167">
        <v>580127.84</v>
      </c>
      <c r="K7" s="167">
        <v>916292.49</v>
      </c>
      <c r="L7" s="167">
        <v>39940.269999999997</v>
      </c>
      <c r="M7" s="167">
        <v>4435834.4400000004</v>
      </c>
      <c r="N7" s="167">
        <v>0</v>
      </c>
      <c r="O7" s="167">
        <v>136218.53</v>
      </c>
      <c r="P7" s="167">
        <v>0</v>
      </c>
      <c r="Q7" s="167">
        <v>83066.880000000005</v>
      </c>
    </row>
    <row r="8" spans="2:17" x14ac:dyDescent="0.25">
      <c r="B8" s="170" t="s">
        <v>11</v>
      </c>
      <c r="C8" s="170" t="s">
        <v>735</v>
      </c>
      <c r="D8" s="166"/>
      <c r="E8" s="166"/>
      <c r="F8" s="166"/>
      <c r="G8" s="171">
        <v>1297027.43</v>
      </c>
      <c r="H8" s="166"/>
      <c r="I8" s="171">
        <v>14384.34</v>
      </c>
      <c r="J8" s="171">
        <v>9511.98</v>
      </c>
      <c r="K8" s="171">
        <v>9335.9</v>
      </c>
      <c r="L8" s="171">
        <v>285.38</v>
      </c>
      <c r="M8" s="171">
        <v>1277894.04</v>
      </c>
      <c r="N8" s="171">
        <v>0</v>
      </c>
      <c r="O8" s="171">
        <v>14341.83</v>
      </c>
      <c r="P8" s="171">
        <v>0</v>
      </c>
      <c r="Q8" s="171">
        <v>0</v>
      </c>
    </row>
    <row r="9" spans="2:17" x14ac:dyDescent="0.25">
      <c r="B9" s="172" t="s">
        <v>13</v>
      </c>
      <c r="C9" s="172" t="s">
        <v>736</v>
      </c>
      <c r="D9" s="166"/>
      <c r="E9" s="166"/>
      <c r="F9" s="166"/>
      <c r="G9" s="173">
        <v>1247421.03</v>
      </c>
      <c r="H9" s="166"/>
      <c r="I9" s="173">
        <v>14384.34</v>
      </c>
      <c r="J9" s="173">
        <v>9511.98</v>
      </c>
      <c r="K9" s="173">
        <v>9335.9</v>
      </c>
      <c r="L9" s="173">
        <v>285.38</v>
      </c>
      <c r="M9" s="173">
        <v>1228287.6399999999</v>
      </c>
      <c r="N9" s="173">
        <v>0</v>
      </c>
      <c r="O9" s="173">
        <v>14341.83</v>
      </c>
      <c r="P9" s="173">
        <v>0</v>
      </c>
      <c r="Q9" s="173">
        <v>0</v>
      </c>
    </row>
    <row r="10" spans="2:17" x14ac:dyDescent="0.25">
      <c r="B10" s="168" t="s">
        <v>130</v>
      </c>
      <c r="C10" s="168" t="s">
        <v>737</v>
      </c>
      <c r="D10" s="168" t="s">
        <v>82</v>
      </c>
      <c r="E10" s="169">
        <v>160.84</v>
      </c>
      <c r="F10" s="169">
        <v>89</v>
      </c>
      <c r="G10" s="169">
        <v>14314.76</v>
      </c>
      <c r="H10" s="169">
        <v>1.32</v>
      </c>
      <c r="I10" s="169">
        <v>212.31</v>
      </c>
      <c r="J10" s="166"/>
      <c r="K10" s="169">
        <v>0</v>
      </c>
      <c r="L10" s="166"/>
      <c r="M10" s="169">
        <v>14314.76</v>
      </c>
      <c r="N10" s="166"/>
      <c r="O10" s="169">
        <v>211.68</v>
      </c>
      <c r="P10" s="166"/>
      <c r="Q10" s="169">
        <v>0</v>
      </c>
    </row>
    <row r="11" spans="2:17" x14ac:dyDescent="0.25">
      <c r="B11" s="168" t="s">
        <v>132</v>
      </c>
      <c r="C11" s="168" t="s">
        <v>738</v>
      </c>
      <c r="D11" s="168" t="s">
        <v>82</v>
      </c>
      <c r="E11" s="169">
        <v>4701.6499999999996</v>
      </c>
      <c r="F11" s="169">
        <v>91</v>
      </c>
      <c r="G11" s="169">
        <v>427850.15</v>
      </c>
      <c r="H11" s="169">
        <v>1.32</v>
      </c>
      <c r="I11" s="169">
        <v>6206.18</v>
      </c>
      <c r="J11" s="166"/>
      <c r="K11" s="169">
        <v>0</v>
      </c>
      <c r="L11" s="166"/>
      <c r="M11" s="169">
        <v>427850.15</v>
      </c>
      <c r="N11" s="166"/>
      <c r="O11" s="169">
        <v>6187.84</v>
      </c>
      <c r="P11" s="166"/>
      <c r="Q11" s="169">
        <v>0</v>
      </c>
    </row>
    <row r="12" spans="2:17" x14ac:dyDescent="0.25">
      <c r="B12" s="168" t="s">
        <v>133</v>
      </c>
      <c r="C12" s="168" t="s">
        <v>739</v>
      </c>
      <c r="D12" s="168" t="s">
        <v>82</v>
      </c>
      <c r="E12" s="169">
        <v>65.72</v>
      </c>
      <c r="F12" s="169">
        <v>102</v>
      </c>
      <c r="G12" s="169">
        <v>6703.44</v>
      </c>
      <c r="H12" s="169">
        <v>1.32</v>
      </c>
      <c r="I12" s="169">
        <v>86.75</v>
      </c>
      <c r="J12" s="166"/>
      <c r="K12" s="169">
        <v>0</v>
      </c>
      <c r="L12" s="166"/>
      <c r="M12" s="169">
        <v>6703.44</v>
      </c>
      <c r="N12" s="166"/>
      <c r="O12" s="169">
        <v>86.49</v>
      </c>
      <c r="P12" s="166"/>
      <c r="Q12" s="169">
        <v>0</v>
      </c>
    </row>
    <row r="13" spans="2:17" x14ac:dyDescent="0.25">
      <c r="B13" s="168" t="s">
        <v>135</v>
      </c>
      <c r="C13" s="168" t="s">
        <v>740</v>
      </c>
      <c r="D13" s="168" t="s">
        <v>82</v>
      </c>
      <c r="E13" s="169">
        <v>121.32</v>
      </c>
      <c r="F13" s="169">
        <v>101</v>
      </c>
      <c r="G13" s="169">
        <v>12253.32</v>
      </c>
      <c r="H13" s="169">
        <v>1.32</v>
      </c>
      <c r="I13" s="169">
        <v>160.13999999999999</v>
      </c>
      <c r="J13" s="166"/>
      <c r="K13" s="169">
        <v>0</v>
      </c>
      <c r="L13" s="166"/>
      <c r="M13" s="169">
        <v>12253.32</v>
      </c>
      <c r="N13" s="166"/>
      <c r="O13" s="169">
        <v>159.66999999999999</v>
      </c>
      <c r="P13" s="166"/>
      <c r="Q13" s="169">
        <v>0</v>
      </c>
    </row>
    <row r="14" spans="2:17" x14ac:dyDescent="0.25">
      <c r="B14" s="168" t="s">
        <v>264</v>
      </c>
      <c r="C14" s="168" t="s">
        <v>741</v>
      </c>
      <c r="D14" s="168" t="s">
        <v>82</v>
      </c>
      <c r="E14" s="169">
        <v>4387.2700000000004</v>
      </c>
      <c r="F14" s="169">
        <v>101</v>
      </c>
      <c r="G14" s="169">
        <v>443114.27</v>
      </c>
      <c r="H14" s="169">
        <v>1.32</v>
      </c>
      <c r="I14" s="169">
        <v>5791.2</v>
      </c>
      <c r="J14" s="166"/>
      <c r="K14" s="169">
        <v>0</v>
      </c>
      <c r="L14" s="166"/>
      <c r="M14" s="169">
        <v>443114.27</v>
      </c>
      <c r="N14" s="166"/>
      <c r="O14" s="169">
        <v>5774.09</v>
      </c>
      <c r="P14" s="166"/>
      <c r="Q14" s="169">
        <v>0</v>
      </c>
    </row>
    <row r="15" spans="2:17" x14ac:dyDescent="0.25">
      <c r="B15" s="168" t="s">
        <v>265</v>
      </c>
      <c r="C15" s="168" t="s">
        <v>742</v>
      </c>
      <c r="D15" s="168" t="s">
        <v>82</v>
      </c>
      <c r="E15" s="169">
        <v>558.29999999999995</v>
      </c>
      <c r="F15" s="169">
        <v>105</v>
      </c>
      <c r="G15" s="169">
        <v>58621.5</v>
      </c>
      <c r="H15" s="169">
        <v>1.32</v>
      </c>
      <c r="I15" s="169">
        <v>736.96</v>
      </c>
      <c r="J15" s="166"/>
      <c r="K15" s="169">
        <v>0</v>
      </c>
      <c r="L15" s="166"/>
      <c r="M15" s="169">
        <v>58621.5</v>
      </c>
      <c r="N15" s="166"/>
      <c r="O15" s="169">
        <v>734.78</v>
      </c>
      <c r="P15" s="166"/>
      <c r="Q15" s="169">
        <v>0</v>
      </c>
    </row>
    <row r="16" spans="2:17" x14ac:dyDescent="0.25">
      <c r="B16" s="168" t="s">
        <v>266</v>
      </c>
      <c r="C16" s="168" t="s">
        <v>743</v>
      </c>
      <c r="D16" s="168" t="s">
        <v>82</v>
      </c>
      <c r="E16" s="169">
        <v>405.6</v>
      </c>
      <c r="F16" s="169">
        <v>105</v>
      </c>
      <c r="G16" s="169">
        <v>42588</v>
      </c>
      <c r="H16" s="169">
        <v>1.32</v>
      </c>
      <c r="I16" s="169">
        <v>535.39</v>
      </c>
      <c r="J16" s="166"/>
      <c r="K16" s="169">
        <v>0</v>
      </c>
      <c r="L16" s="166"/>
      <c r="M16" s="169">
        <v>42588</v>
      </c>
      <c r="N16" s="166"/>
      <c r="O16" s="169">
        <v>533.80999999999995</v>
      </c>
      <c r="P16" s="166"/>
      <c r="Q16" s="169">
        <v>0</v>
      </c>
    </row>
    <row r="17" spans="2:17" x14ac:dyDescent="0.25">
      <c r="B17" s="168" t="s">
        <v>267</v>
      </c>
      <c r="C17" s="168" t="s">
        <v>744</v>
      </c>
      <c r="D17" s="168" t="s">
        <v>29</v>
      </c>
      <c r="E17" s="169">
        <v>1.8</v>
      </c>
      <c r="F17" s="169">
        <v>44.26</v>
      </c>
      <c r="G17" s="169">
        <v>79.67</v>
      </c>
      <c r="H17" s="169">
        <v>0</v>
      </c>
      <c r="I17" s="169">
        <v>0</v>
      </c>
      <c r="J17" s="169">
        <v>44.62</v>
      </c>
      <c r="K17" s="169">
        <v>33.71</v>
      </c>
      <c r="L17" s="169">
        <v>1.34</v>
      </c>
      <c r="M17" s="166"/>
      <c r="N17" s="169">
        <v>0</v>
      </c>
      <c r="O17" s="169">
        <v>0</v>
      </c>
      <c r="P17" s="169">
        <v>0</v>
      </c>
      <c r="Q17" s="166"/>
    </row>
    <row r="18" spans="2:17" x14ac:dyDescent="0.25">
      <c r="B18" s="168" t="s">
        <v>298</v>
      </c>
      <c r="C18" s="168" t="s">
        <v>745</v>
      </c>
      <c r="D18" s="168" t="s">
        <v>29</v>
      </c>
      <c r="E18" s="169">
        <v>18.16</v>
      </c>
      <c r="F18" s="169">
        <v>173.2</v>
      </c>
      <c r="G18" s="169">
        <v>3145.31</v>
      </c>
      <c r="H18" s="169">
        <v>0</v>
      </c>
      <c r="I18" s="169">
        <v>0</v>
      </c>
      <c r="J18" s="169">
        <v>791.08</v>
      </c>
      <c r="K18" s="169">
        <v>2330.36</v>
      </c>
      <c r="L18" s="169">
        <v>23.74</v>
      </c>
      <c r="M18" s="166"/>
      <c r="N18" s="169">
        <v>0</v>
      </c>
      <c r="O18" s="169">
        <v>0</v>
      </c>
      <c r="P18" s="169">
        <v>0</v>
      </c>
      <c r="Q18" s="166"/>
    </row>
    <row r="19" spans="2:17" x14ac:dyDescent="0.25">
      <c r="B19" s="168" t="s">
        <v>299</v>
      </c>
      <c r="C19" s="168" t="s">
        <v>746</v>
      </c>
      <c r="D19" s="168" t="s">
        <v>29</v>
      </c>
      <c r="E19" s="169">
        <v>16.899999999999999</v>
      </c>
      <c r="F19" s="169">
        <v>118.08</v>
      </c>
      <c r="G19" s="169">
        <v>1995.55</v>
      </c>
      <c r="H19" s="169">
        <v>0</v>
      </c>
      <c r="I19" s="169">
        <v>0</v>
      </c>
      <c r="J19" s="169">
        <v>1630.14</v>
      </c>
      <c r="K19" s="169">
        <v>316.52</v>
      </c>
      <c r="L19" s="169">
        <v>48.91</v>
      </c>
      <c r="M19" s="166"/>
      <c r="N19" s="169">
        <v>0</v>
      </c>
      <c r="O19" s="169">
        <v>0</v>
      </c>
      <c r="P19" s="169">
        <v>0</v>
      </c>
      <c r="Q19" s="166"/>
    </row>
    <row r="20" spans="2:17" x14ac:dyDescent="0.25">
      <c r="B20" s="168" t="s">
        <v>300</v>
      </c>
      <c r="C20" s="168" t="s">
        <v>747</v>
      </c>
      <c r="D20" s="168" t="s">
        <v>29</v>
      </c>
      <c r="E20" s="169">
        <v>208.3</v>
      </c>
      <c r="F20" s="169">
        <v>44.26</v>
      </c>
      <c r="G20" s="169">
        <v>9219.36</v>
      </c>
      <c r="H20" s="169">
        <v>0</v>
      </c>
      <c r="I20" s="169">
        <v>0</v>
      </c>
      <c r="J20" s="169">
        <v>5163.59</v>
      </c>
      <c r="K20" s="169">
        <v>3901.14</v>
      </c>
      <c r="L20" s="169">
        <v>154.91</v>
      </c>
      <c r="M20" s="166"/>
      <c r="N20" s="169">
        <v>0</v>
      </c>
      <c r="O20" s="169">
        <v>0</v>
      </c>
      <c r="P20" s="169">
        <v>0</v>
      </c>
      <c r="Q20" s="166"/>
    </row>
    <row r="21" spans="2:17" x14ac:dyDescent="0.25">
      <c r="B21" s="168" t="s">
        <v>301</v>
      </c>
      <c r="C21" s="168" t="s">
        <v>748</v>
      </c>
      <c r="D21" s="168" t="s">
        <v>15</v>
      </c>
      <c r="E21" s="169">
        <v>1</v>
      </c>
      <c r="F21" s="169">
        <v>32000</v>
      </c>
      <c r="G21" s="169">
        <v>32000</v>
      </c>
      <c r="H21" s="169">
        <v>0</v>
      </c>
      <c r="I21" s="169">
        <v>0</v>
      </c>
      <c r="J21" s="166"/>
      <c r="K21" s="166"/>
      <c r="L21" s="166"/>
      <c r="M21" s="169">
        <v>32000</v>
      </c>
      <c r="N21" s="166"/>
      <c r="O21" s="166"/>
      <c r="P21" s="166"/>
      <c r="Q21" s="169">
        <v>0</v>
      </c>
    </row>
    <row r="22" spans="2:17" x14ac:dyDescent="0.25">
      <c r="B22" s="168" t="s">
        <v>302</v>
      </c>
      <c r="C22" s="168" t="s">
        <v>749</v>
      </c>
      <c r="D22" s="168" t="s">
        <v>82</v>
      </c>
      <c r="E22" s="169">
        <v>314.74</v>
      </c>
      <c r="F22" s="169">
        <v>89</v>
      </c>
      <c r="G22" s="169">
        <v>28011.86</v>
      </c>
      <c r="H22" s="169">
        <v>1.32</v>
      </c>
      <c r="I22" s="169">
        <v>415.46</v>
      </c>
      <c r="J22" s="166"/>
      <c r="K22" s="169">
        <v>0</v>
      </c>
      <c r="L22" s="166"/>
      <c r="M22" s="169">
        <v>28011.86</v>
      </c>
      <c r="N22" s="166"/>
      <c r="O22" s="169">
        <v>414.23</v>
      </c>
      <c r="P22" s="166"/>
      <c r="Q22" s="169">
        <v>0</v>
      </c>
    </row>
    <row r="23" spans="2:17" x14ac:dyDescent="0.25">
      <c r="B23" s="168" t="s">
        <v>303</v>
      </c>
      <c r="C23" s="168" t="s">
        <v>750</v>
      </c>
      <c r="D23" s="168" t="s">
        <v>82</v>
      </c>
      <c r="E23" s="169">
        <v>61.6</v>
      </c>
      <c r="F23" s="169">
        <v>89</v>
      </c>
      <c r="G23" s="169">
        <v>5482.4</v>
      </c>
      <c r="H23" s="169">
        <v>1.32</v>
      </c>
      <c r="I23" s="169">
        <v>81.31</v>
      </c>
      <c r="J23" s="166"/>
      <c r="K23" s="169">
        <v>0</v>
      </c>
      <c r="L23" s="166"/>
      <c r="M23" s="169">
        <v>5482.4</v>
      </c>
      <c r="N23" s="166"/>
      <c r="O23" s="169">
        <v>81.069999999999993</v>
      </c>
      <c r="P23" s="166"/>
      <c r="Q23" s="169">
        <v>0</v>
      </c>
    </row>
    <row r="24" spans="2:17" x14ac:dyDescent="0.25">
      <c r="B24" s="168" t="s">
        <v>304</v>
      </c>
      <c r="C24" s="168" t="s">
        <v>751</v>
      </c>
      <c r="D24" s="168" t="s">
        <v>82</v>
      </c>
      <c r="E24" s="169">
        <v>50.24</v>
      </c>
      <c r="F24" s="169">
        <v>184</v>
      </c>
      <c r="G24" s="169">
        <v>9244.16</v>
      </c>
      <c r="H24" s="169">
        <v>0</v>
      </c>
      <c r="I24" s="169">
        <v>0</v>
      </c>
      <c r="J24" s="166"/>
      <c r="K24" s="166"/>
      <c r="L24" s="166"/>
      <c r="M24" s="169">
        <v>9244.16</v>
      </c>
      <c r="N24" s="166"/>
      <c r="O24" s="166"/>
      <c r="P24" s="166"/>
      <c r="Q24" s="169">
        <v>0</v>
      </c>
    </row>
    <row r="25" spans="2:17" x14ac:dyDescent="0.25">
      <c r="B25" s="168" t="s">
        <v>305</v>
      </c>
      <c r="C25" s="168" t="s">
        <v>752</v>
      </c>
      <c r="D25" s="168" t="s">
        <v>82</v>
      </c>
      <c r="E25" s="169">
        <v>49.42</v>
      </c>
      <c r="F25" s="169">
        <v>184</v>
      </c>
      <c r="G25" s="169">
        <v>9093.2800000000007</v>
      </c>
      <c r="H25" s="169">
        <v>0</v>
      </c>
      <c r="I25" s="169">
        <v>0</v>
      </c>
      <c r="J25" s="166"/>
      <c r="K25" s="166"/>
      <c r="L25" s="166"/>
      <c r="M25" s="169">
        <v>9093.2800000000007</v>
      </c>
      <c r="N25" s="166"/>
      <c r="O25" s="166"/>
      <c r="P25" s="166"/>
      <c r="Q25" s="169">
        <v>0</v>
      </c>
    </row>
    <row r="26" spans="2:17" x14ac:dyDescent="0.25">
      <c r="B26" s="168" t="s">
        <v>306</v>
      </c>
      <c r="C26" s="168" t="s">
        <v>753</v>
      </c>
      <c r="D26" s="168" t="s">
        <v>82</v>
      </c>
      <c r="E26" s="169">
        <v>99.41</v>
      </c>
      <c r="F26" s="169">
        <v>105</v>
      </c>
      <c r="G26" s="169">
        <v>10438.049999999999</v>
      </c>
      <c r="H26" s="169">
        <v>1.32</v>
      </c>
      <c r="I26" s="169">
        <v>131.22</v>
      </c>
      <c r="J26" s="166"/>
      <c r="K26" s="169">
        <v>0</v>
      </c>
      <c r="L26" s="166"/>
      <c r="M26" s="169">
        <v>10438.049999999999</v>
      </c>
      <c r="N26" s="166"/>
      <c r="O26" s="169">
        <v>130.83000000000001</v>
      </c>
      <c r="P26" s="166"/>
      <c r="Q26" s="169">
        <v>0</v>
      </c>
    </row>
    <row r="27" spans="2:17" x14ac:dyDescent="0.25">
      <c r="B27" s="168" t="s">
        <v>307</v>
      </c>
      <c r="C27" s="168" t="s">
        <v>754</v>
      </c>
      <c r="D27" s="168" t="s">
        <v>82</v>
      </c>
      <c r="E27" s="169">
        <v>20.77</v>
      </c>
      <c r="F27" s="169">
        <v>105</v>
      </c>
      <c r="G27" s="169">
        <v>2180.85</v>
      </c>
      <c r="H27" s="169">
        <v>1.32</v>
      </c>
      <c r="I27" s="169">
        <v>27.42</v>
      </c>
      <c r="J27" s="166"/>
      <c r="K27" s="169">
        <v>0</v>
      </c>
      <c r="L27" s="166"/>
      <c r="M27" s="169">
        <v>2180.85</v>
      </c>
      <c r="N27" s="166"/>
      <c r="O27" s="169">
        <v>27.34</v>
      </c>
      <c r="P27" s="166"/>
      <c r="Q27" s="169">
        <v>0</v>
      </c>
    </row>
    <row r="28" spans="2:17" x14ac:dyDescent="0.25">
      <c r="B28" s="168" t="s">
        <v>308</v>
      </c>
      <c r="C28" s="168" t="s">
        <v>755</v>
      </c>
      <c r="D28" s="168" t="s">
        <v>29</v>
      </c>
      <c r="E28" s="169">
        <v>52.93</v>
      </c>
      <c r="F28" s="169">
        <v>88.29</v>
      </c>
      <c r="G28" s="169">
        <v>4673.1899999999996</v>
      </c>
      <c r="H28" s="169">
        <v>0</v>
      </c>
      <c r="I28" s="169">
        <v>0</v>
      </c>
      <c r="J28" s="169">
        <v>1874.41</v>
      </c>
      <c r="K28" s="169">
        <v>2742.25</v>
      </c>
      <c r="L28" s="169">
        <v>56.24</v>
      </c>
      <c r="M28" s="166"/>
      <c r="N28" s="169">
        <v>0</v>
      </c>
      <c r="O28" s="169">
        <v>0</v>
      </c>
      <c r="P28" s="169">
        <v>0</v>
      </c>
      <c r="Q28" s="166"/>
    </row>
    <row r="29" spans="2:17" x14ac:dyDescent="0.25">
      <c r="B29" s="168" t="s">
        <v>309</v>
      </c>
      <c r="C29" s="168" t="s">
        <v>756</v>
      </c>
      <c r="D29" s="168" t="s">
        <v>29</v>
      </c>
      <c r="E29" s="169">
        <v>0.23</v>
      </c>
      <c r="F29" s="169">
        <v>88.29</v>
      </c>
      <c r="G29" s="169">
        <v>20.309999999999999</v>
      </c>
      <c r="H29" s="169">
        <v>0</v>
      </c>
      <c r="I29" s="169">
        <v>0</v>
      </c>
      <c r="J29" s="169">
        <v>8.14</v>
      </c>
      <c r="K29" s="169">
        <v>11.92</v>
      </c>
      <c r="L29" s="169">
        <v>0.24</v>
      </c>
      <c r="M29" s="166"/>
      <c r="N29" s="169">
        <v>0</v>
      </c>
      <c r="O29" s="169">
        <v>0</v>
      </c>
      <c r="P29" s="169">
        <v>0</v>
      </c>
      <c r="Q29" s="166"/>
    </row>
    <row r="30" spans="2:17" x14ac:dyDescent="0.25">
      <c r="B30" s="168" t="s">
        <v>310</v>
      </c>
      <c r="C30" s="168" t="s">
        <v>757</v>
      </c>
      <c r="D30" s="168" t="s">
        <v>29</v>
      </c>
      <c r="E30" s="169">
        <v>66.53</v>
      </c>
      <c r="F30" s="169">
        <v>110</v>
      </c>
      <c r="G30" s="169">
        <v>7318.3</v>
      </c>
      <c r="H30" s="169">
        <v>0</v>
      </c>
      <c r="I30" s="169">
        <v>0</v>
      </c>
      <c r="J30" s="166"/>
      <c r="K30" s="166"/>
      <c r="L30" s="166"/>
      <c r="M30" s="169">
        <v>7318.3</v>
      </c>
      <c r="N30" s="166"/>
      <c r="O30" s="166"/>
      <c r="P30" s="166"/>
      <c r="Q30" s="169">
        <v>0</v>
      </c>
    </row>
    <row r="31" spans="2:17" x14ac:dyDescent="0.25">
      <c r="B31" s="168" t="s">
        <v>311</v>
      </c>
      <c r="C31" s="168" t="s">
        <v>758</v>
      </c>
      <c r="D31" s="168" t="s">
        <v>29</v>
      </c>
      <c r="E31" s="169">
        <v>119.17</v>
      </c>
      <c r="F31" s="169">
        <v>110</v>
      </c>
      <c r="G31" s="169">
        <v>13108.7</v>
      </c>
      <c r="H31" s="169">
        <v>0</v>
      </c>
      <c r="I31" s="169">
        <v>0</v>
      </c>
      <c r="J31" s="166"/>
      <c r="K31" s="166"/>
      <c r="L31" s="166"/>
      <c r="M31" s="169">
        <v>13108.7</v>
      </c>
      <c r="N31" s="166"/>
      <c r="O31" s="166"/>
      <c r="P31" s="166"/>
      <c r="Q31" s="169">
        <v>0</v>
      </c>
    </row>
    <row r="32" spans="2:17" x14ac:dyDescent="0.25">
      <c r="B32" s="168" t="s">
        <v>312</v>
      </c>
      <c r="C32" s="168" t="s">
        <v>759</v>
      </c>
      <c r="D32" s="168" t="s">
        <v>29</v>
      </c>
      <c r="E32" s="169">
        <v>58.52</v>
      </c>
      <c r="F32" s="169">
        <v>110</v>
      </c>
      <c r="G32" s="169">
        <v>6437.2</v>
      </c>
      <c r="H32" s="169">
        <v>0</v>
      </c>
      <c r="I32" s="169">
        <v>0</v>
      </c>
      <c r="J32" s="166"/>
      <c r="K32" s="166"/>
      <c r="L32" s="166"/>
      <c r="M32" s="169">
        <v>6437.2</v>
      </c>
      <c r="N32" s="166"/>
      <c r="O32" s="166"/>
      <c r="P32" s="166"/>
      <c r="Q32" s="169">
        <v>0</v>
      </c>
    </row>
    <row r="33" spans="2:17" x14ac:dyDescent="0.25">
      <c r="B33" s="168" t="s">
        <v>313</v>
      </c>
      <c r="C33" s="168" t="s">
        <v>760</v>
      </c>
      <c r="D33" s="168" t="s">
        <v>29</v>
      </c>
      <c r="E33" s="169">
        <v>430.84</v>
      </c>
      <c r="F33" s="169">
        <v>110</v>
      </c>
      <c r="G33" s="169">
        <v>47392.4</v>
      </c>
      <c r="H33" s="169">
        <v>0</v>
      </c>
      <c r="I33" s="169">
        <v>0</v>
      </c>
      <c r="J33" s="166"/>
      <c r="K33" s="166"/>
      <c r="L33" s="166"/>
      <c r="M33" s="169">
        <v>47392.4</v>
      </c>
      <c r="N33" s="166"/>
      <c r="O33" s="166"/>
      <c r="P33" s="166"/>
      <c r="Q33" s="169">
        <v>0</v>
      </c>
    </row>
    <row r="34" spans="2:17" x14ac:dyDescent="0.25">
      <c r="B34" s="168" t="s">
        <v>314</v>
      </c>
      <c r="C34" s="168" t="s">
        <v>761</v>
      </c>
      <c r="D34" s="168" t="s">
        <v>15</v>
      </c>
      <c r="E34" s="169">
        <v>1</v>
      </c>
      <c r="F34" s="169">
        <v>27300</v>
      </c>
      <c r="G34" s="169">
        <v>27300</v>
      </c>
      <c r="H34" s="169">
        <v>0</v>
      </c>
      <c r="I34" s="169">
        <v>0</v>
      </c>
      <c r="J34" s="166"/>
      <c r="K34" s="166"/>
      <c r="L34" s="166"/>
      <c r="M34" s="169">
        <v>27300</v>
      </c>
      <c r="N34" s="166"/>
      <c r="O34" s="166"/>
      <c r="P34" s="166"/>
      <c r="Q34" s="169">
        <v>0</v>
      </c>
    </row>
    <row r="35" spans="2:17" x14ac:dyDescent="0.25">
      <c r="B35" s="168" t="s">
        <v>315</v>
      </c>
      <c r="C35" s="168" t="s">
        <v>762</v>
      </c>
      <c r="D35" s="168" t="s">
        <v>15</v>
      </c>
      <c r="E35" s="169">
        <v>1</v>
      </c>
      <c r="F35" s="169">
        <v>24835</v>
      </c>
      <c r="G35" s="169">
        <v>24835</v>
      </c>
      <c r="H35" s="169">
        <v>0</v>
      </c>
      <c r="I35" s="169">
        <v>0</v>
      </c>
      <c r="J35" s="166"/>
      <c r="K35" s="166"/>
      <c r="L35" s="166"/>
      <c r="M35" s="169">
        <v>24835</v>
      </c>
      <c r="N35" s="166"/>
      <c r="O35" s="166"/>
      <c r="P35" s="166"/>
      <c r="Q35" s="169">
        <v>0</v>
      </c>
    </row>
    <row r="36" spans="2:17" x14ac:dyDescent="0.25">
      <c r="B36" s="172" t="s">
        <v>16</v>
      </c>
      <c r="C36" s="172" t="s">
        <v>763</v>
      </c>
      <c r="D36" s="166"/>
      <c r="E36" s="166"/>
      <c r="F36" s="166"/>
      <c r="G36" s="173">
        <v>49606.400000000001</v>
      </c>
      <c r="H36" s="166"/>
      <c r="I36" s="173">
        <v>0</v>
      </c>
      <c r="J36" s="173">
        <v>0</v>
      </c>
      <c r="K36" s="173">
        <v>0</v>
      </c>
      <c r="L36" s="173">
        <v>0</v>
      </c>
      <c r="M36" s="173">
        <v>49606.400000000001</v>
      </c>
      <c r="N36" s="173">
        <v>0</v>
      </c>
      <c r="O36" s="173">
        <v>0</v>
      </c>
      <c r="P36" s="173">
        <v>0</v>
      </c>
      <c r="Q36" s="173">
        <v>0</v>
      </c>
    </row>
    <row r="37" spans="2:17" x14ac:dyDescent="0.25">
      <c r="B37" s="168" t="s">
        <v>137</v>
      </c>
      <c r="C37" s="168" t="s">
        <v>764</v>
      </c>
      <c r="D37" s="168" t="s">
        <v>82</v>
      </c>
      <c r="E37" s="169">
        <v>39.24</v>
      </c>
      <c r="F37" s="169">
        <v>85</v>
      </c>
      <c r="G37" s="169">
        <v>3335.4</v>
      </c>
      <c r="H37" s="169">
        <v>0</v>
      </c>
      <c r="I37" s="169">
        <v>0</v>
      </c>
      <c r="J37" s="166"/>
      <c r="K37" s="166"/>
      <c r="L37" s="166"/>
      <c r="M37" s="169">
        <v>3335.4</v>
      </c>
      <c r="N37" s="166"/>
      <c r="O37" s="166"/>
      <c r="P37" s="166"/>
      <c r="Q37" s="169">
        <v>0</v>
      </c>
    </row>
    <row r="38" spans="2:17" x14ac:dyDescent="0.25">
      <c r="B38" s="168" t="s">
        <v>268</v>
      </c>
      <c r="C38" s="168" t="s">
        <v>765</v>
      </c>
      <c r="D38" s="168" t="s">
        <v>82</v>
      </c>
      <c r="E38" s="169">
        <v>130.15</v>
      </c>
      <c r="F38" s="169">
        <v>145</v>
      </c>
      <c r="G38" s="169">
        <v>18871.75</v>
      </c>
      <c r="H38" s="169">
        <v>0</v>
      </c>
      <c r="I38" s="169">
        <v>0</v>
      </c>
      <c r="J38" s="166"/>
      <c r="K38" s="166"/>
      <c r="L38" s="166"/>
      <c r="M38" s="169">
        <v>18871.75</v>
      </c>
      <c r="N38" s="166"/>
      <c r="O38" s="166"/>
      <c r="P38" s="166"/>
      <c r="Q38" s="169">
        <v>0</v>
      </c>
    </row>
    <row r="39" spans="2:17" x14ac:dyDescent="0.25">
      <c r="B39" s="168" t="s">
        <v>269</v>
      </c>
      <c r="C39" s="168" t="s">
        <v>766</v>
      </c>
      <c r="D39" s="168" t="s">
        <v>82</v>
      </c>
      <c r="E39" s="169">
        <v>69.040000000000006</v>
      </c>
      <c r="F39" s="169">
        <v>145</v>
      </c>
      <c r="G39" s="169">
        <v>10010.799999999999</v>
      </c>
      <c r="H39" s="169">
        <v>0</v>
      </c>
      <c r="I39" s="169">
        <v>0</v>
      </c>
      <c r="J39" s="166"/>
      <c r="K39" s="166"/>
      <c r="L39" s="166"/>
      <c r="M39" s="169">
        <v>10010.799999999999</v>
      </c>
      <c r="N39" s="166"/>
      <c r="O39" s="166"/>
      <c r="P39" s="166"/>
      <c r="Q39" s="169">
        <v>0</v>
      </c>
    </row>
    <row r="40" spans="2:17" x14ac:dyDescent="0.25">
      <c r="B40" s="168" t="s">
        <v>270</v>
      </c>
      <c r="C40" s="168" t="s">
        <v>767</v>
      </c>
      <c r="D40" s="168" t="s">
        <v>82</v>
      </c>
      <c r="E40" s="169">
        <v>8.5299999999999994</v>
      </c>
      <c r="F40" s="169">
        <v>145</v>
      </c>
      <c r="G40" s="169">
        <v>1236.8499999999999</v>
      </c>
      <c r="H40" s="169">
        <v>0</v>
      </c>
      <c r="I40" s="169">
        <v>0</v>
      </c>
      <c r="J40" s="166"/>
      <c r="K40" s="166"/>
      <c r="L40" s="166"/>
      <c r="M40" s="169">
        <v>1236.8499999999999</v>
      </c>
      <c r="N40" s="166"/>
      <c r="O40" s="166"/>
      <c r="P40" s="166"/>
      <c r="Q40" s="169">
        <v>0</v>
      </c>
    </row>
    <row r="41" spans="2:17" x14ac:dyDescent="0.25">
      <c r="B41" s="168" t="s">
        <v>271</v>
      </c>
      <c r="C41" s="168" t="s">
        <v>768</v>
      </c>
      <c r="D41" s="168" t="s">
        <v>82</v>
      </c>
      <c r="E41" s="169">
        <v>1.32</v>
      </c>
      <c r="F41" s="169">
        <v>80</v>
      </c>
      <c r="G41" s="169">
        <v>105.6</v>
      </c>
      <c r="H41" s="169">
        <v>0</v>
      </c>
      <c r="I41" s="169">
        <v>0</v>
      </c>
      <c r="J41" s="166"/>
      <c r="K41" s="166"/>
      <c r="L41" s="166"/>
      <c r="M41" s="169">
        <v>105.6</v>
      </c>
      <c r="N41" s="166"/>
      <c r="O41" s="166"/>
      <c r="P41" s="166"/>
      <c r="Q41" s="169">
        <v>0</v>
      </c>
    </row>
    <row r="42" spans="2:17" x14ac:dyDescent="0.25">
      <c r="B42" s="168" t="s">
        <v>272</v>
      </c>
      <c r="C42" s="168" t="s">
        <v>2122</v>
      </c>
      <c r="D42" s="168" t="s">
        <v>82</v>
      </c>
      <c r="E42" s="169">
        <v>12.32</v>
      </c>
      <c r="F42" s="169">
        <v>500</v>
      </c>
      <c r="G42" s="169">
        <v>6160</v>
      </c>
      <c r="H42" s="169">
        <v>0</v>
      </c>
      <c r="I42" s="169">
        <v>0</v>
      </c>
      <c r="J42" s="166"/>
      <c r="K42" s="166"/>
      <c r="L42" s="166"/>
      <c r="M42" s="169">
        <v>6160</v>
      </c>
      <c r="N42" s="166"/>
      <c r="O42" s="166"/>
      <c r="P42" s="166"/>
      <c r="Q42" s="169">
        <v>0</v>
      </c>
    </row>
    <row r="43" spans="2:17" x14ac:dyDescent="0.25">
      <c r="B43" s="168" t="s">
        <v>273</v>
      </c>
      <c r="C43" s="168" t="s">
        <v>769</v>
      </c>
      <c r="D43" s="168" t="s">
        <v>82</v>
      </c>
      <c r="E43" s="169">
        <v>5.45</v>
      </c>
      <c r="F43" s="169">
        <v>80</v>
      </c>
      <c r="G43" s="169">
        <v>436</v>
      </c>
      <c r="H43" s="169">
        <v>0</v>
      </c>
      <c r="I43" s="169">
        <v>0</v>
      </c>
      <c r="J43" s="166"/>
      <c r="K43" s="166"/>
      <c r="L43" s="166"/>
      <c r="M43" s="169">
        <v>436</v>
      </c>
      <c r="N43" s="166"/>
      <c r="O43" s="166"/>
      <c r="P43" s="166"/>
      <c r="Q43" s="169">
        <v>0</v>
      </c>
    </row>
    <row r="44" spans="2:17" x14ac:dyDescent="0.25">
      <c r="B44" s="168" t="s">
        <v>274</v>
      </c>
      <c r="C44" s="168" t="s">
        <v>1893</v>
      </c>
      <c r="D44" s="168" t="s">
        <v>53</v>
      </c>
      <c r="E44" s="169">
        <v>27</v>
      </c>
      <c r="F44" s="169">
        <v>350</v>
      </c>
      <c r="G44" s="169">
        <v>9450</v>
      </c>
      <c r="H44" s="169">
        <v>0</v>
      </c>
      <c r="I44" s="169">
        <v>0</v>
      </c>
      <c r="J44" s="166"/>
      <c r="K44" s="166"/>
      <c r="L44" s="166"/>
      <c r="M44" s="169">
        <v>9450</v>
      </c>
      <c r="N44" s="166"/>
      <c r="O44" s="166"/>
      <c r="P44" s="166"/>
      <c r="Q44" s="169">
        <v>0</v>
      </c>
    </row>
    <row r="45" spans="2:17" x14ac:dyDescent="0.25">
      <c r="B45" s="170" t="s">
        <v>25</v>
      </c>
      <c r="C45" s="170" t="s">
        <v>770</v>
      </c>
      <c r="D45" s="166"/>
      <c r="E45" s="166"/>
      <c r="F45" s="166"/>
      <c r="G45" s="171">
        <v>1151424.03</v>
      </c>
      <c r="H45" s="166"/>
      <c r="I45" s="171">
        <v>5982.13</v>
      </c>
      <c r="J45" s="171">
        <v>539060.77</v>
      </c>
      <c r="K45" s="171">
        <v>184571.08</v>
      </c>
      <c r="L45" s="171">
        <v>36835.120000000003</v>
      </c>
      <c r="M45" s="171">
        <v>390794.63</v>
      </c>
      <c r="N45" s="171">
        <v>0</v>
      </c>
      <c r="O45" s="171">
        <v>2622.46</v>
      </c>
      <c r="P45" s="171">
        <v>0</v>
      </c>
      <c r="Q45" s="171">
        <v>3360</v>
      </c>
    </row>
    <row r="46" spans="2:17" x14ac:dyDescent="0.25">
      <c r="B46" s="172" t="s">
        <v>27</v>
      </c>
      <c r="C46" s="172" t="s">
        <v>771</v>
      </c>
      <c r="D46" s="166"/>
      <c r="E46" s="166"/>
      <c r="F46" s="166"/>
      <c r="G46" s="173">
        <v>950826.87</v>
      </c>
      <c r="H46" s="166"/>
      <c r="I46" s="173">
        <v>0</v>
      </c>
      <c r="J46" s="173">
        <v>539060.77</v>
      </c>
      <c r="K46" s="173">
        <v>180491.1</v>
      </c>
      <c r="L46" s="173">
        <v>26958.12</v>
      </c>
      <c r="M46" s="173">
        <v>204154.75</v>
      </c>
      <c r="N46" s="173">
        <v>0</v>
      </c>
      <c r="O46" s="173">
        <v>0</v>
      </c>
      <c r="P46" s="173">
        <v>0</v>
      </c>
      <c r="Q46" s="173">
        <v>0</v>
      </c>
    </row>
    <row r="47" spans="2:17" x14ac:dyDescent="0.25">
      <c r="B47" s="168" t="s">
        <v>146</v>
      </c>
      <c r="C47" s="168" t="s">
        <v>2108</v>
      </c>
      <c r="D47" s="168" t="s">
        <v>82</v>
      </c>
      <c r="E47" s="169">
        <v>442.18</v>
      </c>
      <c r="F47" s="169">
        <v>59.03</v>
      </c>
      <c r="G47" s="169">
        <v>26101.89</v>
      </c>
      <c r="H47" s="169">
        <v>0</v>
      </c>
      <c r="I47" s="169">
        <v>0</v>
      </c>
      <c r="J47" s="169">
        <v>18902.11</v>
      </c>
      <c r="K47" s="169">
        <v>3278.76</v>
      </c>
      <c r="L47" s="169">
        <v>945.16</v>
      </c>
      <c r="M47" s="169">
        <v>2971.45</v>
      </c>
      <c r="N47" s="169">
        <v>0</v>
      </c>
      <c r="O47" s="169">
        <v>0</v>
      </c>
      <c r="P47" s="169">
        <v>0</v>
      </c>
      <c r="Q47" s="169">
        <v>0</v>
      </c>
    </row>
    <row r="48" spans="2:17" x14ac:dyDescent="0.25">
      <c r="B48" s="168" t="s">
        <v>147</v>
      </c>
      <c r="C48" s="168" t="s">
        <v>2109</v>
      </c>
      <c r="D48" s="168" t="s">
        <v>82</v>
      </c>
      <c r="E48" s="169">
        <v>813.66</v>
      </c>
      <c r="F48" s="169">
        <v>59.03</v>
      </c>
      <c r="G48" s="169">
        <v>48030.35</v>
      </c>
      <c r="H48" s="169">
        <v>0</v>
      </c>
      <c r="I48" s="169">
        <v>0</v>
      </c>
      <c r="J48" s="169">
        <v>34781.97</v>
      </c>
      <c r="K48" s="169">
        <v>6033.29</v>
      </c>
      <c r="L48" s="169">
        <v>1739.2</v>
      </c>
      <c r="M48" s="169">
        <v>5467.8</v>
      </c>
      <c r="N48" s="169">
        <v>0</v>
      </c>
      <c r="O48" s="169">
        <v>0</v>
      </c>
      <c r="P48" s="169">
        <v>0</v>
      </c>
      <c r="Q48" s="169">
        <v>0</v>
      </c>
    </row>
    <row r="49" spans="2:17" x14ac:dyDescent="0.25">
      <c r="B49" s="168" t="s">
        <v>148</v>
      </c>
      <c r="C49" s="168" t="s">
        <v>772</v>
      </c>
      <c r="D49" s="168" t="s">
        <v>82</v>
      </c>
      <c r="E49" s="169">
        <v>3582.1</v>
      </c>
      <c r="F49" s="169">
        <v>32.53</v>
      </c>
      <c r="G49" s="169">
        <v>116525.71</v>
      </c>
      <c r="H49" s="169">
        <v>0</v>
      </c>
      <c r="I49" s="169">
        <v>0</v>
      </c>
      <c r="J49" s="169">
        <v>79117.759999999995</v>
      </c>
      <c r="K49" s="169">
        <v>26561.27</v>
      </c>
      <c r="L49" s="169">
        <v>3956.43</v>
      </c>
      <c r="M49" s="169">
        <v>6877.63</v>
      </c>
      <c r="N49" s="169">
        <v>0</v>
      </c>
      <c r="O49" s="169">
        <v>0</v>
      </c>
      <c r="P49" s="169">
        <v>0</v>
      </c>
      <c r="Q49" s="169">
        <v>0</v>
      </c>
    </row>
    <row r="50" spans="2:17" x14ac:dyDescent="0.25">
      <c r="B50" s="168" t="s">
        <v>151</v>
      </c>
      <c r="C50" s="168" t="s">
        <v>773</v>
      </c>
      <c r="D50" s="168" t="s">
        <v>82</v>
      </c>
      <c r="E50" s="169">
        <v>2137.84</v>
      </c>
      <c r="F50" s="169">
        <v>32.53</v>
      </c>
      <c r="G50" s="169">
        <v>69543.94</v>
      </c>
      <c r="H50" s="169">
        <v>0</v>
      </c>
      <c r="I50" s="169">
        <v>0</v>
      </c>
      <c r="J50" s="169">
        <v>47218.43</v>
      </c>
      <c r="K50" s="169">
        <v>15852.09</v>
      </c>
      <c r="L50" s="169">
        <v>2361.2399999999998</v>
      </c>
      <c r="M50" s="169">
        <v>4104.66</v>
      </c>
      <c r="N50" s="169">
        <v>0</v>
      </c>
      <c r="O50" s="169">
        <v>0</v>
      </c>
      <c r="P50" s="169">
        <v>0</v>
      </c>
      <c r="Q50" s="169">
        <v>0</v>
      </c>
    </row>
    <row r="51" spans="2:17" x14ac:dyDescent="0.25">
      <c r="B51" s="168" t="s">
        <v>152</v>
      </c>
      <c r="C51" s="168" t="s">
        <v>775</v>
      </c>
      <c r="D51" s="168" t="s">
        <v>82</v>
      </c>
      <c r="E51" s="169">
        <v>39</v>
      </c>
      <c r="F51" s="169">
        <v>65.03</v>
      </c>
      <c r="G51" s="169">
        <v>2536.17</v>
      </c>
      <c r="H51" s="169">
        <v>0</v>
      </c>
      <c r="I51" s="169">
        <v>0</v>
      </c>
      <c r="J51" s="169">
        <v>861.39</v>
      </c>
      <c r="K51" s="169">
        <v>289.19</v>
      </c>
      <c r="L51" s="169">
        <v>43.08</v>
      </c>
      <c r="M51" s="169">
        <v>1342.38</v>
      </c>
      <c r="N51" s="169">
        <v>0</v>
      </c>
      <c r="O51" s="169">
        <v>0</v>
      </c>
      <c r="P51" s="169">
        <v>0</v>
      </c>
      <c r="Q51" s="169">
        <v>0</v>
      </c>
    </row>
    <row r="52" spans="2:17" x14ac:dyDescent="0.25">
      <c r="B52" s="168" t="s">
        <v>466</v>
      </c>
      <c r="C52" s="168" t="s">
        <v>777</v>
      </c>
      <c r="D52" s="168" t="s">
        <v>82</v>
      </c>
      <c r="E52" s="169">
        <v>218.24</v>
      </c>
      <c r="F52" s="169">
        <v>65.03</v>
      </c>
      <c r="G52" s="169">
        <v>14192.15</v>
      </c>
      <c r="H52" s="169">
        <v>0</v>
      </c>
      <c r="I52" s="169">
        <v>0</v>
      </c>
      <c r="J52" s="169">
        <v>4820.26</v>
      </c>
      <c r="K52" s="169">
        <v>1618.25</v>
      </c>
      <c r="L52" s="169">
        <v>241.05</v>
      </c>
      <c r="M52" s="169">
        <v>7511.82</v>
      </c>
      <c r="N52" s="169">
        <v>0</v>
      </c>
      <c r="O52" s="169">
        <v>0</v>
      </c>
      <c r="P52" s="169">
        <v>0</v>
      </c>
      <c r="Q52" s="169">
        <v>0</v>
      </c>
    </row>
    <row r="53" spans="2:17" x14ac:dyDescent="0.25">
      <c r="B53" s="168" t="s">
        <v>774</v>
      </c>
      <c r="C53" s="168" t="s">
        <v>779</v>
      </c>
      <c r="D53" s="168" t="s">
        <v>82</v>
      </c>
      <c r="E53" s="169">
        <v>611.70000000000005</v>
      </c>
      <c r="F53" s="169">
        <v>21.9</v>
      </c>
      <c r="G53" s="169">
        <v>13396.23</v>
      </c>
      <c r="H53" s="169">
        <v>0</v>
      </c>
      <c r="I53" s="169">
        <v>0</v>
      </c>
      <c r="J53" s="169">
        <v>7940.99</v>
      </c>
      <c r="K53" s="169">
        <v>3829.24</v>
      </c>
      <c r="L53" s="169">
        <v>397.3</v>
      </c>
      <c r="M53" s="169">
        <v>1223.4000000000001</v>
      </c>
      <c r="N53" s="169">
        <v>0</v>
      </c>
      <c r="O53" s="169">
        <v>0</v>
      </c>
      <c r="P53" s="169">
        <v>0</v>
      </c>
      <c r="Q53" s="169">
        <v>0</v>
      </c>
    </row>
    <row r="54" spans="2:17" x14ac:dyDescent="0.25">
      <c r="B54" s="168" t="s">
        <v>776</v>
      </c>
      <c r="C54" s="168" t="s">
        <v>2110</v>
      </c>
      <c r="D54" s="168" t="s">
        <v>82</v>
      </c>
      <c r="E54" s="169">
        <v>127.53</v>
      </c>
      <c r="F54" s="169">
        <v>21.9</v>
      </c>
      <c r="G54" s="169">
        <v>2792.91</v>
      </c>
      <c r="H54" s="169">
        <v>0</v>
      </c>
      <c r="I54" s="169">
        <v>0</v>
      </c>
      <c r="J54" s="169">
        <v>1655.57</v>
      </c>
      <c r="K54" s="169">
        <v>798.34</v>
      </c>
      <c r="L54" s="169">
        <v>82.83</v>
      </c>
      <c r="M54" s="169">
        <v>255.04</v>
      </c>
      <c r="N54" s="169">
        <v>0</v>
      </c>
      <c r="O54" s="169">
        <v>0</v>
      </c>
      <c r="P54" s="169">
        <v>0</v>
      </c>
      <c r="Q54" s="169">
        <v>0</v>
      </c>
    </row>
    <row r="55" spans="2:17" x14ac:dyDescent="0.25">
      <c r="B55" s="168" t="s">
        <v>778</v>
      </c>
      <c r="C55" s="168" t="s">
        <v>2111</v>
      </c>
      <c r="D55" s="168" t="s">
        <v>82</v>
      </c>
      <c r="E55" s="169">
        <v>453.75</v>
      </c>
      <c r="F55" s="169">
        <v>21.9</v>
      </c>
      <c r="G55" s="169">
        <v>9937.1299999999992</v>
      </c>
      <c r="H55" s="169">
        <v>0</v>
      </c>
      <c r="I55" s="169">
        <v>0</v>
      </c>
      <c r="J55" s="169">
        <v>5890.51</v>
      </c>
      <c r="K55" s="169">
        <v>2840.48</v>
      </c>
      <c r="L55" s="169">
        <v>294.70999999999998</v>
      </c>
      <c r="M55" s="169">
        <v>907.47</v>
      </c>
      <c r="N55" s="169">
        <v>0</v>
      </c>
      <c r="O55" s="169">
        <v>0</v>
      </c>
      <c r="P55" s="169">
        <v>0</v>
      </c>
      <c r="Q55" s="169">
        <v>0</v>
      </c>
    </row>
    <row r="56" spans="2:17" x14ac:dyDescent="0.25">
      <c r="B56" s="168" t="s">
        <v>780</v>
      </c>
      <c r="C56" s="168" t="s">
        <v>2112</v>
      </c>
      <c r="D56" s="168" t="s">
        <v>82</v>
      </c>
      <c r="E56" s="169">
        <v>1253.22</v>
      </c>
      <c r="F56" s="169">
        <v>21.9</v>
      </c>
      <c r="G56" s="169">
        <v>27445.52</v>
      </c>
      <c r="H56" s="169">
        <v>0</v>
      </c>
      <c r="I56" s="169">
        <v>0</v>
      </c>
      <c r="J56" s="169">
        <v>16269.1</v>
      </c>
      <c r="K56" s="169">
        <v>7845.16</v>
      </c>
      <c r="L56" s="169">
        <v>813.97</v>
      </c>
      <c r="M56" s="169">
        <v>2506.4299999999998</v>
      </c>
      <c r="N56" s="169">
        <v>0</v>
      </c>
      <c r="O56" s="169">
        <v>0</v>
      </c>
      <c r="P56" s="169">
        <v>0</v>
      </c>
      <c r="Q56" s="169">
        <v>0</v>
      </c>
    </row>
    <row r="57" spans="2:17" x14ac:dyDescent="0.25">
      <c r="B57" s="168" t="s">
        <v>781</v>
      </c>
      <c r="C57" s="168" t="s">
        <v>2113</v>
      </c>
      <c r="D57" s="168" t="s">
        <v>82</v>
      </c>
      <c r="E57" s="169">
        <v>838.85</v>
      </c>
      <c r="F57" s="169">
        <v>28.63</v>
      </c>
      <c r="G57" s="169">
        <v>24016.28</v>
      </c>
      <c r="H57" s="169">
        <v>0</v>
      </c>
      <c r="I57" s="169">
        <v>0</v>
      </c>
      <c r="J57" s="169">
        <v>16070.09</v>
      </c>
      <c r="K57" s="169">
        <v>5251.21</v>
      </c>
      <c r="L57" s="169">
        <v>803.62</v>
      </c>
      <c r="M57" s="169">
        <v>1887.41</v>
      </c>
      <c r="N57" s="169">
        <v>0</v>
      </c>
      <c r="O57" s="169">
        <v>0</v>
      </c>
      <c r="P57" s="169">
        <v>0</v>
      </c>
      <c r="Q57" s="169">
        <v>0</v>
      </c>
    </row>
    <row r="58" spans="2:17" x14ac:dyDescent="0.25">
      <c r="B58" s="168" t="s">
        <v>782</v>
      </c>
      <c r="C58" s="168" t="s">
        <v>2114</v>
      </c>
      <c r="D58" s="168" t="s">
        <v>82</v>
      </c>
      <c r="E58" s="169">
        <v>2601.16</v>
      </c>
      <c r="F58" s="169">
        <v>21.9</v>
      </c>
      <c r="G58" s="169">
        <v>56965.4</v>
      </c>
      <c r="H58" s="169">
        <v>0</v>
      </c>
      <c r="I58" s="169">
        <v>0</v>
      </c>
      <c r="J58" s="169">
        <v>33767.85</v>
      </c>
      <c r="K58" s="169">
        <v>16283.26</v>
      </c>
      <c r="L58" s="169">
        <v>1689.45</v>
      </c>
      <c r="M58" s="169">
        <v>5202.34</v>
      </c>
      <c r="N58" s="169">
        <v>0</v>
      </c>
      <c r="O58" s="169">
        <v>0</v>
      </c>
      <c r="P58" s="169">
        <v>0</v>
      </c>
      <c r="Q58" s="169">
        <v>0</v>
      </c>
    </row>
    <row r="59" spans="2:17" x14ac:dyDescent="0.25">
      <c r="B59" s="168" t="s">
        <v>783</v>
      </c>
      <c r="C59" s="168" t="s">
        <v>2115</v>
      </c>
      <c r="D59" s="168" t="s">
        <v>82</v>
      </c>
      <c r="E59" s="169">
        <v>3216.25</v>
      </c>
      <c r="F59" s="169">
        <v>33.299999999999997</v>
      </c>
      <c r="G59" s="169">
        <v>107101.13</v>
      </c>
      <c r="H59" s="169">
        <v>0</v>
      </c>
      <c r="I59" s="169">
        <v>0</v>
      </c>
      <c r="J59" s="169">
        <v>41752.839999999997</v>
      </c>
      <c r="K59" s="169">
        <v>20133.73</v>
      </c>
      <c r="L59" s="169">
        <v>2088.9499999999998</v>
      </c>
      <c r="M59" s="169">
        <v>43097.75</v>
      </c>
      <c r="N59" s="169">
        <v>0</v>
      </c>
      <c r="O59" s="169">
        <v>0</v>
      </c>
      <c r="P59" s="169">
        <v>0</v>
      </c>
      <c r="Q59" s="169">
        <v>0</v>
      </c>
    </row>
    <row r="60" spans="2:17" x14ac:dyDescent="0.25">
      <c r="B60" s="168" t="s">
        <v>784</v>
      </c>
      <c r="C60" s="168" t="s">
        <v>789</v>
      </c>
      <c r="D60" s="168" t="s">
        <v>29</v>
      </c>
      <c r="E60" s="169">
        <v>539.58000000000004</v>
      </c>
      <c r="F60" s="169">
        <v>10</v>
      </c>
      <c r="G60" s="169">
        <v>5395.8</v>
      </c>
      <c r="H60" s="169">
        <v>0</v>
      </c>
      <c r="I60" s="169">
        <v>0</v>
      </c>
      <c r="J60" s="166"/>
      <c r="K60" s="166"/>
      <c r="L60" s="166"/>
      <c r="M60" s="169">
        <v>5395.8</v>
      </c>
      <c r="N60" s="166"/>
      <c r="O60" s="166"/>
      <c r="P60" s="166"/>
      <c r="Q60" s="169">
        <v>0</v>
      </c>
    </row>
    <row r="61" spans="2:17" x14ac:dyDescent="0.25">
      <c r="B61" s="168" t="s">
        <v>785</v>
      </c>
      <c r="C61" s="168" t="s">
        <v>791</v>
      </c>
      <c r="D61" s="168" t="s">
        <v>29</v>
      </c>
      <c r="E61" s="169">
        <v>8066.85</v>
      </c>
      <c r="F61" s="169">
        <v>3.5</v>
      </c>
      <c r="G61" s="169">
        <v>28233.98</v>
      </c>
      <c r="H61" s="169">
        <v>0</v>
      </c>
      <c r="I61" s="169">
        <v>0</v>
      </c>
      <c r="J61" s="166"/>
      <c r="K61" s="166"/>
      <c r="L61" s="166"/>
      <c r="M61" s="169">
        <v>28233.98</v>
      </c>
      <c r="N61" s="166"/>
      <c r="O61" s="166"/>
      <c r="P61" s="166"/>
      <c r="Q61" s="169">
        <v>0</v>
      </c>
    </row>
    <row r="62" spans="2:17" x14ac:dyDescent="0.25">
      <c r="B62" s="168" t="s">
        <v>786</v>
      </c>
      <c r="C62" s="168" t="s">
        <v>1875</v>
      </c>
      <c r="D62" s="168" t="s">
        <v>82</v>
      </c>
      <c r="E62" s="169">
        <v>162.68</v>
      </c>
      <c r="F62" s="169">
        <v>49.12</v>
      </c>
      <c r="G62" s="169">
        <v>7990.84</v>
      </c>
      <c r="H62" s="169">
        <v>0</v>
      </c>
      <c r="I62" s="169">
        <v>0</v>
      </c>
      <c r="J62" s="169">
        <v>5608.95</v>
      </c>
      <c r="K62" s="169">
        <v>2036.76</v>
      </c>
      <c r="L62" s="169">
        <v>280.45999999999998</v>
      </c>
      <c r="M62" s="169">
        <v>65.069999999999993</v>
      </c>
      <c r="N62" s="169">
        <v>0</v>
      </c>
      <c r="O62" s="169">
        <v>0</v>
      </c>
      <c r="P62" s="169">
        <v>0</v>
      </c>
      <c r="Q62" s="169">
        <v>0</v>
      </c>
    </row>
    <row r="63" spans="2:17" x14ac:dyDescent="0.25">
      <c r="B63" s="168" t="s">
        <v>787</v>
      </c>
      <c r="C63" s="168" t="s">
        <v>1876</v>
      </c>
      <c r="D63" s="168" t="s">
        <v>29</v>
      </c>
      <c r="E63" s="169">
        <v>539.58000000000004</v>
      </c>
      <c r="F63" s="169">
        <v>49.12</v>
      </c>
      <c r="G63" s="169">
        <v>26504.17</v>
      </c>
      <c r="H63" s="169">
        <v>0</v>
      </c>
      <c r="I63" s="169">
        <v>0</v>
      </c>
      <c r="J63" s="169">
        <v>18603.86</v>
      </c>
      <c r="K63" s="169">
        <v>6755.54</v>
      </c>
      <c r="L63" s="169">
        <v>930.24</v>
      </c>
      <c r="M63" s="169">
        <v>215.83</v>
      </c>
      <c r="N63" s="169">
        <v>0</v>
      </c>
      <c r="O63" s="169">
        <v>0</v>
      </c>
      <c r="P63" s="169">
        <v>0</v>
      </c>
      <c r="Q63" s="169">
        <v>0</v>
      </c>
    </row>
    <row r="64" spans="2:17" x14ac:dyDescent="0.25">
      <c r="B64" s="168" t="s">
        <v>788</v>
      </c>
      <c r="C64" s="168" t="s">
        <v>796</v>
      </c>
      <c r="D64" s="168" t="s">
        <v>29</v>
      </c>
      <c r="E64" s="169">
        <v>103.9</v>
      </c>
      <c r="F64" s="169">
        <v>22.76</v>
      </c>
      <c r="G64" s="169">
        <v>2364.7600000000002</v>
      </c>
      <c r="H64" s="169">
        <v>0</v>
      </c>
      <c r="I64" s="169">
        <v>0</v>
      </c>
      <c r="J64" s="169">
        <v>1164.96</v>
      </c>
      <c r="K64" s="169">
        <v>716.92</v>
      </c>
      <c r="L64" s="169">
        <v>58.29</v>
      </c>
      <c r="M64" s="169">
        <v>423.91</v>
      </c>
      <c r="N64" s="169">
        <v>0</v>
      </c>
      <c r="O64" s="169">
        <v>0</v>
      </c>
      <c r="P64" s="169">
        <v>0</v>
      </c>
      <c r="Q64" s="169">
        <v>0</v>
      </c>
    </row>
    <row r="65" spans="1:17" x14ac:dyDescent="0.25">
      <c r="B65" s="168" t="s">
        <v>790</v>
      </c>
      <c r="C65" s="168" t="s">
        <v>798</v>
      </c>
      <c r="D65" s="168" t="s">
        <v>82</v>
      </c>
      <c r="E65" s="169">
        <v>236.65</v>
      </c>
      <c r="F65" s="169">
        <v>32.53</v>
      </c>
      <c r="G65" s="169">
        <v>7698.22</v>
      </c>
      <c r="H65" s="169">
        <v>0</v>
      </c>
      <c r="I65" s="169">
        <v>0</v>
      </c>
      <c r="J65" s="169">
        <v>5226.8900000000003</v>
      </c>
      <c r="K65" s="169">
        <v>1754.77</v>
      </c>
      <c r="L65" s="169">
        <v>261.38</v>
      </c>
      <c r="M65" s="169">
        <v>454.37</v>
      </c>
      <c r="N65" s="169">
        <v>0</v>
      </c>
      <c r="O65" s="169">
        <v>0</v>
      </c>
      <c r="P65" s="169">
        <v>0</v>
      </c>
      <c r="Q65" s="169">
        <v>0</v>
      </c>
    </row>
    <row r="66" spans="1:17" x14ac:dyDescent="0.25">
      <c r="B66" s="168" t="s">
        <v>792</v>
      </c>
      <c r="C66" s="168" t="s">
        <v>800</v>
      </c>
      <c r="D66" s="168" t="s">
        <v>82</v>
      </c>
      <c r="E66" s="169">
        <v>42.5</v>
      </c>
      <c r="F66" s="169">
        <v>28.63</v>
      </c>
      <c r="G66" s="169">
        <v>1216.78</v>
      </c>
      <c r="H66" s="169">
        <v>0</v>
      </c>
      <c r="I66" s="169">
        <v>0</v>
      </c>
      <c r="J66" s="169">
        <v>814.2</v>
      </c>
      <c r="K66" s="169">
        <v>266.05</v>
      </c>
      <c r="L66" s="169">
        <v>40.72</v>
      </c>
      <c r="M66" s="169">
        <v>95.63</v>
      </c>
      <c r="N66" s="169">
        <v>0</v>
      </c>
      <c r="O66" s="169">
        <v>0</v>
      </c>
      <c r="P66" s="169">
        <v>0</v>
      </c>
      <c r="Q66" s="169">
        <v>0</v>
      </c>
    </row>
    <row r="67" spans="1:17" x14ac:dyDescent="0.25">
      <c r="B67" s="168" t="s">
        <v>793</v>
      </c>
      <c r="C67" s="168" t="s">
        <v>804</v>
      </c>
      <c r="D67" s="168" t="s">
        <v>29</v>
      </c>
      <c r="E67" s="169">
        <v>117.47</v>
      </c>
      <c r="F67" s="169">
        <v>3.5</v>
      </c>
      <c r="G67" s="169">
        <v>411.15</v>
      </c>
      <c r="H67" s="169">
        <v>0</v>
      </c>
      <c r="I67" s="169">
        <v>0</v>
      </c>
      <c r="J67" s="166"/>
      <c r="K67" s="166"/>
      <c r="L67" s="166"/>
      <c r="M67" s="169">
        <v>411.15</v>
      </c>
      <c r="N67" s="166"/>
      <c r="O67" s="166"/>
      <c r="P67" s="166"/>
      <c r="Q67" s="169">
        <v>0</v>
      </c>
    </row>
    <row r="68" spans="1:17" x14ac:dyDescent="0.25">
      <c r="B68" s="168" t="s">
        <v>794</v>
      </c>
      <c r="C68" s="168" t="s">
        <v>806</v>
      </c>
      <c r="D68" s="168" t="s">
        <v>82</v>
      </c>
      <c r="E68" s="169">
        <v>96.92</v>
      </c>
      <c r="F68" s="169">
        <v>65.03</v>
      </c>
      <c r="G68" s="169">
        <v>6302.71</v>
      </c>
      <c r="H68" s="169">
        <v>0</v>
      </c>
      <c r="I68" s="169">
        <v>0</v>
      </c>
      <c r="J68" s="169">
        <v>2140.67</v>
      </c>
      <c r="K68" s="169">
        <v>718.66</v>
      </c>
      <c r="L68" s="169">
        <v>107.05</v>
      </c>
      <c r="M68" s="169">
        <v>3335.98</v>
      </c>
      <c r="N68" s="169">
        <v>0</v>
      </c>
      <c r="O68" s="169">
        <v>0</v>
      </c>
      <c r="P68" s="169">
        <v>0</v>
      </c>
      <c r="Q68" s="169">
        <v>0</v>
      </c>
    </row>
    <row r="69" spans="1:17" x14ac:dyDescent="0.25">
      <c r="B69" s="168" t="s">
        <v>795</v>
      </c>
      <c r="C69" s="168" t="s">
        <v>2116</v>
      </c>
      <c r="D69" s="168" t="s">
        <v>29</v>
      </c>
      <c r="E69" s="169">
        <v>71.790000000000006</v>
      </c>
      <c r="F69" s="169">
        <v>5</v>
      </c>
      <c r="G69" s="169">
        <v>358.95</v>
      </c>
      <c r="H69" s="169">
        <v>0</v>
      </c>
      <c r="I69" s="169">
        <v>0</v>
      </c>
      <c r="J69" s="166"/>
      <c r="K69" s="166"/>
      <c r="L69" s="166"/>
      <c r="M69" s="169">
        <v>358.95</v>
      </c>
      <c r="N69" s="166"/>
      <c r="O69" s="166"/>
      <c r="P69" s="166"/>
      <c r="Q69" s="169">
        <v>0</v>
      </c>
    </row>
    <row r="70" spans="1:17" x14ac:dyDescent="0.25">
      <c r="A70" s="109" t="s">
        <v>1873</v>
      </c>
      <c r="B70" s="168" t="s">
        <v>797</v>
      </c>
      <c r="C70" s="168" t="s">
        <v>809</v>
      </c>
      <c r="D70" s="168" t="s">
        <v>82</v>
      </c>
      <c r="E70" s="169">
        <v>345.18</v>
      </c>
      <c r="F70" s="169">
        <v>32.53</v>
      </c>
      <c r="G70" s="169">
        <v>11228.71</v>
      </c>
      <c r="H70" s="169">
        <v>0</v>
      </c>
      <c r="I70" s="169">
        <v>0</v>
      </c>
      <c r="J70" s="169">
        <v>7623.99</v>
      </c>
      <c r="K70" s="169">
        <v>2559.5100000000002</v>
      </c>
      <c r="L70" s="169">
        <v>381.25</v>
      </c>
      <c r="M70" s="169">
        <v>662.77</v>
      </c>
      <c r="N70" s="169">
        <v>0</v>
      </c>
      <c r="O70" s="169">
        <v>0</v>
      </c>
      <c r="P70" s="169">
        <v>0</v>
      </c>
      <c r="Q70" s="169">
        <v>0</v>
      </c>
    </row>
    <row r="71" spans="1:17" x14ac:dyDescent="0.25">
      <c r="B71" s="168" t="s">
        <v>799</v>
      </c>
      <c r="C71" s="168" t="s">
        <v>810</v>
      </c>
      <c r="D71" s="168" t="s">
        <v>157</v>
      </c>
      <c r="E71" s="169">
        <v>199.42</v>
      </c>
      <c r="F71" s="169">
        <v>23</v>
      </c>
      <c r="G71" s="169">
        <v>4586.66</v>
      </c>
      <c r="H71" s="169">
        <v>0</v>
      </c>
      <c r="I71" s="169">
        <v>0</v>
      </c>
      <c r="J71" s="166"/>
      <c r="K71" s="166"/>
      <c r="L71" s="166"/>
      <c r="M71" s="169">
        <v>4586.66</v>
      </c>
      <c r="N71" s="166"/>
      <c r="O71" s="166"/>
      <c r="P71" s="166"/>
      <c r="Q71" s="169">
        <v>0</v>
      </c>
    </row>
    <row r="72" spans="1:17" x14ac:dyDescent="0.25">
      <c r="B72" s="168" t="s">
        <v>801</v>
      </c>
      <c r="C72" s="168" t="s">
        <v>2117</v>
      </c>
      <c r="D72" s="168" t="s">
        <v>82</v>
      </c>
      <c r="E72" s="169">
        <v>486.42</v>
      </c>
      <c r="F72" s="169">
        <v>57.48</v>
      </c>
      <c r="G72" s="169">
        <v>27959.42</v>
      </c>
      <c r="H72" s="169">
        <v>0</v>
      </c>
      <c r="I72" s="169">
        <v>0</v>
      </c>
      <c r="J72" s="169">
        <v>22304.84</v>
      </c>
      <c r="K72" s="169">
        <v>3606.8</v>
      </c>
      <c r="L72" s="169">
        <v>1115.1199999999999</v>
      </c>
      <c r="M72" s="169">
        <v>933.9</v>
      </c>
      <c r="N72" s="169">
        <v>0</v>
      </c>
      <c r="O72" s="169">
        <v>0</v>
      </c>
      <c r="P72" s="169">
        <v>0</v>
      </c>
      <c r="Q72" s="169">
        <v>0</v>
      </c>
    </row>
    <row r="73" spans="1:17" x14ac:dyDescent="0.25">
      <c r="A73" s="109" t="s">
        <v>1873</v>
      </c>
      <c r="B73" s="168" t="s">
        <v>802</v>
      </c>
      <c r="C73" s="168" t="s">
        <v>811</v>
      </c>
      <c r="D73" s="168" t="s">
        <v>157</v>
      </c>
      <c r="E73" s="169">
        <v>127.12</v>
      </c>
      <c r="F73" s="169">
        <v>23</v>
      </c>
      <c r="G73" s="169">
        <v>2923.76</v>
      </c>
      <c r="H73" s="169">
        <v>0</v>
      </c>
      <c r="I73" s="169">
        <v>0</v>
      </c>
      <c r="J73" s="166"/>
      <c r="K73" s="166"/>
      <c r="L73" s="166"/>
      <c r="M73" s="169">
        <v>2923.76</v>
      </c>
      <c r="N73" s="166"/>
      <c r="O73" s="166"/>
      <c r="P73" s="166"/>
      <c r="Q73" s="169">
        <v>0</v>
      </c>
    </row>
    <row r="74" spans="1:17" x14ac:dyDescent="0.25">
      <c r="A74" s="109" t="s">
        <v>1873</v>
      </c>
      <c r="B74" s="168" t="s">
        <v>803</v>
      </c>
      <c r="C74" s="168" t="s">
        <v>812</v>
      </c>
      <c r="D74" s="168" t="s">
        <v>82</v>
      </c>
      <c r="E74" s="169">
        <v>519.49</v>
      </c>
      <c r="F74" s="169">
        <v>32.53</v>
      </c>
      <c r="G74" s="169">
        <v>16899.009999999998</v>
      </c>
      <c r="H74" s="169">
        <v>0</v>
      </c>
      <c r="I74" s="169">
        <v>0</v>
      </c>
      <c r="J74" s="169">
        <v>11473.97</v>
      </c>
      <c r="K74" s="169">
        <v>3852.02</v>
      </c>
      <c r="L74" s="169">
        <v>573.78</v>
      </c>
      <c r="M74" s="169">
        <v>997.43</v>
      </c>
      <c r="N74" s="169">
        <v>0</v>
      </c>
      <c r="O74" s="169">
        <v>0</v>
      </c>
      <c r="P74" s="169">
        <v>0</v>
      </c>
      <c r="Q74" s="169">
        <v>0</v>
      </c>
    </row>
    <row r="75" spans="1:17" x14ac:dyDescent="0.25">
      <c r="B75" s="168" t="s">
        <v>805</v>
      </c>
      <c r="C75" s="168" t="s">
        <v>1894</v>
      </c>
      <c r="D75" s="168" t="s">
        <v>82</v>
      </c>
      <c r="E75" s="169">
        <v>1610.42</v>
      </c>
      <c r="F75" s="169">
        <v>28.63</v>
      </c>
      <c r="G75" s="169">
        <v>46106.32</v>
      </c>
      <c r="H75" s="169">
        <v>0</v>
      </c>
      <c r="I75" s="169">
        <v>0</v>
      </c>
      <c r="J75" s="169">
        <v>30851.29</v>
      </c>
      <c r="K75" s="169">
        <v>10081.23</v>
      </c>
      <c r="L75" s="169">
        <v>1542.78</v>
      </c>
      <c r="M75" s="169">
        <v>3623.42</v>
      </c>
      <c r="N75" s="169">
        <v>0</v>
      </c>
      <c r="O75" s="169">
        <v>0</v>
      </c>
      <c r="P75" s="169">
        <v>0</v>
      </c>
      <c r="Q75" s="169">
        <v>0</v>
      </c>
    </row>
    <row r="76" spans="1:17" x14ac:dyDescent="0.25">
      <c r="B76" s="168" t="s">
        <v>807</v>
      </c>
      <c r="C76" s="168" t="s">
        <v>813</v>
      </c>
      <c r="D76" s="168" t="s">
        <v>82</v>
      </c>
      <c r="E76" s="169">
        <v>5061.17</v>
      </c>
      <c r="F76" s="169">
        <v>35.11</v>
      </c>
      <c r="G76" s="169">
        <v>177697.68</v>
      </c>
      <c r="H76" s="169">
        <v>0</v>
      </c>
      <c r="I76" s="169">
        <v>0</v>
      </c>
      <c r="J76" s="169">
        <v>124198.28</v>
      </c>
      <c r="K76" s="169">
        <v>37528.57</v>
      </c>
      <c r="L76" s="169">
        <v>6210.06</v>
      </c>
      <c r="M76" s="169">
        <v>9717.42</v>
      </c>
      <c r="N76" s="169">
        <v>0</v>
      </c>
      <c r="O76" s="169">
        <v>0</v>
      </c>
      <c r="P76" s="169">
        <v>0</v>
      </c>
      <c r="Q76" s="169">
        <v>0</v>
      </c>
    </row>
    <row r="77" spans="1:17" x14ac:dyDescent="0.25">
      <c r="A77" s="109" t="s">
        <v>1873</v>
      </c>
      <c r="B77" s="168" t="s">
        <v>808</v>
      </c>
      <c r="C77" s="168" t="s">
        <v>1895</v>
      </c>
      <c r="D77" s="168" t="s">
        <v>82</v>
      </c>
      <c r="E77" s="169">
        <v>1810.15</v>
      </c>
      <c r="F77" s="169">
        <v>13.2</v>
      </c>
      <c r="G77" s="169">
        <v>23893.98</v>
      </c>
      <c r="H77" s="169">
        <v>0</v>
      </c>
      <c r="I77" s="169">
        <v>0</v>
      </c>
      <c r="J77" s="166"/>
      <c r="K77" s="166"/>
      <c r="L77" s="166"/>
      <c r="M77" s="169">
        <v>23893.98</v>
      </c>
      <c r="N77" s="166"/>
      <c r="O77" s="166"/>
      <c r="P77" s="166"/>
      <c r="Q77" s="169">
        <v>0</v>
      </c>
    </row>
    <row r="78" spans="1:17" x14ac:dyDescent="0.25">
      <c r="A78" s="109" t="s">
        <v>1873</v>
      </c>
      <c r="B78" s="168" t="s">
        <v>1896</v>
      </c>
      <c r="C78" s="168" t="s">
        <v>1897</v>
      </c>
      <c r="D78" s="168" t="s">
        <v>82</v>
      </c>
      <c r="E78" s="169">
        <v>2611.3000000000002</v>
      </c>
      <c r="F78" s="169">
        <v>13.2</v>
      </c>
      <c r="G78" s="169">
        <v>34469.160000000003</v>
      </c>
      <c r="H78" s="169">
        <v>0</v>
      </c>
      <c r="I78" s="169">
        <v>0</v>
      </c>
      <c r="J78" s="166"/>
      <c r="K78" s="166"/>
      <c r="L78" s="166"/>
      <c r="M78" s="169">
        <v>34469.160000000003</v>
      </c>
      <c r="N78" s="166"/>
      <c r="O78" s="166"/>
      <c r="P78" s="166"/>
      <c r="Q78" s="169">
        <v>0</v>
      </c>
    </row>
    <row r="79" spans="1:17" x14ac:dyDescent="0.25">
      <c r="B79" s="172" t="s">
        <v>30</v>
      </c>
      <c r="C79" s="172" t="s">
        <v>814</v>
      </c>
      <c r="D79" s="166"/>
      <c r="E79" s="166"/>
      <c r="F79" s="166"/>
      <c r="G79" s="173">
        <v>163170.96</v>
      </c>
      <c r="H79" s="166"/>
      <c r="I79" s="173">
        <v>5982.13</v>
      </c>
      <c r="J79" s="173">
        <v>0</v>
      </c>
      <c r="K79" s="173">
        <v>4079.98</v>
      </c>
      <c r="L79" s="173">
        <v>5649.75</v>
      </c>
      <c r="M79" s="173">
        <v>153440.89000000001</v>
      </c>
      <c r="N79" s="173">
        <v>0</v>
      </c>
      <c r="O79" s="173">
        <v>2622.46</v>
      </c>
      <c r="P79" s="173">
        <v>0</v>
      </c>
      <c r="Q79" s="173">
        <v>3360</v>
      </c>
    </row>
    <row r="80" spans="1:17" x14ac:dyDescent="0.25">
      <c r="B80" s="168" t="s">
        <v>154</v>
      </c>
      <c r="C80" s="168" t="s">
        <v>815</v>
      </c>
      <c r="D80" s="168" t="s">
        <v>82</v>
      </c>
      <c r="E80" s="169">
        <v>157.87</v>
      </c>
      <c r="F80" s="169">
        <v>86.25</v>
      </c>
      <c r="G80" s="169">
        <v>13616.29</v>
      </c>
      <c r="H80" s="169">
        <v>0</v>
      </c>
      <c r="I80" s="169">
        <v>0</v>
      </c>
      <c r="J80" s="166"/>
      <c r="K80" s="166"/>
      <c r="L80" s="169">
        <v>1144.5</v>
      </c>
      <c r="M80" s="169">
        <v>12471.73</v>
      </c>
      <c r="N80" s="166"/>
      <c r="O80" s="166"/>
      <c r="P80" s="169">
        <v>0</v>
      </c>
      <c r="Q80" s="169">
        <v>0</v>
      </c>
    </row>
    <row r="81" spans="2:17" x14ac:dyDescent="0.25">
      <c r="B81" s="168" t="s">
        <v>155</v>
      </c>
      <c r="C81" s="168" t="s">
        <v>816</v>
      </c>
      <c r="D81" s="168" t="s">
        <v>82</v>
      </c>
      <c r="E81" s="169">
        <v>192.29</v>
      </c>
      <c r="F81" s="169">
        <v>238.25</v>
      </c>
      <c r="G81" s="169">
        <v>45813.09</v>
      </c>
      <c r="H81" s="169">
        <v>0</v>
      </c>
      <c r="I81" s="169">
        <v>0</v>
      </c>
      <c r="J81" s="166"/>
      <c r="K81" s="166"/>
      <c r="L81" s="169">
        <v>1394</v>
      </c>
      <c r="M81" s="169">
        <v>44418.99</v>
      </c>
      <c r="N81" s="166"/>
      <c r="O81" s="166"/>
      <c r="P81" s="169">
        <v>0</v>
      </c>
      <c r="Q81" s="169">
        <v>0</v>
      </c>
    </row>
    <row r="82" spans="2:17" x14ac:dyDescent="0.25">
      <c r="B82" s="168" t="s">
        <v>156</v>
      </c>
      <c r="C82" s="168" t="s">
        <v>817</v>
      </c>
      <c r="D82" s="168" t="s">
        <v>82</v>
      </c>
      <c r="E82" s="169">
        <v>236.12</v>
      </c>
      <c r="F82" s="169">
        <v>31.5</v>
      </c>
      <c r="G82" s="169">
        <v>7437.78</v>
      </c>
      <c r="H82" s="169">
        <v>0</v>
      </c>
      <c r="I82" s="169">
        <v>0</v>
      </c>
      <c r="J82" s="166"/>
      <c r="K82" s="166"/>
      <c r="L82" s="169">
        <v>826.5</v>
      </c>
      <c r="M82" s="169">
        <v>6611.36</v>
      </c>
      <c r="N82" s="166"/>
      <c r="O82" s="166"/>
      <c r="P82" s="169">
        <v>0</v>
      </c>
      <c r="Q82" s="169">
        <v>0</v>
      </c>
    </row>
    <row r="83" spans="2:17" x14ac:dyDescent="0.25">
      <c r="B83" s="168" t="s">
        <v>158</v>
      </c>
      <c r="C83" s="168" t="s">
        <v>818</v>
      </c>
      <c r="D83" s="168" t="s">
        <v>82</v>
      </c>
      <c r="E83" s="169">
        <v>322.13</v>
      </c>
      <c r="F83" s="169">
        <v>31.5</v>
      </c>
      <c r="G83" s="169">
        <v>10147.1</v>
      </c>
      <c r="H83" s="169">
        <v>0</v>
      </c>
      <c r="I83" s="169">
        <v>0</v>
      </c>
      <c r="J83" s="166"/>
      <c r="K83" s="166"/>
      <c r="L83" s="169">
        <v>1127.5</v>
      </c>
      <c r="M83" s="169">
        <v>9019.64</v>
      </c>
      <c r="N83" s="166"/>
      <c r="O83" s="166"/>
      <c r="P83" s="169">
        <v>0</v>
      </c>
      <c r="Q83" s="169">
        <v>0</v>
      </c>
    </row>
    <row r="84" spans="2:17" x14ac:dyDescent="0.25">
      <c r="B84" s="168" t="s">
        <v>159</v>
      </c>
      <c r="C84" s="168" t="s">
        <v>819</v>
      </c>
      <c r="D84" s="168" t="s">
        <v>157</v>
      </c>
      <c r="E84" s="169">
        <v>330.66</v>
      </c>
      <c r="F84" s="169">
        <v>57.5</v>
      </c>
      <c r="G84" s="169">
        <v>19012.95</v>
      </c>
      <c r="H84" s="169">
        <v>7.93</v>
      </c>
      <c r="I84" s="169">
        <v>2622.13</v>
      </c>
      <c r="J84" s="166"/>
      <c r="K84" s="169">
        <v>0</v>
      </c>
      <c r="L84" s="169">
        <v>1157.25</v>
      </c>
      <c r="M84" s="169">
        <v>17855.64</v>
      </c>
      <c r="N84" s="166"/>
      <c r="O84" s="169">
        <v>2622.46</v>
      </c>
      <c r="P84" s="169">
        <v>0</v>
      </c>
      <c r="Q84" s="169">
        <v>0</v>
      </c>
    </row>
    <row r="85" spans="2:17" x14ac:dyDescent="0.25">
      <c r="B85" s="168" t="s">
        <v>160</v>
      </c>
      <c r="C85" s="168" t="s">
        <v>820</v>
      </c>
      <c r="D85" s="168" t="s">
        <v>53</v>
      </c>
      <c r="E85" s="169">
        <v>28</v>
      </c>
      <c r="F85" s="169">
        <v>0</v>
      </c>
      <c r="G85" s="169">
        <v>0</v>
      </c>
      <c r="H85" s="169">
        <v>120</v>
      </c>
      <c r="I85" s="169">
        <v>3360</v>
      </c>
      <c r="J85" s="166"/>
      <c r="K85" s="166"/>
      <c r="L85" s="166"/>
      <c r="M85" s="169">
        <v>0</v>
      </c>
      <c r="N85" s="166"/>
      <c r="O85" s="166"/>
      <c r="P85" s="166"/>
      <c r="Q85" s="169">
        <v>3360</v>
      </c>
    </row>
    <row r="86" spans="2:17" x14ac:dyDescent="0.25">
      <c r="B86" s="168" t="s">
        <v>161</v>
      </c>
      <c r="C86" s="168" t="s">
        <v>821</v>
      </c>
      <c r="D86" s="168" t="s">
        <v>82</v>
      </c>
      <c r="E86" s="169">
        <v>47.98</v>
      </c>
      <c r="F86" s="169">
        <v>86.04</v>
      </c>
      <c r="G86" s="169">
        <v>4128.2</v>
      </c>
      <c r="H86" s="169">
        <v>0</v>
      </c>
      <c r="I86" s="169">
        <v>0</v>
      </c>
      <c r="J86" s="166"/>
      <c r="K86" s="169">
        <v>4079.98</v>
      </c>
      <c r="L86" s="166"/>
      <c r="M86" s="169">
        <v>47.98</v>
      </c>
      <c r="N86" s="166"/>
      <c r="O86" s="169">
        <v>0</v>
      </c>
      <c r="P86" s="166"/>
      <c r="Q86" s="169">
        <v>0</v>
      </c>
    </row>
    <row r="87" spans="2:17" x14ac:dyDescent="0.25">
      <c r="B87" s="168" t="s">
        <v>162</v>
      </c>
      <c r="C87" s="168" t="s">
        <v>822</v>
      </c>
      <c r="D87" s="168" t="s">
        <v>157</v>
      </c>
      <c r="E87" s="169">
        <v>127.12</v>
      </c>
      <c r="F87" s="169">
        <v>15</v>
      </c>
      <c r="G87" s="169">
        <v>1906.8</v>
      </c>
      <c r="H87" s="169">
        <v>0</v>
      </c>
      <c r="I87" s="169">
        <v>0</v>
      </c>
      <c r="J87" s="166"/>
      <c r="K87" s="166"/>
      <c r="L87" s="166"/>
      <c r="M87" s="169">
        <v>1906.8</v>
      </c>
      <c r="N87" s="166"/>
      <c r="O87" s="166"/>
      <c r="P87" s="166"/>
      <c r="Q87" s="169">
        <v>0</v>
      </c>
    </row>
    <row r="88" spans="2:17" x14ac:dyDescent="0.25">
      <c r="B88" s="168" t="s">
        <v>163</v>
      </c>
      <c r="C88" s="168" t="s">
        <v>823</v>
      </c>
      <c r="D88" s="168" t="s">
        <v>82</v>
      </c>
      <c r="E88" s="169">
        <v>3216.25</v>
      </c>
      <c r="F88" s="169">
        <v>19</v>
      </c>
      <c r="G88" s="169">
        <v>61108.75</v>
      </c>
      <c r="H88" s="169">
        <v>0</v>
      </c>
      <c r="I88" s="169">
        <v>0</v>
      </c>
      <c r="J88" s="166"/>
      <c r="K88" s="166"/>
      <c r="L88" s="169">
        <v>0</v>
      </c>
      <c r="M88" s="169">
        <v>61108.75</v>
      </c>
      <c r="N88" s="166"/>
      <c r="O88" s="166"/>
      <c r="P88" s="169">
        <v>0</v>
      </c>
      <c r="Q88" s="169">
        <v>0</v>
      </c>
    </row>
    <row r="89" spans="2:17" x14ac:dyDescent="0.25">
      <c r="B89" s="172" t="s">
        <v>31</v>
      </c>
      <c r="C89" s="172" t="s">
        <v>824</v>
      </c>
      <c r="D89" s="166"/>
      <c r="E89" s="166"/>
      <c r="F89" s="166"/>
      <c r="G89" s="173">
        <v>37426.199999999997</v>
      </c>
      <c r="H89" s="166"/>
      <c r="I89" s="173">
        <v>0</v>
      </c>
      <c r="J89" s="173">
        <v>0</v>
      </c>
      <c r="K89" s="173">
        <v>0</v>
      </c>
      <c r="L89" s="173">
        <v>4227.25</v>
      </c>
      <c r="M89" s="173">
        <v>33198.99</v>
      </c>
      <c r="N89" s="173">
        <v>0</v>
      </c>
      <c r="O89" s="173">
        <v>0</v>
      </c>
      <c r="P89" s="173">
        <v>0</v>
      </c>
      <c r="Q89" s="173">
        <v>0</v>
      </c>
    </row>
    <row r="90" spans="2:17" x14ac:dyDescent="0.25">
      <c r="B90" s="168" t="s">
        <v>164</v>
      </c>
      <c r="C90" s="168" t="s">
        <v>825</v>
      </c>
      <c r="D90" s="168" t="s">
        <v>82</v>
      </c>
      <c r="E90" s="169">
        <v>93.99</v>
      </c>
      <c r="F90" s="169">
        <v>86.25</v>
      </c>
      <c r="G90" s="169">
        <v>8106.64</v>
      </c>
      <c r="H90" s="169">
        <v>0</v>
      </c>
      <c r="I90" s="169">
        <v>0</v>
      </c>
      <c r="J90" s="166"/>
      <c r="K90" s="166"/>
      <c r="L90" s="169">
        <v>681.5</v>
      </c>
      <c r="M90" s="169">
        <v>7425.21</v>
      </c>
      <c r="N90" s="166"/>
      <c r="O90" s="166"/>
      <c r="P90" s="169">
        <v>0</v>
      </c>
      <c r="Q90" s="169">
        <v>0</v>
      </c>
    </row>
    <row r="91" spans="2:17" x14ac:dyDescent="0.25">
      <c r="B91" s="168" t="s">
        <v>165</v>
      </c>
      <c r="C91" s="168" t="s">
        <v>826</v>
      </c>
      <c r="D91" s="168" t="s">
        <v>82</v>
      </c>
      <c r="E91" s="169">
        <v>813.66</v>
      </c>
      <c r="F91" s="169">
        <v>31.5</v>
      </c>
      <c r="G91" s="169">
        <v>25630.29</v>
      </c>
      <c r="H91" s="169">
        <v>0</v>
      </c>
      <c r="I91" s="169">
        <v>0</v>
      </c>
      <c r="J91" s="166"/>
      <c r="K91" s="166"/>
      <c r="L91" s="169">
        <v>2847.75</v>
      </c>
      <c r="M91" s="169">
        <v>22782.48</v>
      </c>
      <c r="N91" s="166"/>
      <c r="O91" s="166"/>
      <c r="P91" s="169">
        <v>0</v>
      </c>
      <c r="Q91" s="169">
        <v>0</v>
      </c>
    </row>
    <row r="92" spans="2:17" x14ac:dyDescent="0.25">
      <c r="B92" s="168" t="s">
        <v>167</v>
      </c>
      <c r="C92" s="168" t="s">
        <v>827</v>
      </c>
      <c r="D92" s="168" t="s">
        <v>29</v>
      </c>
      <c r="E92" s="169">
        <v>199.42</v>
      </c>
      <c r="F92" s="169">
        <v>18.5</v>
      </c>
      <c r="G92" s="169">
        <v>3689.27</v>
      </c>
      <c r="H92" s="169">
        <v>0</v>
      </c>
      <c r="I92" s="169">
        <v>0</v>
      </c>
      <c r="J92" s="166"/>
      <c r="K92" s="166"/>
      <c r="L92" s="169">
        <v>698</v>
      </c>
      <c r="M92" s="169">
        <v>2991.3</v>
      </c>
      <c r="N92" s="166"/>
      <c r="O92" s="166"/>
      <c r="P92" s="169">
        <v>0</v>
      </c>
      <c r="Q92" s="169">
        <v>0</v>
      </c>
    </row>
    <row r="93" spans="2:17" x14ac:dyDescent="0.25">
      <c r="B93" s="170" t="s">
        <v>55</v>
      </c>
      <c r="C93" s="170" t="s">
        <v>828</v>
      </c>
      <c r="D93" s="166"/>
      <c r="E93" s="166"/>
      <c r="F93" s="166"/>
      <c r="G93" s="171">
        <v>396056.62</v>
      </c>
      <c r="H93" s="166"/>
      <c r="I93" s="171">
        <v>41263.589999999997</v>
      </c>
      <c r="J93" s="171">
        <v>30552.77</v>
      </c>
      <c r="K93" s="171">
        <v>120204.51</v>
      </c>
      <c r="L93" s="171">
        <v>1497.09</v>
      </c>
      <c r="M93" s="171">
        <v>243402.22</v>
      </c>
      <c r="N93" s="171">
        <v>0</v>
      </c>
      <c r="O93" s="171">
        <v>41265.449999999997</v>
      </c>
      <c r="P93" s="171">
        <v>0</v>
      </c>
      <c r="Q93" s="171">
        <v>0</v>
      </c>
    </row>
    <row r="94" spans="2:17" x14ac:dyDescent="0.25">
      <c r="B94" s="172" t="s">
        <v>57</v>
      </c>
      <c r="C94" s="172" t="s">
        <v>829</v>
      </c>
      <c r="D94" s="166"/>
      <c r="E94" s="166"/>
      <c r="F94" s="166"/>
      <c r="G94" s="173">
        <v>57105.77</v>
      </c>
      <c r="H94" s="166"/>
      <c r="I94" s="173">
        <v>0</v>
      </c>
      <c r="J94" s="173">
        <v>30552.77</v>
      </c>
      <c r="K94" s="173">
        <v>2832.77</v>
      </c>
      <c r="L94" s="173">
        <v>1497.09</v>
      </c>
      <c r="M94" s="173">
        <v>21833.47</v>
      </c>
      <c r="N94" s="173">
        <v>0</v>
      </c>
      <c r="O94" s="173">
        <v>0</v>
      </c>
      <c r="P94" s="173">
        <v>0</v>
      </c>
      <c r="Q94" s="173">
        <v>0</v>
      </c>
    </row>
    <row r="95" spans="2:17" x14ac:dyDescent="0.25">
      <c r="B95" s="168" t="s">
        <v>173</v>
      </c>
      <c r="C95" s="168" t="s">
        <v>830</v>
      </c>
      <c r="D95" s="168" t="s">
        <v>82</v>
      </c>
      <c r="E95" s="169">
        <v>1018.96</v>
      </c>
      <c r="F95" s="169">
        <v>11.61</v>
      </c>
      <c r="G95" s="169">
        <v>11830.13</v>
      </c>
      <c r="H95" s="169">
        <v>0</v>
      </c>
      <c r="I95" s="169">
        <v>0</v>
      </c>
      <c r="J95" s="169">
        <v>11268.58</v>
      </c>
      <c r="K95" s="166"/>
      <c r="L95" s="169">
        <v>563.48</v>
      </c>
      <c r="M95" s="166"/>
      <c r="N95" s="169">
        <v>0</v>
      </c>
      <c r="O95" s="166"/>
      <c r="P95" s="169">
        <v>0</v>
      </c>
      <c r="Q95" s="166"/>
    </row>
    <row r="96" spans="2:17" x14ac:dyDescent="0.25">
      <c r="B96" s="168" t="s">
        <v>317</v>
      </c>
      <c r="C96" s="168" t="s">
        <v>831</v>
      </c>
      <c r="D96" s="168" t="s">
        <v>82</v>
      </c>
      <c r="E96" s="169">
        <v>586.29</v>
      </c>
      <c r="F96" s="169">
        <v>36.61</v>
      </c>
      <c r="G96" s="169">
        <v>21464.080000000002</v>
      </c>
      <c r="H96" s="169">
        <v>0</v>
      </c>
      <c r="I96" s="169">
        <v>0</v>
      </c>
      <c r="J96" s="169">
        <v>6483.72</v>
      </c>
      <c r="K96" s="166"/>
      <c r="L96" s="169">
        <v>324.22000000000003</v>
      </c>
      <c r="M96" s="169">
        <v>14657.25</v>
      </c>
      <c r="N96" s="169">
        <v>0</v>
      </c>
      <c r="O96" s="166"/>
      <c r="P96" s="169">
        <v>0</v>
      </c>
      <c r="Q96" s="169">
        <v>0</v>
      </c>
    </row>
    <row r="97" spans="2:17" x14ac:dyDescent="0.25">
      <c r="B97" s="168" t="s">
        <v>318</v>
      </c>
      <c r="C97" s="168" t="s">
        <v>832</v>
      </c>
      <c r="D97" s="168" t="s">
        <v>82</v>
      </c>
      <c r="E97" s="169">
        <v>208.49</v>
      </c>
      <c r="F97" s="169">
        <v>65.03</v>
      </c>
      <c r="G97" s="169">
        <v>13558.1</v>
      </c>
      <c r="H97" s="169">
        <v>0</v>
      </c>
      <c r="I97" s="169">
        <v>0</v>
      </c>
      <c r="J97" s="169">
        <v>4604.91</v>
      </c>
      <c r="K97" s="169">
        <v>1545.96</v>
      </c>
      <c r="L97" s="169">
        <v>230.28</v>
      </c>
      <c r="M97" s="169">
        <v>7176.22</v>
      </c>
      <c r="N97" s="169">
        <v>0</v>
      </c>
      <c r="O97" s="169">
        <v>0</v>
      </c>
      <c r="P97" s="169">
        <v>0</v>
      </c>
      <c r="Q97" s="169">
        <v>0</v>
      </c>
    </row>
    <row r="98" spans="2:17" x14ac:dyDescent="0.25">
      <c r="B98" s="168" t="s">
        <v>319</v>
      </c>
      <c r="C98" s="168" t="s">
        <v>833</v>
      </c>
      <c r="D98" s="168" t="s">
        <v>82</v>
      </c>
      <c r="E98" s="169">
        <v>109.06</v>
      </c>
      <c r="F98" s="169">
        <v>34.64</v>
      </c>
      <c r="G98" s="169">
        <v>3777.84</v>
      </c>
      <c r="H98" s="169">
        <v>0</v>
      </c>
      <c r="I98" s="169">
        <v>0</v>
      </c>
      <c r="J98" s="169">
        <v>3141.96</v>
      </c>
      <c r="K98" s="169">
        <v>479.87</v>
      </c>
      <c r="L98" s="169">
        <v>157.05000000000001</v>
      </c>
      <c r="M98" s="166"/>
      <c r="N98" s="169">
        <v>0</v>
      </c>
      <c r="O98" s="169">
        <v>0</v>
      </c>
      <c r="P98" s="169">
        <v>0</v>
      </c>
      <c r="Q98" s="166"/>
    </row>
    <row r="99" spans="2:17" x14ac:dyDescent="0.25">
      <c r="B99" s="168" t="s">
        <v>320</v>
      </c>
      <c r="C99" s="168" t="s">
        <v>834</v>
      </c>
      <c r="D99" s="168" t="s">
        <v>82</v>
      </c>
      <c r="E99" s="169">
        <v>49.1</v>
      </c>
      <c r="F99" s="169">
        <v>34.64</v>
      </c>
      <c r="G99" s="169">
        <v>1700.82</v>
      </c>
      <c r="H99" s="169">
        <v>0</v>
      </c>
      <c r="I99" s="169">
        <v>0</v>
      </c>
      <c r="J99" s="169">
        <v>1414.55</v>
      </c>
      <c r="K99" s="169">
        <v>216.05</v>
      </c>
      <c r="L99" s="169">
        <v>70.7</v>
      </c>
      <c r="M99" s="166"/>
      <c r="N99" s="169">
        <v>0</v>
      </c>
      <c r="O99" s="169">
        <v>0</v>
      </c>
      <c r="P99" s="169">
        <v>0</v>
      </c>
      <c r="Q99" s="166"/>
    </row>
    <row r="100" spans="2:17" x14ac:dyDescent="0.25">
      <c r="B100" s="168" t="s">
        <v>321</v>
      </c>
      <c r="C100" s="168" t="s">
        <v>835</v>
      </c>
      <c r="D100" s="168" t="s">
        <v>82</v>
      </c>
      <c r="E100" s="169">
        <v>20.440000000000001</v>
      </c>
      <c r="F100" s="169">
        <v>33.26</v>
      </c>
      <c r="G100" s="169">
        <v>679.83</v>
      </c>
      <c r="H100" s="169">
        <v>0</v>
      </c>
      <c r="I100" s="169">
        <v>0</v>
      </c>
      <c r="J100" s="169">
        <v>588.86</v>
      </c>
      <c r="K100" s="169">
        <v>61.72</v>
      </c>
      <c r="L100" s="169">
        <v>29.43</v>
      </c>
      <c r="M100" s="166"/>
      <c r="N100" s="169">
        <v>0</v>
      </c>
      <c r="O100" s="169">
        <v>0</v>
      </c>
      <c r="P100" s="169">
        <v>0</v>
      </c>
      <c r="Q100" s="166"/>
    </row>
    <row r="101" spans="2:17" x14ac:dyDescent="0.25">
      <c r="B101" s="168" t="s">
        <v>322</v>
      </c>
      <c r="C101" s="168" t="s">
        <v>836</v>
      </c>
      <c r="D101" s="168" t="s">
        <v>82</v>
      </c>
      <c r="E101" s="169">
        <v>15.84</v>
      </c>
      <c r="F101" s="169">
        <v>118.08</v>
      </c>
      <c r="G101" s="169">
        <v>1870.39</v>
      </c>
      <c r="H101" s="169">
        <v>0</v>
      </c>
      <c r="I101" s="169">
        <v>0</v>
      </c>
      <c r="J101" s="169">
        <v>1527.9</v>
      </c>
      <c r="K101" s="169">
        <v>296.66000000000003</v>
      </c>
      <c r="L101" s="169">
        <v>45.84</v>
      </c>
      <c r="M101" s="166"/>
      <c r="N101" s="169">
        <v>0</v>
      </c>
      <c r="O101" s="169">
        <v>0</v>
      </c>
      <c r="P101" s="169">
        <v>0</v>
      </c>
      <c r="Q101" s="166"/>
    </row>
    <row r="102" spans="2:17" x14ac:dyDescent="0.25">
      <c r="B102" s="168" t="s">
        <v>323</v>
      </c>
      <c r="C102" s="168" t="s">
        <v>837</v>
      </c>
      <c r="D102" s="168" t="s">
        <v>82</v>
      </c>
      <c r="E102" s="169">
        <v>3.73</v>
      </c>
      <c r="F102" s="169">
        <v>34.64</v>
      </c>
      <c r="G102" s="169">
        <v>129.21</v>
      </c>
      <c r="H102" s="169">
        <v>0</v>
      </c>
      <c r="I102" s="169">
        <v>0</v>
      </c>
      <c r="J102" s="169">
        <v>107.46</v>
      </c>
      <c r="K102" s="169">
        <v>16.41</v>
      </c>
      <c r="L102" s="169">
        <v>5.37</v>
      </c>
      <c r="M102" s="166"/>
      <c r="N102" s="169">
        <v>0</v>
      </c>
      <c r="O102" s="169">
        <v>0</v>
      </c>
      <c r="P102" s="169">
        <v>0</v>
      </c>
      <c r="Q102" s="166"/>
    </row>
    <row r="103" spans="2:17" x14ac:dyDescent="0.25">
      <c r="B103" s="168" t="s">
        <v>324</v>
      </c>
      <c r="C103" s="168" t="s">
        <v>838</v>
      </c>
      <c r="D103" s="168" t="s">
        <v>82</v>
      </c>
      <c r="E103" s="169">
        <v>49.11</v>
      </c>
      <c r="F103" s="169">
        <v>34.64</v>
      </c>
      <c r="G103" s="169">
        <v>1701.17</v>
      </c>
      <c r="H103" s="169">
        <v>0</v>
      </c>
      <c r="I103" s="169">
        <v>0</v>
      </c>
      <c r="J103" s="169">
        <v>1414.83</v>
      </c>
      <c r="K103" s="169">
        <v>216.1</v>
      </c>
      <c r="L103" s="169">
        <v>70.72</v>
      </c>
      <c r="M103" s="166"/>
      <c r="N103" s="169">
        <v>0</v>
      </c>
      <c r="O103" s="169">
        <v>0</v>
      </c>
      <c r="P103" s="169">
        <v>0</v>
      </c>
      <c r="Q103" s="166"/>
    </row>
    <row r="104" spans="2:17" x14ac:dyDescent="0.25">
      <c r="B104" s="168" t="s">
        <v>325</v>
      </c>
      <c r="C104" s="168" t="s">
        <v>839</v>
      </c>
      <c r="D104" s="168" t="s">
        <v>82</v>
      </c>
      <c r="E104" s="169">
        <v>4.38</v>
      </c>
      <c r="F104" s="169">
        <v>90</v>
      </c>
      <c r="G104" s="169">
        <v>394.2</v>
      </c>
      <c r="H104" s="169">
        <v>0</v>
      </c>
      <c r="I104" s="169">
        <v>0</v>
      </c>
      <c r="J104" s="166"/>
      <c r="K104" s="166"/>
      <c r="L104" s="166"/>
      <c r="M104" s="166"/>
      <c r="N104" s="166"/>
      <c r="O104" s="166"/>
      <c r="P104" s="166"/>
      <c r="Q104" s="166"/>
    </row>
    <row r="105" spans="2:17" x14ac:dyDescent="0.25">
      <c r="B105" s="172" t="s">
        <v>60</v>
      </c>
      <c r="C105" s="172" t="s">
        <v>840</v>
      </c>
      <c r="D105" s="166"/>
      <c r="E105" s="166"/>
      <c r="F105" s="166"/>
      <c r="G105" s="173">
        <v>338950.85</v>
      </c>
      <c r="H105" s="166"/>
      <c r="I105" s="173">
        <v>41263.589999999997</v>
      </c>
      <c r="J105" s="173">
        <v>0</v>
      </c>
      <c r="K105" s="173">
        <v>117371.74</v>
      </c>
      <c r="L105" s="173">
        <v>0</v>
      </c>
      <c r="M105" s="173">
        <v>221568.75</v>
      </c>
      <c r="N105" s="173">
        <v>0</v>
      </c>
      <c r="O105" s="173">
        <v>41265.449999999997</v>
      </c>
      <c r="P105" s="173">
        <v>0</v>
      </c>
      <c r="Q105" s="173">
        <v>0</v>
      </c>
    </row>
    <row r="106" spans="2:17" x14ac:dyDescent="0.25">
      <c r="B106" s="168" t="s">
        <v>175</v>
      </c>
      <c r="C106" s="168" t="s">
        <v>841</v>
      </c>
      <c r="D106" s="168" t="s">
        <v>82</v>
      </c>
      <c r="E106" s="169">
        <v>46.36</v>
      </c>
      <c r="F106" s="169">
        <v>30.11</v>
      </c>
      <c r="G106" s="169">
        <v>1395.9</v>
      </c>
      <c r="H106" s="169">
        <v>0</v>
      </c>
      <c r="I106" s="169">
        <v>0</v>
      </c>
      <c r="J106" s="166"/>
      <c r="K106" s="169">
        <v>1395.76</v>
      </c>
      <c r="L106" s="166"/>
      <c r="M106" s="166"/>
      <c r="N106" s="166"/>
      <c r="O106" s="169">
        <v>0</v>
      </c>
      <c r="P106" s="166"/>
      <c r="Q106" s="166"/>
    </row>
    <row r="107" spans="2:17" x14ac:dyDescent="0.25">
      <c r="B107" s="168" t="s">
        <v>177</v>
      </c>
      <c r="C107" s="168" t="s">
        <v>842</v>
      </c>
      <c r="D107" s="168" t="s">
        <v>82</v>
      </c>
      <c r="E107" s="169">
        <v>46.36</v>
      </c>
      <c r="F107" s="169">
        <v>44.04</v>
      </c>
      <c r="G107" s="169">
        <v>2041.69</v>
      </c>
      <c r="H107" s="169">
        <v>0</v>
      </c>
      <c r="I107" s="169">
        <v>0</v>
      </c>
      <c r="J107" s="166"/>
      <c r="K107" s="169">
        <v>743.38</v>
      </c>
      <c r="L107" s="166"/>
      <c r="M107" s="169">
        <v>1298.08</v>
      </c>
      <c r="N107" s="166"/>
      <c r="O107" s="169">
        <v>0</v>
      </c>
      <c r="P107" s="166"/>
      <c r="Q107" s="169">
        <v>0</v>
      </c>
    </row>
    <row r="108" spans="2:17" x14ac:dyDescent="0.25">
      <c r="B108" s="168" t="s">
        <v>843</v>
      </c>
      <c r="C108" s="188" t="s">
        <v>844</v>
      </c>
      <c r="D108" s="188" t="s">
        <v>82</v>
      </c>
      <c r="E108" s="189">
        <v>7.31</v>
      </c>
      <c r="F108" s="189">
        <v>39.1</v>
      </c>
      <c r="G108" s="169">
        <v>285.82</v>
      </c>
      <c r="H108" s="169">
        <v>0</v>
      </c>
      <c r="I108" s="169">
        <v>0</v>
      </c>
      <c r="J108" s="166"/>
      <c r="K108" s="169">
        <v>285.82</v>
      </c>
      <c r="L108" s="166"/>
      <c r="M108" s="166"/>
      <c r="N108" s="166"/>
      <c r="O108" s="169">
        <v>0</v>
      </c>
      <c r="P108" s="166"/>
      <c r="Q108" s="166"/>
    </row>
    <row r="109" spans="2:17" x14ac:dyDescent="0.25">
      <c r="B109" s="168" t="s">
        <v>845</v>
      </c>
      <c r="C109" s="188" t="s">
        <v>842</v>
      </c>
      <c r="D109" s="188" t="s">
        <v>82</v>
      </c>
      <c r="E109" s="189">
        <v>7.31</v>
      </c>
      <c r="F109" s="189">
        <v>44.04</v>
      </c>
      <c r="G109" s="169">
        <v>321.93</v>
      </c>
      <c r="H109" s="169">
        <v>0</v>
      </c>
      <c r="I109" s="169">
        <v>0</v>
      </c>
      <c r="J109" s="166"/>
      <c r="K109" s="169">
        <v>117.22</v>
      </c>
      <c r="L109" s="166"/>
      <c r="M109" s="169">
        <v>204.68</v>
      </c>
      <c r="N109" s="166"/>
      <c r="O109" s="169">
        <v>0</v>
      </c>
      <c r="P109" s="166"/>
      <c r="Q109" s="169">
        <v>0</v>
      </c>
    </row>
    <row r="110" spans="2:17" x14ac:dyDescent="0.25">
      <c r="B110" s="168" t="s">
        <v>846</v>
      </c>
      <c r="C110" s="168" t="s">
        <v>847</v>
      </c>
      <c r="D110" s="168" t="s">
        <v>82</v>
      </c>
      <c r="E110" s="169">
        <v>19.260000000000002</v>
      </c>
      <c r="F110" s="169">
        <v>21.87</v>
      </c>
      <c r="G110" s="169">
        <v>421.22</v>
      </c>
      <c r="H110" s="169">
        <v>0</v>
      </c>
      <c r="I110" s="169">
        <v>0</v>
      </c>
      <c r="J110" s="166"/>
      <c r="K110" s="169">
        <v>421.27</v>
      </c>
      <c r="L110" s="166"/>
      <c r="M110" s="166"/>
      <c r="N110" s="166"/>
      <c r="O110" s="169">
        <v>0</v>
      </c>
      <c r="P110" s="166"/>
      <c r="Q110" s="166"/>
    </row>
    <row r="111" spans="2:17" x14ac:dyDescent="0.25">
      <c r="B111" s="168" t="s">
        <v>848</v>
      </c>
      <c r="C111" s="168" t="s">
        <v>842</v>
      </c>
      <c r="D111" s="168" t="s">
        <v>82</v>
      </c>
      <c r="E111" s="169">
        <v>19.260000000000002</v>
      </c>
      <c r="F111" s="169">
        <v>44.04</v>
      </c>
      <c r="G111" s="169">
        <v>848.21</v>
      </c>
      <c r="H111" s="169">
        <v>0</v>
      </c>
      <c r="I111" s="169">
        <v>0</v>
      </c>
      <c r="J111" s="166"/>
      <c r="K111" s="169">
        <v>308.83</v>
      </c>
      <c r="L111" s="166"/>
      <c r="M111" s="169">
        <v>539.28</v>
      </c>
      <c r="N111" s="166"/>
      <c r="O111" s="169">
        <v>0</v>
      </c>
      <c r="P111" s="166"/>
      <c r="Q111" s="169">
        <v>0</v>
      </c>
    </row>
    <row r="112" spans="2:17" x14ac:dyDescent="0.25">
      <c r="B112" s="168" t="s">
        <v>849</v>
      </c>
      <c r="C112" s="168" t="s">
        <v>850</v>
      </c>
      <c r="D112" s="168" t="s">
        <v>82</v>
      </c>
      <c r="E112" s="169">
        <v>42.24</v>
      </c>
      <c r="F112" s="169">
        <v>21.87</v>
      </c>
      <c r="G112" s="169">
        <v>923.79</v>
      </c>
      <c r="H112" s="169">
        <v>0</v>
      </c>
      <c r="I112" s="169">
        <v>0</v>
      </c>
      <c r="J112" s="166"/>
      <c r="K112" s="169">
        <v>923.92</v>
      </c>
      <c r="L112" s="166"/>
      <c r="M112" s="166"/>
      <c r="N112" s="166"/>
      <c r="O112" s="169">
        <v>0</v>
      </c>
      <c r="P112" s="166"/>
      <c r="Q112" s="166"/>
    </row>
    <row r="113" spans="1:17" x14ac:dyDescent="0.25">
      <c r="A113" s="109" t="s">
        <v>1873</v>
      </c>
      <c r="B113" s="168" t="s">
        <v>851</v>
      </c>
      <c r="C113" s="168" t="s">
        <v>842</v>
      </c>
      <c r="D113" s="168" t="s">
        <v>82</v>
      </c>
      <c r="E113" s="169">
        <v>42.24</v>
      </c>
      <c r="F113" s="169">
        <v>44.04</v>
      </c>
      <c r="G113" s="169">
        <v>1860.25</v>
      </c>
      <c r="H113" s="169">
        <v>0</v>
      </c>
      <c r="I113" s="169">
        <v>0</v>
      </c>
      <c r="J113" s="166"/>
      <c r="K113" s="169">
        <v>677.32</v>
      </c>
      <c r="L113" s="166"/>
      <c r="M113" s="169">
        <v>1182.72</v>
      </c>
      <c r="N113" s="166"/>
      <c r="O113" s="169">
        <v>0</v>
      </c>
      <c r="P113" s="166"/>
      <c r="Q113" s="169">
        <v>0</v>
      </c>
    </row>
    <row r="114" spans="1:17" x14ac:dyDescent="0.25">
      <c r="B114" s="168" t="s">
        <v>852</v>
      </c>
      <c r="C114" s="168" t="s">
        <v>853</v>
      </c>
      <c r="D114" s="168" t="s">
        <v>82</v>
      </c>
      <c r="E114" s="169">
        <v>49.62</v>
      </c>
      <c r="F114" s="169">
        <v>21.87</v>
      </c>
      <c r="G114" s="169">
        <v>1085.19</v>
      </c>
      <c r="H114" s="169">
        <v>0</v>
      </c>
      <c r="I114" s="169">
        <v>0</v>
      </c>
      <c r="J114" s="166"/>
      <c r="K114" s="169">
        <v>1085.3399999999999</v>
      </c>
      <c r="L114" s="166"/>
      <c r="M114" s="166"/>
      <c r="N114" s="166"/>
      <c r="O114" s="169">
        <v>0</v>
      </c>
      <c r="P114" s="166"/>
      <c r="Q114" s="166"/>
    </row>
    <row r="115" spans="1:17" x14ac:dyDescent="0.25">
      <c r="B115" s="168" t="s">
        <v>854</v>
      </c>
      <c r="C115" s="168" t="s">
        <v>842</v>
      </c>
      <c r="D115" s="168" t="s">
        <v>82</v>
      </c>
      <c r="E115" s="169">
        <v>49.62</v>
      </c>
      <c r="F115" s="169">
        <v>44.04</v>
      </c>
      <c r="G115" s="169">
        <v>2185.2600000000002</v>
      </c>
      <c r="H115" s="169">
        <v>0</v>
      </c>
      <c r="I115" s="169">
        <v>0</v>
      </c>
      <c r="J115" s="166"/>
      <c r="K115" s="169">
        <v>795.66</v>
      </c>
      <c r="L115" s="166"/>
      <c r="M115" s="169">
        <v>1389.36</v>
      </c>
      <c r="N115" s="166"/>
      <c r="O115" s="169">
        <v>0</v>
      </c>
      <c r="P115" s="166"/>
      <c r="Q115" s="169">
        <v>0</v>
      </c>
    </row>
    <row r="116" spans="1:17" x14ac:dyDescent="0.25">
      <c r="B116" s="168" t="s">
        <v>855</v>
      </c>
      <c r="C116" s="168" t="s">
        <v>858</v>
      </c>
      <c r="D116" s="168" t="s">
        <v>82</v>
      </c>
      <c r="E116" s="169">
        <v>586.4</v>
      </c>
      <c r="F116" s="169">
        <v>45.71</v>
      </c>
      <c r="G116" s="169">
        <v>26804.34</v>
      </c>
      <c r="H116" s="169">
        <v>0</v>
      </c>
      <c r="I116" s="169">
        <v>0</v>
      </c>
      <c r="J116" s="166"/>
      <c r="K116" s="169">
        <v>26805.81</v>
      </c>
      <c r="L116" s="166"/>
      <c r="M116" s="166"/>
      <c r="N116" s="166"/>
      <c r="O116" s="169">
        <v>0</v>
      </c>
      <c r="P116" s="166"/>
      <c r="Q116" s="166"/>
    </row>
    <row r="117" spans="1:17" x14ac:dyDescent="0.25">
      <c r="B117" s="168" t="s">
        <v>856</v>
      </c>
      <c r="C117" s="168" t="s">
        <v>842</v>
      </c>
      <c r="D117" s="168" t="s">
        <v>82</v>
      </c>
      <c r="E117" s="169">
        <v>586.4</v>
      </c>
      <c r="F117" s="169">
        <v>44.04</v>
      </c>
      <c r="G117" s="169">
        <v>25825.06</v>
      </c>
      <c r="H117" s="169">
        <v>0</v>
      </c>
      <c r="I117" s="169">
        <v>0</v>
      </c>
      <c r="J117" s="166"/>
      <c r="K117" s="169">
        <v>9402.92</v>
      </c>
      <c r="L117" s="166"/>
      <c r="M117" s="169">
        <v>16419.2</v>
      </c>
      <c r="N117" s="166"/>
      <c r="O117" s="169">
        <v>0</v>
      </c>
      <c r="P117" s="166"/>
      <c r="Q117" s="169">
        <v>0</v>
      </c>
    </row>
    <row r="118" spans="1:17" x14ac:dyDescent="0.25">
      <c r="A118" s="109" t="s">
        <v>1873</v>
      </c>
      <c r="B118" s="168" t="s">
        <v>857</v>
      </c>
      <c r="C118" s="168" t="s">
        <v>861</v>
      </c>
      <c r="D118" s="168" t="s">
        <v>82</v>
      </c>
      <c r="E118" s="169">
        <v>514.51</v>
      </c>
      <c r="F118" s="169">
        <v>22.22</v>
      </c>
      <c r="G118" s="169">
        <v>11432.41</v>
      </c>
      <c r="H118" s="169">
        <v>0</v>
      </c>
      <c r="I118" s="169">
        <v>0</v>
      </c>
      <c r="J118" s="166"/>
      <c r="K118" s="169">
        <v>11431.38</v>
      </c>
      <c r="L118" s="166"/>
      <c r="M118" s="166"/>
      <c r="N118" s="166"/>
      <c r="O118" s="169">
        <v>0</v>
      </c>
      <c r="P118" s="166"/>
      <c r="Q118" s="166"/>
    </row>
    <row r="119" spans="1:17" x14ac:dyDescent="0.25">
      <c r="A119" s="109" t="s">
        <v>1873</v>
      </c>
      <c r="B119" s="168" t="s">
        <v>859</v>
      </c>
      <c r="C119" s="168" t="s">
        <v>842</v>
      </c>
      <c r="D119" s="168" t="s">
        <v>82</v>
      </c>
      <c r="E119" s="169">
        <v>514.51</v>
      </c>
      <c r="F119" s="169">
        <v>44.04</v>
      </c>
      <c r="G119" s="169">
        <v>22659.02</v>
      </c>
      <c r="H119" s="169">
        <v>0</v>
      </c>
      <c r="I119" s="169">
        <v>0</v>
      </c>
      <c r="J119" s="166"/>
      <c r="K119" s="169">
        <v>8250.17</v>
      </c>
      <c r="L119" s="166"/>
      <c r="M119" s="169">
        <v>14406.28</v>
      </c>
      <c r="N119" s="166"/>
      <c r="O119" s="169">
        <v>0</v>
      </c>
      <c r="P119" s="166"/>
      <c r="Q119" s="169">
        <v>0</v>
      </c>
    </row>
    <row r="120" spans="1:17" x14ac:dyDescent="0.25">
      <c r="B120" s="168" t="s">
        <v>860</v>
      </c>
      <c r="C120" s="168" t="s">
        <v>864</v>
      </c>
      <c r="D120" s="168" t="s">
        <v>82</v>
      </c>
      <c r="E120" s="169">
        <v>5.42</v>
      </c>
      <c r="F120" s="169">
        <v>82.25</v>
      </c>
      <c r="G120" s="169">
        <v>445.8</v>
      </c>
      <c r="H120" s="169">
        <v>0</v>
      </c>
      <c r="I120" s="169">
        <v>0</v>
      </c>
      <c r="J120" s="166"/>
      <c r="K120" s="169">
        <v>445.78</v>
      </c>
      <c r="L120" s="166"/>
      <c r="M120" s="166"/>
      <c r="N120" s="166"/>
      <c r="O120" s="169">
        <v>0</v>
      </c>
      <c r="P120" s="166"/>
      <c r="Q120" s="166"/>
    </row>
    <row r="121" spans="1:17" x14ac:dyDescent="0.25">
      <c r="B121" s="168" t="s">
        <v>862</v>
      </c>
      <c r="C121" s="168" t="s">
        <v>842</v>
      </c>
      <c r="D121" s="168" t="s">
        <v>82</v>
      </c>
      <c r="E121" s="169">
        <v>5.42</v>
      </c>
      <c r="F121" s="169">
        <v>47.04</v>
      </c>
      <c r="G121" s="169">
        <v>254.96</v>
      </c>
      <c r="H121" s="169">
        <v>0</v>
      </c>
      <c r="I121" s="169">
        <v>0</v>
      </c>
      <c r="J121" s="166"/>
      <c r="K121" s="169">
        <v>86.91</v>
      </c>
      <c r="L121" s="166"/>
      <c r="M121" s="169">
        <v>168.02</v>
      </c>
      <c r="N121" s="166"/>
      <c r="O121" s="169">
        <v>0</v>
      </c>
      <c r="P121" s="166"/>
      <c r="Q121" s="169">
        <v>0</v>
      </c>
    </row>
    <row r="122" spans="1:17" x14ac:dyDescent="0.25">
      <c r="B122" s="168" t="s">
        <v>863</v>
      </c>
      <c r="C122" s="168" t="s">
        <v>867</v>
      </c>
      <c r="D122" s="168" t="s">
        <v>82</v>
      </c>
      <c r="E122" s="169">
        <v>260.20999999999998</v>
      </c>
      <c r="F122" s="169">
        <v>30.11</v>
      </c>
      <c r="G122" s="169">
        <v>7834.92</v>
      </c>
      <c r="H122" s="169">
        <v>0</v>
      </c>
      <c r="I122" s="169">
        <v>0</v>
      </c>
      <c r="J122" s="166"/>
      <c r="K122" s="169">
        <v>7834.14</v>
      </c>
      <c r="L122" s="166"/>
      <c r="M122" s="166"/>
      <c r="N122" s="166"/>
      <c r="O122" s="169">
        <v>0</v>
      </c>
      <c r="P122" s="166"/>
      <c r="Q122" s="166"/>
    </row>
    <row r="123" spans="1:17" x14ac:dyDescent="0.25">
      <c r="B123" s="168" t="s">
        <v>865</v>
      </c>
      <c r="C123" s="168" t="s">
        <v>842</v>
      </c>
      <c r="D123" s="168" t="s">
        <v>82</v>
      </c>
      <c r="E123" s="169">
        <v>260.20999999999998</v>
      </c>
      <c r="F123" s="169">
        <v>44.04</v>
      </c>
      <c r="G123" s="169">
        <v>11459.65</v>
      </c>
      <c r="H123" s="169">
        <v>0</v>
      </c>
      <c r="I123" s="169">
        <v>0</v>
      </c>
      <c r="J123" s="166"/>
      <c r="K123" s="169">
        <v>4172.47</v>
      </c>
      <c r="L123" s="166"/>
      <c r="M123" s="169">
        <v>7285.88</v>
      </c>
      <c r="N123" s="166"/>
      <c r="O123" s="169">
        <v>0</v>
      </c>
      <c r="P123" s="166"/>
      <c r="Q123" s="169">
        <v>0</v>
      </c>
    </row>
    <row r="124" spans="1:17" x14ac:dyDescent="0.25">
      <c r="B124" s="168" t="s">
        <v>866</v>
      </c>
      <c r="C124" s="168" t="s">
        <v>870</v>
      </c>
      <c r="D124" s="168" t="s">
        <v>82</v>
      </c>
      <c r="E124" s="169">
        <v>588.12</v>
      </c>
      <c r="F124" s="169">
        <v>21.87</v>
      </c>
      <c r="G124" s="169">
        <v>12862.18</v>
      </c>
      <c r="H124" s="169">
        <v>0</v>
      </c>
      <c r="I124" s="169">
        <v>0</v>
      </c>
      <c r="J124" s="166"/>
      <c r="K124" s="169">
        <v>12863.95</v>
      </c>
      <c r="L124" s="166"/>
      <c r="M124" s="166"/>
      <c r="N124" s="166"/>
      <c r="O124" s="169">
        <v>0</v>
      </c>
      <c r="P124" s="166"/>
      <c r="Q124" s="166"/>
    </row>
    <row r="125" spans="1:17" x14ac:dyDescent="0.25">
      <c r="B125" s="168" t="s">
        <v>868</v>
      </c>
      <c r="C125" s="168" t="s">
        <v>842</v>
      </c>
      <c r="D125" s="168" t="s">
        <v>82</v>
      </c>
      <c r="E125" s="169">
        <v>588.12</v>
      </c>
      <c r="F125" s="169">
        <v>44.04</v>
      </c>
      <c r="G125" s="169">
        <v>25900.799999999999</v>
      </c>
      <c r="H125" s="169">
        <v>0</v>
      </c>
      <c r="I125" s="169">
        <v>0</v>
      </c>
      <c r="J125" s="166"/>
      <c r="K125" s="169">
        <v>9430.5</v>
      </c>
      <c r="L125" s="166"/>
      <c r="M125" s="169">
        <v>16467.36</v>
      </c>
      <c r="N125" s="166"/>
      <c r="O125" s="169">
        <v>0</v>
      </c>
      <c r="P125" s="166"/>
      <c r="Q125" s="169">
        <v>0</v>
      </c>
    </row>
    <row r="126" spans="1:17" x14ac:dyDescent="0.25">
      <c r="B126" s="168" t="s">
        <v>869</v>
      </c>
      <c r="C126" s="168" t="s">
        <v>875</v>
      </c>
      <c r="D126" s="168" t="s">
        <v>82</v>
      </c>
      <c r="E126" s="169">
        <v>20.46</v>
      </c>
      <c r="F126" s="169">
        <v>47.94</v>
      </c>
      <c r="G126" s="169">
        <v>980.85</v>
      </c>
      <c r="H126" s="169">
        <v>0</v>
      </c>
      <c r="I126" s="169">
        <v>0</v>
      </c>
      <c r="J126" s="166"/>
      <c r="K126" s="169">
        <v>980.92</v>
      </c>
      <c r="L126" s="166"/>
      <c r="M126" s="166"/>
      <c r="N126" s="166"/>
      <c r="O126" s="169">
        <v>0</v>
      </c>
      <c r="P126" s="166"/>
      <c r="Q126" s="166"/>
    </row>
    <row r="127" spans="1:17" x14ac:dyDescent="0.25">
      <c r="B127" s="168" t="s">
        <v>871</v>
      </c>
      <c r="C127" s="168" t="s">
        <v>842</v>
      </c>
      <c r="D127" s="168" t="s">
        <v>82</v>
      </c>
      <c r="E127" s="169">
        <v>20.46</v>
      </c>
      <c r="F127" s="169">
        <v>47.04</v>
      </c>
      <c r="G127" s="169">
        <v>962.44</v>
      </c>
      <c r="H127" s="169">
        <v>0</v>
      </c>
      <c r="I127" s="169">
        <v>0</v>
      </c>
      <c r="J127" s="166"/>
      <c r="K127" s="169">
        <v>328.08</v>
      </c>
      <c r="L127" s="166"/>
      <c r="M127" s="169">
        <v>634.26</v>
      </c>
      <c r="N127" s="166"/>
      <c r="O127" s="169">
        <v>0</v>
      </c>
      <c r="P127" s="166"/>
      <c r="Q127" s="169">
        <v>0</v>
      </c>
    </row>
    <row r="128" spans="1:17" x14ac:dyDescent="0.25">
      <c r="B128" s="168" t="s">
        <v>872</v>
      </c>
      <c r="C128" s="168" t="s">
        <v>878</v>
      </c>
      <c r="D128" s="168" t="s">
        <v>82</v>
      </c>
      <c r="E128" s="169">
        <v>20.100000000000001</v>
      </c>
      <c r="F128" s="169">
        <v>36</v>
      </c>
      <c r="G128" s="169">
        <v>723.6</v>
      </c>
      <c r="H128" s="169">
        <v>0</v>
      </c>
      <c r="I128" s="169">
        <v>0</v>
      </c>
      <c r="J128" s="166"/>
      <c r="K128" s="169">
        <v>723.5</v>
      </c>
      <c r="L128" s="166"/>
      <c r="M128" s="166"/>
      <c r="N128" s="166"/>
      <c r="O128" s="169">
        <v>0</v>
      </c>
      <c r="P128" s="166"/>
      <c r="Q128" s="166"/>
    </row>
    <row r="129" spans="2:17" x14ac:dyDescent="0.25">
      <c r="B129" s="168" t="s">
        <v>873</v>
      </c>
      <c r="C129" s="168" t="s">
        <v>842</v>
      </c>
      <c r="D129" s="168" t="s">
        <v>82</v>
      </c>
      <c r="E129" s="169">
        <v>20.100000000000001</v>
      </c>
      <c r="F129" s="169">
        <v>44.04</v>
      </c>
      <c r="G129" s="169">
        <v>885.2</v>
      </c>
      <c r="H129" s="169">
        <v>0</v>
      </c>
      <c r="I129" s="169">
        <v>0</v>
      </c>
      <c r="J129" s="166"/>
      <c r="K129" s="169">
        <v>322.3</v>
      </c>
      <c r="L129" s="166"/>
      <c r="M129" s="169">
        <v>562.79999999999995</v>
      </c>
      <c r="N129" s="166"/>
      <c r="O129" s="169">
        <v>0</v>
      </c>
      <c r="P129" s="166"/>
      <c r="Q129" s="169">
        <v>0</v>
      </c>
    </row>
    <row r="130" spans="2:17" x14ac:dyDescent="0.25">
      <c r="B130" s="168" t="s">
        <v>874</v>
      </c>
      <c r="C130" s="168" t="s">
        <v>881</v>
      </c>
      <c r="D130" s="168" t="s">
        <v>82</v>
      </c>
      <c r="E130" s="169">
        <v>44.32</v>
      </c>
      <c r="F130" s="169">
        <v>90.87</v>
      </c>
      <c r="G130" s="169">
        <v>4027.36</v>
      </c>
      <c r="H130" s="169">
        <v>0</v>
      </c>
      <c r="I130" s="169">
        <v>0</v>
      </c>
      <c r="J130" s="166"/>
      <c r="K130" s="169">
        <v>4027.49</v>
      </c>
      <c r="L130" s="166"/>
      <c r="M130" s="166"/>
      <c r="N130" s="166"/>
      <c r="O130" s="169">
        <v>0</v>
      </c>
      <c r="P130" s="166"/>
      <c r="Q130" s="166"/>
    </row>
    <row r="131" spans="2:17" x14ac:dyDescent="0.25">
      <c r="B131" s="168" t="s">
        <v>876</v>
      </c>
      <c r="C131" s="168" t="s">
        <v>842</v>
      </c>
      <c r="D131" s="168" t="s">
        <v>82</v>
      </c>
      <c r="E131" s="169">
        <v>44.32</v>
      </c>
      <c r="F131" s="169">
        <v>44.04</v>
      </c>
      <c r="G131" s="169">
        <v>1951.85</v>
      </c>
      <c r="H131" s="169">
        <v>0</v>
      </c>
      <c r="I131" s="169">
        <v>0</v>
      </c>
      <c r="J131" s="166"/>
      <c r="K131" s="169">
        <v>710.68</v>
      </c>
      <c r="L131" s="166"/>
      <c r="M131" s="169">
        <v>1240.96</v>
      </c>
      <c r="N131" s="166"/>
      <c r="O131" s="169">
        <v>0</v>
      </c>
      <c r="P131" s="166"/>
      <c r="Q131" s="169">
        <v>0</v>
      </c>
    </row>
    <row r="132" spans="2:17" x14ac:dyDescent="0.25">
      <c r="B132" s="168" t="s">
        <v>877</v>
      </c>
      <c r="C132" s="168" t="s">
        <v>884</v>
      </c>
      <c r="D132" s="168" t="s">
        <v>82</v>
      </c>
      <c r="E132" s="169">
        <v>22.14</v>
      </c>
      <c r="F132" s="169">
        <v>47.94</v>
      </c>
      <c r="G132" s="169">
        <v>1061.3900000000001</v>
      </c>
      <c r="H132" s="169">
        <v>0</v>
      </c>
      <c r="I132" s="169">
        <v>0</v>
      </c>
      <c r="J132" s="166"/>
      <c r="K132" s="169">
        <v>1061.47</v>
      </c>
      <c r="L132" s="166"/>
      <c r="M132" s="166"/>
      <c r="N132" s="166"/>
      <c r="O132" s="169">
        <v>0</v>
      </c>
      <c r="P132" s="166"/>
      <c r="Q132" s="166"/>
    </row>
    <row r="133" spans="2:17" x14ac:dyDescent="0.25">
      <c r="B133" s="168" t="s">
        <v>879</v>
      </c>
      <c r="C133" s="168" t="s">
        <v>842</v>
      </c>
      <c r="D133" s="168" t="s">
        <v>82</v>
      </c>
      <c r="E133" s="169">
        <v>22.14</v>
      </c>
      <c r="F133" s="169">
        <v>47.04</v>
      </c>
      <c r="G133" s="169">
        <v>1041.47</v>
      </c>
      <c r="H133" s="169">
        <v>0</v>
      </c>
      <c r="I133" s="169">
        <v>0</v>
      </c>
      <c r="J133" s="166"/>
      <c r="K133" s="169">
        <v>355.01</v>
      </c>
      <c r="L133" s="166"/>
      <c r="M133" s="169">
        <v>686.34</v>
      </c>
      <c r="N133" s="166"/>
      <c r="O133" s="169">
        <v>0</v>
      </c>
      <c r="P133" s="166"/>
      <c r="Q133" s="169">
        <v>0</v>
      </c>
    </row>
    <row r="134" spans="2:17" x14ac:dyDescent="0.25">
      <c r="B134" s="168" t="s">
        <v>880</v>
      </c>
      <c r="C134" s="168" t="s">
        <v>887</v>
      </c>
      <c r="D134" s="168" t="s">
        <v>82</v>
      </c>
      <c r="E134" s="169">
        <v>15.84</v>
      </c>
      <c r="F134" s="169">
        <v>47.94</v>
      </c>
      <c r="G134" s="169">
        <v>759.37</v>
      </c>
      <c r="H134" s="169">
        <v>0</v>
      </c>
      <c r="I134" s="169">
        <v>0</v>
      </c>
      <c r="J134" s="166"/>
      <c r="K134" s="169">
        <v>759.43</v>
      </c>
      <c r="L134" s="166"/>
      <c r="M134" s="166"/>
      <c r="N134" s="166"/>
      <c r="O134" s="169">
        <v>0</v>
      </c>
      <c r="P134" s="166"/>
      <c r="Q134" s="166"/>
    </row>
    <row r="135" spans="2:17" x14ac:dyDescent="0.25">
      <c r="B135" s="168" t="s">
        <v>882</v>
      </c>
      <c r="C135" s="168" t="s">
        <v>889</v>
      </c>
      <c r="D135" s="168" t="s">
        <v>82</v>
      </c>
      <c r="E135" s="169">
        <v>15.84</v>
      </c>
      <c r="F135" s="169">
        <v>47.04</v>
      </c>
      <c r="G135" s="169">
        <v>745.11</v>
      </c>
      <c r="H135" s="169">
        <v>0</v>
      </c>
      <c r="I135" s="169">
        <v>0</v>
      </c>
      <c r="J135" s="166"/>
      <c r="K135" s="169">
        <v>254</v>
      </c>
      <c r="L135" s="166"/>
      <c r="M135" s="169">
        <v>491.04</v>
      </c>
      <c r="N135" s="166"/>
      <c r="O135" s="169">
        <v>0</v>
      </c>
      <c r="P135" s="166"/>
      <c r="Q135" s="169">
        <v>0</v>
      </c>
    </row>
    <row r="136" spans="2:17" x14ac:dyDescent="0.25">
      <c r="B136" s="168" t="s">
        <v>883</v>
      </c>
      <c r="C136" s="168" t="s">
        <v>891</v>
      </c>
      <c r="D136" s="168" t="s">
        <v>82</v>
      </c>
      <c r="E136" s="169">
        <v>17.32</v>
      </c>
      <c r="F136" s="169">
        <v>70</v>
      </c>
      <c r="G136" s="169">
        <v>1212.4000000000001</v>
      </c>
      <c r="H136" s="169">
        <v>0</v>
      </c>
      <c r="I136" s="169">
        <v>0</v>
      </c>
      <c r="J136" s="166"/>
      <c r="K136" s="166"/>
      <c r="L136" s="166"/>
      <c r="M136" s="169">
        <v>1212.4000000000001</v>
      </c>
      <c r="N136" s="166"/>
      <c r="O136" s="166"/>
      <c r="P136" s="166"/>
      <c r="Q136" s="169">
        <v>0</v>
      </c>
    </row>
    <row r="137" spans="2:17" x14ac:dyDescent="0.25">
      <c r="B137" s="168" t="s">
        <v>885</v>
      </c>
      <c r="C137" s="168" t="s">
        <v>889</v>
      </c>
      <c r="D137" s="168" t="s">
        <v>82</v>
      </c>
      <c r="E137" s="169">
        <v>17.32</v>
      </c>
      <c r="F137" s="169">
        <v>20</v>
      </c>
      <c r="G137" s="169">
        <v>346.4</v>
      </c>
      <c r="H137" s="169">
        <v>0</v>
      </c>
      <c r="I137" s="169">
        <v>0</v>
      </c>
      <c r="J137" s="166"/>
      <c r="K137" s="166"/>
      <c r="L137" s="166"/>
      <c r="M137" s="169">
        <v>346.4</v>
      </c>
      <c r="N137" s="166"/>
      <c r="O137" s="166"/>
      <c r="P137" s="166"/>
      <c r="Q137" s="169">
        <v>0</v>
      </c>
    </row>
    <row r="138" spans="2:17" x14ac:dyDescent="0.25">
      <c r="B138" s="168" t="s">
        <v>886</v>
      </c>
      <c r="C138" s="168" t="s">
        <v>896</v>
      </c>
      <c r="D138" s="168" t="s">
        <v>82</v>
      </c>
      <c r="E138" s="169">
        <v>33.04</v>
      </c>
      <c r="F138" s="169">
        <v>47.94</v>
      </c>
      <c r="G138" s="169">
        <v>1583.94</v>
      </c>
      <c r="H138" s="169">
        <v>0</v>
      </c>
      <c r="I138" s="169">
        <v>0</v>
      </c>
      <c r="J138" s="166"/>
      <c r="K138" s="169">
        <v>1584.05</v>
      </c>
      <c r="L138" s="166"/>
      <c r="M138" s="166"/>
      <c r="N138" s="166"/>
      <c r="O138" s="169">
        <v>0</v>
      </c>
      <c r="P138" s="166"/>
      <c r="Q138" s="166"/>
    </row>
    <row r="139" spans="2:17" x14ac:dyDescent="0.25">
      <c r="B139" s="168" t="s">
        <v>888</v>
      </c>
      <c r="C139" s="168" t="s">
        <v>842</v>
      </c>
      <c r="D139" s="168" t="s">
        <v>82</v>
      </c>
      <c r="E139" s="169">
        <v>33.04</v>
      </c>
      <c r="F139" s="169">
        <v>47.04</v>
      </c>
      <c r="G139" s="169">
        <v>1554.2</v>
      </c>
      <c r="H139" s="169">
        <v>0</v>
      </c>
      <c r="I139" s="169">
        <v>0</v>
      </c>
      <c r="J139" s="166"/>
      <c r="K139" s="169">
        <v>529.79999999999995</v>
      </c>
      <c r="L139" s="166"/>
      <c r="M139" s="169">
        <v>1024.24</v>
      </c>
      <c r="N139" s="166"/>
      <c r="O139" s="169">
        <v>0</v>
      </c>
      <c r="P139" s="166"/>
      <c r="Q139" s="169">
        <v>0</v>
      </c>
    </row>
    <row r="140" spans="2:17" x14ac:dyDescent="0.25">
      <c r="B140" s="168" t="s">
        <v>890</v>
      </c>
      <c r="C140" s="168" t="s">
        <v>899</v>
      </c>
      <c r="D140" s="168" t="s">
        <v>82</v>
      </c>
      <c r="E140" s="169">
        <v>64.790000000000006</v>
      </c>
      <c r="F140" s="169">
        <v>186.07</v>
      </c>
      <c r="G140" s="169">
        <v>12055.48</v>
      </c>
      <c r="H140" s="169">
        <v>0</v>
      </c>
      <c r="I140" s="169">
        <v>0</v>
      </c>
      <c r="J140" s="166"/>
      <c r="K140" s="166"/>
      <c r="L140" s="166"/>
      <c r="M140" s="169">
        <v>12055.48</v>
      </c>
      <c r="N140" s="166"/>
      <c r="O140" s="166"/>
      <c r="P140" s="166"/>
      <c r="Q140" s="169">
        <v>0</v>
      </c>
    </row>
    <row r="141" spans="2:17" x14ac:dyDescent="0.25">
      <c r="B141" s="168" t="s">
        <v>892</v>
      </c>
      <c r="C141" s="168" t="s">
        <v>901</v>
      </c>
      <c r="D141" s="168" t="s">
        <v>82</v>
      </c>
      <c r="E141" s="169">
        <v>64.790000000000006</v>
      </c>
      <c r="F141" s="169">
        <v>60.88</v>
      </c>
      <c r="G141" s="169">
        <v>3944.42</v>
      </c>
      <c r="H141" s="169">
        <v>0</v>
      </c>
      <c r="I141" s="169">
        <v>0</v>
      </c>
      <c r="J141" s="166"/>
      <c r="K141" s="166"/>
      <c r="L141" s="166"/>
      <c r="M141" s="169">
        <v>3944.5</v>
      </c>
      <c r="N141" s="166"/>
      <c r="O141" s="166"/>
      <c r="P141" s="166"/>
      <c r="Q141" s="169">
        <v>0</v>
      </c>
    </row>
    <row r="142" spans="2:17" x14ac:dyDescent="0.25">
      <c r="B142" s="168" t="s">
        <v>893</v>
      </c>
      <c r="C142" s="168" t="s">
        <v>903</v>
      </c>
      <c r="D142" s="168" t="s">
        <v>82</v>
      </c>
      <c r="E142" s="169">
        <v>141.29</v>
      </c>
      <c r="F142" s="169">
        <v>19.78</v>
      </c>
      <c r="G142" s="169">
        <v>2794.72</v>
      </c>
      <c r="H142" s="169">
        <v>0</v>
      </c>
      <c r="I142" s="169">
        <v>0</v>
      </c>
      <c r="J142" s="166"/>
      <c r="K142" s="169">
        <v>2794.72</v>
      </c>
      <c r="L142" s="166"/>
      <c r="M142" s="166"/>
      <c r="N142" s="166"/>
      <c r="O142" s="169">
        <v>0</v>
      </c>
      <c r="P142" s="166"/>
      <c r="Q142" s="166"/>
    </row>
    <row r="143" spans="2:17" x14ac:dyDescent="0.25">
      <c r="B143" s="168" t="s">
        <v>894</v>
      </c>
      <c r="C143" s="168" t="s">
        <v>901</v>
      </c>
      <c r="D143" s="168" t="s">
        <v>82</v>
      </c>
      <c r="E143" s="169">
        <v>141.29</v>
      </c>
      <c r="F143" s="169">
        <v>44.04</v>
      </c>
      <c r="G143" s="169">
        <v>6222.41</v>
      </c>
      <c r="H143" s="169">
        <v>0</v>
      </c>
      <c r="I143" s="169">
        <v>0</v>
      </c>
      <c r="J143" s="166"/>
      <c r="K143" s="169">
        <v>2265.59</v>
      </c>
      <c r="L143" s="166"/>
      <c r="M143" s="169">
        <v>3956.12</v>
      </c>
      <c r="N143" s="166"/>
      <c r="O143" s="169">
        <v>0</v>
      </c>
      <c r="P143" s="166"/>
      <c r="Q143" s="169">
        <v>0</v>
      </c>
    </row>
    <row r="144" spans="2:17" x14ac:dyDescent="0.25">
      <c r="B144" s="168" t="s">
        <v>895</v>
      </c>
      <c r="C144" s="168" t="s">
        <v>906</v>
      </c>
      <c r="D144" s="168" t="s">
        <v>82</v>
      </c>
      <c r="E144" s="169">
        <v>3527.25</v>
      </c>
      <c r="F144" s="169">
        <v>0</v>
      </c>
      <c r="G144" s="169">
        <v>0</v>
      </c>
      <c r="H144" s="169">
        <v>11.02</v>
      </c>
      <c r="I144" s="169">
        <v>38870.300000000003</v>
      </c>
      <c r="J144" s="166"/>
      <c r="K144" s="169">
        <v>0</v>
      </c>
      <c r="L144" s="166"/>
      <c r="M144" s="166"/>
      <c r="N144" s="166"/>
      <c r="O144" s="169">
        <v>38873.120000000003</v>
      </c>
      <c r="P144" s="166"/>
      <c r="Q144" s="166"/>
    </row>
    <row r="145" spans="2:17" x14ac:dyDescent="0.25">
      <c r="B145" s="168" t="s">
        <v>897</v>
      </c>
      <c r="C145" s="168" t="s">
        <v>889</v>
      </c>
      <c r="D145" s="168" t="s">
        <v>82</v>
      </c>
      <c r="E145" s="169">
        <v>3527.25</v>
      </c>
      <c r="F145" s="169">
        <v>8.8000000000000007</v>
      </c>
      <c r="G145" s="169">
        <v>31039.8</v>
      </c>
      <c r="H145" s="169">
        <v>0</v>
      </c>
      <c r="I145" s="169">
        <v>0</v>
      </c>
      <c r="J145" s="166"/>
      <c r="K145" s="166"/>
      <c r="L145" s="166"/>
      <c r="M145" s="169">
        <v>31039.8</v>
      </c>
      <c r="N145" s="166"/>
      <c r="O145" s="166"/>
      <c r="P145" s="166"/>
      <c r="Q145" s="169">
        <v>0</v>
      </c>
    </row>
    <row r="146" spans="2:17" x14ac:dyDescent="0.25">
      <c r="B146" s="168" t="s">
        <v>898</v>
      </c>
      <c r="C146" s="168" t="s">
        <v>909</v>
      </c>
      <c r="D146" s="168" t="s">
        <v>157</v>
      </c>
      <c r="E146" s="169">
        <v>122</v>
      </c>
      <c r="F146" s="169">
        <v>0</v>
      </c>
      <c r="G146" s="169">
        <v>0</v>
      </c>
      <c r="H146" s="169">
        <v>2.35</v>
      </c>
      <c r="I146" s="169">
        <v>286.7</v>
      </c>
      <c r="J146" s="166"/>
      <c r="K146" s="169">
        <v>0</v>
      </c>
      <c r="L146" s="166"/>
      <c r="M146" s="166"/>
      <c r="N146" s="166"/>
      <c r="O146" s="169">
        <v>286.20999999999998</v>
      </c>
      <c r="P146" s="166"/>
      <c r="Q146" s="166"/>
    </row>
    <row r="147" spans="2:17" x14ac:dyDescent="0.25">
      <c r="B147" s="168" t="s">
        <v>900</v>
      </c>
      <c r="C147" s="168" t="s">
        <v>911</v>
      </c>
      <c r="D147" s="168" t="s">
        <v>157</v>
      </c>
      <c r="E147" s="169">
        <v>438.06</v>
      </c>
      <c r="F147" s="169">
        <v>0</v>
      </c>
      <c r="G147" s="169">
        <v>0</v>
      </c>
      <c r="H147" s="169">
        <v>2.57</v>
      </c>
      <c r="I147" s="169">
        <v>1125.81</v>
      </c>
      <c r="J147" s="166"/>
      <c r="K147" s="169">
        <v>0</v>
      </c>
      <c r="L147" s="166"/>
      <c r="M147" s="166"/>
      <c r="N147" s="166"/>
      <c r="O147" s="169">
        <v>1124.94</v>
      </c>
      <c r="P147" s="166"/>
      <c r="Q147" s="166"/>
    </row>
    <row r="148" spans="2:17" x14ac:dyDescent="0.25">
      <c r="B148" s="168" t="s">
        <v>902</v>
      </c>
      <c r="C148" s="168" t="s">
        <v>913</v>
      </c>
      <c r="D148" s="168" t="s">
        <v>157</v>
      </c>
      <c r="E148" s="169">
        <v>398.69</v>
      </c>
      <c r="F148" s="169">
        <v>0</v>
      </c>
      <c r="G148" s="169">
        <v>0</v>
      </c>
      <c r="H148" s="169">
        <v>2.46</v>
      </c>
      <c r="I148" s="169">
        <v>980.78</v>
      </c>
      <c r="J148" s="166"/>
      <c r="K148" s="169">
        <v>0</v>
      </c>
      <c r="L148" s="166"/>
      <c r="M148" s="166"/>
      <c r="N148" s="166"/>
      <c r="O148" s="169">
        <v>981.18</v>
      </c>
      <c r="P148" s="166"/>
      <c r="Q148" s="166"/>
    </row>
    <row r="149" spans="2:17" x14ac:dyDescent="0.25">
      <c r="B149" s="168" t="s">
        <v>904</v>
      </c>
      <c r="C149" s="168" t="s">
        <v>915</v>
      </c>
      <c r="D149" s="168" t="s">
        <v>157</v>
      </c>
      <c r="E149" s="169">
        <v>958.75</v>
      </c>
      <c r="F149" s="169">
        <v>5.36</v>
      </c>
      <c r="G149" s="169">
        <v>5138.8999999999996</v>
      </c>
      <c r="H149" s="169">
        <v>0</v>
      </c>
      <c r="I149" s="169">
        <v>0</v>
      </c>
      <c r="J149" s="166"/>
      <c r="K149" s="166"/>
      <c r="L149" s="166"/>
      <c r="M149" s="169">
        <v>5138.8999999999996</v>
      </c>
      <c r="N149" s="166"/>
      <c r="O149" s="166"/>
      <c r="P149" s="166"/>
      <c r="Q149" s="169">
        <v>0</v>
      </c>
    </row>
    <row r="150" spans="2:17" x14ac:dyDescent="0.25">
      <c r="B150" s="168" t="s">
        <v>905</v>
      </c>
      <c r="C150" s="168" t="s">
        <v>917</v>
      </c>
      <c r="D150" s="168" t="s">
        <v>82</v>
      </c>
      <c r="E150" s="169">
        <v>10.14</v>
      </c>
      <c r="F150" s="169">
        <v>63.91</v>
      </c>
      <c r="G150" s="169">
        <v>648.04999999999995</v>
      </c>
      <c r="H150" s="169">
        <v>0</v>
      </c>
      <c r="I150" s="169">
        <v>0</v>
      </c>
      <c r="J150" s="166"/>
      <c r="K150" s="169">
        <v>384.38</v>
      </c>
      <c r="L150" s="166"/>
      <c r="M150" s="169">
        <v>263.64</v>
      </c>
      <c r="N150" s="166"/>
      <c r="O150" s="169">
        <v>0</v>
      </c>
      <c r="P150" s="166"/>
      <c r="Q150" s="169">
        <v>0</v>
      </c>
    </row>
    <row r="151" spans="2:17" x14ac:dyDescent="0.25">
      <c r="B151" s="168" t="s">
        <v>907</v>
      </c>
      <c r="C151" s="168" t="s">
        <v>919</v>
      </c>
      <c r="D151" s="168" t="s">
        <v>82</v>
      </c>
      <c r="E151" s="169">
        <v>7.58</v>
      </c>
      <c r="F151" s="169">
        <v>65.91</v>
      </c>
      <c r="G151" s="169">
        <v>499.6</v>
      </c>
      <c r="H151" s="169">
        <v>0</v>
      </c>
      <c r="I151" s="169">
        <v>0</v>
      </c>
      <c r="J151" s="166"/>
      <c r="K151" s="169">
        <v>287.33999999999997</v>
      </c>
      <c r="L151" s="166"/>
      <c r="M151" s="169">
        <v>212.24</v>
      </c>
      <c r="N151" s="166"/>
      <c r="O151" s="169">
        <v>0</v>
      </c>
      <c r="P151" s="166"/>
      <c r="Q151" s="169">
        <v>0</v>
      </c>
    </row>
    <row r="152" spans="2:17" x14ac:dyDescent="0.25">
      <c r="B152" s="168" t="s">
        <v>908</v>
      </c>
      <c r="C152" s="168" t="s">
        <v>921</v>
      </c>
      <c r="D152" s="168" t="s">
        <v>82</v>
      </c>
      <c r="E152" s="169">
        <v>3.73</v>
      </c>
      <c r="F152" s="169">
        <v>65.91</v>
      </c>
      <c r="G152" s="169">
        <v>245.84</v>
      </c>
      <c r="H152" s="169">
        <v>0</v>
      </c>
      <c r="I152" s="169">
        <v>0</v>
      </c>
      <c r="J152" s="166"/>
      <c r="K152" s="169">
        <v>141.41</v>
      </c>
      <c r="L152" s="166"/>
      <c r="M152" s="169">
        <v>104.44</v>
      </c>
      <c r="N152" s="166"/>
      <c r="O152" s="169">
        <v>0</v>
      </c>
      <c r="P152" s="166"/>
      <c r="Q152" s="169">
        <v>0</v>
      </c>
    </row>
    <row r="153" spans="2:17" x14ac:dyDescent="0.25">
      <c r="B153" s="168" t="s">
        <v>910</v>
      </c>
      <c r="C153" s="168" t="s">
        <v>923</v>
      </c>
      <c r="D153" s="168" t="s">
        <v>82</v>
      </c>
      <c r="E153" s="169">
        <v>2.3199999999999998</v>
      </c>
      <c r="F153" s="169">
        <v>65.91</v>
      </c>
      <c r="G153" s="169">
        <v>152.91</v>
      </c>
      <c r="H153" s="169">
        <v>0</v>
      </c>
      <c r="I153" s="169">
        <v>0</v>
      </c>
      <c r="J153" s="166"/>
      <c r="K153" s="169">
        <v>87.96</v>
      </c>
      <c r="L153" s="166"/>
      <c r="M153" s="169">
        <v>64.959999999999994</v>
      </c>
      <c r="N153" s="166"/>
      <c r="O153" s="169">
        <v>0</v>
      </c>
      <c r="P153" s="166"/>
      <c r="Q153" s="169">
        <v>0</v>
      </c>
    </row>
    <row r="154" spans="2:17" x14ac:dyDescent="0.25">
      <c r="B154" s="168" t="s">
        <v>912</v>
      </c>
      <c r="C154" s="168" t="s">
        <v>924</v>
      </c>
      <c r="D154" s="168" t="s">
        <v>82</v>
      </c>
      <c r="E154" s="169">
        <v>4.38</v>
      </c>
      <c r="F154" s="169">
        <v>65.91</v>
      </c>
      <c r="G154" s="169">
        <v>288.69</v>
      </c>
      <c r="H154" s="169">
        <v>0</v>
      </c>
      <c r="I154" s="169">
        <v>0</v>
      </c>
      <c r="J154" s="166"/>
      <c r="K154" s="169">
        <v>166.04</v>
      </c>
      <c r="L154" s="166"/>
      <c r="M154" s="169">
        <v>122.64</v>
      </c>
      <c r="N154" s="166"/>
      <c r="O154" s="169">
        <v>0</v>
      </c>
      <c r="P154" s="166"/>
      <c r="Q154" s="169">
        <v>0</v>
      </c>
    </row>
    <row r="155" spans="2:17" x14ac:dyDescent="0.25">
      <c r="B155" s="168" t="s">
        <v>914</v>
      </c>
      <c r="C155" s="168" t="s">
        <v>925</v>
      </c>
      <c r="D155" s="168" t="s">
        <v>82</v>
      </c>
      <c r="E155" s="169">
        <v>3.09</v>
      </c>
      <c r="F155" s="169">
        <v>65.91</v>
      </c>
      <c r="G155" s="169">
        <v>203.66</v>
      </c>
      <c r="H155" s="169">
        <v>0</v>
      </c>
      <c r="I155" s="169">
        <v>0</v>
      </c>
      <c r="J155" s="166"/>
      <c r="K155" s="169">
        <v>117.14</v>
      </c>
      <c r="L155" s="166"/>
      <c r="M155" s="169">
        <v>86.52</v>
      </c>
      <c r="N155" s="166"/>
      <c r="O155" s="169">
        <v>0</v>
      </c>
      <c r="P155" s="166"/>
      <c r="Q155" s="169">
        <v>0</v>
      </c>
    </row>
    <row r="156" spans="2:17" x14ac:dyDescent="0.25">
      <c r="B156" s="168" t="s">
        <v>916</v>
      </c>
      <c r="C156" s="168" t="s">
        <v>926</v>
      </c>
      <c r="D156" s="168" t="s">
        <v>82</v>
      </c>
      <c r="E156" s="169">
        <v>6.68</v>
      </c>
      <c r="F156" s="169">
        <v>94.98</v>
      </c>
      <c r="G156" s="169">
        <v>634.47</v>
      </c>
      <c r="H156" s="169">
        <v>0</v>
      </c>
      <c r="I156" s="169">
        <v>0</v>
      </c>
      <c r="J156" s="166"/>
      <c r="K156" s="169">
        <v>427.37</v>
      </c>
      <c r="L156" s="166"/>
      <c r="M156" s="169">
        <v>207.08</v>
      </c>
      <c r="N156" s="166"/>
      <c r="O156" s="169">
        <v>0</v>
      </c>
      <c r="P156" s="166"/>
      <c r="Q156" s="169">
        <v>0</v>
      </c>
    </row>
    <row r="157" spans="2:17" x14ac:dyDescent="0.25">
      <c r="B157" s="168" t="s">
        <v>918</v>
      </c>
      <c r="C157" s="168" t="s">
        <v>927</v>
      </c>
      <c r="D157" s="168" t="s">
        <v>82</v>
      </c>
      <c r="E157" s="169">
        <v>16.25</v>
      </c>
      <c r="F157" s="169">
        <v>65</v>
      </c>
      <c r="G157" s="169">
        <v>1056.25</v>
      </c>
      <c r="H157" s="169">
        <v>0</v>
      </c>
      <c r="I157" s="169">
        <v>0</v>
      </c>
      <c r="J157" s="166"/>
      <c r="K157" s="166"/>
      <c r="L157" s="166"/>
      <c r="M157" s="169">
        <v>1056.25</v>
      </c>
      <c r="N157" s="166"/>
      <c r="O157" s="166"/>
      <c r="P157" s="166"/>
      <c r="Q157" s="169">
        <v>0</v>
      </c>
    </row>
    <row r="158" spans="2:17" x14ac:dyDescent="0.25">
      <c r="B158" s="168" t="s">
        <v>920</v>
      </c>
      <c r="C158" s="168" t="s">
        <v>928</v>
      </c>
      <c r="D158" s="168" t="s">
        <v>82</v>
      </c>
      <c r="E158" s="169">
        <v>34.340000000000003</v>
      </c>
      <c r="F158" s="169">
        <v>74.150000000000006</v>
      </c>
      <c r="G158" s="169">
        <v>2546.31</v>
      </c>
      <c r="H158" s="169">
        <v>0</v>
      </c>
      <c r="I158" s="169">
        <v>0</v>
      </c>
      <c r="J158" s="166"/>
      <c r="K158" s="169">
        <v>1584.51</v>
      </c>
      <c r="L158" s="166"/>
      <c r="M158" s="169">
        <v>961.52</v>
      </c>
      <c r="N158" s="166"/>
      <c r="O158" s="169">
        <v>0</v>
      </c>
      <c r="P158" s="166"/>
      <c r="Q158" s="169">
        <v>0</v>
      </c>
    </row>
    <row r="159" spans="2:17" x14ac:dyDescent="0.25">
      <c r="B159" s="168" t="s">
        <v>922</v>
      </c>
      <c r="C159" s="168" t="s">
        <v>929</v>
      </c>
      <c r="D159" s="168" t="s">
        <v>82</v>
      </c>
      <c r="E159" s="169">
        <v>6049.71</v>
      </c>
      <c r="F159" s="169">
        <v>16</v>
      </c>
      <c r="G159" s="169">
        <v>96795.36</v>
      </c>
      <c r="H159" s="169">
        <v>0</v>
      </c>
      <c r="I159" s="169">
        <v>0</v>
      </c>
      <c r="J159" s="166"/>
      <c r="K159" s="166"/>
      <c r="L159" s="166"/>
      <c r="M159" s="169">
        <v>96795.36</v>
      </c>
      <c r="N159" s="166"/>
      <c r="O159" s="166"/>
      <c r="P159" s="166"/>
      <c r="Q159" s="169">
        <v>0</v>
      </c>
    </row>
    <row r="160" spans="2:17" x14ac:dyDescent="0.25">
      <c r="B160" s="170" t="s">
        <v>62</v>
      </c>
      <c r="C160" s="170" t="s">
        <v>930</v>
      </c>
      <c r="D160" s="166"/>
      <c r="E160" s="166"/>
      <c r="F160" s="166"/>
      <c r="G160" s="171">
        <v>211512.99</v>
      </c>
      <c r="H160" s="166"/>
      <c r="I160" s="171">
        <v>72</v>
      </c>
      <c r="J160" s="171">
        <v>0</v>
      </c>
      <c r="K160" s="171">
        <v>123187.15</v>
      </c>
      <c r="L160" s="171">
        <v>0</v>
      </c>
      <c r="M160" s="171">
        <v>88310.45</v>
      </c>
      <c r="N160" s="171">
        <v>0</v>
      </c>
      <c r="O160" s="171">
        <v>0</v>
      </c>
      <c r="P160" s="171">
        <v>0</v>
      </c>
      <c r="Q160" s="171">
        <v>72</v>
      </c>
    </row>
    <row r="161" spans="2:17" x14ac:dyDescent="0.25">
      <c r="B161" s="172" t="s">
        <v>64</v>
      </c>
      <c r="C161" s="172" t="s">
        <v>931</v>
      </c>
      <c r="D161" s="166"/>
      <c r="E161" s="166"/>
      <c r="F161" s="166"/>
      <c r="G161" s="173">
        <v>211512.99</v>
      </c>
      <c r="H161" s="166"/>
      <c r="I161" s="173">
        <v>72</v>
      </c>
      <c r="J161" s="173">
        <v>0</v>
      </c>
      <c r="K161" s="173">
        <v>123187.15</v>
      </c>
      <c r="L161" s="173">
        <v>0</v>
      </c>
      <c r="M161" s="173">
        <v>88310.45</v>
      </c>
      <c r="N161" s="173">
        <v>0</v>
      </c>
      <c r="O161" s="173">
        <v>0</v>
      </c>
      <c r="P161" s="173">
        <v>0</v>
      </c>
      <c r="Q161" s="173">
        <v>72</v>
      </c>
    </row>
    <row r="162" spans="2:17" x14ac:dyDescent="0.25">
      <c r="B162" s="168" t="s">
        <v>180</v>
      </c>
      <c r="C162" s="168" t="s">
        <v>932</v>
      </c>
      <c r="D162" s="168" t="s">
        <v>82</v>
      </c>
      <c r="E162" s="169">
        <v>451.05</v>
      </c>
      <c r="F162" s="169">
        <v>26.45</v>
      </c>
      <c r="G162" s="169">
        <v>11930.27</v>
      </c>
      <c r="H162" s="169">
        <v>0</v>
      </c>
      <c r="I162" s="169">
        <v>0</v>
      </c>
      <c r="J162" s="166"/>
      <c r="K162" s="169">
        <v>11930.27</v>
      </c>
      <c r="L162" s="166"/>
      <c r="M162" s="166"/>
      <c r="N162" s="166"/>
      <c r="O162" s="169">
        <v>0</v>
      </c>
      <c r="P162" s="166"/>
      <c r="Q162" s="166"/>
    </row>
    <row r="163" spans="2:17" x14ac:dyDescent="0.25">
      <c r="B163" s="168" t="s">
        <v>181</v>
      </c>
      <c r="C163" s="168" t="s">
        <v>842</v>
      </c>
      <c r="D163" s="168" t="s">
        <v>82</v>
      </c>
      <c r="E163" s="169">
        <v>451.05</v>
      </c>
      <c r="F163" s="169">
        <v>42.04</v>
      </c>
      <c r="G163" s="169">
        <v>18962.14</v>
      </c>
      <c r="H163" s="169">
        <v>0</v>
      </c>
      <c r="I163" s="169">
        <v>0</v>
      </c>
      <c r="J163" s="166"/>
      <c r="K163" s="169">
        <v>7232.59</v>
      </c>
      <c r="L163" s="166"/>
      <c r="M163" s="169">
        <v>11727.3</v>
      </c>
      <c r="N163" s="166"/>
      <c r="O163" s="169">
        <v>0</v>
      </c>
      <c r="P163" s="166"/>
      <c r="Q163" s="169">
        <v>0</v>
      </c>
    </row>
    <row r="164" spans="2:17" x14ac:dyDescent="0.25">
      <c r="B164" s="168" t="s">
        <v>183</v>
      </c>
      <c r="C164" s="168" t="s">
        <v>933</v>
      </c>
      <c r="D164" s="168" t="s">
        <v>82</v>
      </c>
      <c r="E164" s="169">
        <v>421.6</v>
      </c>
      <c r="F164" s="169">
        <v>22.22</v>
      </c>
      <c r="G164" s="169">
        <v>9367.9500000000007</v>
      </c>
      <c r="H164" s="169">
        <v>0</v>
      </c>
      <c r="I164" s="169">
        <v>0</v>
      </c>
      <c r="J164" s="166"/>
      <c r="K164" s="169">
        <v>9367.11</v>
      </c>
      <c r="L164" s="166"/>
      <c r="M164" s="166"/>
      <c r="N164" s="166"/>
      <c r="O164" s="169">
        <v>0</v>
      </c>
      <c r="P164" s="166"/>
      <c r="Q164" s="166"/>
    </row>
    <row r="165" spans="2:17" x14ac:dyDescent="0.25">
      <c r="B165" s="168" t="s">
        <v>184</v>
      </c>
      <c r="C165" s="168" t="s">
        <v>842</v>
      </c>
      <c r="D165" s="168" t="s">
        <v>82</v>
      </c>
      <c r="E165" s="169">
        <v>421.6</v>
      </c>
      <c r="F165" s="169">
        <v>42.04</v>
      </c>
      <c r="G165" s="169">
        <v>17724.060000000001</v>
      </c>
      <c r="H165" s="169">
        <v>0</v>
      </c>
      <c r="I165" s="169">
        <v>0</v>
      </c>
      <c r="J165" s="166"/>
      <c r="K165" s="169">
        <v>6760.35</v>
      </c>
      <c r="L165" s="166"/>
      <c r="M165" s="169">
        <v>10961.6</v>
      </c>
      <c r="N165" s="166"/>
      <c r="O165" s="169">
        <v>0</v>
      </c>
      <c r="P165" s="166"/>
      <c r="Q165" s="169">
        <v>0</v>
      </c>
    </row>
    <row r="166" spans="2:17" x14ac:dyDescent="0.25">
      <c r="B166" s="168" t="s">
        <v>388</v>
      </c>
      <c r="C166" s="168" t="s">
        <v>934</v>
      </c>
      <c r="D166" s="168" t="s">
        <v>82</v>
      </c>
      <c r="E166" s="169">
        <v>3.19</v>
      </c>
      <c r="F166" s="169">
        <v>36.35</v>
      </c>
      <c r="G166" s="169">
        <v>115.96</v>
      </c>
      <c r="H166" s="169">
        <v>0</v>
      </c>
      <c r="I166" s="169">
        <v>0</v>
      </c>
      <c r="J166" s="166"/>
      <c r="K166" s="169">
        <v>115.96</v>
      </c>
      <c r="L166" s="166"/>
      <c r="M166" s="166"/>
      <c r="N166" s="166"/>
      <c r="O166" s="169">
        <v>0</v>
      </c>
      <c r="P166" s="166"/>
      <c r="Q166" s="166"/>
    </row>
    <row r="167" spans="2:17" x14ac:dyDescent="0.25">
      <c r="B167" s="168" t="s">
        <v>389</v>
      </c>
      <c r="C167" s="168" t="s">
        <v>842</v>
      </c>
      <c r="D167" s="168" t="s">
        <v>82</v>
      </c>
      <c r="E167" s="169">
        <v>3.19</v>
      </c>
      <c r="F167" s="169">
        <v>42.04</v>
      </c>
      <c r="G167" s="169">
        <v>134.11000000000001</v>
      </c>
      <c r="H167" s="169">
        <v>0</v>
      </c>
      <c r="I167" s="169">
        <v>0</v>
      </c>
      <c r="J167" s="166"/>
      <c r="K167" s="169">
        <v>51.15</v>
      </c>
      <c r="L167" s="166"/>
      <c r="M167" s="169">
        <v>82.94</v>
      </c>
      <c r="N167" s="166"/>
      <c r="O167" s="169">
        <v>0</v>
      </c>
      <c r="P167" s="166"/>
      <c r="Q167" s="169">
        <v>0</v>
      </c>
    </row>
    <row r="168" spans="2:17" x14ac:dyDescent="0.25">
      <c r="B168" s="168" t="s">
        <v>390</v>
      </c>
      <c r="C168" s="168" t="s">
        <v>935</v>
      </c>
      <c r="D168" s="168" t="s">
        <v>82</v>
      </c>
      <c r="E168" s="169">
        <v>2.0499999999999998</v>
      </c>
      <c r="F168" s="169">
        <v>21.33</v>
      </c>
      <c r="G168" s="169">
        <v>43.73</v>
      </c>
      <c r="H168" s="169">
        <v>0</v>
      </c>
      <c r="I168" s="169">
        <v>0</v>
      </c>
      <c r="J168" s="166"/>
      <c r="K168" s="169">
        <v>43.73</v>
      </c>
      <c r="L168" s="166"/>
      <c r="M168" s="166"/>
      <c r="N168" s="166"/>
      <c r="O168" s="169">
        <v>0</v>
      </c>
      <c r="P168" s="166"/>
      <c r="Q168" s="166"/>
    </row>
    <row r="169" spans="2:17" x14ac:dyDescent="0.25">
      <c r="B169" s="168" t="s">
        <v>391</v>
      </c>
      <c r="C169" s="168" t="s">
        <v>842</v>
      </c>
      <c r="D169" s="168" t="s">
        <v>82</v>
      </c>
      <c r="E169" s="169">
        <v>2.0499999999999998</v>
      </c>
      <c r="F169" s="169">
        <v>42.04</v>
      </c>
      <c r="G169" s="169">
        <v>86.18</v>
      </c>
      <c r="H169" s="169">
        <v>0</v>
      </c>
      <c r="I169" s="169">
        <v>0</v>
      </c>
      <c r="J169" s="166"/>
      <c r="K169" s="169">
        <v>32.869999999999997</v>
      </c>
      <c r="L169" s="166"/>
      <c r="M169" s="169">
        <v>53.3</v>
      </c>
      <c r="N169" s="166"/>
      <c r="O169" s="169">
        <v>0</v>
      </c>
      <c r="P169" s="166"/>
      <c r="Q169" s="169">
        <v>0</v>
      </c>
    </row>
    <row r="170" spans="2:17" x14ac:dyDescent="0.25">
      <c r="B170" s="168" t="s">
        <v>392</v>
      </c>
      <c r="C170" s="168" t="s">
        <v>936</v>
      </c>
      <c r="D170" s="168" t="s">
        <v>82</v>
      </c>
      <c r="E170" s="169">
        <v>2.2999999999999998</v>
      </c>
      <c r="F170" s="169">
        <v>250</v>
      </c>
      <c r="G170" s="169">
        <v>575</v>
      </c>
      <c r="H170" s="169">
        <v>0</v>
      </c>
      <c r="I170" s="169">
        <v>0</v>
      </c>
      <c r="J170" s="166"/>
      <c r="K170" s="166"/>
      <c r="L170" s="166"/>
      <c r="M170" s="169">
        <v>575</v>
      </c>
      <c r="N170" s="166"/>
      <c r="O170" s="166"/>
      <c r="P170" s="166"/>
      <c r="Q170" s="169">
        <v>0</v>
      </c>
    </row>
    <row r="171" spans="2:17" x14ac:dyDescent="0.25">
      <c r="B171" s="168" t="s">
        <v>393</v>
      </c>
      <c r="C171" s="168" t="s">
        <v>842</v>
      </c>
      <c r="D171" s="168" t="s">
        <v>82</v>
      </c>
      <c r="E171" s="169">
        <v>2.2999999999999998</v>
      </c>
      <c r="F171" s="169">
        <v>90</v>
      </c>
      <c r="G171" s="169">
        <v>207</v>
      </c>
      <c r="H171" s="169">
        <v>0</v>
      </c>
      <c r="I171" s="169">
        <v>0</v>
      </c>
      <c r="J171" s="166"/>
      <c r="K171" s="166"/>
      <c r="L171" s="166"/>
      <c r="M171" s="169">
        <v>207</v>
      </c>
      <c r="N171" s="166"/>
      <c r="O171" s="166"/>
      <c r="P171" s="166"/>
      <c r="Q171" s="169">
        <v>0</v>
      </c>
    </row>
    <row r="172" spans="2:17" x14ac:dyDescent="0.25">
      <c r="B172" s="168" t="s">
        <v>937</v>
      </c>
      <c r="C172" s="188" t="s">
        <v>938</v>
      </c>
      <c r="D172" s="188" t="s">
        <v>82</v>
      </c>
      <c r="E172" s="189">
        <v>36.04</v>
      </c>
      <c r="F172" s="189">
        <v>21.87</v>
      </c>
      <c r="G172" s="169">
        <v>788.19</v>
      </c>
      <c r="H172" s="169">
        <v>0</v>
      </c>
      <c r="I172" s="169">
        <v>0</v>
      </c>
      <c r="J172" s="166"/>
      <c r="K172" s="169">
        <v>788.3</v>
      </c>
      <c r="L172" s="166"/>
      <c r="M172" s="166"/>
      <c r="N172" s="166"/>
      <c r="O172" s="169">
        <v>0</v>
      </c>
      <c r="P172" s="166"/>
      <c r="Q172" s="166"/>
    </row>
    <row r="173" spans="2:17" x14ac:dyDescent="0.25">
      <c r="B173" s="168" t="s">
        <v>939</v>
      </c>
      <c r="C173" s="168" t="s">
        <v>842</v>
      </c>
      <c r="D173" s="168" t="s">
        <v>82</v>
      </c>
      <c r="E173" s="169">
        <v>36.04</v>
      </c>
      <c r="F173" s="169">
        <v>42.04</v>
      </c>
      <c r="G173" s="169">
        <v>1515.12</v>
      </c>
      <c r="H173" s="169">
        <v>0</v>
      </c>
      <c r="I173" s="169">
        <v>0</v>
      </c>
      <c r="J173" s="166"/>
      <c r="K173" s="169">
        <v>577.9</v>
      </c>
      <c r="L173" s="166"/>
      <c r="M173" s="169">
        <v>937.04</v>
      </c>
      <c r="N173" s="166"/>
      <c r="O173" s="169">
        <v>0</v>
      </c>
      <c r="P173" s="166"/>
      <c r="Q173" s="169">
        <v>0</v>
      </c>
    </row>
    <row r="174" spans="2:17" x14ac:dyDescent="0.25">
      <c r="B174" s="168" t="s">
        <v>940</v>
      </c>
      <c r="C174" s="168" t="s">
        <v>941</v>
      </c>
      <c r="D174" s="168" t="s">
        <v>82</v>
      </c>
      <c r="E174" s="169">
        <v>2005.55</v>
      </c>
      <c r="F174" s="169">
        <v>67.489999999999995</v>
      </c>
      <c r="G174" s="169">
        <v>135354.57</v>
      </c>
      <c r="H174" s="169">
        <v>0</v>
      </c>
      <c r="I174" s="169">
        <v>0</v>
      </c>
      <c r="J174" s="166"/>
      <c r="K174" s="169">
        <v>85205.79</v>
      </c>
      <c r="L174" s="166"/>
      <c r="M174" s="169">
        <v>50138.75</v>
      </c>
      <c r="N174" s="166"/>
      <c r="O174" s="169">
        <v>0</v>
      </c>
      <c r="P174" s="166"/>
      <c r="Q174" s="169">
        <v>0</v>
      </c>
    </row>
    <row r="175" spans="2:17" x14ac:dyDescent="0.25">
      <c r="B175" s="168" t="s">
        <v>942</v>
      </c>
      <c r="C175" s="168" t="s">
        <v>943</v>
      </c>
      <c r="D175" s="168" t="s">
        <v>82</v>
      </c>
      <c r="E175" s="169">
        <v>18.05</v>
      </c>
      <c r="F175" s="169">
        <v>80</v>
      </c>
      <c r="G175" s="169">
        <v>1444</v>
      </c>
      <c r="H175" s="169">
        <v>0</v>
      </c>
      <c r="I175" s="169">
        <v>0</v>
      </c>
      <c r="J175" s="166"/>
      <c r="K175" s="166"/>
      <c r="L175" s="166"/>
      <c r="M175" s="169">
        <v>1444</v>
      </c>
      <c r="N175" s="166"/>
      <c r="O175" s="166"/>
      <c r="P175" s="166"/>
      <c r="Q175" s="169">
        <v>0</v>
      </c>
    </row>
    <row r="176" spans="2:17" x14ac:dyDescent="0.25">
      <c r="B176" s="168" t="s">
        <v>944</v>
      </c>
      <c r="C176" s="168" t="s">
        <v>945</v>
      </c>
      <c r="D176" s="168" t="s">
        <v>82</v>
      </c>
      <c r="E176" s="169">
        <v>13.42</v>
      </c>
      <c r="F176" s="169">
        <v>320</v>
      </c>
      <c r="G176" s="169">
        <v>4294.3999999999996</v>
      </c>
      <c r="H176" s="169">
        <v>0</v>
      </c>
      <c r="I176" s="169">
        <v>0</v>
      </c>
      <c r="J176" s="166"/>
      <c r="K176" s="166"/>
      <c r="L176" s="166"/>
      <c r="M176" s="169">
        <v>4294.3999999999996</v>
      </c>
      <c r="N176" s="166"/>
      <c r="O176" s="166"/>
      <c r="P176" s="166"/>
      <c r="Q176" s="169">
        <v>0</v>
      </c>
    </row>
    <row r="177" spans="2:17" x14ac:dyDescent="0.25">
      <c r="B177" s="168" t="s">
        <v>946</v>
      </c>
      <c r="C177" s="168" t="s">
        <v>947</v>
      </c>
      <c r="D177" s="168" t="s">
        <v>82</v>
      </c>
      <c r="E177" s="169">
        <v>20.89</v>
      </c>
      <c r="F177" s="169">
        <v>63.91</v>
      </c>
      <c r="G177" s="169">
        <v>1335.08</v>
      </c>
      <c r="H177" s="169">
        <v>0</v>
      </c>
      <c r="I177" s="169">
        <v>0</v>
      </c>
      <c r="J177" s="166"/>
      <c r="K177" s="169">
        <v>791.9</v>
      </c>
      <c r="L177" s="166"/>
      <c r="M177" s="169">
        <v>543.14</v>
      </c>
      <c r="N177" s="166"/>
      <c r="O177" s="169">
        <v>0</v>
      </c>
      <c r="P177" s="166"/>
      <c r="Q177" s="169">
        <v>0</v>
      </c>
    </row>
    <row r="178" spans="2:17" x14ac:dyDescent="0.25">
      <c r="B178" s="168" t="s">
        <v>948</v>
      </c>
      <c r="C178" s="168" t="s">
        <v>949</v>
      </c>
      <c r="D178" s="168" t="s">
        <v>82</v>
      </c>
      <c r="E178" s="169">
        <v>0.48</v>
      </c>
      <c r="F178" s="169">
        <v>0</v>
      </c>
      <c r="G178" s="169">
        <v>0</v>
      </c>
      <c r="H178" s="169">
        <v>150</v>
      </c>
      <c r="I178" s="169">
        <v>72</v>
      </c>
      <c r="J178" s="166"/>
      <c r="K178" s="166"/>
      <c r="L178" s="166"/>
      <c r="M178" s="169">
        <v>0</v>
      </c>
      <c r="N178" s="166"/>
      <c r="O178" s="166"/>
      <c r="P178" s="166"/>
      <c r="Q178" s="169">
        <v>72</v>
      </c>
    </row>
    <row r="179" spans="2:17" x14ac:dyDescent="0.25">
      <c r="B179" s="168" t="s">
        <v>950</v>
      </c>
      <c r="C179" s="168" t="s">
        <v>951</v>
      </c>
      <c r="D179" s="168" t="s">
        <v>82</v>
      </c>
      <c r="E179" s="169">
        <v>9.9600000000000009</v>
      </c>
      <c r="F179" s="169">
        <v>68</v>
      </c>
      <c r="G179" s="169">
        <v>677.28</v>
      </c>
      <c r="H179" s="169">
        <v>0</v>
      </c>
      <c r="I179" s="169">
        <v>0</v>
      </c>
      <c r="J179" s="166"/>
      <c r="K179" s="166"/>
      <c r="L179" s="166"/>
      <c r="M179" s="169">
        <v>677.28</v>
      </c>
      <c r="N179" s="166"/>
      <c r="O179" s="166"/>
      <c r="P179" s="166"/>
      <c r="Q179" s="169">
        <v>0</v>
      </c>
    </row>
    <row r="180" spans="2:17" x14ac:dyDescent="0.25">
      <c r="B180" s="168" t="s">
        <v>952</v>
      </c>
      <c r="C180" s="168" t="s">
        <v>953</v>
      </c>
      <c r="D180" s="168" t="s">
        <v>82</v>
      </c>
      <c r="E180" s="169">
        <v>1.25</v>
      </c>
      <c r="F180" s="169">
        <v>700</v>
      </c>
      <c r="G180" s="169">
        <v>875</v>
      </c>
      <c r="H180" s="169">
        <v>0</v>
      </c>
      <c r="I180" s="169">
        <v>0</v>
      </c>
      <c r="J180" s="166"/>
      <c r="K180" s="166"/>
      <c r="L180" s="166"/>
      <c r="M180" s="169">
        <v>875</v>
      </c>
      <c r="N180" s="166"/>
      <c r="O180" s="166"/>
      <c r="P180" s="166"/>
      <c r="Q180" s="169">
        <v>0</v>
      </c>
    </row>
    <row r="181" spans="2:17" x14ac:dyDescent="0.25">
      <c r="B181" s="168" t="s">
        <v>954</v>
      </c>
      <c r="C181" s="168" t="s">
        <v>955</v>
      </c>
      <c r="D181" s="168" t="s">
        <v>82</v>
      </c>
      <c r="E181" s="169">
        <v>2.31</v>
      </c>
      <c r="F181" s="169">
        <v>880</v>
      </c>
      <c r="G181" s="169">
        <v>2032.8</v>
      </c>
      <c r="H181" s="169">
        <v>0</v>
      </c>
      <c r="I181" s="169">
        <v>0</v>
      </c>
      <c r="J181" s="166"/>
      <c r="K181" s="166"/>
      <c r="L181" s="166"/>
      <c r="M181" s="169">
        <v>2032.8</v>
      </c>
      <c r="N181" s="166"/>
      <c r="O181" s="166"/>
      <c r="P181" s="166"/>
      <c r="Q181" s="169">
        <v>0</v>
      </c>
    </row>
    <row r="182" spans="2:17" x14ac:dyDescent="0.25">
      <c r="B182" s="168" t="s">
        <v>956</v>
      </c>
      <c r="C182" s="168" t="s">
        <v>957</v>
      </c>
      <c r="D182" s="168" t="s">
        <v>82</v>
      </c>
      <c r="E182" s="169">
        <v>52.39</v>
      </c>
      <c r="F182" s="169">
        <v>68</v>
      </c>
      <c r="G182" s="169">
        <v>3562.52</v>
      </c>
      <c r="H182" s="169">
        <v>0</v>
      </c>
      <c r="I182" s="169">
        <v>0</v>
      </c>
      <c r="J182" s="166"/>
      <c r="K182" s="166"/>
      <c r="L182" s="166"/>
      <c r="M182" s="169">
        <v>3562.52</v>
      </c>
      <c r="N182" s="166"/>
      <c r="O182" s="166"/>
      <c r="P182" s="166"/>
      <c r="Q182" s="169">
        <v>0</v>
      </c>
    </row>
    <row r="183" spans="2:17" x14ac:dyDescent="0.25">
      <c r="B183" s="168" t="s">
        <v>958</v>
      </c>
      <c r="C183" s="168" t="s">
        <v>959</v>
      </c>
      <c r="D183" s="168" t="s">
        <v>82</v>
      </c>
      <c r="E183" s="169">
        <v>7.63</v>
      </c>
      <c r="F183" s="169">
        <v>63.91</v>
      </c>
      <c r="G183" s="169">
        <v>487.63</v>
      </c>
      <c r="H183" s="169">
        <v>0</v>
      </c>
      <c r="I183" s="169">
        <v>0</v>
      </c>
      <c r="J183" s="166"/>
      <c r="K183" s="169">
        <v>289.23</v>
      </c>
      <c r="L183" s="166"/>
      <c r="M183" s="169">
        <v>198.38</v>
      </c>
      <c r="N183" s="166"/>
      <c r="O183" s="169">
        <v>0</v>
      </c>
      <c r="P183" s="166"/>
      <c r="Q183" s="169">
        <v>0</v>
      </c>
    </row>
    <row r="184" spans="2:17" x14ac:dyDescent="0.25">
      <c r="B184" s="170" t="s">
        <v>73</v>
      </c>
      <c r="C184" s="170" t="s">
        <v>960</v>
      </c>
      <c r="D184" s="166"/>
      <c r="E184" s="166"/>
      <c r="F184" s="166"/>
      <c r="G184" s="171">
        <v>113675.39</v>
      </c>
      <c r="H184" s="166"/>
      <c r="I184" s="171">
        <v>12258.13</v>
      </c>
      <c r="J184" s="171">
        <v>0</v>
      </c>
      <c r="K184" s="171">
        <v>10838.93</v>
      </c>
      <c r="L184" s="171">
        <v>0</v>
      </c>
      <c r="M184" s="171">
        <v>102841.56</v>
      </c>
      <c r="N184" s="171">
        <v>0</v>
      </c>
      <c r="O184" s="171">
        <v>12271.06</v>
      </c>
      <c r="P184" s="171">
        <v>0</v>
      </c>
      <c r="Q184" s="171">
        <v>0</v>
      </c>
    </row>
    <row r="185" spans="2:17" x14ac:dyDescent="0.25">
      <c r="B185" s="172" t="s">
        <v>75</v>
      </c>
      <c r="C185" s="172" t="s">
        <v>829</v>
      </c>
      <c r="D185" s="166"/>
      <c r="E185" s="166"/>
      <c r="F185" s="166"/>
      <c r="G185" s="173">
        <v>33350.230000000003</v>
      </c>
      <c r="H185" s="166"/>
      <c r="I185" s="173">
        <v>0</v>
      </c>
      <c r="J185" s="173">
        <v>0</v>
      </c>
      <c r="K185" s="173">
        <v>0</v>
      </c>
      <c r="L185" s="173">
        <v>0</v>
      </c>
      <c r="M185" s="173">
        <v>33350.230000000003</v>
      </c>
      <c r="N185" s="173">
        <v>0</v>
      </c>
      <c r="O185" s="173">
        <v>0</v>
      </c>
      <c r="P185" s="173">
        <v>0</v>
      </c>
      <c r="Q185" s="173">
        <v>0</v>
      </c>
    </row>
    <row r="186" spans="2:17" x14ac:dyDescent="0.25">
      <c r="B186" s="168" t="s">
        <v>280</v>
      </c>
      <c r="C186" s="168" t="s">
        <v>961</v>
      </c>
      <c r="D186" s="168" t="s">
        <v>157</v>
      </c>
      <c r="E186" s="169">
        <v>262.69</v>
      </c>
      <c r="F186" s="169">
        <v>23</v>
      </c>
      <c r="G186" s="169">
        <v>6041.87</v>
      </c>
      <c r="H186" s="169">
        <v>0</v>
      </c>
      <c r="I186" s="169">
        <v>0</v>
      </c>
      <c r="J186" s="166"/>
      <c r="K186" s="166"/>
      <c r="L186" s="166"/>
      <c r="M186" s="169">
        <v>6041.87</v>
      </c>
      <c r="N186" s="166"/>
      <c r="O186" s="166"/>
      <c r="P186" s="166"/>
      <c r="Q186" s="169">
        <v>0</v>
      </c>
    </row>
    <row r="187" spans="2:17" x14ac:dyDescent="0.25">
      <c r="B187" s="168" t="s">
        <v>281</v>
      </c>
      <c r="C187" s="168" t="s">
        <v>962</v>
      </c>
      <c r="D187" s="168" t="s">
        <v>157</v>
      </c>
      <c r="E187" s="169">
        <v>765.69</v>
      </c>
      <c r="F187" s="169">
        <v>23</v>
      </c>
      <c r="G187" s="169">
        <v>17610.87</v>
      </c>
      <c r="H187" s="169">
        <v>0</v>
      </c>
      <c r="I187" s="169">
        <v>0</v>
      </c>
      <c r="J187" s="166"/>
      <c r="K187" s="166"/>
      <c r="L187" s="166"/>
      <c r="M187" s="169">
        <v>17610.87</v>
      </c>
      <c r="N187" s="166"/>
      <c r="O187" s="166"/>
      <c r="P187" s="166"/>
      <c r="Q187" s="169">
        <v>0</v>
      </c>
    </row>
    <row r="188" spans="2:17" x14ac:dyDescent="0.25">
      <c r="B188" s="168" t="s">
        <v>282</v>
      </c>
      <c r="C188" s="168" t="s">
        <v>963</v>
      </c>
      <c r="D188" s="168" t="s">
        <v>157</v>
      </c>
      <c r="E188" s="169">
        <v>319.17</v>
      </c>
      <c r="F188" s="169">
        <v>23</v>
      </c>
      <c r="G188" s="169">
        <v>7340.91</v>
      </c>
      <c r="H188" s="169">
        <v>0</v>
      </c>
      <c r="I188" s="169">
        <v>0</v>
      </c>
      <c r="J188" s="166"/>
      <c r="K188" s="166"/>
      <c r="L188" s="166"/>
      <c r="M188" s="169">
        <v>7340.91</v>
      </c>
      <c r="N188" s="166"/>
      <c r="O188" s="166"/>
      <c r="P188" s="166"/>
      <c r="Q188" s="169">
        <v>0</v>
      </c>
    </row>
    <row r="189" spans="2:17" x14ac:dyDescent="0.25">
      <c r="B189" s="168" t="s">
        <v>283</v>
      </c>
      <c r="C189" s="168" t="s">
        <v>964</v>
      </c>
      <c r="D189" s="168" t="s">
        <v>157</v>
      </c>
      <c r="E189" s="169">
        <v>9.9499999999999993</v>
      </c>
      <c r="F189" s="169">
        <v>23</v>
      </c>
      <c r="G189" s="169">
        <v>228.85</v>
      </c>
      <c r="H189" s="169">
        <v>0</v>
      </c>
      <c r="I189" s="169">
        <v>0</v>
      </c>
      <c r="J189" s="166"/>
      <c r="K189" s="166"/>
      <c r="L189" s="166"/>
      <c r="M189" s="169">
        <v>228.85</v>
      </c>
      <c r="N189" s="166"/>
      <c r="O189" s="166"/>
      <c r="P189" s="166"/>
      <c r="Q189" s="169">
        <v>0</v>
      </c>
    </row>
    <row r="190" spans="2:17" x14ac:dyDescent="0.25">
      <c r="B190" s="168" t="s">
        <v>965</v>
      </c>
      <c r="C190" s="168" t="s">
        <v>966</v>
      </c>
      <c r="D190" s="168" t="s">
        <v>157</v>
      </c>
      <c r="E190" s="169">
        <v>84.21</v>
      </c>
      <c r="F190" s="169">
        <v>23</v>
      </c>
      <c r="G190" s="169">
        <v>1936.83</v>
      </c>
      <c r="H190" s="169">
        <v>0</v>
      </c>
      <c r="I190" s="169">
        <v>0</v>
      </c>
      <c r="J190" s="166"/>
      <c r="K190" s="166"/>
      <c r="L190" s="166"/>
      <c r="M190" s="169">
        <v>1936.83</v>
      </c>
      <c r="N190" s="166"/>
      <c r="O190" s="166"/>
      <c r="P190" s="166"/>
      <c r="Q190" s="169">
        <v>0</v>
      </c>
    </row>
    <row r="191" spans="2:17" x14ac:dyDescent="0.25">
      <c r="B191" s="168" t="s">
        <v>967</v>
      </c>
      <c r="C191" s="168" t="s">
        <v>968</v>
      </c>
      <c r="D191" s="168" t="s">
        <v>157</v>
      </c>
      <c r="E191" s="169">
        <v>8.3000000000000007</v>
      </c>
      <c r="F191" s="169">
        <v>23</v>
      </c>
      <c r="G191" s="169">
        <v>190.9</v>
      </c>
      <c r="H191" s="169">
        <v>0</v>
      </c>
      <c r="I191" s="169">
        <v>0</v>
      </c>
      <c r="J191" s="166"/>
      <c r="K191" s="166"/>
      <c r="L191" s="166"/>
      <c r="M191" s="169">
        <v>190.9</v>
      </c>
      <c r="N191" s="166"/>
      <c r="O191" s="166"/>
      <c r="P191" s="166"/>
      <c r="Q191" s="169">
        <v>0</v>
      </c>
    </row>
    <row r="192" spans="2:17" x14ac:dyDescent="0.25">
      <c r="B192" s="172" t="s">
        <v>77</v>
      </c>
      <c r="C192" s="172" t="s">
        <v>840</v>
      </c>
      <c r="D192" s="166"/>
      <c r="E192" s="166"/>
      <c r="F192" s="166"/>
      <c r="G192" s="173">
        <v>80325.16</v>
      </c>
      <c r="H192" s="166"/>
      <c r="I192" s="173">
        <v>12258.13</v>
      </c>
      <c r="J192" s="173">
        <v>0</v>
      </c>
      <c r="K192" s="173">
        <v>10838.93</v>
      </c>
      <c r="L192" s="173">
        <v>0</v>
      </c>
      <c r="M192" s="173">
        <v>69491.33</v>
      </c>
      <c r="N192" s="173">
        <v>0</v>
      </c>
      <c r="O192" s="173">
        <v>12271.06</v>
      </c>
      <c r="P192" s="173">
        <v>0</v>
      </c>
      <c r="Q192" s="173">
        <v>0</v>
      </c>
    </row>
    <row r="193" spans="2:17" x14ac:dyDescent="0.25">
      <c r="B193" s="168" t="s">
        <v>284</v>
      </c>
      <c r="C193" s="168" t="s">
        <v>969</v>
      </c>
      <c r="D193" s="168" t="s">
        <v>157</v>
      </c>
      <c r="E193" s="169">
        <v>772.18</v>
      </c>
      <c r="F193" s="169">
        <v>4.7699999999999996</v>
      </c>
      <c r="G193" s="169">
        <v>3683.3</v>
      </c>
      <c r="H193" s="169">
        <v>0</v>
      </c>
      <c r="I193" s="169">
        <v>0</v>
      </c>
      <c r="J193" s="166"/>
      <c r="K193" s="169">
        <v>3683.3</v>
      </c>
      <c r="L193" s="166"/>
      <c r="M193" s="166"/>
      <c r="N193" s="166"/>
      <c r="O193" s="169">
        <v>0</v>
      </c>
      <c r="P193" s="166"/>
      <c r="Q193" s="166"/>
    </row>
    <row r="194" spans="2:17" x14ac:dyDescent="0.25">
      <c r="B194" s="168" t="s">
        <v>285</v>
      </c>
      <c r="C194" s="168" t="s">
        <v>842</v>
      </c>
      <c r="D194" s="168" t="s">
        <v>157</v>
      </c>
      <c r="E194" s="169">
        <v>772.18</v>
      </c>
      <c r="F194" s="169">
        <v>12.4</v>
      </c>
      <c r="G194" s="169">
        <v>9575.0300000000007</v>
      </c>
      <c r="H194" s="169">
        <v>0</v>
      </c>
      <c r="I194" s="169">
        <v>0</v>
      </c>
      <c r="J194" s="166"/>
      <c r="K194" s="169">
        <v>1081.83</v>
      </c>
      <c r="L194" s="166"/>
      <c r="M194" s="169">
        <v>8493.98</v>
      </c>
      <c r="N194" s="166"/>
      <c r="O194" s="169">
        <v>0</v>
      </c>
      <c r="P194" s="166"/>
      <c r="Q194" s="169">
        <v>0</v>
      </c>
    </row>
    <row r="195" spans="2:17" x14ac:dyDescent="0.25">
      <c r="B195" s="168" t="s">
        <v>286</v>
      </c>
      <c r="C195" s="168" t="s">
        <v>970</v>
      </c>
      <c r="D195" s="168" t="s">
        <v>157</v>
      </c>
      <c r="E195" s="169">
        <v>286.01</v>
      </c>
      <c r="F195" s="169">
        <v>3.14</v>
      </c>
      <c r="G195" s="169">
        <v>898.07</v>
      </c>
      <c r="H195" s="169">
        <v>0</v>
      </c>
      <c r="I195" s="169">
        <v>0</v>
      </c>
      <c r="J195" s="166"/>
      <c r="K195" s="169">
        <v>898.53</v>
      </c>
      <c r="L195" s="166"/>
      <c r="M195" s="166"/>
      <c r="N195" s="166"/>
      <c r="O195" s="169">
        <v>0</v>
      </c>
      <c r="P195" s="166"/>
      <c r="Q195" s="166"/>
    </row>
    <row r="196" spans="2:17" x14ac:dyDescent="0.25">
      <c r="B196" s="168" t="s">
        <v>287</v>
      </c>
      <c r="C196" s="168" t="s">
        <v>842</v>
      </c>
      <c r="D196" s="168" t="s">
        <v>157</v>
      </c>
      <c r="E196" s="169">
        <v>286.01</v>
      </c>
      <c r="F196" s="169">
        <v>12.4</v>
      </c>
      <c r="G196" s="169">
        <v>3546.52</v>
      </c>
      <c r="H196" s="169">
        <v>0</v>
      </c>
      <c r="I196" s="169">
        <v>0</v>
      </c>
      <c r="J196" s="166"/>
      <c r="K196" s="169">
        <v>400.7</v>
      </c>
      <c r="L196" s="166"/>
      <c r="M196" s="169">
        <v>3146.11</v>
      </c>
      <c r="N196" s="166"/>
      <c r="O196" s="169">
        <v>0</v>
      </c>
      <c r="P196" s="166"/>
      <c r="Q196" s="169">
        <v>0</v>
      </c>
    </row>
    <row r="197" spans="2:17" x14ac:dyDescent="0.25">
      <c r="B197" s="168" t="s">
        <v>288</v>
      </c>
      <c r="C197" s="168" t="s">
        <v>971</v>
      </c>
      <c r="D197" s="168" t="s">
        <v>157</v>
      </c>
      <c r="E197" s="169">
        <v>6.92</v>
      </c>
      <c r="F197" s="169">
        <v>4.08</v>
      </c>
      <c r="G197" s="169">
        <v>28.23</v>
      </c>
      <c r="H197" s="169">
        <v>0</v>
      </c>
      <c r="I197" s="169">
        <v>0</v>
      </c>
      <c r="J197" s="166"/>
      <c r="K197" s="169">
        <v>28.23</v>
      </c>
      <c r="L197" s="166"/>
      <c r="M197" s="166"/>
      <c r="N197" s="166"/>
      <c r="O197" s="169">
        <v>0</v>
      </c>
      <c r="P197" s="166"/>
      <c r="Q197" s="166"/>
    </row>
    <row r="198" spans="2:17" x14ac:dyDescent="0.25">
      <c r="B198" s="168" t="s">
        <v>289</v>
      </c>
      <c r="C198" s="168" t="s">
        <v>842</v>
      </c>
      <c r="D198" s="168" t="s">
        <v>157</v>
      </c>
      <c r="E198" s="169">
        <v>6.92</v>
      </c>
      <c r="F198" s="169">
        <v>12.4</v>
      </c>
      <c r="G198" s="169">
        <v>85.81</v>
      </c>
      <c r="H198" s="169">
        <v>0</v>
      </c>
      <c r="I198" s="169">
        <v>0</v>
      </c>
      <c r="J198" s="166"/>
      <c r="K198" s="169">
        <v>9.69</v>
      </c>
      <c r="L198" s="166"/>
      <c r="M198" s="169">
        <v>76.12</v>
      </c>
      <c r="N198" s="166"/>
      <c r="O198" s="169">
        <v>0</v>
      </c>
      <c r="P198" s="166"/>
      <c r="Q198" s="169">
        <v>0</v>
      </c>
    </row>
    <row r="199" spans="2:17" x14ac:dyDescent="0.25">
      <c r="B199" s="168" t="s">
        <v>337</v>
      </c>
      <c r="C199" s="168" t="s">
        <v>972</v>
      </c>
      <c r="D199" s="168" t="s">
        <v>157</v>
      </c>
      <c r="E199" s="169">
        <v>77.08</v>
      </c>
      <c r="F199" s="169">
        <v>3.76</v>
      </c>
      <c r="G199" s="169">
        <v>289.82</v>
      </c>
      <c r="H199" s="169">
        <v>0</v>
      </c>
      <c r="I199" s="169">
        <v>0</v>
      </c>
      <c r="J199" s="166"/>
      <c r="K199" s="169">
        <v>289.51</v>
      </c>
      <c r="L199" s="166"/>
      <c r="M199" s="166"/>
      <c r="N199" s="166"/>
      <c r="O199" s="169">
        <v>0</v>
      </c>
      <c r="P199" s="166"/>
      <c r="Q199" s="166"/>
    </row>
    <row r="200" spans="2:17" x14ac:dyDescent="0.25">
      <c r="B200" s="168" t="s">
        <v>338</v>
      </c>
      <c r="C200" s="168" t="s">
        <v>842</v>
      </c>
      <c r="D200" s="168" t="s">
        <v>157</v>
      </c>
      <c r="E200" s="169">
        <v>77.08</v>
      </c>
      <c r="F200" s="169">
        <v>12.4</v>
      </c>
      <c r="G200" s="169">
        <v>955.79</v>
      </c>
      <c r="H200" s="169">
        <v>0</v>
      </c>
      <c r="I200" s="169">
        <v>0</v>
      </c>
      <c r="J200" s="166"/>
      <c r="K200" s="169">
        <v>107.99</v>
      </c>
      <c r="L200" s="166"/>
      <c r="M200" s="169">
        <v>847.88</v>
      </c>
      <c r="N200" s="166"/>
      <c r="O200" s="169">
        <v>0</v>
      </c>
      <c r="P200" s="166"/>
      <c r="Q200" s="169">
        <v>0</v>
      </c>
    </row>
    <row r="201" spans="2:17" x14ac:dyDescent="0.25">
      <c r="B201" s="168" t="s">
        <v>339</v>
      </c>
      <c r="C201" s="168" t="s">
        <v>973</v>
      </c>
      <c r="D201" s="168" t="s">
        <v>157</v>
      </c>
      <c r="E201" s="169">
        <v>3.06</v>
      </c>
      <c r="F201" s="169">
        <v>5</v>
      </c>
      <c r="G201" s="169">
        <v>15.3</v>
      </c>
      <c r="H201" s="169">
        <v>0</v>
      </c>
      <c r="I201" s="169">
        <v>0</v>
      </c>
      <c r="J201" s="166"/>
      <c r="K201" s="169">
        <v>15.31</v>
      </c>
      <c r="L201" s="166"/>
      <c r="M201" s="166"/>
      <c r="N201" s="166"/>
      <c r="O201" s="169">
        <v>0</v>
      </c>
      <c r="P201" s="166"/>
      <c r="Q201" s="166"/>
    </row>
    <row r="202" spans="2:17" x14ac:dyDescent="0.25">
      <c r="B202" s="168" t="s">
        <v>340</v>
      </c>
      <c r="C202" s="168" t="s">
        <v>842</v>
      </c>
      <c r="D202" s="168" t="s">
        <v>157</v>
      </c>
      <c r="E202" s="169">
        <v>3.06</v>
      </c>
      <c r="F202" s="169">
        <v>12.4</v>
      </c>
      <c r="G202" s="169">
        <v>37.94</v>
      </c>
      <c r="H202" s="169">
        <v>0</v>
      </c>
      <c r="I202" s="169">
        <v>0</v>
      </c>
      <c r="J202" s="166"/>
      <c r="K202" s="169">
        <v>4.28</v>
      </c>
      <c r="L202" s="166"/>
      <c r="M202" s="169">
        <v>33.659999999999997</v>
      </c>
      <c r="N202" s="166"/>
      <c r="O202" s="169">
        <v>0</v>
      </c>
      <c r="P202" s="166"/>
      <c r="Q202" s="169">
        <v>0</v>
      </c>
    </row>
    <row r="203" spans="2:17" x14ac:dyDescent="0.25">
      <c r="B203" s="168" t="s">
        <v>974</v>
      </c>
      <c r="C203" s="168" t="s">
        <v>977</v>
      </c>
      <c r="D203" s="168" t="s">
        <v>157</v>
      </c>
      <c r="E203" s="169">
        <v>1006.91</v>
      </c>
      <c r="F203" s="169">
        <v>2.2799999999999998</v>
      </c>
      <c r="G203" s="169">
        <v>2295.75</v>
      </c>
      <c r="H203" s="169">
        <v>0</v>
      </c>
      <c r="I203" s="169">
        <v>0</v>
      </c>
      <c r="J203" s="166"/>
      <c r="K203" s="169">
        <v>2298.17</v>
      </c>
      <c r="L203" s="166"/>
      <c r="M203" s="166"/>
      <c r="N203" s="166"/>
      <c r="O203" s="169">
        <v>0</v>
      </c>
      <c r="P203" s="166"/>
      <c r="Q203" s="166"/>
    </row>
    <row r="204" spans="2:17" x14ac:dyDescent="0.25">
      <c r="B204" s="168" t="s">
        <v>975</v>
      </c>
      <c r="C204" s="168" t="s">
        <v>842</v>
      </c>
      <c r="D204" s="168" t="s">
        <v>157</v>
      </c>
      <c r="E204" s="169">
        <v>1006.91</v>
      </c>
      <c r="F204" s="169">
        <v>12.4</v>
      </c>
      <c r="G204" s="169">
        <v>12485.68</v>
      </c>
      <c r="H204" s="169">
        <v>0</v>
      </c>
      <c r="I204" s="169">
        <v>0</v>
      </c>
      <c r="J204" s="166"/>
      <c r="K204" s="169">
        <v>1410.68</v>
      </c>
      <c r="L204" s="166"/>
      <c r="M204" s="169">
        <v>11076.01</v>
      </c>
      <c r="N204" s="166"/>
      <c r="O204" s="169">
        <v>0</v>
      </c>
      <c r="P204" s="166"/>
      <c r="Q204" s="169">
        <v>0</v>
      </c>
    </row>
    <row r="205" spans="2:17" x14ac:dyDescent="0.25">
      <c r="B205" s="168" t="s">
        <v>976</v>
      </c>
      <c r="C205" s="168" t="s">
        <v>980</v>
      </c>
      <c r="D205" s="168" t="s">
        <v>157</v>
      </c>
      <c r="E205" s="169">
        <v>16</v>
      </c>
      <c r="F205" s="169">
        <v>2.2799999999999998</v>
      </c>
      <c r="G205" s="169">
        <v>36.479999999999997</v>
      </c>
      <c r="H205" s="169">
        <v>0</v>
      </c>
      <c r="I205" s="169">
        <v>0</v>
      </c>
      <c r="J205" s="166"/>
      <c r="K205" s="169">
        <v>36.520000000000003</v>
      </c>
      <c r="L205" s="166"/>
      <c r="M205" s="166"/>
      <c r="N205" s="166"/>
      <c r="O205" s="169">
        <v>0</v>
      </c>
      <c r="P205" s="166"/>
      <c r="Q205" s="166"/>
    </row>
    <row r="206" spans="2:17" x14ac:dyDescent="0.25">
      <c r="B206" s="168" t="s">
        <v>978</v>
      </c>
      <c r="C206" s="168" t="s">
        <v>842</v>
      </c>
      <c r="D206" s="168" t="s">
        <v>157</v>
      </c>
      <c r="E206" s="169">
        <v>16</v>
      </c>
      <c r="F206" s="169">
        <v>12.4</v>
      </c>
      <c r="G206" s="169">
        <v>198.4</v>
      </c>
      <c r="H206" s="169">
        <v>0</v>
      </c>
      <c r="I206" s="169">
        <v>0</v>
      </c>
      <c r="J206" s="166"/>
      <c r="K206" s="169">
        <v>22.42</v>
      </c>
      <c r="L206" s="166"/>
      <c r="M206" s="169">
        <v>176</v>
      </c>
      <c r="N206" s="166"/>
      <c r="O206" s="169">
        <v>0</v>
      </c>
      <c r="P206" s="166"/>
      <c r="Q206" s="169">
        <v>0</v>
      </c>
    </row>
    <row r="207" spans="2:17" x14ac:dyDescent="0.25">
      <c r="B207" s="168" t="s">
        <v>979</v>
      </c>
      <c r="C207" s="168" t="s">
        <v>985</v>
      </c>
      <c r="D207" s="168" t="s">
        <v>157</v>
      </c>
      <c r="E207" s="169">
        <v>24.52</v>
      </c>
      <c r="F207" s="169">
        <v>5</v>
      </c>
      <c r="G207" s="169">
        <v>122.6</v>
      </c>
      <c r="H207" s="169">
        <v>0</v>
      </c>
      <c r="I207" s="169">
        <v>0</v>
      </c>
      <c r="J207" s="166"/>
      <c r="K207" s="169">
        <v>122.67</v>
      </c>
      <c r="L207" s="166"/>
      <c r="M207" s="166"/>
      <c r="N207" s="166"/>
      <c r="O207" s="169">
        <v>0</v>
      </c>
      <c r="P207" s="166"/>
      <c r="Q207" s="166"/>
    </row>
    <row r="208" spans="2:17" x14ac:dyDescent="0.25">
      <c r="B208" s="168" t="s">
        <v>981</v>
      </c>
      <c r="C208" s="168" t="s">
        <v>842</v>
      </c>
      <c r="D208" s="168" t="s">
        <v>157</v>
      </c>
      <c r="E208" s="169">
        <v>24.52</v>
      </c>
      <c r="F208" s="169">
        <v>12.4</v>
      </c>
      <c r="G208" s="169">
        <v>304.05</v>
      </c>
      <c r="H208" s="169">
        <v>0</v>
      </c>
      <c r="I208" s="169">
        <v>0</v>
      </c>
      <c r="J208" s="166"/>
      <c r="K208" s="169">
        <v>34.35</v>
      </c>
      <c r="L208" s="166"/>
      <c r="M208" s="169">
        <v>269.72000000000003</v>
      </c>
      <c r="N208" s="166"/>
      <c r="O208" s="169">
        <v>0</v>
      </c>
      <c r="P208" s="166"/>
      <c r="Q208" s="169">
        <v>0</v>
      </c>
    </row>
    <row r="209" spans="2:17" x14ac:dyDescent="0.25">
      <c r="B209" s="168" t="s">
        <v>982</v>
      </c>
      <c r="C209" s="168" t="s">
        <v>990</v>
      </c>
      <c r="D209" s="168" t="s">
        <v>157</v>
      </c>
      <c r="E209" s="169">
        <v>3531.54</v>
      </c>
      <c r="F209" s="169">
        <v>0</v>
      </c>
      <c r="G209" s="169">
        <v>0</v>
      </c>
      <c r="H209" s="169">
        <v>3.32</v>
      </c>
      <c r="I209" s="169">
        <v>11724.71</v>
      </c>
      <c r="J209" s="166"/>
      <c r="K209" s="169">
        <v>0</v>
      </c>
      <c r="L209" s="166"/>
      <c r="M209" s="166"/>
      <c r="N209" s="166"/>
      <c r="O209" s="169">
        <v>11737.07</v>
      </c>
      <c r="P209" s="166"/>
      <c r="Q209" s="166"/>
    </row>
    <row r="210" spans="2:17" x14ac:dyDescent="0.25">
      <c r="B210" s="168" t="s">
        <v>983</v>
      </c>
      <c r="C210" s="168" t="s">
        <v>992</v>
      </c>
      <c r="D210" s="168" t="s">
        <v>157</v>
      </c>
      <c r="E210" s="169">
        <v>160.66999999999999</v>
      </c>
      <c r="F210" s="169">
        <v>0</v>
      </c>
      <c r="G210" s="169">
        <v>0</v>
      </c>
      <c r="H210" s="169">
        <v>3.32</v>
      </c>
      <c r="I210" s="169">
        <v>533.41999999999996</v>
      </c>
      <c r="J210" s="166"/>
      <c r="K210" s="169">
        <v>0</v>
      </c>
      <c r="L210" s="166"/>
      <c r="M210" s="166"/>
      <c r="N210" s="166"/>
      <c r="O210" s="169">
        <v>533.99</v>
      </c>
      <c r="P210" s="166"/>
      <c r="Q210" s="166"/>
    </row>
    <row r="211" spans="2:17" x14ac:dyDescent="0.25">
      <c r="B211" s="168" t="s">
        <v>984</v>
      </c>
      <c r="C211" s="168" t="s">
        <v>889</v>
      </c>
      <c r="D211" s="168" t="s">
        <v>157</v>
      </c>
      <c r="E211" s="169">
        <v>3692.2</v>
      </c>
      <c r="F211" s="169">
        <v>12.06</v>
      </c>
      <c r="G211" s="169">
        <v>44527.93</v>
      </c>
      <c r="H211" s="169">
        <v>0</v>
      </c>
      <c r="I211" s="169">
        <v>0</v>
      </c>
      <c r="J211" s="166"/>
      <c r="K211" s="166"/>
      <c r="L211" s="166"/>
      <c r="M211" s="169">
        <v>44527.93</v>
      </c>
      <c r="N211" s="166"/>
      <c r="O211" s="166"/>
      <c r="P211" s="166"/>
      <c r="Q211" s="169">
        <v>0</v>
      </c>
    </row>
    <row r="212" spans="2:17" x14ac:dyDescent="0.25">
      <c r="B212" s="168" t="s">
        <v>986</v>
      </c>
      <c r="C212" s="168" t="s">
        <v>995</v>
      </c>
      <c r="D212" s="168" t="s">
        <v>157</v>
      </c>
      <c r="E212" s="169">
        <v>9.11</v>
      </c>
      <c r="F212" s="169">
        <v>5</v>
      </c>
      <c r="G212" s="169">
        <v>45.55</v>
      </c>
      <c r="H212" s="169">
        <v>0</v>
      </c>
      <c r="I212" s="169">
        <v>0</v>
      </c>
      <c r="J212" s="166"/>
      <c r="K212" s="169">
        <v>45.58</v>
      </c>
      <c r="L212" s="166"/>
      <c r="M212" s="166"/>
      <c r="N212" s="166"/>
      <c r="O212" s="169">
        <v>0</v>
      </c>
      <c r="P212" s="166"/>
      <c r="Q212" s="166"/>
    </row>
    <row r="213" spans="2:17" x14ac:dyDescent="0.25">
      <c r="B213" s="168" t="s">
        <v>987</v>
      </c>
      <c r="C213" s="168" t="s">
        <v>889</v>
      </c>
      <c r="D213" s="168" t="s">
        <v>157</v>
      </c>
      <c r="E213" s="169">
        <v>9.11</v>
      </c>
      <c r="F213" s="169">
        <v>12.4</v>
      </c>
      <c r="G213" s="169">
        <v>112.96</v>
      </c>
      <c r="H213" s="169">
        <v>0</v>
      </c>
      <c r="I213" s="169">
        <v>0</v>
      </c>
      <c r="J213" s="166"/>
      <c r="K213" s="169">
        <v>12.76</v>
      </c>
      <c r="L213" s="166"/>
      <c r="M213" s="169">
        <v>100.21</v>
      </c>
      <c r="N213" s="166"/>
      <c r="O213" s="169">
        <v>0</v>
      </c>
      <c r="P213" s="166"/>
      <c r="Q213" s="169">
        <v>0</v>
      </c>
    </row>
    <row r="214" spans="2:17" x14ac:dyDescent="0.25">
      <c r="B214" s="168" t="s">
        <v>988</v>
      </c>
      <c r="C214" s="168" t="s">
        <v>998</v>
      </c>
      <c r="D214" s="168" t="s">
        <v>157</v>
      </c>
      <c r="E214" s="169">
        <v>16.38</v>
      </c>
      <c r="F214" s="169">
        <v>17.399999999999999</v>
      </c>
      <c r="G214" s="169">
        <v>285.01</v>
      </c>
      <c r="H214" s="169">
        <v>0</v>
      </c>
      <c r="I214" s="169">
        <v>0</v>
      </c>
      <c r="J214" s="166"/>
      <c r="K214" s="169">
        <v>104.91</v>
      </c>
      <c r="L214" s="166"/>
      <c r="M214" s="169">
        <v>180.18</v>
      </c>
      <c r="N214" s="166"/>
      <c r="O214" s="169">
        <v>0</v>
      </c>
      <c r="P214" s="166"/>
      <c r="Q214" s="169">
        <v>0</v>
      </c>
    </row>
    <row r="215" spans="2:17" x14ac:dyDescent="0.25">
      <c r="B215" s="168" t="s">
        <v>989</v>
      </c>
      <c r="C215" s="168" t="s">
        <v>999</v>
      </c>
      <c r="D215" s="168" t="s">
        <v>157</v>
      </c>
      <c r="E215" s="169">
        <v>10.53</v>
      </c>
      <c r="F215" s="169">
        <v>14.68</v>
      </c>
      <c r="G215" s="169">
        <v>154.58000000000001</v>
      </c>
      <c r="H215" s="169">
        <v>0</v>
      </c>
      <c r="I215" s="169">
        <v>0</v>
      </c>
      <c r="J215" s="166"/>
      <c r="K215" s="169">
        <v>38.79</v>
      </c>
      <c r="L215" s="166"/>
      <c r="M215" s="169">
        <v>115.83</v>
      </c>
      <c r="N215" s="166"/>
      <c r="O215" s="169">
        <v>0</v>
      </c>
      <c r="P215" s="166"/>
      <c r="Q215" s="169">
        <v>0</v>
      </c>
    </row>
    <row r="216" spans="2:17" x14ac:dyDescent="0.25">
      <c r="B216" s="168" t="s">
        <v>991</v>
      </c>
      <c r="C216" s="168" t="s">
        <v>1000</v>
      </c>
      <c r="D216" s="168" t="s">
        <v>157</v>
      </c>
      <c r="E216" s="169">
        <v>7.24</v>
      </c>
      <c r="F216" s="169">
        <v>14.68</v>
      </c>
      <c r="G216" s="169">
        <v>106.28</v>
      </c>
      <c r="H216" s="169">
        <v>0</v>
      </c>
      <c r="I216" s="169">
        <v>0</v>
      </c>
      <c r="J216" s="166"/>
      <c r="K216" s="169">
        <v>26.67</v>
      </c>
      <c r="L216" s="166"/>
      <c r="M216" s="169">
        <v>79.64</v>
      </c>
      <c r="N216" s="166"/>
      <c r="O216" s="169">
        <v>0</v>
      </c>
      <c r="P216" s="166"/>
      <c r="Q216" s="169">
        <v>0</v>
      </c>
    </row>
    <row r="217" spans="2:17" x14ac:dyDescent="0.25">
      <c r="B217" s="168" t="s">
        <v>993</v>
      </c>
      <c r="C217" s="168" t="s">
        <v>1001</v>
      </c>
      <c r="D217" s="168" t="s">
        <v>157</v>
      </c>
      <c r="E217" s="169">
        <v>7.79</v>
      </c>
      <c r="F217" s="169">
        <v>17.399999999999999</v>
      </c>
      <c r="G217" s="169">
        <v>135.55000000000001</v>
      </c>
      <c r="H217" s="169">
        <v>0</v>
      </c>
      <c r="I217" s="169">
        <v>0</v>
      </c>
      <c r="J217" s="166"/>
      <c r="K217" s="169">
        <v>49.88</v>
      </c>
      <c r="L217" s="166"/>
      <c r="M217" s="169">
        <v>85.69</v>
      </c>
      <c r="N217" s="166"/>
      <c r="O217" s="169">
        <v>0</v>
      </c>
      <c r="P217" s="166"/>
      <c r="Q217" s="169">
        <v>0</v>
      </c>
    </row>
    <row r="218" spans="2:17" x14ac:dyDescent="0.25">
      <c r="B218" s="168" t="s">
        <v>994</v>
      </c>
      <c r="C218" s="168" t="s">
        <v>1002</v>
      </c>
      <c r="D218" s="168" t="s">
        <v>157</v>
      </c>
      <c r="E218" s="169">
        <v>14.66</v>
      </c>
      <c r="F218" s="169">
        <v>16.16</v>
      </c>
      <c r="G218" s="169">
        <v>236.91</v>
      </c>
      <c r="H218" s="169">
        <v>0</v>
      </c>
      <c r="I218" s="169">
        <v>0</v>
      </c>
      <c r="J218" s="166"/>
      <c r="K218" s="169">
        <v>75.599999999999994</v>
      </c>
      <c r="L218" s="166"/>
      <c r="M218" s="169">
        <v>161.26</v>
      </c>
      <c r="N218" s="166"/>
      <c r="O218" s="169">
        <v>0</v>
      </c>
      <c r="P218" s="166"/>
      <c r="Q218" s="169">
        <v>0</v>
      </c>
    </row>
    <row r="219" spans="2:17" x14ac:dyDescent="0.25">
      <c r="B219" s="168" t="s">
        <v>996</v>
      </c>
      <c r="C219" s="168" t="s">
        <v>1003</v>
      </c>
      <c r="D219" s="168" t="s">
        <v>157</v>
      </c>
      <c r="E219" s="169">
        <v>2.71</v>
      </c>
      <c r="F219" s="169">
        <v>14.68</v>
      </c>
      <c r="G219" s="169">
        <v>39.78</v>
      </c>
      <c r="H219" s="169">
        <v>0</v>
      </c>
      <c r="I219" s="169">
        <v>0</v>
      </c>
      <c r="J219" s="166"/>
      <c r="K219" s="169">
        <v>9.99</v>
      </c>
      <c r="L219" s="166"/>
      <c r="M219" s="169">
        <v>29.81</v>
      </c>
      <c r="N219" s="166"/>
      <c r="O219" s="169">
        <v>0</v>
      </c>
      <c r="P219" s="166"/>
      <c r="Q219" s="169">
        <v>0</v>
      </c>
    </row>
    <row r="220" spans="2:17" x14ac:dyDescent="0.25">
      <c r="B220" s="168" t="s">
        <v>997</v>
      </c>
      <c r="C220" s="168" t="s">
        <v>1004</v>
      </c>
      <c r="D220" s="168" t="s">
        <v>157</v>
      </c>
      <c r="E220" s="169">
        <v>8.3000000000000007</v>
      </c>
      <c r="F220" s="169">
        <v>14.68</v>
      </c>
      <c r="G220" s="169">
        <v>121.84</v>
      </c>
      <c r="H220" s="169">
        <v>0</v>
      </c>
      <c r="I220" s="169">
        <v>0</v>
      </c>
      <c r="J220" s="166"/>
      <c r="K220" s="169">
        <v>30.57</v>
      </c>
      <c r="L220" s="166"/>
      <c r="M220" s="169">
        <v>91.3</v>
      </c>
      <c r="N220" s="166"/>
      <c r="O220" s="169">
        <v>0</v>
      </c>
      <c r="P220" s="166"/>
      <c r="Q220" s="169">
        <v>0</v>
      </c>
    </row>
    <row r="221" spans="2:17" x14ac:dyDescent="0.25">
      <c r="B221" s="170" t="s">
        <v>79</v>
      </c>
      <c r="C221" s="170" t="s">
        <v>1005</v>
      </c>
      <c r="D221" s="166"/>
      <c r="E221" s="166"/>
      <c r="F221" s="166"/>
      <c r="G221" s="171">
        <v>1873.47</v>
      </c>
      <c r="H221" s="166"/>
      <c r="I221" s="171">
        <v>53705.79</v>
      </c>
      <c r="J221" s="171">
        <v>0</v>
      </c>
      <c r="K221" s="171">
        <v>875.17</v>
      </c>
      <c r="L221" s="171">
        <v>0</v>
      </c>
      <c r="M221" s="171">
        <v>998.24</v>
      </c>
      <c r="N221" s="171">
        <v>0</v>
      </c>
      <c r="O221" s="171">
        <v>0</v>
      </c>
      <c r="P221" s="171">
        <v>0</v>
      </c>
      <c r="Q221" s="171">
        <v>53705.79</v>
      </c>
    </row>
    <row r="222" spans="2:17" x14ac:dyDescent="0.25">
      <c r="B222" s="172" t="s">
        <v>81</v>
      </c>
      <c r="C222" s="172" t="s">
        <v>1006</v>
      </c>
      <c r="D222" s="166"/>
      <c r="E222" s="166"/>
      <c r="F222" s="166"/>
      <c r="G222" s="173">
        <v>1300.45</v>
      </c>
      <c r="H222" s="166"/>
      <c r="I222" s="173">
        <v>0</v>
      </c>
      <c r="J222" s="173">
        <v>0</v>
      </c>
      <c r="K222" s="173">
        <v>393.69</v>
      </c>
      <c r="L222" s="173">
        <v>0</v>
      </c>
      <c r="M222" s="173">
        <v>906.72</v>
      </c>
      <c r="N222" s="173">
        <v>0</v>
      </c>
      <c r="O222" s="173">
        <v>0</v>
      </c>
      <c r="P222" s="173">
        <v>0</v>
      </c>
      <c r="Q222" s="173">
        <v>0</v>
      </c>
    </row>
    <row r="223" spans="2:17" x14ac:dyDescent="0.25">
      <c r="B223" s="168" t="s">
        <v>342</v>
      </c>
      <c r="C223" s="168" t="s">
        <v>1007</v>
      </c>
      <c r="D223" s="168" t="s">
        <v>82</v>
      </c>
      <c r="E223" s="169">
        <v>6.72</v>
      </c>
      <c r="F223" s="169">
        <v>42.55</v>
      </c>
      <c r="G223" s="169">
        <v>285.94</v>
      </c>
      <c r="H223" s="169">
        <v>0</v>
      </c>
      <c r="I223" s="169">
        <v>0</v>
      </c>
      <c r="J223" s="166"/>
      <c r="K223" s="169">
        <v>285.94</v>
      </c>
      <c r="L223" s="166"/>
      <c r="M223" s="166"/>
      <c r="N223" s="166"/>
      <c r="O223" s="169">
        <v>0</v>
      </c>
      <c r="P223" s="166"/>
      <c r="Q223" s="166"/>
    </row>
    <row r="224" spans="2:17" x14ac:dyDescent="0.25">
      <c r="B224" s="168" t="s">
        <v>343</v>
      </c>
      <c r="C224" s="168" t="s">
        <v>889</v>
      </c>
      <c r="D224" s="168" t="s">
        <v>82</v>
      </c>
      <c r="E224" s="169">
        <v>6.72</v>
      </c>
      <c r="F224" s="169">
        <v>17.04</v>
      </c>
      <c r="G224" s="169">
        <v>114.51</v>
      </c>
      <c r="H224" s="169">
        <v>0</v>
      </c>
      <c r="I224" s="169">
        <v>0</v>
      </c>
      <c r="J224" s="166"/>
      <c r="K224" s="169">
        <v>107.75</v>
      </c>
      <c r="L224" s="166"/>
      <c r="M224" s="169">
        <v>6.72</v>
      </c>
      <c r="N224" s="166"/>
      <c r="O224" s="169">
        <v>0</v>
      </c>
      <c r="P224" s="166"/>
      <c r="Q224" s="169">
        <v>0</v>
      </c>
    </row>
    <row r="225" spans="2:17" x14ac:dyDescent="0.25">
      <c r="B225" s="168" t="s">
        <v>344</v>
      </c>
      <c r="C225" s="168" t="s">
        <v>1008</v>
      </c>
      <c r="D225" s="168" t="s">
        <v>15</v>
      </c>
      <c r="E225" s="169">
        <v>1</v>
      </c>
      <c r="F225" s="169">
        <v>900</v>
      </c>
      <c r="G225" s="169">
        <v>900</v>
      </c>
      <c r="H225" s="169">
        <v>0</v>
      </c>
      <c r="I225" s="169">
        <v>0</v>
      </c>
      <c r="J225" s="166"/>
      <c r="K225" s="166"/>
      <c r="L225" s="166"/>
      <c r="M225" s="169">
        <v>900</v>
      </c>
      <c r="N225" s="166"/>
      <c r="O225" s="166"/>
      <c r="P225" s="166"/>
      <c r="Q225" s="169">
        <v>0</v>
      </c>
    </row>
    <row r="226" spans="2:17" x14ac:dyDescent="0.25">
      <c r="B226" s="172" t="s">
        <v>83</v>
      </c>
      <c r="C226" s="172" t="s">
        <v>1009</v>
      </c>
      <c r="D226" s="166"/>
      <c r="E226" s="166"/>
      <c r="F226" s="166"/>
      <c r="G226" s="173">
        <v>0</v>
      </c>
      <c r="H226" s="166"/>
      <c r="I226" s="173">
        <v>53705.79</v>
      </c>
      <c r="J226" s="173">
        <v>0</v>
      </c>
      <c r="K226" s="173">
        <v>0</v>
      </c>
      <c r="L226" s="173">
        <v>0</v>
      </c>
      <c r="M226" s="173">
        <v>0</v>
      </c>
      <c r="N226" s="173">
        <v>0</v>
      </c>
      <c r="O226" s="173">
        <v>0</v>
      </c>
      <c r="P226" s="173">
        <v>0</v>
      </c>
      <c r="Q226" s="173">
        <v>53705.79</v>
      </c>
    </row>
    <row r="227" spans="2:17" x14ac:dyDescent="0.25">
      <c r="B227" s="168" t="s">
        <v>347</v>
      </c>
      <c r="C227" s="168" t="s">
        <v>1010</v>
      </c>
      <c r="D227" s="168" t="s">
        <v>157</v>
      </c>
      <c r="E227" s="169">
        <v>587.59</v>
      </c>
      <c r="F227" s="169">
        <v>0</v>
      </c>
      <c r="G227" s="169">
        <v>0</v>
      </c>
      <c r="H227" s="169">
        <v>87</v>
      </c>
      <c r="I227" s="169">
        <v>51120.33</v>
      </c>
      <c r="J227" s="166"/>
      <c r="K227" s="166"/>
      <c r="L227" s="166"/>
      <c r="M227" s="169">
        <v>0</v>
      </c>
      <c r="N227" s="166"/>
      <c r="O227" s="166"/>
      <c r="P227" s="166"/>
      <c r="Q227" s="169">
        <v>51120.33</v>
      </c>
    </row>
    <row r="228" spans="2:17" x14ac:dyDescent="0.25">
      <c r="B228" s="168" t="s">
        <v>348</v>
      </c>
      <c r="C228" s="168" t="s">
        <v>1011</v>
      </c>
      <c r="D228" s="168" t="s">
        <v>157</v>
      </c>
      <c r="E228" s="169">
        <v>6.7</v>
      </c>
      <c r="F228" s="169">
        <v>0</v>
      </c>
      <c r="G228" s="169">
        <v>0</v>
      </c>
      <c r="H228" s="169">
        <v>186</v>
      </c>
      <c r="I228" s="169">
        <v>1246.2</v>
      </c>
      <c r="J228" s="166"/>
      <c r="K228" s="166"/>
      <c r="L228" s="166"/>
      <c r="M228" s="169">
        <v>0</v>
      </c>
      <c r="N228" s="166"/>
      <c r="O228" s="166"/>
      <c r="P228" s="166"/>
      <c r="Q228" s="169">
        <v>1246.2</v>
      </c>
    </row>
    <row r="229" spans="2:17" x14ac:dyDescent="0.25">
      <c r="B229" s="168" t="s">
        <v>349</v>
      </c>
      <c r="C229" s="168" t="s">
        <v>1012</v>
      </c>
      <c r="D229" s="168" t="s">
        <v>157</v>
      </c>
      <c r="E229" s="169">
        <v>5.94</v>
      </c>
      <c r="F229" s="169">
        <v>0</v>
      </c>
      <c r="G229" s="169">
        <v>0</v>
      </c>
      <c r="H229" s="169">
        <v>150</v>
      </c>
      <c r="I229" s="169">
        <v>891</v>
      </c>
      <c r="J229" s="166"/>
      <c r="K229" s="166"/>
      <c r="L229" s="166"/>
      <c r="M229" s="169">
        <v>0</v>
      </c>
      <c r="N229" s="166"/>
      <c r="O229" s="166"/>
      <c r="P229" s="166"/>
      <c r="Q229" s="169">
        <v>891</v>
      </c>
    </row>
    <row r="230" spans="2:17" x14ac:dyDescent="0.25">
      <c r="B230" s="168" t="s">
        <v>350</v>
      </c>
      <c r="C230" s="168" t="s">
        <v>1013</v>
      </c>
      <c r="D230" s="168" t="s">
        <v>157</v>
      </c>
      <c r="E230" s="169">
        <v>2.41</v>
      </c>
      <c r="F230" s="169">
        <v>0</v>
      </c>
      <c r="G230" s="169">
        <v>0</v>
      </c>
      <c r="H230" s="169">
        <v>186</v>
      </c>
      <c r="I230" s="169">
        <v>448.26</v>
      </c>
      <c r="J230" s="166"/>
      <c r="K230" s="166"/>
      <c r="L230" s="166"/>
      <c r="M230" s="169">
        <v>0</v>
      </c>
      <c r="N230" s="166"/>
      <c r="O230" s="166"/>
      <c r="P230" s="166"/>
      <c r="Q230" s="169">
        <v>448.26</v>
      </c>
    </row>
    <row r="231" spans="2:17" x14ac:dyDescent="0.25">
      <c r="B231" s="172" t="s">
        <v>85</v>
      </c>
      <c r="C231" s="172" t="s">
        <v>293</v>
      </c>
      <c r="D231" s="166"/>
      <c r="E231" s="166"/>
      <c r="F231" s="166"/>
      <c r="G231" s="173">
        <v>573.02</v>
      </c>
      <c r="H231" s="166"/>
      <c r="I231" s="173">
        <v>0</v>
      </c>
      <c r="J231" s="173">
        <v>0</v>
      </c>
      <c r="K231" s="173">
        <v>481.48</v>
      </c>
      <c r="L231" s="173">
        <v>0</v>
      </c>
      <c r="M231" s="173">
        <v>91.52</v>
      </c>
      <c r="N231" s="173">
        <v>0</v>
      </c>
      <c r="O231" s="173">
        <v>0</v>
      </c>
      <c r="P231" s="173">
        <v>0</v>
      </c>
      <c r="Q231" s="173">
        <v>0</v>
      </c>
    </row>
    <row r="232" spans="2:17" x14ac:dyDescent="0.25">
      <c r="B232" s="168" t="s">
        <v>353</v>
      </c>
      <c r="C232" s="168" t="s">
        <v>1014</v>
      </c>
      <c r="D232" s="168" t="s">
        <v>82</v>
      </c>
      <c r="E232" s="169">
        <v>3.52</v>
      </c>
      <c r="F232" s="169">
        <v>162.79</v>
      </c>
      <c r="G232" s="169">
        <v>573.02</v>
      </c>
      <c r="H232" s="169">
        <v>0</v>
      </c>
      <c r="I232" s="169">
        <v>0</v>
      </c>
      <c r="J232" s="166"/>
      <c r="K232" s="169">
        <v>481.48</v>
      </c>
      <c r="L232" s="166"/>
      <c r="M232" s="169">
        <v>91.52</v>
      </c>
      <c r="N232" s="166"/>
      <c r="O232" s="169">
        <v>0</v>
      </c>
      <c r="P232" s="166"/>
      <c r="Q232" s="169">
        <v>0</v>
      </c>
    </row>
    <row r="233" spans="2:17" x14ac:dyDescent="0.25">
      <c r="B233" s="170" t="s">
        <v>88</v>
      </c>
      <c r="C233" s="170" t="s">
        <v>1015</v>
      </c>
      <c r="D233" s="166"/>
      <c r="E233" s="166"/>
      <c r="F233" s="166"/>
      <c r="G233" s="171">
        <v>788.8</v>
      </c>
      <c r="H233" s="166"/>
      <c r="I233" s="171">
        <v>0</v>
      </c>
      <c r="J233" s="171">
        <v>0</v>
      </c>
      <c r="K233" s="171">
        <v>0</v>
      </c>
      <c r="L233" s="171">
        <v>0</v>
      </c>
      <c r="M233" s="171">
        <v>788.8</v>
      </c>
      <c r="N233" s="171">
        <v>0</v>
      </c>
      <c r="O233" s="171">
        <v>0</v>
      </c>
      <c r="P233" s="171">
        <v>0</v>
      </c>
      <c r="Q233" s="171">
        <v>0</v>
      </c>
    </row>
    <row r="234" spans="2:17" x14ac:dyDescent="0.25">
      <c r="B234" s="168" t="s">
        <v>90</v>
      </c>
      <c r="C234" s="168" t="s">
        <v>1016</v>
      </c>
      <c r="D234" s="168" t="s">
        <v>157</v>
      </c>
      <c r="E234" s="169">
        <v>9.86</v>
      </c>
      <c r="F234" s="169">
        <v>80</v>
      </c>
      <c r="G234" s="169">
        <v>788.8</v>
      </c>
      <c r="H234" s="169">
        <v>0</v>
      </c>
      <c r="I234" s="169">
        <v>0</v>
      </c>
      <c r="J234" s="166"/>
      <c r="K234" s="166"/>
      <c r="L234" s="166"/>
      <c r="M234" s="169">
        <v>788.8</v>
      </c>
      <c r="N234" s="166"/>
      <c r="O234" s="166"/>
      <c r="P234" s="166"/>
      <c r="Q234" s="169">
        <v>0</v>
      </c>
    </row>
    <row r="235" spans="2:17" x14ac:dyDescent="0.25">
      <c r="B235" s="170" t="s">
        <v>96</v>
      </c>
      <c r="C235" s="170" t="s">
        <v>1017</v>
      </c>
      <c r="D235" s="166"/>
      <c r="E235" s="166"/>
      <c r="F235" s="166"/>
      <c r="G235" s="171">
        <v>28263.15</v>
      </c>
      <c r="H235" s="166"/>
      <c r="I235" s="171">
        <v>0</v>
      </c>
      <c r="J235" s="171">
        <v>0</v>
      </c>
      <c r="K235" s="171">
        <v>0</v>
      </c>
      <c r="L235" s="171">
        <v>0</v>
      </c>
      <c r="M235" s="171">
        <v>28263.15</v>
      </c>
      <c r="N235" s="171">
        <v>0</v>
      </c>
      <c r="O235" s="171">
        <v>0</v>
      </c>
      <c r="P235" s="171">
        <v>0</v>
      </c>
      <c r="Q235" s="171">
        <v>0</v>
      </c>
    </row>
    <row r="236" spans="2:17" x14ac:dyDescent="0.25">
      <c r="B236" s="168" t="s">
        <v>98</v>
      </c>
      <c r="C236" s="168" t="s">
        <v>1018</v>
      </c>
      <c r="D236" s="168" t="s">
        <v>157</v>
      </c>
      <c r="E236" s="169">
        <v>168.33</v>
      </c>
      <c r="F236" s="169">
        <v>55</v>
      </c>
      <c r="G236" s="169">
        <v>9258.15</v>
      </c>
      <c r="H236" s="169">
        <v>0</v>
      </c>
      <c r="I236" s="169">
        <v>0</v>
      </c>
      <c r="J236" s="166"/>
      <c r="K236" s="166"/>
      <c r="L236" s="166"/>
      <c r="M236" s="169">
        <v>9258.15</v>
      </c>
      <c r="N236" s="166"/>
      <c r="O236" s="166"/>
      <c r="P236" s="166"/>
      <c r="Q236" s="169">
        <v>0</v>
      </c>
    </row>
    <row r="237" spans="2:17" x14ac:dyDescent="0.25">
      <c r="B237" s="168" t="s">
        <v>203</v>
      </c>
      <c r="C237" s="168" t="s">
        <v>1019</v>
      </c>
      <c r="D237" s="168" t="s">
        <v>82</v>
      </c>
      <c r="E237" s="169">
        <v>27.15</v>
      </c>
      <c r="F237" s="169">
        <v>700</v>
      </c>
      <c r="G237" s="169">
        <v>19005</v>
      </c>
      <c r="H237" s="169">
        <v>0</v>
      </c>
      <c r="I237" s="169">
        <v>0</v>
      </c>
      <c r="J237" s="166"/>
      <c r="K237" s="166"/>
      <c r="L237" s="166"/>
      <c r="M237" s="169">
        <v>19005</v>
      </c>
      <c r="N237" s="166"/>
      <c r="O237" s="166"/>
      <c r="P237" s="166"/>
      <c r="Q237" s="169">
        <v>0</v>
      </c>
    </row>
    <row r="238" spans="2:17" x14ac:dyDescent="0.25">
      <c r="B238" s="170" t="s">
        <v>100</v>
      </c>
      <c r="C238" s="170" t="s">
        <v>291</v>
      </c>
      <c r="D238" s="166"/>
      <c r="E238" s="166"/>
      <c r="F238" s="166"/>
      <c r="G238" s="171">
        <v>126412.9</v>
      </c>
      <c r="H238" s="166"/>
      <c r="I238" s="171">
        <v>87406.37</v>
      </c>
      <c r="J238" s="171">
        <v>0</v>
      </c>
      <c r="K238" s="171">
        <v>0</v>
      </c>
      <c r="L238" s="171">
        <v>0</v>
      </c>
      <c r="M238" s="171">
        <v>126412.9</v>
      </c>
      <c r="N238" s="171">
        <v>0</v>
      </c>
      <c r="O238" s="171">
        <v>65622.12</v>
      </c>
      <c r="P238" s="171">
        <v>0</v>
      </c>
      <c r="Q238" s="171">
        <v>21784.09</v>
      </c>
    </row>
    <row r="239" spans="2:17" x14ac:dyDescent="0.25">
      <c r="B239" s="172" t="s">
        <v>102</v>
      </c>
      <c r="C239" s="172" t="s">
        <v>292</v>
      </c>
      <c r="D239" s="166"/>
      <c r="E239" s="166"/>
      <c r="F239" s="166"/>
      <c r="G239" s="173">
        <v>0</v>
      </c>
      <c r="H239" s="166"/>
      <c r="I239" s="173">
        <v>21515</v>
      </c>
      <c r="J239" s="173">
        <v>0</v>
      </c>
      <c r="K239" s="173">
        <v>0</v>
      </c>
      <c r="L239" s="173">
        <v>0</v>
      </c>
      <c r="M239" s="173">
        <v>0</v>
      </c>
      <c r="N239" s="173">
        <v>0</v>
      </c>
      <c r="O239" s="173">
        <v>18020</v>
      </c>
      <c r="P239" s="173">
        <v>0</v>
      </c>
      <c r="Q239" s="173">
        <v>3495</v>
      </c>
    </row>
    <row r="240" spans="2:17" x14ac:dyDescent="0.25">
      <c r="B240" s="168" t="s">
        <v>215</v>
      </c>
      <c r="C240" s="168" t="s">
        <v>1020</v>
      </c>
      <c r="D240" s="168" t="s">
        <v>53</v>
      </c>
      <c r="E240" s="169">
        <v>50</v>
      </c>
      <c r="F240" s="169">
        <v>0</v>
      </c>
      <c r="G240" s="169">
        <v>0</v>
      </c>
      <c r="H240" s="169">
        <v>305</v>
      </c>
      <c r="I240" s="169">
        <v>15250</v>
      </c>
      <c r="J240" s="166"/>
      <c r="K240" s="169">
        <v>0</v>
      </c>
      <c r="L240" s="166"/>
      <c r="M240" s="169">
        <v>0</v>
      </c>
      <c r="N240" s="166"/>
      <c r="O240" s="169">
        <v>12500</v>
      </c>
      <c r="P240" s="166"/>
      <c r="Q240" s="169">
        <v>2750</v>
      </c>
    </row>
    <row r="241" spans="2:17" x14ac:dyDescent="0.25">
      <c r="B241" s="168" t="s">
        <v>217</v>
      </c>
      <c r="C241" s="168" t="s">
        <v>1021</v>
      </c>
      <c r="D241" s="168" t="s">
        <v>53</v>
      </c>
      <c r="E241" s="169">
        <v>2</v>
      </c>
      <c r="F241" s="169">
        <v>0</v>
      </c>
      <c r="G241" s="169">
        <v>0</v>
      </c>
      <c r="H241" s="169">
        <v>305</v>
      </c>
      <c r="I241" s="169">
        <v>610</v>
      </c>
      <c r="J241" s="166"/>
      <c r="K241" s="169">
        <v>0</v>
      </c>
      <c r="L241" s="166"/>
      <c r="M241" s="169">
        <v>0</v>
      </c>
      <c r="N241" s="166"/>
      <c r="O241" s="169">
        <v>500</v>
      </c>
      <c r="P241" s="166"/>
      <c r="Q241" s="169">
        <v>110</v>
      </c>
    </row>
    <row r="242" spans="2:17" x14ac:dyDescent="0.25">
      <c r="B242" s="168" t="s">
        <v>219</v>
      </c>
      <c r="C242" s="168" t="s">
        <v>1022</v>
      </c>
      <c r="D242" s="168" t="s">
        <v>53</v>
      </c>
      <c r="E242" s="169">
        <v>3</v>
      </c>
      <c r="F242" s="169">
        <v>0</v>
      </c>
      <c r="G242" s="169">
        <v>0</v>
      </c>
      <c r="H242" s="169">
        <v>305</v>
      </c>
      <c r="I242" s="169">
        <v>915</v>
      </c>
      <c r="J242" s="166"/>
      <c r="K242" s="169">
        <v>0</v>
      </c>
      <c r="L242" s="166"/>
      <c r="M242" s="169">
        <v>0</v>
      </c>
      <c r="N242" s="166"/>
      <c r="O242" s="169">
        <v>750</v>
      </c>
      <c r="P242" s="166"/>
      <c r="Q242" s="169">
        <v>165</v>
      </c>
    </row>
    <row r="243" spans="2:17" x14ac:dyDescent="0.25">
      <c r="B243" s="168" t="s">
        <v>220</v>
      </c>
      <c r="C243" s="168" t="s">
        <v>1023</v>
      </c>
      <c r="D243" s="168" t="s">
        <v>53</v>
      </c>
      <c r="E243" s="169">
        <v>1</v>
      </c>
      <c r="F243" s="169">
        <v>0</v>
      </c>
      <c r="G243" s="169">
        <v>0</v>
      </c>
      <c r="H243" s="169">
        <v>305</v>
      </c>
      <c r="I243" s="169">
        <v>305</v>
      </c>
      <c r="J243" s="166"/>
      <c r="K243" s="169">
        <v>0</v>
      </c>
      <c r="L243" s="166"/>
      <c r="M243" s="169">
        <v>0</v>
      </c>
      <c r="N243" s="166"/>
      <c r="O243" s="169">
        <v>250</v>
      </c>
      <c r="P243" s="166"/>
      <c r="Q243" s="169">
        <v>55</v>
      </c>
    </row>
    <row r="244" spans="2:17" x14ac:dyDescent="0.25">
      <c r="B244" s="168" t="s">
        <v>221</v>
      </c>
      <c r="C244" s="168" t="s">
        <v>1024</v>
      </c>
      <c r="D244" s="168" t="s">
        <v>53</v>
      </c>
      <c r="E244" s="169">
        <v>3</v>
      </c>
      <c r="F244" s="169">
        <v>0</v>
      </c>
      <c r="G244" s="169">
        <v>0</v>
      </c>
      <c r="H244" s="169">
        <v>685</v>
      </c>
      <c r="I244" s="169">
        <v>2055</v>
      </c>
      <c r="J244" s="166"/>
      <c r="K244" s="169">
        <v>0</v>
      </c>
      <c r="L244" s="166"/>
      <c r="M244" s="169">
        <v>0</v>
      </c>
      <c r="N244" s="166"/>
      <c r="O244" s="169">
        <v>1920</v>
      </c>
      <c r="P244" s="166"/>
      <c r="Q244" s="169">
        <v>135</v>
      </c>
    </row>
    <row r="245" spans="2:17" x14ac:dyDescent="0.25">
      <c r="B245" s="168" t="s">
        <v>1025</v>
      </c>
      <c r="C245" s="168" t="s">
        <v>1026</v>
      </c>
      <c r="D245" s="168" t="s">
        <v>53</v>
      </c>
      <c r="E245" s="169">
        <v>1</v>
      </c>
      <c r="F245" s="169">
        <v>0</v>
      </c>
      <c r="G245" s="169">
        <v>0</v>
      </c>
      <c r="H245" s="169">
        <v>690</v>
      </c>
      <c r="I245" s="169">
        <v>690</v>
      </c>
      <c r="J245" s="166"/>
      <c r="K245" s="169">
        <v>0</v>
      </c>
      <c r="L245" s="166"/>
      <c r="M245" s="169">
        <v>0</v>
      </c>
      <c r="N245" s="166"/>
      <c r="O245" s="169">
        <v>600</v>
      </c>
      <c r="P245" s="166"/>
      <c r="Q245" s="169">
        <v>90</v>
      </c>
    </row>
    <row r="246" spans="2:17" x14ac:dyDescent="0.25">
      <c r="B246" s="168" t="s">
        <v>1027</v>
      </c>
      <c r="C246" s="168" t="s">
        <v>1028</v>
      </c>
      <c r="D246" s="168" t="s">
        <v>53</v>
      </c>
      <c r="E246" s="169">
        <v>1</v>
      </c>
      <c r="F246" s="169">
        <v>0</v>
      </c>
      <c r="G246" s="169">
        <v>0</v>
      </c>
      <c r="H246" s="169">
        <v>985</v>
      </c>
      <c r="I246" s="169">
        <v>985</v>
      </c>
      <c r="J246" s="166"/>
      <c r="K246" s="169">
        <v>0</v>
      </c>
      <c r="L246" s="166"/>
      <c r="M246" s="169">
        <v>0</v>
      </c>
      <c r="N246" s="166"/>
      <c r="O246" s="169">
        <v>850</v>
      </c>
      <c r="P246" s="166"/>
      <c r="Q246" s="169">
        <v>135</v>
      </c>
    </row>
    <row r="247" spans="2:17" x14ac:dyDescent="0.25">
      <c r="B247" s="168" t="s">
        <v>1029</v>
      </c>
      <c r="C247" s="168" t="s">
        <v>1030</v>
      </c>
      <c r="D247" s="168" t="s">
        <v>53</v>
      </c>
      <c r="E247" s="169">
        <v>1</v>
      </c>
      <c r="F247" s="169">
        <v>0</v>
      </c>
      <c r="G247" s="169">
        <v>0</v>
      </c>
      <c r="H247" s="169">
        <v>305</v>
      </c>
      <c r="I247" s="169">
        <v>305</v>
      </c>
      <c r="J247" s="166"/>
      <c r="K247" s="169">
        <v>0</v>
      </c>
      <c r="L247" s="166"/>
      <c r="M247" s="169">
        <v>0</v>
      </c>
      <c r="N247" s="166"/>
      <c r="O247" s="169">
        <v>250</v>
      </c>
      <c r="P247" s="166"/>
      <c r="Q247" s="169">
        <v>55</v>
      </c>
    </row>
    <row r="248" spans="2:17" x14ac:dyDescent="0.25">
      <c r="B248" s="168" t="s">
        <v>1031</v>
      </c>
      <c r="C248" s="168" t="s">
        <v>1032</v>
      </c>
      <c r="D248" s="168" t="s">
        <v>15</v>
      </c>
      <c r="E248" s="169">
        <v>1</v>
      </c>
      <c r="F248" s="169">
        <v>0</v>
      </c>
      <c r="G248" s="169">
        <v>0</v>
      </c>
      <c r="H248" s="169">
        <v>400</v>
      </c>
      <c r="I248" s="169">
        <v>400</v>
      </c>
      <c r="J248" s="166"/>
      <c r="K248" s="169">
        <v>0</v>
      </c>
      <c r="L248" s="166"/>
      <c r="M248" s="166"/>
      <c r="N248" s="166"/>
      <c r="O248" s="169">
        <v>400</v>
      </c>
      <c r="P248" s="166"/>
      <c r="Q248" s="166"/>
    </row>
    <row r="249" spans="2:17" x14ac:dyDescent="0.25">
      <c r="B249" s="172" t="s">
        <v>104</v>
      </c>
      <c r="C249" s="172" t="s">
        <v>1033</v>
      </c>
      <c r="D249" s="166"/>
      <c r="E249" s="166"/>
      <c r="F249" s="166"/>
      <c r="G249" s="173">
        <v>113632</v>
      </c>
      <c r="H249" s="166"/>
      <c r="I249" s="173">
        <v>61686.12</v>
      </c>
      <c r="J249" s="173">
        <v>0</v>
      </c>
      <c r="K249" s="173">
        <v>0</v>
      </c>
      <c r="L249" s="173">
        <v>0</v>
      </c>
      <c r="M249" s="173">
        <v>113632</v>
      </c>
      <c r="N249" s="173">
        <v>0</v>
      </c>
      <c r="O249" s="173">
        <v>47602.12</v>
      </c>
      <c r="P249" s="173">
        <v>0</v>
      </c>
      <c r="Q249" s="173">
        <v>14083.84</v>
      </c>
    </row>
    <row r="250" spans="2:17" x14ac:dyDescent="0.25">
      <c r="B250" s="168" t="s">
        <v>223</v>
      </c>
      <c r="C250" s="168" t="s">
        <v>1034</v>
      </c>
      <c r="D250" s="168" t="s">
        <v>53</v>
      </c>
      <c r="E250" s="169">
        <v>105</v>
      </c>
      <c r="F250" s="169">
        <v>0</v>
      </c>
      <c r="G250" s="169">
        <v>0</v>
      </c>
      <c r="H250" s="169">
        <v>182.5</v>
      </c>
      <c r="I250" s="169">
        <v>19162.5</v>
      </c>
      <c r="J250" s="166"/>
      <c r="K250" s="169">
        <v>0</v>
      </c>
      <c r="L250" s="166"/>
      <c r="M250" s="169">
        <v>0</v>
      </c>
      <c r="N250" s="166"/>
      <c r="O250" s="169">
        <v>15277.5</v>
      </c>
      <c r="P250" s="166"/>
      <c r="Q250" s="169">
        <v>3884.84</v>
      </c>
    </row>
    <row r="251" spans="2:17" x14ac:dyDescent="0.25">
      <c r="B251" s="168" t="s">
        <v>225</v>
      </c>
      <c r="C251" s="168" t="s">
        <v>1035</v>
      </c>
      <c r="D251" s="168" t="s">
        <v>53</v>
      </c>
      <c r="E251" s="169">
        <v>151</v>
      </c>
      <c r="F251" s="169">
        <v>0</v>
      </c>
      <c r="G251" s="169">
        <v>0</v>
      </c>
      <c r="H251" s="169">
        <v>130.16</v>
      </c>
      <c r="I251" s="169">
        <v>19654.16</v>
      </c>
      <c r="J251" s="166"/>
      <c r="K251" s="169">
        <v>0</v>
      </c>
      <c r="L251" s="166"/>
      <c r="M251" s="169">
        <v>0</v>
      </c>
      <c r="N251" s="166"/>
      <c r="O251" s="169">
        <v>14973.16</v>
      </c>
      <c r="P251" s="166"/>
      <c r="Q251" s="169">
        <v>4681</v>
      </c>
    </row>
    <row r="252" spans="2:17" x14ac:dyDescent="0.25">
      <c r="B252" s="168" t="s">
        <v>227</v>
      </c>
      <c r="C252" s="168" t="s">
        <v>1036</v>
      </c>
      <c r="D252" s="168" t="s">
        <v>53</v>
      </c>
      <c r="E252" s="169">
        <v>172</v>
      </c>
      <c r="F252" s="169">
        <v>0</v>
      </c>
      <c r="G252" s="169">
        <v>0</v>
      </c>
      <c r="H252" s="169">
        <v>123.25</v>
      </c>
      <c r="I252" s="169">
        <v>21199</v>
      </c>
      <c r="J252" s="166"/>
      <c r="K252" s="169">
        <v>0</v>
      </c>
      <c r="L252" s="166"/>
      <c r="M252" s="169">
        <v>0</v>
      </c>
      <c r="N252" s="166"/>
      <c r="O252" s="169">
        <v>15867</v>
      </c>
      <c r="P252" s="166"/>
      <c r="Q252" s="169">
        <v>5332</v>
      </c>
    </row>
    <row r="253" spans="2:17" x14ac:dyDescent="0.25">
      <c r="B253" s="168" t="s">
        <v>228</v>
      </c>
      <c r="C253" s="168" t="s">
        <v>1037</v>
      </c>
      <c r="D253" s="168" t="s">
        <v>53</v>
      </c>
      <c r="E253" s="169">
        <v>21</v>
      </c>
      <c r="F253" s="169">
        <v>590</v>
      </c>
      <c r="G253" s="169">
        <v>12390</v>
      </c>
      <c r="H253" s="169">
        <v>0</v>
      </c>
      <c r="I253" s="169">
        <v>0</v>
      </c>
      <c r="J253" s="166"/>
      <c r="K253" s="166"/>
      <c r="L253" s="166"/>
      <c r="M253" s="169">
        <v>12390</v>
      </c>
      <c r="N253" s="166"/>
      <c r="O253" s="166"/>
      <c r="P253" s="166"/>
      <c r="Q253" s="169">
        <v>0</v>
      </c>
    </row>
    <row r="254" spans="2:17" x14ac:dyDescent="0.25">
      <c r="B254" s="168" t="s">
        <v>229</v>
      </c>
      <c r="C254" s="168" t="s">
        <v>1038</v>
      </c>
      <c r="D254" s="168" t="s">
        <v>53</v>
      </c>
      <c r="E254" s="169">
        <v>21</v>
      </c>
      <c r="F254" s="169">
        <v>680</v>
      </c>
      <c r="G254" s="169">
        <v>14280</v>
      </c>
      <c r="H254" s="169">
        <v>0</v>
      </c>
      <c r="I254" s="169">
        <v>0</v>
      </c>
      <c r="J254" s="166"/>
      <c r="K254" s="166"/>
      <c r="L254" s="166"/>
      <c r="M254" s="169">
        <v>14280</v>
      </c>
      <c r="N254" s="166"/>
      <c r="O254" s="166"/>
      <c r="P254" s="166"/>
      <c r="Q254" s="169">
        <v>0</v>
      </c>
    </row>
    <row r="255" spans="2:17" x14ac:dyDescent="0.25">
      <c r="B255" s="168" t="s">
        <v>616</v>
      </c>
      <c r="C255" s="168" t="s">
        <v>1039</v>
      </c>
      <c r="D255" s="168" t="s">
        <v>53</v>
      </c>
      <c r="E255" s="169">
        <v>21</v>
      </c>
      <c r="F255" s="169">
        <v>330</v>
      </c>
      <c r="G255" s="169">
        <v>6930</v>
      </c>
      <c r="H255" s="169">
        <v>0</v>
      </c>
      <c r="I255" s="169">
        <v>0</v>
      </c>
      <c r="J255" s="166"/>
      <c r="K255" s="166"/>
      <c r="L255" s="166"/>
      <c r="M255" s="169">
        <v>6930</v>
      </c>
      <c r="N255" s="166"/>
      <c r="O255" s="166"/>
      <c r="P255" s="166"/>
      <c r="Q255" s="169">
        <v>0</v>
      </c>
    </row>
    <row r="256" spans="2:17" x14ac:dyDescent="0.25">
      <c r="B256" s="168" t="s">
        <v>1040</v>
      </c>
      <c r="C256" s="168" t="s">
        <v>1041</v>
      </c>
      <c r="D256" s="168" t="s">
        <v>53</v>
      </c>
      <c r="E256" s="169">
        <v>1</v>
      </c>
      <c r="F256" s="169">
        <v>505</v>
      </c>
      <c r="G256" s="169">
        <v>505</v>
      </c>
      <c r="H256" s="169">
        <v>0</v>
      </c>
      <c r="I256" s="169">
        <v>0</v>
      </c>
      <c r="J256" s="166"/>
      <c r="K256" s="166"/>
      <c r="L256" s="166"/>
      <c r="M256" s="169">
        <v>505</v>
      </c>
      <c r="N256" s="166"/>
      <c r="O256" s="166"/>
      <c r="P256" s="166"/>
      <c r="Q256" s="169">
        <v>0</v>
      </c>
    </row>
    <row r="257" spans="2:17" x14ac:dyDescent="0.25">
      <c r="B257" s="168" t="s">
        <v>1042</v>
      </c>
      <c r="C257" s="168" t="s">
        <v>1043</v>
      </c>
      <c r="D257" s="168" t="s">
        <v>53</v>
      </c>
      <c r="E257" s="169">
        <v>3</v>
      </c>
      <c r="F257" s="169">
        <v>0</v>
      </c>
      <c r="G257" s="169">
        <v>0</v>
      </c>
      <c r="H257" s="169">
        <v>137.97999999999999</v>
      </c>
      <c r="I257" s="169">
        <v>413.94</v>
      </c>
      <c r="J257" s="166"/>
      <c r="K257" s="169">
        <v>0</v>
      </c>
      <c r="L257" s="166"/>
      <c r="M257" s="169">
        <v>0</v>
      </c>
      <c r="N257" s="166"/>
      <c r="O257" s="169">
        <v>320.94</v>
      </c>
      <c r="P257" s="166"/>
      <c r="Q257" s="169">
        <v>93</v>
      </c>
    </row>
    <row r="258" spans="2:17" x14ac:dyDescent="0.25">
      <c r="B258" s="168" t="s">
        <v>1044</v>
      </c>
      <c r="C258" s="168" t="s">
        <v>1045</v>
      </c>
      <c r="D258" s="168" t="s">
        <v>53</v>
      </c>
      <c r="E258" s="169">
        <v>3</v>
      </c>
      <c r="F258" s="169">
        <v>0</v>
      </c>
      <c r="G258" s="169">
        <v>0</v>
      </c>
      <c r="H258" s="169">
        <v>128.84</v>
      </c>
      <c r="I258" s="169">
        <v>386.52</v>
      </c>
      <c r="J258" s="166"/>
      <c r="K258" s="169">
        <v>0</v>
      </c>
      <c r="L258" s="166"/>
      <c r="M258" s="169">
        <v>0</v>
      </c>
      <c r="N258" s="166"/>
      <c r="O258" s="169">
        <v>293.52</v>
      </c>
      <c r="P258" s="166"/>
      <c r="Q258" s="169">
        <v>93</v>
      </c>
    </row>
    <row r="259" spans="2:17" x14ac:dyDescent="0.25">
      <c r="B259" s="168" t="s">
        <v>1046</v>
      </c>
      <c r="C259" s="168" t="s">
        <v>1047</v>
      </c>
      <c r="D259" s="168" t="s">
        <v>53</v>
      </c>
      <c r="E259" s="169">
        <v>5</v>
      </c>
      <c r="F259" s="169">
        <v>1240</v>
      </c>
      <c r="G259" s="169">
        <v>6200</v>
      </c>
      <c r="H259" s="169">
        <v>0</v>
      </c>
      <c r="I259" s="169">
        <v>0</v>
      </c>
      <c r="J259" s="166"/>
      <c r="K259" s="166"/>
      <c r="L259" s="166"/>
      <c r="M259" s="169">
        <v>6200</v>
      </c>
      <c r="N259" s="166"/>
      <c r="O259" s="166"/>
      <c r="P259" s="166"/>
      <c r="Q259" s="169">
        <v>0</v>
      </c>
    </row>
    <row r="260" spans="2:17" x14ac:dyDescent="0.25">
      <c r="B260" s="168" t="s">
        <v>1048</v>
      </c>
      <c r="C260" s="168" t="s">
        <v>1049</v>
      </c>
      <c r="D260" s="168" t="s">
        <v>53</v>
      </c>
      <c r="E260" s="169">
        <v>5</v>
      </c>
      <c r="F260" s="169">
        <v>1640</v>
      </c>
      <c r="G260" s="169">
        <v>8200</v>
      </c>
      <c r="H260" s="169">
        <v>0</v>
      </c>
      <c r="I260" s="169">
        <v>0</v>
      </c>
      <c r="J260" s="166"/>
      <c r="K260" s="166"/>
      <c r="L260" s="166"/>
      <c r="M260" s="169">
        <v>8200</v>
      </c>
      <c r="N260" s="166"/>
      <c r="O260" s="166"/>
      <c r="P260" s="166"/>
      <c r="Q260" s="169">
        <v>0</v>
      </c>
    </row>
    <row r="261" spans="2:17" x14ac:dyDescent="0.25">
      <c r="B261" s="168" t="s">
        <v>1050</v>
      </c>
      <c r="C261" s="168" t="s">
        <v>1051</v>
      </c>
      <c r="D261" s="168" t="s">
        <v>53</v>
      </c>
      <c r="E261" s="169">
        <v>4</v>
      </c>
      <c r="F261" s="169">
        <v>1470</v>
      </c>
      <c r="G261" s="169">
        <v>5880</v>
      </c>
      <c r="H261" s="169">
        <v>0</v>
      </c>
      <c r="I261" s="169">
        <v>0</v>
      </c>
      <c r="J261" s="166"/>
      <c r="K261" s="166"/>
      <c r="L261" s="166"/>
      <c r="M261" s="169">
        <v>5880</v>
      </c>
      <c r="N261" s="166"/>
      <c r="O261" s="166"/>
      <c r="P261" s="166"/>
      <c r="Q261" s="169">
        <v>0</v>
      </c>
    </row>
    <row r="262" spans="2:17" x14ac:dyDescent="0.25">
      <c r="B262" s="168" t="s">
        <v>1052</v>
      </c>
      <c r="C262" s="168" t="s">
        <v>1053</v>
      </c>
      <c r="D262" s="168" t="s">
        <v>53</v>
      </c>
      <c r="E262" s="169">
        <v>8</v>
      </c>
      <c r="F262" s="169">
        <v>1280</v>
      </c>
      <c r="G262" s="169">
        <v>10240</v>
      </c>
      <c r="H262" s="169">
        <v>0</v>
      </c>
      <c r="I262" s="169">
        <v>0</v>
      </c>
      <c r="J262" s="166"/>
      <c r="K262" s="166"/>
      <c r="L262" s="166"/>
      <c r="M262" s="169">
        <v>10240</v>
      </c>
      <c r="N262" s="166"/>
      <c r="O262" s="166"/>
      <c r="P262" s="166"/>
      <c r="Q262" s="169">
        <v>0</v>
      </c>
    </row>
    <row r="263" spans="2:17" x14ac:dyDescent="0.25">
      <c r="B263" s="168" t="s">
        <v>1054</v>
      </c>
      <c r="C263" s="168" t="s">
        <v>1055</v>
      </c>
      <c r="D263" s="168" t="s">
        <v>53</v>
      </c>
      <c r="E263" s="169">
        <v>21</v>
      </c>
      <c r="F263" s="169">
        <v>1172</v>
      </c>
      <c r="G263" s="169">
        <v>24612</v>
      </c>
      <c r="H263" s="169">
        <v>0</v>
      </c>
      <c r="I263" s="169">
        <v>0</v>
      </c>
      <c r="J263" s="166"/>
      <c r="K263" s="166"/>
      <c r="L263" s="166"/>
      <c r="M263" s="169">
        <v>24612</v>
      </c>
      <c r="N263" s="166"/>
      <c r="O263" s="166"/>
      <c r="P263" s="166"/>
      <c r="Q263" s="169">
        <v>0</v>
      </c>
    </row>
    <row r="264" spans="2:17" x14ac:dyDescent="0.25">
      <c r="B264" s="168" t="s">
        <v>1056</v>
      </c>
      <c r="C264" s="168" t="s">
        <v>1057</v>
      </c>
      <c r="D264" s="168" t="s">
        <v>53</v>
      </c>
      <c r="E264" s="169">
        <v>22</v>
      </c>
      <c r="F264" s="169">
        <v>990</v>
      </c>
      <c r="G264" s="169">
        <v>21780</v>
      </c>
      <c r="H264" s="169">
        <v>0</v>
      </c>
      <c r="I264" s="169">
        <v>0</v>
      </c>
      <c r="J264" s="166"/>
      <c r="K264" s="166"/>
      <c r="L264" s="166"/>
      <c r="M264" s="169">
        <v>21780</v>
      </c>
      <c r="N264" s="166"/>
      <c r="O264" s="166"/>
      <c r="P264" s="166"/>
      <c r="Q264" s="169">
        <v>0</v>
      </c>
    </row>
    <row r="265" spans="2:17" x14ac:dyDescent="0.25">
      <c r="B265" s="168" t="s">
        <v>1058</v>
      </c>
      <c r="C265" s="168" t="s">
        <v>1059</v>
      </c>
      <c r="D265" s="168" t="s">
        <v>53</v>
      </c>
      <c r="E265" s="169">
        <v>1</v>
      </c>
      <c r="F265" s="169">
        <v>1500</v>
      </c>
      <c r="G265" s="169">
        <v>1500</v>
      </c>
      <c r="H265" s="169">
        <v>0</v>
      </c>
      <c r="I265" s="169">
        <v>0</v>
      </c>
      <c r="J265" s="166"/>
      <c r="K265" s="166"/>
      <c r="L265" s="166"/>
      <c r="M265" s="169">
        <v>1500</v>
      </c>
      <c r="N265" s="166"/>
      <c r="O265" s="166"/>
      <c r="P265" s="166"/>
      <c r="Q265" s="169">
        <v>0</v>
      </c>
    </row>
    <row r="266" spans="2:17" x14ac:dyDescent="0.25">
      <c r="B266" s="168" t="s">
        <v>1060</v>
      </c>
      <c r="C266" s="168" t="s">
        <v>1061</v>
      </c>
      <c r="D266" s="168" t="s">
        <v>53</v>
      </c>
      <c r="E266" s="169">
        <v>1</v>
      </c>
      <c r="F266" s="169">
        <v>730</v>
      </c>
      <c r="G266" s="169">
        <v>730</v>
      </c>
      <c r="H266" s="169">
        <v>0</v>
      </c>
      <c r="I266" s="169">
        <v>0</v>
      </c>
      <c r="J266" s="166"/>
      <c r="K266" s="166"/>
      <c r="L266" s="166"/>
      <c r="M266" s="169">
        <v>730</v>
      </c>
      <c r="N266" s="166"/>
      <c r="O266" s="166"/>
      <c r="P266" s="166"/>
      <c r="Q266" s="169">
        <v>0</v>
      </c>
    </row>
    <row r="267" spans="2:17" x14ac:dyDescent="0.25">
      <c r="B267" s="168" t="s">
        <v>1062</v>
      </c>
      <c r="C267" s="168" t="s">
        <v>1063</v>
      </c>
      <c r="D267" s="168" t="s">
        <v>53</v>
      </c>
      <c r="E267" s="169">
        <v>1</v>
      </c>
      <c r="F267" s="169">
        <v>385</v>
      </c>
      <c r="G267" s="169">
        <v>385</v>
      </c>
      <c r="H267" s="169">
        <v>0</v>
      </c>
      <c r="I267" s="169">
        <v>0</v>
      </c>
      <c r="J267" s="166"/>
      <c r="K267" s="166"/>
      <c r="L267" s="166"/>
      <c r="M267" s="169">
        <v>385</v>
      </c>
      <c r="N267" s="166"/>
      <c r="O267" s="166"/>
      <c r="P267" s="166"/>
      <c r="Q267" s="169">
        <v>0</v>
      </c>
    </row>
    <row r="268" spans="2:17" x14ac:dyDescent="0.25">
      <c r="B268" s="168" t="s">
        <v>1064</v>
      </c>
      <c r="C268" s="168" t="s">
        <v>1065</v>
      </c>
      <c r="D268" s="168" t="s">
        <v>15</v>
      </c>
      <c r="E268" s="169">
        <v>1</v>
      </c>
      <c r="F268" s="169">
        <v>0</v>
      </c>
      <c r="G268" s="169">
        <v>0</v>
      </c>
      <c r="H268" s="169">
        <v>870</v>
      </c>
      <c r="I268" s="169">
        <v>870</v>
      </c>
      <c r="J268" s="166"/>
      <c r="K268" s="169">
        <v>0</v>
      </c>
      <c r="L268" s="166"/>
      <c r="M268" s="166"/>
      <c r="N268" s="166"/>
      <c r="O268" s="169">
        <v>870</v>
      </c>
      <c r="P268" s="166"/>
      <c r="Q268" s="166"/>
    </row>
    <row r="269" spans="2:17" x14ac:dyDescent="0.25">
      <c r="B269" s="172" t="s">
        <v>105</v>
      </c>
      <c r="C269" s="172" t="s">
        <v>1066</v>
      </c>
      <c r="D269" s="166"/>
      <c r="E269" s="166"/>
      <c r="F269" s="166"/>
      <c r="G269" s="173">
        <v>8390.9</v>
      </c>
      <c r="H269" s="166"/>
      <c r="I269" s="173">
        <v>0</v>
      </c>
      <c r="J269" s="173">
        <v>0</v>
      </c>
      <c r="K269" s="173">
        <v>0</v>
      </c>
      <c r="L269" s="173">
        <v>0</v>
      </c>
      <c r="M269" s="173">
        <v>8390.9</v>
      </c>
      <c r="N269" s="173">
        <v>0</v>
      </c>
      <c r="O269" s="173">
        <v>0</v>
      </c>
      <c r="P269" s="173">
        <v>0</v>
      </c>
      <c r="Q269" s="173">
        <v>0</v>
      </c>
    </row>
    <row r="270" spans="2:17" x14ac:dyDescent="0.25">
      <c r="B270" s="168" t="s">
        <v>230</v>
      </c>
      <c r="C270" s="168" t="s">
        <v>1067</v>
      </c>
      <c r="D270" s="168" t="s">
        <v>53</v>
      </c>
      <c r="E270" s="169">
        <v>4</v>
      </c>
      <c r="F270" s="169">
        <v>1674.75</v>
      </c>
      <c r="G270" s="169">
        <v>6699</v>
      </c>
      <c r="H270" s="169">
        <v>0</v>
      </c>
      <c r="I270" s="169">
        <v>0</v>
      </c>
      <c r="J270" s="166"/>
      <c r="K270" s="166"/>
      <c r="L270" s="166"/>
      <c r="M270" s="169">
        <v>6699</v>
      </c>
      <c r="N270" s="166"/>
      <c r="O270" s="166"/>
      <c r="P270" s="166"/>
      <c r="Q270" s="169">
        <v>0</v>
      </c>
    </row>
    <row r="271" spans="2:17" x14ac:dyDescent="0.25">
      <c r="B271" s="168" t="s">
        <v>232</v>
      </c>
      <c r="C271" s="168" t="s">
        <v>1068</v>
      </c>
      <c r="D271" s="168" t="s">
        <v>53</v>
      </c>
      <c r="E271" s="169">
        <v>1</v>
      </c>
      <c r="F271" s="169">
        <v>1691.9</v>
      </c>
      <c r="G271" s="169">
        <v>1691.9</v>
      </c>
      <c r="H271" s="169">
        <v>0</v>
      </c>
      <c r="I271" s="169">
        <v>0</v>
      </c>
      <c r="J271" s="166"/>
      <c r="K271" s="166"/>
      <c r="L271" s="166"/>
      <c r="M271" s="169">
        <v>1691.9</v>
      </c>
      <c r="N271" s="166"/>
      <c r="O271" s="166"/>
      <c r="P271" s="166"/>
      <c r="Q271" s="169">
        <v>0</v>
      </c>
    </row>
    <row r="272" spans="2:17" x14ac:dyDescent="0.25">
      <c r="B272" s="172" t="s">
        <v>107</v>
      </c>
      <c r="C272" s="172" t="s">
        <v>1069</v>
      </c>
      <c r="D272" s="166"/>
      <c r="E272" s="166"/>
      <c r="F272" s="166"/>
      <c r="G272" s="173">
        <v>0</v>
      </c>
      <c r="H272" s="166"/>
      <c r="I272" s="173">
        <v>4205.25</v>
      </c>
      <c r="J272" s="173">
        <v>0</v>
      </c>
      <c r="K272" s="173">
        <v>0</v>
      </c>
      <c r="L272" s="173">
        <v>0</v>
      </c>
      <c r="M272" s="173">
        <v>0</v>
      </c>
      <c r="N272" s="173">
        <v>0</v>
      </c>
      <c r="O272" s="173">
        <v>0</v>
      </c>
      <c r="P272" s="173">
        <v>0</v>
      </c>
      <c r="Q272" s="173">
        <v>4205.25</v>
      </c>
    </row>
    <row r="273" spans="2:17" x14ac:dyDescent="0.25">
      <c r="B273" s="168" t="s">
        <v>239</v>
      </c>
      <c r="C273" s="168" t="s">
        <v>1070</v>
      </c>
      <c r="D273" s="168" t="s">
        <v>53</v>
      </c>
      <c r="E273" s="169">
        <v>1</v>
      </c>
      <c r="F273" s="169">
        <v>0</v>
      </c>
      <c r="G273" s="169">
        <v>0</v>
      </c>
      <c r="H273" s="169">
        <v>4205.25</v>
      </c>
      <c r="I273" s="169">
        <v>4205.25</v>
      </c>
      <c r="J273" s="169">
        <v>0</v>
      </c>
      <c r="K273" s="169">
        <v>0</v>
      </c>
      <c r="L273" s="169">
        <v>0</v>
      </c>
      <c r="M273" s="166"/>
      <c r="N273" s="169">
        <v>0</v>
      </c>
      <c r="O273" s="169">
        <v>0</v>
      </c>
      <c r="P273" s="169">
        <v>0</v>
      </c>
      <c r="Q273" s="169">
        <v>4205.25</v>
      </c>
    </row>
    <row r="274" spans="2:17" x14ac:dyDescent="0.25">
      <c r="B274" s="172" t="s">
        <v>109</v>
      </c>
      <c r="C274" s="172" t="s">
        <v>1071</v>
      </c>
      <c r="D274" s="166"/>
      <c r="E274" s="166"/>
      <c r="F274" s="166"/>
      <c r="G274" s="173">
        <v>4390</v>
      </c>
      <c r="H274" s="166"/>
      <c r="I274" s="173">
        <v>0</v>
      </c>
      <c r="J274" s="173">
        <v>0</v>
      </c>
      <c r="K274" s="173">
        <v>0</v>
      </c>
      <c r="L274" s="173">
        <v>0</v>
      </c>
      <c r="M274" s="173">
        <v>4390</v>
      </c>
      <c r="N274" s="173">
        <v>0</v>
      </c>
      <c r="O274" s="173">
        <v>0</v>
      </c>
      <c r="P274" s="173">
        <v>0</v>
      </c>
      <c r="Q274" s="173">
        <v>0</v>
      </c>
    </row>
    <row r="275" spans="2:17" x14ac:dyDescent="0.25">
      <c r="B275" s="168" t="s">
        <v>619</v>
      </c>
      <c r="C275" s="168" t="s">
        <v>1072</v>
      </c>
      <c r="D275" s="168" t="s">
        <v>53</v>
      </c>
      <c r="E275" s="169">
        <v>439</v>
      </c>
      <c r="F275" s="169">
        <v>10</v>
      </c>
      <c r="G275" s="169">
        <v>4390</v>
      </c>
      <c r="H275" s="169">
        <v>0</v>
      </c>
      <c r="I275" s="169">
        <v>0</v>
      </c>
      <c r="J275" s="166"/>
      <c r="K275" s="166"/>
      <c r="L275" s="166"/>
      <c r="M275" s="169">
        <v>4390</v>
      </c>
      <c r="N275" s="166"/>
      <c r="O275" s="166"/>
      <c r="P275" s="166"/>
      <c r="Q275" s="169">
        <v>0</v>
      </c>
    </row>
    <row r="276" spans="2:17" x14ac:dyDescent="0.25">
      <c r="B276" s="170" t="s">
        <v>243</v>
      </c>
      <c r="C276" s="170" t="s">
        <v>1073</v>
      </c>
      <c r="D276" s="166"/>
      <c r="E276" s="166"/>
      <c r="F276" s="166"/>
      <c r="G276" s="171">
        <v>283797</v>
      </c>
      <c r="H276" s="166"/>
      <c r="I276" s="171">
        <v>0</v>
      </c>
      <c r="J276" s="171">
        <v>0</v>
      </c>
      <c r="K276" s="171">
        <v>0</v>
      </c>
      <c r="L276" s="171">
        <v>0</v>
      </c>
      <c r="M276" s="171">
        <v>283797</v>
      </c>
      <c r="N276" s="171">
        <v>0</v>
      </c>
      <c r="O276" s="171">
        <v>0</v>
      </c>
      <c r="P276" s="171">
        <v>0</v>
      </c>
      <c r="Q276" s="171">
        <v>0</v>
      </c>
    </row>
    <row r="277" spans="2:17" x14ac:dyDescent="0.25">
      <c r="B277" s="172" t="s">
        <v>244</v>
      </c>
      <c r="C277" s="172" t="s">
        <v>1074</v>
      </c>
      <c r="D277" s="166"/>
      <c r="E277" s="166"/>
      <c r="F277" s="166"/>
      <c r="G277" s="173">
        <v>224834</v>
      </c>
      <c r="H277" s="166"/>
      <c r="I277" s="173">
        <v>0</v>
      </c>
      <c r="J277" s="173">
        <v>0</v>
      </c>
      <c r="K277" s="173">
        <v>0</v>
      </c>
      <c r="L277" s="173">
        <v>0</v>
      </c>
      <c r="M277" s="173">
        <v>224834</v>
      </c>
      <c r="N277" s="173">
        <v>0</v>
      </c>
      <c r="O277" s="173">
        <v>0</v>
      </c>
      <c r="P277" s="173">
        <v>0</v>
      </c>
      <c r="Q277" s="173">
        <v>0</v>
      </c>
    </row>
    <row r="278" spans="2:17" x14ac:dyDescent="0.25">
      <c r="B278" s="168" t="s">
        <v>245</v>
      </c>
      <c r="C278" s="168" t="s">
        <v>1075</v>
      </c>
      <c r="D278" s="168" t="s">
        <v>157</v>
      </c>
      <c r="E278" s="169">
        <v>128.9</v>
      </c>
      <c r="F278" s="169">
        <v>280</v>
      </c>
      <c r="G278" s="169">
        <v>36092</v>
      </c>
      <c r="H278" s="169">
        <v>0</v>
      </c>
      <c r="I278" s="169">
        <v>0</v>
      </c>
      <c r="J278" s="166"/>
      <c r="K278" s="166"/>
      <c r="L278" s="166"/>
      <c r="M278" s="169">
        <v>36092</v>
      </c>
      <c r="N278" s="166"/>
      <c r="O278" s="166"/>
      <c r="P278" s="166"/>
      <c r="Q278" s="169">
        <v>0</v>
      </c>
    </row>
    <row r="279" spans="2:17" x14ac:dyDescent="0.25">
      <c r="B279" s="168" t="s">
        <v>246</v>
      </c>
      <c r="C279" s="168" t="s">
        <v>1076</v>
      </c>
      <c r="D279" s="168" t="s">
        <v>157</v>
      </c>
      <c r="E279" s="169">
        <v>227.34</v>
      </c>
      <c r="F279" s="169">
        <v>80</v>
      </c>
      <c r="G279" s="169">
        <v>18187.2</v>
      </c>
      <c r="H279" s="169">
        <v>0</v>
      </c>
      <c r="I279" s="169">
        <v>0</v>
      </c>
      <c r="J279" s="166"/>
      <c r="K279" s="166"/>
      <c r="L279" s="166"/>
      <c r="M279" s="169">
        <v>18187.2</v>
      </c>
      <c r="N279" s="166"/>
      <c r="O279" s="166"/>
      <c r="P279" s="166"/>
      <c r="Q279" s="169">
        <v>0</v>
      </c>
    </row>
    <row r="280" spans="2:17" x14ac:dyDescent="0.25">
      <c r="B280" s="168" t="s">
        <v>247</v>
      </c>
      <c r="C280" s="168" t="s">
        <v>2123</v>
      </c>
      <c r="D280" s="168" t="s">
        <v>157</v>
      </c>
      <c r="E280" s="169">
        <v>12.55</v>
      </c>
      <c r="F280" s="169">
        <v>570</v>
      </c>
      <c r="G280" s="169">
        <v>7153.5</v>
      </c>
      <c r="H280" s="169">
        <v>0</v>
      </c>
      <c r="I280" s="169">
        <v>0</v>
      </c>
      <c r="J280" s="166"/>
      <c r="K280" s="166"/>
      <c r="L280" s="166"/>
      <c r="M280" s="169">
        <v>7153.5</v>
      </c>
      <c r="N280" s="166"/>
      <c r="O280" s="166"/>
      <c r="P280" s="166"/>
      <c r="Q280" s="169">
        <v>0</v>
      </c>
    </row>
    <row r="281" spans="2:17" x14ac:dyDescent="0.25">
      <c r="B281" s="168" t="s">
        <v>248</v>
      </c>
      <c r="C281" s="168" t="s">
        <v>2124</v>
      </c>
      <c r="D281" s="168" t="s">
        <v>157</v>
      </c>
      <c r="E281" s="169">
        <v>23.58</v>
      </c>
      <c r="F281" s="169">
        <v>550</v>
      </c>
      <c r="G281" s="169">
        <v>12969</v>
      </c>
      <c r="H281" s="169">
        <v>0</v>
      </c>
      <c r="I281" s="169">
        <v>0</v>
      </c>
      <c r="J281" s="166"/>
      <c r="K281" s="166"/>
      <c r="L281" s="166"/>
      <c r="M281" s="169">
        <v>12969</v>
      </c>
      <c r="N281" s="166"/>
      <c r="O281" s="166"/>
      <c r="P281" s="166"/>
      <c r="Q281" s="169">
        <v>0</v>
      </c>
    </row>
    <row r="282" spans="2:17" x14ac:dyDescent="0.25">
      <c r="B282" s="168" t="s">
        <v>468</v>
      </c>
      <c r="C282" s="168" t="s">
        <v>2125</v>
      </c>
      <c r="D282" s="168" t="s">
        <v>157</v>
      </c>
      <c r="E282" s="169">
        <v>163.81</v>
      </c>
      <c r="F282" s="169">
        <v>570</v>
      </c>
      <c r="G282" s="169">
        <v>93371.7</v>
      </c>
      <c r="H282" s="169">
        <v>0</v>
      </c>
      <c r="I282" s="169">
        <v>0</v>
      </c>
      <c r="J282" s="166"/>
      <c r="K282" s="166"/>
      <c r="L282" s="166"/>
      <c r="M282" s="169">
        <v>93371.7</v>
      </c>
      <c r="N282" s="166"/>
      <c r="O282" s="166"/>
      <c r="P282" s="166"/>
      <c r="Q282" s="169">
        <v>0</v>
      </c>
    </row>
    <row r="283" spans="2:17" x14ac:dyDescent="0.25">
      <c r="B283" s="168" t="s">
        <v>1077</v>
      </c>
      <c r="C283" s="168" t="s">
        <v>1078</v>
      </c>
      <c r="D283" s="168" t="s">
        <v>157</v>
      </c>
      <c r="E283" s="169">
        <v>160.11000000000001</v>
      </c>
      <c r="F283" s="169">
        <v>340</v>
      </c>
      <c r="G283" s="169">
        <v>54437.4</v>
      </c>
      <c r="H283" s="169">
        <v>0</v>
      </c>
      <c r="I283" s="169">
        <v>0</v>
      </c>
      <c r="J283" s="166"/>
      <c r="K283" s="166"/>
      <c r="L283" s="166"/>
      <c r="M283" s="169">
        <v>54437.4</v>
      </c>
      <c r="N283" s="166"/>
      <c r="O283" s="166"/>
      <c r="P283" s="166"/>
      <c r="Q283" s="169">
        <v>0</v>
      </c>
    </row>
    <row r="284" spans="2:17" x14ac:dyDescent="0.25">
      <c r="B284" s="168" t="s">
        <v>1079</v>
      </c>
      <c r="C284" s="168" t="s">
        <v>1080</v>
      </c>
      <c r="D284" s="168" t="s">
        <v>157</v>
      </c>
      <c r="E284" s="169">
        <v>13.02</v>
      </c>
      <c r="F284" s="169">
        <v>80</v>
      </c>
      <c r="G284" s="169">
        <v>1041.5999999999999</v>
      </c>
      <c r="H284" s="169">
        <v>0</v>
      </c>
      <c r="I284" s="169">
        <v>0</v>
      </c>
      <c r="J284" s="166"/>
      <c r="K284" s="166"/>
      <c r="L284" s="166"/>
      <c r="M284" s="169">
        <v>1041.5999999999999</v>
      </c>
      <c r="N284" s="166"/>
      <c r="O284" s="166"/>
      <c r="P284" s="166"/>
      <c r="Q284" s="169">
        <v>0</v>
      </c>
    </row>
    <row r="285" spans="2:17" x14ac:dyDescent="0.25">
      <c r="B285" s="168" t="s">
        <v>1081</v>
      </c>
      <c r="C285" s="168" t="s">
        <v>1082</v>
      </c>
      <c r="D285" s="168" t="s">
        <v>157</v>
      </c>
      <c r="E285" s="169">
        <v>2</v>
      </c>
      <c r="F285" s="169">
        <v>300</v>
      </c>
      <c r="G285" s="169">
        <v>600</v>
      </c>
      <c r="H285" s="169">
        <v>0</v>
      </c>
      <c r="I285" s="169">
        <v>0</v>
      </c>
      <c r="J285" s="166"/>
      <c r="K285" s="166"/>
      <c r="L285" s="166"/>
      <c r="M285" s="169">
        <v>600</v>
      </c>
      <c r="N285" s="166"/>
      <c r="O285" s="166"/>
      <c r="P285" s="166"/>
      <c r="Q285" s="169">
        <v>0</v>
      </c>
    </row>
    <row r="286" spans="2:17" x14ac:dyDescent="0.25">
      <c r="B286" s="168" t="s">
        <v>1083</v>
      </c>
      <c r="C286" s="168" t="s">
        <v>1084</v>
      </c>
      <c r="D286" s="168" t="s">
        <v>157</v>
      </c>
      <c r="E286" s="169">
        <v>2.6</v>
      </c>
      <c r="F286" s="169">
        <v>300</v>
      </c>
      <c r="G286" s="169">
        <v>780</v>
      </c>
      <c r="H286" s="169">
        <v>0</v>
      </c>
      <c r="I286" s="169">
        <v>0</v>
      </c>
      <c r="J286" s="166"/>
      <c r="K286" s="166"/>
      <c r="L286" s="166"/>
      <c r="M286" s="169">
        <v>780</v>
      </c>
      <c r="N286" s="166"/>
      <c r="O286" s="166"/>
      <c r="P286" s="166"/>
      <c r="Q286" s="169">
        <v>0</v>
      </c>
    </row>
    <row r="287" spans="2:17" x14ac:dyDescent="0.25">
      <c r="B287" s="168" t="s">
        <v>1085</v>
      </c>
      <c r="C287" s="168" t="s">
        <v>1086</v>
      </c>
      <c r="D287" s="168" t="s">
        <v>157</v>
      </c>
      <c r="E287" s="169">
        <v>2.52</v>
      </c>
      <c r="F287" s="169">
        <v>80</v>
      </c>
      <c r="G287" s="169">
        <v>201.6</v>
      </c>
      <c r="H287" s="169">
        <v>0</v>
      </c>
      <c r="I287" s="169">
        <v>0</v>
      </c>
      <c r="J287" s="166"/>
      <c r="K287" s="166"/>
      <c r="L287" s="166"/>
      <c r="M287" s="169">
        <v>201.6</v>
      </c>
      <c r="N287" s="166"/>
      <c r="O287" s="166"/>
      <c r="P287" s="166"/>
      <c r="Q287" s="169">
        <v>0</v>
      </c>
    </row>
    <row r="288" spans="2:17" x14ac:dyDescent="0.25">
      <c r="B288" s="172" t="s">
        <v>249</v>
      </c>
      <c r="C288" s="172" t="s">
        <v>1087</v>
      </c>
      <c r="D288" s="166"/>
      <c r="E288" s="166"/>
      <c r="F288" s="166"/>
      <c r="G288" s="173">
        <v>54363</v>
      </c>
      <c r="H288" s="166"/>
      <c r="I288" s="173">
        <v>0</v>
      </c>
      <c r="J288" s="173">
        <v>0</v>
      </c>
      <c r="K288" s="173">
        <v>0</v>
      </c>
      <c r="L288" s="173">
        <v>0</v>
      </c>
      <c r="M288" s="173">
        <v>54363</v>
      </c>
      <c r="N288" s="173">
        <v>0</v>
      </c>
      <c r="O288" s="173">
        <v>0</v>
      </c>
      <c r="P288" s="173">
        <v>0</v>
      </c>
      <c r="Q288" s="173">
        <v>0</v>
      </c>
    </row>
    <row r="289" spans="2:17" x14ac:dyDescent="0.25">
      <c r="B289" s="168" t="s">
        <v>250</v>
      </c>
      <c r="C289" s="168" t="s">
        <v>1088</v>
      </c>
      <c r="D289" s="168" t="s">
        <v>29</v>
      </c>
      <c r="E289" s="169">
        <v>77.62</v>
      </c>
      <c r="F289" s="169">
        <v>150</v>
      </c>
      <c r="G289" s="169">
        <v>11643</v>
      </c>
      <c r="H289" s="169">
        <v>0</v>
      </c>
      <c r="I289" s="169">
        <v>0</v>
      </c>
      <c r="J289" s="166"/>
      <c r="K289" s="166"/>
      <c r="L289" s="166"/>
      <c r="M289" s="169">
        <v>11643</v>
      </c>
      <c r="N289" s="166"/>
      <c r="O289" s="166"/>
      <c r="P289" s="166"/>
      <c r="Q289" s="169">
        <v>0</v>
      </c>
    </row>
    <row r="290" spans="2:17" x14ac:dyDescent="0.25">
      <c r="B290" s="168" t="s">
        <v>251</v>
      </c>
      <c r="C290" s="168" t="s">
        <v>1089</v>
      </c>
      <c r="D290" s="168" t="s">
        <v>53</v>
      </c>
      <c r="E290" s="169">
        <v>1</v>
      </c>
      <c r="F290" s="169">
        <v>800</v>
      </c>
      <c r="G290" s="169">
        <v>800</v>
      </c>
      <c r="H290" s="169">
        <v>0</v>
      </c>
      <c r="I290" s="169">
        <v>0</v>
      </c>
      <c r="J290" s="166"/>
      <c r="K290" s="166"/>
      <c r="L290" s="166"/>
      <c r="M290" s="169">
        <v>800</v>
      </c>
      <c r="N290" s="166"/>
      <c r="O290" s="166"/>
      <c r="P290" s="166"/>
      <c r="Q290" s="169">
        <v>0</v>
      </c>
    </row>
    <row r="291" spans="2:17" x14ac:dyDescent="0.25">
      <c r="B291" s="168" t="s">
        <v>252</v>
      </c>
      <c r="C291" s="168" t="s">
        <v>1090</v>
      </c>
      <c r="D291" s="168" t="s">
        <v>53</v>
      </c>
      <c r="E291" s="169">
        <v>1</v>
      </c>
      <c r="F291" s="169">
        <v>800</v>
      </c>
      <c r="G291" s="169">
        <v>800</v>
      </c>
      <c r="H291" s="169">
        <v>0</v>
      </c>
      <c r="I291" s="169">
        <v>0</v>
      </c>
      <c r="J291" s="166"/>
      <c r="K291" s="166"/>
      <c r="L291" s="166"/>
      <c r="M291" s="169">
        <v>800</v>
      </c>
      <c r="N291" s="166"/>
      <c r="O291" s="166"/>
      <c r="P291" s="166"/>
      <c r="Q291" s="169">
        <v>0</v>
      </c>
    </row>
    <row r="292" spans="2:17" x14ac:dyDescent="0.25">
      <c r="B292" s="168" t="s">
        <v>253</v>
      </c>
      <c r="C292" s="168" t="s">
        <v>1091</v>
      </c>
      <c r="D292" s="168" t="s">
        <v>53</v>
      </c>
      <c r="E292" s="169">
        <v>1</v>
      </c>
      <c r="F292" s="169">
        <v>600</v>
      </c>
      <c r="G292" s="169">
        <v>600</v>
      </c>
      <c r="H292" s="169">
        <v>0</v>
      </c>
      <c r="I292" s="169">
        <v>0</v>
      </c>
      <c r="J292" s="166"/>
      <c r="K292" s="166"/>
      <c r="L292" s="166"/>
      <c r="M292" s="169">
        <v>600</v>
      </c>
      <c r="N292" s="166"/>
      <c r="O292" s="166"/>
      <c r="P292" s="166"/>
      <c r="Q292" s="169">
        <v>0</v>
      </c>
    </row>
    <row r="293" spans="2:17" x14ac:dyDescent="0.25">
      <c r="B293" s="168" t="s">
        <v>1092</v>
      </c>
      <c r="C293" s="168" t="s">
        <v>1093</v>
      </c>
      <c r="D293" s="168" t="s">
        <v>53</v>
      </c>
      <c r="E293" s="169">
        <v>1</v>
      </c>
      <c r="F293" s="169">
        <v>900</v>
      </c>
      <c r="G293" s="169">
        <v>900</v>
      </c>
      <c r="H293" s="169">
        <v>0</v>
      </c>
      <c r="I293" s="169">
        <v>0</v>
      </c>
      <c r="J293" s="166"/>
      <c r="K293" s="166"/>
      <c r="L293" s="166"/>
      <c r="M293" s="169">
        <v>900</v>
      </c>
      <c r="N293" s="166"/>
      <c r="O293" s="166"/>
      <c r="P293" s="166"/>
      <c r="Q293" s="169">
        <v>0</v>
      </c>
    </row>
    <row r="294" spans="2:17" x14ac:dyDescent="0.25">
      <c r="B294" s="168" t="s">
        <v>1094</v>
      </c>
      <c r="C294" s="168" t="s">
        <v>1095</v>
      </c>
      <c r="D294" s="168" t="s">
        <v>53</v>
      </c>
      <c r="E294" s="169">
        <v>3</v>
      </c>
      <c r="F294" s="169">
        <v>550</v>
      </c>
      <c r="G294" s="169">
        <v>1650</v>
      </c>
      <c r="H294" s="169">
        <v>0</v>
      </c>
      <c r="I294" s="169">
        <v>0</v>
      </c>
      <c r="J294" s="166"/>
      <c r="K294" s="166"/>
      <c r="L294" s="166"/>
      <c r="M294" s="169">
        <v>1650</v>
      </c>
      <c r="N294" s="166"/>
      <c r="O294" s="166"/>
      <c r="P294" s="166"/>
      <c r="Q294" s="169">
        <v>0</v>
      </c>
    </row>
    <row r="295" spans="2:17" x14ac:dyDescent="0.25">
      <c r="B295" s="168" t="s">
        <v>1096</v>
      </c>
      <c r="C295" s="168" t="s">
        <v>1097</v>
      </c>
      <c r="D295" s="168" t="s">
        <v>53</v>
      </c>
      <c r="E295" s="169">
        <v>5</v>
      </c>
      <c r="F295" s="169">
        <v>200</v>
      </c>
      <c r="G295" s="169">
        <v>1000</v>
      </c>
      <c r="H295" s="169">
        <v>0</v>
      </c>
      <c r="I295" s="169">
        <v>0</v>
      </c>
      <c r="J295" s="166"/>
      <c r="K295" s="166"/>
      <c r="L295" s="166"/>
      <c r="M295" s="169">
        <v>1000</v>
      </c>
      <c r="N295" s="166"/>
      <c r="O295" s="166"/>
      <c r="P295" s="166"/>
      <c r="Q295" s="169">
        <v>0</v>
      </c>
    </row>
    <row r="296" spans="2:17" x14ac:dyDescent="0.25">
      <c r="B296" s="168" t="s">
        <v>1098</v>
      </c>
      <c r="C296" s="168" t="s">
        <v>1099</v>
      </c>
      <c r="D296" s="168" t="s">
        <v>53</v>
      </c>
      <c r="E296" s="169">
        <v>1</v>
      </c>
      <c r="F296" s="169">
        <v>500</v>
      </c>
      <c r="G296" s="169">
        <v>500</v>
      </c>
      <c r="H296" s="169">
        <v>0</v>
      </c>
      <c r="I296" s="169">
        <v>0</v>
      </c>
      <c r="J296" s="166"/>
      <c r="K296" s="166"/>
      <c r="L296" s="166"/>
      <c r="M296" s="169">
        <v>500</v>
      </c>
      <c r="N296" s="166"/>
      <c r="O296" s="166"/>
      <c r="P296" s="166"/>
      <c r="Q296" s="169">
        <v>0</v>
      </c>
    </row>
    <row r="297" spans="2:17" x14ac:dyDescent="0.25">
      <c r="B297" s="168" t="s">
        <v>1100</v>
      </c>
      <c r="C297" s="168" t="s">
        <v>1101</v>
      </c>
      <c r="D297" s="168" t="s">
        <v>53</v>
      </c>
      <c r="E297" s="169">
        <v>1</v>
      </c>
      <c r="F297" s="169">
        <v>1400</v>
      </c>
      <c r="G297" s="169">
        <v>1400</v>
      </c>
      <c r="H297" s="169">
        <v>0</v>
      </c>
      <c r="I297" s="169">
        <v>0</v>
      </c>
      <c r="J297" s="166"/>
      <c r="K297" s="166"/>
      <c r="L297" s="166"/>
      <c r="M297" s="169">
        <v>1400</v>
      </c>
      <c r="N297" s="166"/>
      <c r="O297" s="166"/>
      <c r="P297" s="166"/>
      <c r="Q297" s="169">
        <v>0</v>
      </c>
    </row>
    <row r="298" spans="2:17" x14ac:dyDescent="0.25">
      <c r="B298" s="168" t="s">
        <v>1102</v>
      </c>
      <c r="C298" s="168" t="s">
        <v>1103</v>
      </c>
      <c r="D298" s="168" t="s">
        <v>53</v>
      </c>
      <c r="E298" s="169">
        <v>1</v>
      </c>
      <c r="F298" s="169">
        <v>250</v>
      </c>
      <c r="G298" s="169">
        <v>250</v>
      </c>
      <c r="H298" s="169">
        <v>0</v>
      </c>
      <c r="I298" s="169">
        <v>0</v>
      </c>
      <c r="J298" s="166"/>
      <c r="K298" s="166"/>
      <c r="L298" s="166"/>
      <c r="M298" s="169">
        <v>250</v>
      </c>
      <c r="N298" s="166"/>
      <c r="O298" s="166"/>
      <c r="P298" s="166"/>
      <c r="Q298" s="169">
        <v>0</v>
      </c>
    </row>
    <row r="299" spans="2:17" x14ac:dyDescent="0.25">
      <c r="B299" s="168" t="s">
        <v>1104</v>
      </c>
      <c r="C299" s="168" t="s">
        <v>1105</v>
      </c>
      <c r="D299" s="168" t="s">
        <v>53</v>
      </c>
      <c r="E299" s="169">
        <v>1</v>
      </c>
      <c r="F299" s="169">
        <v>1200</v>
      </c>
      <c r="G299" s="169">
        <v>1200</v>
      </c>
      <c r="H299" s="169">
        <v>0</v>
      </c>
      <c r="I299" s="169">
        <v>0</v>
      </c>
      <c r="J299" s="166"/>
      <c r="K299" s="166"/>
      <c r="L299" s="166"/>
      <c r="M299" s="169">
        <v>1200</v>
      </c>
      <c r="N299" s="166"/>
      <c r="O299" s="166"/>
      <c r="P299" s="166"/>
      <c r="Q299" s="169">
        <v>0</v>
      </c>
    </row>
    <row r="300" spans="2:17" x14ac:dyDescent="0.25">
      <c r="B300" s="168" t="s">
        <v>1106</v>
      </c>
      <c r="C300" s="168" t="s">
        <v>1107</v>
      </c>
      <c r="D300" s="168" t="s">
        <v>53</v>
      </c>
      <c r="E300" s="169">
        <v>22</v>
      </c>
      <c r="F300" s="169">
        <v>200</v>
      </c>
      <c r="G300" s="169">
        <v>4400</v>
      </c>
      <c r="H300" s="169">
        <v>0</v>
      </c>
      <c r="I300" s="169">
        <v>0</v>
      </c>
      <c r="J300" s="166"/>
      <c r="K300" s="166"/>
      <c r="L300" s="166"/>
      <c r="M300" s="169">
        <v>4400</v>
      </c>
      <c r="N300" s="166"/>
      <c r="O300" s="166"/>
      <c r="P300" s="166"/>
      <c r="Q300" s="169">
        <v>0</v>
      </c>
    </row>
    <row r="301" spans="2:17" x14ac:dyDescent="0.25">
      <c r="B301" s="168" t="s">
        <v>1108</v>
      </c>
      <c r="C301" s="168" t="s">
        <v>1109</v>
      </c>
      <c r="D301" s="168" t="s">
        <v>53</v>
      </c>
      <c r="E301" s="169">
        <v>172</v>
      </c>
      <c r="F301" s="169">
        <v>60</v>
      </c>
      <c r="G301" s="169">
        <v>10320</v>
      </c>
      <c r="H301" s="169">
        <v>0</v>
      </c>
      <c r="I301" s="169">
        <v>0</v>
      </c>
      <c r="J301" s="166"/>
      <c r="K301" s="166"/>
      <c r="L301" s="166"/>
      <c r="M301" s="169">
        <v>10320</v>
      </c>
      <c r="N301" s="166"/>
      <c r="O301" s="166"/>
      <c r="P301" s="166"/>
      <c r="Q301" s="169">
        <v>0</v>
      </c>
    </row>
    <row r="302" spans="2:17" x14ac:dyDescent="0.25">
      <c r="B302" s="168" t="s">
        <v>1898</v>
      </c>
      <c r="C302" s="168" t="s">
        <v>1899</v>
      </c>
      <c r="D302" s="168" t="s">
        <v>53</v>
      </c>
      <c r="E302" s="169">
        <v>27</v>
      </c>
      <c r="F302" s="169">
        <v>700</v>
      </c>
      <c r="G302" s="169">
        <v>18900</v>
      </c>
      <c r="H302" s="169">
        <v>0</v>
      </c>
      <c r="I302" s="169">
        <v>0</v>
      </c>
      <c r="J302" s="166"/>
      <c r="K302" s="166"/>
      <c r="L302" s="166"/>
      <c r="M302" s="169">
        <v>18900</v>
      </c>
      <c r="N302" s="166"/>
      <c r="O302" s="166"/>
      <c r="P302" s="166"/>
      <c r="Q302" s="169">
        <v>0</v>
      </c>
    </row>
    <row r="303" spans="2:17" x14ac:dyDescent="0.25">
      <c r="B303" s="172" t="s">
        <v>254</v>
      </c>
      <c r="C303" s="172" t="s">
        <v>1110</v>
      </c>
      <c r="D303" s="166"/>
      <c r="E303" s="166"/>
      <c r="F303" s="166"/>
      <c r="G303" s="173">
        <v>4600</v>
      </c>
      <c r="H303" s="166"/>
      <c r="I303" s="173">
        <v>0</v>
      </c>
      <c r="J303" s="173">
        <v>0</v>
      </c>
      <c r="K303" s="173">
        <v>0</v>
      </c>
      <c r="L303" s="173">
        <v>0</v>
      </c>
      <c r="M303" s="173">
        <v>4600</v>
      </c>
      <c r="N303" s="173">
        <v>0</v>
      </c>
      <c r="O303" s="173">
        <v>0</v>
      </c>
      <c r="P303" s="173">
        <v>0</v>
      </c>
      <c r="Q303" s="173">
        <v>0</v>
      </c>
    </row>
    <row r="304" spans="2:17" x14ac:dyDescent="0.25">
      <c r="B304" s="168" t="s">
        <v>255</v>
      </c>
      <c r="C304" s="168" t="s">
        <v>1111</v>
      </c>
      <c r="D304" s="168" t="s">
        <v>53</v>
      </c>
      <c r="E304" s="169">
        <v>2</v>
      </c>
      <c r="F304" s="169">
        <v>800</v>
      </c>
      <c r="G304" s="169">
        <v>1600</v>
      </c>
      <c r="H304" s="169">
        <v>0</v>
      </c>
      <c r="I304" s="169">
        <v>0</v>
      </c>
      <c r="J304" s="166"/>
      <c r="K304" s="166"/>
      <c r="L304" s="166"/>
      <c r="M304" s="169">
        <v>1600</v>
      </c>
      <c r="N304" s="166"/>
      <c r="O304" s="166"/>
      <c r="P304" s="166"/>
      <c r="Q304" s="169">
        <v>0</v>
      </c>
    </row>
    <row r="305" spans="2:17" x14ac:dyDescent="0.25">
      <c r="B305" s="168" t="s">
        <v>256</v>
      </c>
      <c r="C305" s="168" t="s">
        <v>1112</v>
      </c>
      <c r="D305" s="168" t="s">
        <v>53</v>
      </c>
      <c r="E305" s="169">
        <v>1</v>
      </c>
      <c r="F305" s="169">
        <v>1400</v>
      </c>
      <c r="G305" s="169">
        <v>1400</v>
      </c>
      <c r="H305" s="169">
        <v>0</v>
      </c>
      <c r="I305" s="169">
        <v>0</v>
      </c>
      <c r="J305" s="166"/>
      <c r="K305" s="166"/>
      <c r="L305" s="166"/>
      <c r="M305" s="169">
        <v>1400</v>
      </c>
      <c r="N305" s="166"/>
      <c r="O305" s="166"/>
      <c r="P305" s="166"/>
      <c r="Q305" s="169">
        <v>0</v>
      </c>
    </row>
    <row r="306" spans="2:17" x14ac:dyDescent="0.25">
      <c r="B306" s="168" t="s">
        <v>257</v>
      </c>
      <c r="C306" s="168" t="s">
        <v>1113</v>
      </c>
      <c r="D306" s="168" t="s">
        <v>53</v>
      </c>
      <c r="E306" s="169">
        <v>1</v>
      </c>
      <c r="F306" s="169">
        <v>1600</v>
      </c>
      <c r="G306" s="169">
        <v>1600</v>
      </c>
      <c r="H306" s="169">
        <v>0</v>
      </c>
      <c r="I306" s="169">
        <v>0</v>
      </c>
      <c r="J306" s="166"/>
      <c r="K306" s="166"/>
      <c r="L306" s="166"/>
      <c r="M306" s="169">
        <v>1600</v>
      </c>
      <c r="N306" s="166"/>
      <c r="O306" s="166"/>
      <c r="P306" s="166"/>
      <c r="Q306" s="169">
        <v>0</v>
      </c>
    </row>
    <row r="307" spans="2:17" x14ac:dyDescent="0.25">
      <c r="B307" s="170" t="s">
        <v>469</v>
      </c>
      <c r="C307" s="170" t="s">
        <v>1114</v>
      </c>
      <c r="D307" s="166"/>
      <c r="E307" s="166"/>
      <c r="F307" s="166"/>
      <c r="G307" s="171">
        <v>689783.5</v>
      </c>
      <c r="H307" s="166"/>
      <c r="I307" s="171">
        <v>0</v>
      </c>
      <c r="J307" s="171">
        <v>0</v>
      </c>
      <c r="K307" s="171">
        <v>0</v>
      </c>
      <c r="L307" s="171">
        <v>0</v>
      </c>
      <c r="M307" s="171">
        <v>689783.5</v>
      </c>
      <c r="N307" s="171">
        <v>0</v>
      </c>
      <c r="O307" s="171">
        <v>0</v>
      </c>
      <c r="P307" s="171">
        <v>0</v>
      </c>
      <c r="Q307" s="171">
        <v>0</v>
      </c>
    </row>
    <row r="308" spans="2:17" x14ac:dyDescent="0.25">
      <c r="B308" s="172" t="s">
        <v>470</v>
      </c>
      <c r="C308" s="172" t="s">
        <v>463</v>
      </c>
      <c r="D308" s="166"/>
      <c r="E308" s="166"/>
      <c r="F308" s="166"/>
      <c r="G308" s="173">
        <v>251805</v>
      </c>
      <c r="H308" s="166"/>
      <c r="I308" s="173">
        <v>0</v>
      </c>
      <c r="J308" s="173">
        <v>0</v>
      </c>
      <c r="K308" s="173">
        <v>0</v>
      </c>
      <c r="L308" s="173">
        <v>0</v>
      </c>
      <c r="M308" s="173">
        <v>251805</v>
      </c>
      <c r="N308" s="173">
        <v>0</v>
      </c>
      <c r="O308" s="173">
        <v>0</v>
      </c>
      <c r="P308" s="173">
        <v>0</v>
      </c>
      <c r="Q308" s="173">
        <v>0</v>
      </c>
    </row>
    <row r="309" spans="2:17" x14ac:dyDescent="0.25">
      <c r="B309" s="168" t="s">
        <v>471</v>
      </c>
      <c r="C309" s="168" t="s">
        <v>1115</v>
      </c>
      <c r="D309" s="168" t="s">
        <v>53</v>
      </c>
      <c r="E309" s="169">
        <v>22</v>
      </c>
      <c r="F309" s="169">
        <v>255</v>
      </c>
      <c r="G309" s="169">
        <v>5610</v>
      </c>
      <c r="H309" s="169">
        <v>0</v>
      </c>
      <c r="I309" s="169">
        <v>0</v>
      </c>
      <c r="J309" s="166"/>
      <c r="K309" s="166"/>
      <c r="L309" s="166"/>
      <c r="M309" s="169">
        <v>5610</v>
      </c>
      <c r="N309" s="166"/>
      <c r="O309" s="166"/>
      <c r="P309" s="166"/>
      <c r="Q309" s="169">
        <v>0</v>
      </c>
    </row>
    <row r="310" spans="2:17" x14ac:dyDescent="0.25">
      <c r="B310" s="168" t="s">
        <v>472</v>
      </c>
      <c r="C310" s="168" t="s">
        <v>1116</v>
      </c>
      <c r="D310" s="168" t="s">
        <v>53</v>
      </c>
      <c r="E310" s="169">
        <v>6</v>
      </c>
      <c r="F310" s="169">
        <v>1045</v>
      </c>
      <c r="G310" s="169">
        <v>6270</v>
      </c>
      <c r="H310" s="169">
        <v>0</v>
      </c>
      <c r="I310" s="169">
        <v>0</v>
      </c>
      <c r="J310" s="166"/>
      <c r="K310" s="166"/>
      <c r="L310" s="166"/>
      <c r="M310" s="169">
        <v>6270</v>
      </c>
      <c r="N310" s="166"/>
      <c r="O310" s="166"/>
      <c r="P310" s="166"/>
      <c r="Q310" s="169">
        <v>0</v>
      </c>
    </row>
    <row r="311" spans="2:17" x14ac:dyDescent="0.25">
      <c r="B311" s="168" t="s">
        <v>473</v>
      </c>
      <c r="C311" s="168" t="s">
        <v>1117</v>
      </c>
      <c r="D311" s="168" t="s">
        <v>53</v>
      </c>
      <c r="E311" s="169">
        <v>1</v>
      </c>
      <c r="F311" s="169">
        <v>410</v>
      </c>
      <c r="G311" s="169">
        <v>410</v>
      </c>
      <c r="H311" s="169">
        <v>0</v>
      </c>
      <c r="I311" s="169">
        <v>0</v>
      </c>
      <c r="J311" s="166"/>
      <c r="K311" s="166"/>
      <c r="L311" s="166"/>
      <c r="M311" s="169">
        <v>410</v>
      </c>
      <c r="N311" s="166"/>
      <c r="O311" s="166"/>
      <c r="P311" s="166"/>
      <c r="Q311" s="169">
        <v>0</v>
      </c>
    </row>
    <row r="312" spans="2:17" x14ac:dyDescent="0.25">
      <c r="B312" s="168" t="s">
        <v>474</v>
      </c>
      <c r="C312" s="168" t="s">
        <v>1118</v>
      </c>
      <c r="D312" s="168" t="s">
        <v>53</v>
      </c>
      <c r="E312" s="169">
        <v>52</v>
      </c>
      <c r="F312" s="169">
        <v>1400</v>
      </c>
      <c r="G312" s="169">
        <v>72800</v>
      </c>
      <c r="H312" s="169">
        <v>0</v>
      </c>
      <c r="I312" s="169">
        <v>0</v>
      </c>
      <c r="J312" s="166"/>
      <c r="K312" s="166"/>
      <c r="L312" s="166"/>
      <c r="M312" s="169">
        <v>72800</v>
      </c>
      <c r="N312" s="166"/>
      <c r="O312" s="166"/>
      <c r="P312" s="166"/>
      <c r="Q312" s="169">
        <v>0</v>
      </c>
    </row>
    <row r="313" spans="2:17" x14ac:dyDescent="0.25">
      <c r="B313" s="168" t="s">
        <v>475</v>
      </c>
      <c r="C313" s="168" t="s">
        <v>1119</v>
      </c>
      <c r="D313" s="168" t="s">
        <v>53</v>
      </c>
      <c r="E313" s="169">
        <v>21</v>
      </c>
      <c r="F313" s="169">
        <v>915</v>
      </c>
      <c r="G313" s="169">
        <v>19215</v>
      </c>
      <c r="H313" s="169">
        <v>0</v>
      </c>
      <c r="I313" s="169">
        <v>0</v>
      </c>
      <c r="J313" s="166"/>
      <c r="K313" s="166"/>
      <c r="L313" s="166"/>
      <c r="M313" s="169">
        <v>19215</v>
      </c>
      <c r="N313" s="166"/>
      <c r="O313" s="166"/>
      <c r="P313" s="166"/>
      <c r="Q313" s="169">
        <v>0</v>
      </c>
    </row>
    <row r="314" spans="2:17" x14ac:dyDescent="0.25">
      <c r="B314" s="168" t="s">
        <v>476</v>
      </c>
      <c r="C314" s="168" t="s">
        <v>1120</v>
      </c>
      <c r="D314" s="168" t="s">
        <v>53</v>
      </c>
      <c r="E314" s="169">
        <v>23</v>
      </c>
      <c r="F314" s="169">
        <v>870</v>
      </c>
      <c r="G314" s="169">
        <v>20010</v>
      </c>
      <c r="H314" s="169">
        <v>0</v>
      </c>
      <c r="I314" s="169">
        <v>0</v>
      </c>
      <c r="J314" s="166"/>
      <c r="K314" s="166"/>
      <c r="L314" s="166"/>
      <c r="M314" s="169">
        <v>20010</v>
      </c>
      <c r="N314" s="166"/>
      <c r="O314" s="166"/>
      <c r="P314" s="166"/>
      <c r="Q314" s="169">
        <v>0</v>
      </c>
    </row>
    <row r="315" spans="2:17" x14ac:dyDescent="0.25">
      <c r="B315" s="168" t="s">
        <v>477</v>
      </c>
      <c r="C315" s="168" t="s">
        <v>1121</v>
      </c>
      <c r="D315" s="168" t="s">
        <v>53</v>
      </c>
      <c r="E315" s="169">
        <v>21</v>
      </c>
      <c r="F315" s="169">
        <v>1050</v>
      </c>
      <c r="G315" s="169">
        <v>22050</v>
      </c>
      <c r="H315" s="169">
        <v>0</v>
      </c>
      <c r="I315" s="169">
        <v>0</v>
      </c>
      <c r="J315" s="166"/>
      <c r="K315" s="166"/>
      <c r="L315" s="166"/>
      <c r="M315" s="169">
        <v>22050</v>
      </c>
      <c r="N315" s="166"/>
      <c r="O315" s="166"/>
      <c r="P315" s="166"/>
      <c r="Q315" s="169">
        <v>0</v>
      </c>
    </row>
    <row r="316" spans="2:17" x14ac:dyDescent="0.25">
      <c r="B316" s="168" t="s">
        <v>1122</v>
      </c>
      <c r="C316" s="168" t="s">
        <v>1123</v>
      </c>
      <c r="D316" s="168" t="s">
        <v>53</v>
      </c>
      <c r="E316" s="169">
        <v>21</v>
      </c>
      <c r="F316" s="169">
        <v>1560</v>
      </c>
      <c r="G316" s="169">
        <v>32760</v>
      </c>
      <c r="H316" s="169">
        <v>0</v>
      </c>
      <c r="I316" s="169">
        <v>0</v>
      </c>
      <c r="J316" s="166"/>
      <c r="K316" s="166"/>
      <c r="L316" s="166"/>
      <c r="M316" s="169">
        <v>32760</v>
      </c>
      <c r="N316" s="166"/>
      <c r="O316" s="166"/>
      <c r="P316" s="166"/>
      <c r="Q316" s="169">
        <v>0</v>
      </c>
    </row>
    <row r="317" spans="2:17" x14ac:dyDescent="0.25">
      <c r="B317" s="168" t="s">
        <v>1124</v>
      </c>
      <c r="C317" s="168" t="s">
        <v>1125</v>
      </c>
      <c r="D317" s="168" t="s">
        <v>53</v>
      </c>
      <c r="E317" s="169">
        <v>13</v>
      </c>
      <c r="F317" s="169">
        <v>1785</v>
      </c>
      <c r="G317" s="169">
        <v>23205</v>
      </c>
      <c r="H317" s="169">
        <v>0</v>
      </c>
      <c r="I317" s="169">
        <v>0</v>
      </c>
      <c r="J317" s="166"/>
      <c r="K317" s="166"/>
      <c r="L317" s="166"/>
      <c r="M317" s="169">
        <v>23205</v>
      </c>
      <c r="N317" s="166"/>
      <c r="O317" s="166"/>
      <c r="P317" s="166"/>
      <c r="Q317" s="169">
        <v>0</v>
      </c>
    </row>
    <row r="318" spans="2:17" x14ac:dyDescent="0.25">
      <c r="B318" s="168" t="s">
        <v>1126</v>
      </c>
      <c r="C318" s="168" t="s">
        <v>1127</v>
      </c>
      <c r="D318" s="168" t="s">
        <v>53</v>
      </c>
      <c r="E318" s="169">
        <v>13</v>
      </c>
      <c r="F318" s="169">
        <v>1525</v>
      </c>
      <c r="G318" s="169">
        <v>19825</v>
      </c>
      <c r="H318" s="169">
        <v>0</v>
      </c>
      <c r="I318" s="169">
        <v>0</v>
      </c>
      <c r="J318" s="166"/>
      <c r="K318" s="166"/>
      <c r="L318" s="166"/>
      <c r="M318" s="169">
        <v>19825</v>
      </c>
      <c r="N318" s="166"/>
      <c r="O318" s="166"/>
      <c r="P318" s="166"/>
      <c r="Q318" s="169">
        <v>0</v>
      </c>
    </row>
    <row r="319" spans="2:17" x14ac:dyDescent="0.25">
      <c r="B319" s="168" t="s">
        <v>1128</v>
      </c>
      <c r="C319" s="168" t="s">
        <v>1129</v>
      </c>
      <c r="D319" s="168" t="s">
        <v>53</v>
      </c>
      <c r="E319" s="169">
        <v>1</v>
      </c>
      <c r="F319" s="169">
        <v>260</v>
      </c>
      <c r="G319" s="169">
        <v>260</v>
      </c>
      <c r="H319" s="169">
        <v>0</v>
      </c>
      <c r="I319" s="169">
        <v>0</v>
      </c>
      <c r="J319" s="166"/>
      <c r="K319" s="166"/>
      <c r="L319" s="166"/>
      <c r="M319" s="169">
        <v>260</v>
      </c>
      <c r="N319" s="166"/>
      <c r="O319" s="166"/>
      <c r="P319" s="166"/>
      <c r="Q319" s="169">
        <v>0</v>
      </c>
    </row>
    <row r="320" spans="2:17" x14ac:dyDescent="0.25">
      <c r="B320" s="168" t="s">
        <v>1130</v>
      </c>
      <c r="C320" s="168" t="s">
        <v>1131</v>
      </c>
      <c r="D320" s="168" t="s">
        <v>53</v>
      </c>
      <c r="E320" s="169">
        <v>1</v>
      </c>
      <c r="F320" s="169">
        <v>600</v>
      </c>
      <c r="G320" s="169">
        <v>600</v>
      </c>
      <c r="H320" s="169">
        <v>0</v>
      </c>
      <c r="I320" s="169">
        <v>0</v>
      </c>
      <c r="J320" s="166"/>
      <c r="K320" s="166"/>
      <c r="L320" s="166"/>
      <c r="M320" s="169">
        <v>600</v>
      </c>
      <c r="N320" s="166"/>
      <c r="O320" s="166"/>
      <c r="P320" s="166"/>
      <c r="Q320" s="169">
        <v>0</v>
      </c>
    </row>
    <row r="321" spans="2:17" x14ac:dyDescent="0.25">
      <c r="B321" s="168" t="s">
        <v>1132</v>
      </c>
      <c r="C321" s="168" t="s">
        <v>1133</v>
      </c>
      <c r="D321" s="168" t="s">
        <v>53</v>
      </c>
      <c r="E321" s="169">
        <v>2</v>
      </c>
      <c r="F321" s="169">
        <v>800</v>
      </c>
      <c r="G321" s="169">
        <v>1600</v>
      </c>
      <c r="H321" s="169">
        <v>0</v>
      </c>
      <c r="I321" s="169">
        <v>0</v>
      </c>
      <c r="J321" s="166"/>
      <c r="K321" s="166"/>
      <c r="L321" s="166"/>
      <c r="M321" s="169">
        <v>1600</v>
      </c>
      <c r="N321" s="166"/>
      <c r="O321" s="166"/>
      <c r="P321" s="166"/>
      <c r="Q321" s="169">
        <v>0</v>
      </c>
    </row>
    <row r="322" spans="2:17" x14ac:dyDescent="0.25">
      <c r="B322" s="168" t="s">
        <v>1134</v>
      </c>
      <c r="C322" s="168" t="s">
        <v>1135</v>
      </c>
      <c r="D322" s="168" t="s">
        <v>53</v>
      </c>
      <c r="E322" s="169">
        <v>258</v>
      </c>
      <c r="F322" s="169">
        <v>20</v>
      </c>
      <c r="G322" s="169">
        <v>5160</v>
      </c>
      <c r="H322" s="169">
        <v>0</v>
      </c>
      <c r="I322" s="169">
        <v>0</v>
      </c>
      <c r="J322" s="166"/>
      <c r="K322" s="166"/>
      <c r="L322" s="166"/>
      <c r="M322" s="169">
        <v>5160</v>
      </c>
      <c r="N322" s="166"/>
      <c r="O322" s="166"/>
      <c r="P322" s="166"/>
      <c r="Q322" s="169">
        <v>0</v>
      </c>
    </row>
    <row r="323" spans="2:17" x14ac:dyDescent="0.25">
      <c r="B323" s="168" t="s">
        <v>1136</v>
      </c>
      <c r="C323" s="168" t="s">
        <v>1137</v>
      </c>
      <c r="D323" s="168" t="s">
        <v>53</v>
      </c>
      <c r="E323" s="169">
        <v>21</v>
      </c>
      <c r="F323" s="169">
        <v>120</v>
      </c>
      <c r="G323" s="169">
        <v>2520</v>
      </c>
      <c r="H323" s="169">
        <v>0</v>
      </c>
      <c r="I323" s="169">
        <v>0</v>
      </c>
      <c r="J323" s="166"/>
      <c r="K323" s="166"/>
      <c r="L323" s="166"/>
      <c r="M323" s="169">
        <v>2520</v>
      </c>
      <c r="N323" s="166"/>
      <c r="O323" s="166"/>
      <c r="P323" s="166"/>
      <c r="Q323" s="169">
        <v>0</v>
      </c>
    </row>
    <row r="324" spans="2:17" x14ac:dyDescent="0.25">
      <c r="B324" s="168" t="s">
        <v>1138</v>
      </c>
      <c r="C324" s="168" t="s">
        <v>1139</v>
      </c>
      <c r="D324" s="168" t="s">
        <v>53</v>
      </c>
      <c r="E324" s="169">
        <v>23</v>
      </c>
      <c r="F324" s="169">
        <v>120</v>
      </c>
      <c r="G324" s="169">
        <v>2760</v>
      </c>
      <c r="H324" s="169">
        <v>0</v>
      </c>
      <c r="I324" s="169">
        <v>0</v>
      </c>
      <c r="J324" s="166"/>
      <c r="K324" s="166"/>
      <c r="L324" s="166"/>
      <c r="M324" s="169">
        <v>2760</v>
      </c>
      <c r="N324" s="166"/>
      <c r="O324" s="166"/>
      <c r="P324" s="166"/>
      <c r="Q324" s="169">
        <v>0</v>
      </c>
    </row>
    <row r="325" spans="2:17" x14ac:dyDescent="0.25">
      <c r="B325" s="168" t="s">
        <v>1140</v>
      </c>
      <c r="C325" s="168" t="s">
        <v>1141</v>
      </c>
      <c r="D325" s="168" t="s">
        <v>53</v>
      </c>
      <c r="E325" s="169">
        <v>25</v>
      </c>
      <c r="F325" s="169">
        <v>130</v>
      </c>
      <c r="G325" s="169">
        <v>3250</v>
      </c>
      <c r="H325" s="169">
        <v>0</v>
      </c>
      <c r="I325" s="169">
        <v>0</v>
      </c>
      <c r="J325" s="166"/>
      <c r="K325" s="166"/>
      <c r="L325" s="166"/>
      <c r="M325" s="169">
        <v>3250</v>
      </c>
      <c r="N325" s="166"/>
      <c r="O325" s="166"/>
      <c r="P325" s="166"/>
      <c r="Q325" s="169">
        <v>0</v>
      </c>
    </row>
    <row r="326" spans="2:17" x14ac:dyDescent="0.25">
      <c r="B326" s="168" t="s">
        <v>1142</v>
      </c>
      <c r="C326" s="168" t="s">
        <v>1143</v>
      </c>
      <c r="D326" s="168" t="s">
        <v>53</v>
      </c>
      <c r="E326" s="169">
        <v>90</v>
      </c>
      <c r="F326" s="169">
        <v>150</v>
      </c>
      <c r="G326" s="169">
        <v>13500</v>
      </c>
      <c r="H326" s="169">
        <v>0</v>
      </c>
      <c r="I326" s="169">
        <v>0</v>
      </c>
      <c r="J326" s="166"/>
      <c r="K326" s="166"/>
      <c r="L326" s="166"/>
      <c r="M326" s="169">
        <v>13500</v>
      </c>
      <c r="N326" s="166"/>
      <c r="O326" s="166"/>
      <c r="P326" s="166"/>
      <c r="Q326" s="169">
        <v>0</v>
      </c>
    </row>
    <row r="327" spans="2:17" x14ac:dyDescent="0.25">
      <c r="B327" s="172" t="s">
        <v>478</v>
      </c>
      <c r="C327" s="172" t="s">
        <v>464</v>
      </c>
      <c r="D327" s="166"/>
      <c r="E327" s="166"/>
      <c r="F327" s="166"/>
      <c r="G327" s="173">
        <v>352380</v>
      </c>
      <c r="H327" s="166"/>
      <c r="I327" s="173">
        <v>0</v>
      </c>
      <c r="J327" s="173">
        <v>0</v>
      </c>
      <c r="K327" s="173">
        <v>0</v>
      </c>
      <c r="L327" s="173">
        <v>0</v>
      </c>
      <c r="M327" s="173">
        <v>352380</v>
      </c>
      <c r="N327" s="173">
        <v>0</v>
      </c>
      <c r="O327" s="173">
        <v>0</v>
      </c>
      <c r="P327" s="173">
        <v>0</v>
      </c>
      <c r="Q327" s="173">
        <v>0</v>
      </c>
    </row>
    <row r="328" spans="2:17" x14ac:dyDescent="0.25">
      <c r="B328" s="168" t="s">
        <v>479</v>
      </c>
      <c r="C328" s="168" t="s">
        <v>1144</v>
      </c>
      <c r="D328" s="168" t="s">
        <v>53</v>
      </c>
      <c r="E328" s="169">
        <v>1</v>
      </c>
      <c r="F328" s="169">
        <v>2500</v>
      </c>
      <c r="G328" s="169">
        <v>2500</v>
      </c>
      <c r="H328" s="169">
        <v>0</v>
      </c>
      <c r="I328" s="169">
        <v>0</v>
      </c>
      <c r="J328" s="166"/>
      <c r="K328" s="166"/>
      <c r="L328" s="166"/>
      <c r="M328" s="169">
        <v>2500</v>
      </c>
      <c r="N328" s="166"/>
      <c r="O328" s="166"/>
      <c r="P328" s="166"/>
      <c r="Q328" s="169">
        <v>0</v>
      </c>
    </row>
    <row r="329" spans="2:17" x14ac:dyDescent="0.25">
      <c r="B329" s="168" t="s">
        <v>480</v>
      </c>
      <c r="C329" s="168" t="s">
        <v>1145</v>
      </c>
      <c r="D329" s="168" t="s">
        <v>53</v>
      </c>
      <c r="E329" s="169">
        <v>1</v>
      </c>
      <c r="F329" s="169">
        <v>2830</v>
      </c>
      <c r="G329" s="169">
        <v>2830</v>
      </c>
      <c r="H329" s="169">
        <v>0</v>
      </c>
      <c r="I329" s="169">
        <v>0</v>
      </c>
      <c r="J329" s="166"/>
      <c r="K329" s="166"/>
      <c r="L329" s="166"/>
      <c r="M329" s="169">
        <v>2830</v>
      </c>
      <c r="N329" s="166"/>
      <c r="O329" s="166"/>
      <c r="P329" s="166"/>
      <c r="Q329" s="169">
        <v>0</v>
      </c>
    </row>
    <row r="330" spans="2:17" x14ac:dyDescent="0.25">
      <c r="B330" s="168" t="s">
        <v>481</v>
      </c>
      <c r="C330" s="168" t="s">
        <v>1146</v>
      </c>
      <c r="D330" s="168" t="s">
        <v>53</v>
      </c>
      <c r="E330" s="169">
        <v>1</v>
      </c>
      <c r="F330" s="169">
        <v>2835</v>
      </c>
      <c r="G330" s="169">
        <v>2835</v>
      </c>
      <c r="H330" s="169">
        <v>0</v>
      </c>
      <c r="I330" s="169">
        <v>0</v>
      </c>
      <c r="J330" s="166"/>
      <c r="K330" s="166"/>
      <c r="L330" s="166"/>
      <c r="M330" s="169">
        <v>2835</v>
      </c>
      <c r="N330" s="166"/>
      <c r="O330" s="166"/>
      <c r="P330" s="166"/>
      <c r="Q330" s="169">
        <v>0</v>
      </c>
    </row>
    <row r="331" spans="2:17" x14ac:dyDescent="0.25">
      <c r="B331" s="168" t="s">
        <v>482</v>
      </c>
      <c r="C331" s="168" t="s">
        <v>1147</v>
      </c>
      <c r="D331" s="168" t="s">
        <v>53</v>
      </c>
      <c r="E331" s="169">
        <v>1</v>
      </c>
      <c r="F331" s="169">
        <v>2900</v>
      </c>
      <c r="G331" s="169">
        <v>2900</v>
      </c>
      <c r="H331" s="169">
        <v>0</v>
      </c>
      <c r="I331" s="169">
        <v>0</v>
      </c>
      <c r="J331" s="166"/>
      <c r="K331" s="166"/>
      <c r="L331" s="166"/>
      <c r="M331" s="169">
        <v>2900</v>
      </c>
      <c r="N331" s="166"/>
      <c r="O331" s="166"/>
      <c r="P331" s="166"/>
      <c r="Q331" s="169">
        <v>0</v>
      </c>
    </row>
    <row r="332" spans="2:17" x14ac:dyDescent="0.25">
      <c r="B332" s="168" t="s">
        <v>483</v>
      </c>
      <c r="C332" s="168" t="s">
        <v>1148</v>
      </c>
      <c r="D332" s="168" t="s">
        <v>53</v>
      </c>
      <c r="E332" s="169">
        <v>21</v>
      </c>
      <c r="F332" s="169">
        <v>1300</v>
      </c>
      <c r="G332" s="169">
        <v>27300</v>
      </c>
      <c r="H332" s="169">
        <v>0</v>
      </c>
      <c r="I332" s="169">
        <v>0</v>
      </c>
      <c r="J332" s="166"/>
      <c r="K332" s="166"/>
      <c r="L332" s="166"/>
      <c r="M332" s="169">
        <v>27300</v>
      </c>
      <c r="N332" s="166"/>
      <c r="O332" s="166"/>
      <c r="P332" s="166"/>
      <c r="Q332" s="169">
        <v>0</v>
      </c>
    </row>
    <row r="333" spans="2:17" x14ac:dyDescent="0.25">
      <c r="B333" s="168" t="s">
        <v>1149</v>
      </c>
      <c r="C333" s="168" t="s">
        <v>1150</v>
      </c>
      <c r="D333" s="168" t="s">
        <v>53</v>
      </c>
      <c r="E333" s="169">
        <v>21</v>
      </c>
      <c r="F333" s="169">
        <v>2200</v>
      </c>
      <c r="G333" s="169">
        <v>46200</v>
      </c>
      <c r="H333" s="169">
        <v>0</v>
      </c>
      <c r="I333" s="169">
        <v>0</v>
      </c>
      <c r="J333" s="166"/>
      <c r="K333" s="166"/>
      <c r="L333" s="166"/>
      <c r="M333" s="169">
        <v>46200</v>
      </c>
      <c r="N333" s="166"/>
      <c r="O333" s="166"/>
      <c r="P333" s="166"/>
      <c r="Q333" s="169">
        <v>0</v>
      </c>
    </row>
    <row r="334" spans="2:17" x14ac:dyDescent="0.25">
      <c r="B334" s="168" t="s">
        <v>1151</v>
      </c>
      <c r="C334" s="168" t="s">
        <v>1152</v>
      </c>
      <c r="D334" s="168" t="s">
        <v>53</v>
      </c>
      <c r="E334" s="169">
        <v>21</v>
      </c>
      <c r="F334" s="169">
        <v>2855</v>
      </c>
      <c r="G334" s="169">
        <v>59955</v>
      </c>
      <c r="H334" s="169">
        <v>0</v>
      </c>
      <c r="I334" s="169">
        <v>0</v>
      </c>
      <c r="J334" s="166"/>
      <c r="K334" s="166"/>
      <c r="L334" s="166"/>
      <c r="M334" s="169">
        <v>59955</v>
      </c>
      <c r="N334" s="166"/>
      <c r="O334" s="166"/>
      <c r="P334" s="166"/>
      <c r="Q334" s="169">
        <v>0</v>
      </c>
    </row>
    <row r="335" spans="2:17" x14ac:dyDescent="0.25">
      <c r="B335" s="168" t="s">
        <v>1153</v>
      </c>
      <c r="C335" s="168" t="s">
        <v>1154</v>
      </c>
      <c r="D335" s="168" t="s">
        <v>53</v>
      </c>
      <c r="E335" s="169">
        <v>21</v>
      </c>
      <c r="F335" s="169">
        <v>2680</v>
      </c>
      <c r="G335" s="169">
        <v>56280</v>
      </c>
      <c r="H335" s="169">
        <v>0</v>
      </c>
      <c r="I335" s="169">
        <v>0</v>
      </c>
      <c r="J335" s="166"/>
      <c r="K335" s="166"/>
      <c r="L335" s="166"/>
      <c r="M335" s="169">
        <v>56280</v>
      </c>
      <c r="N335" s="166"/>
      <c r="O335" s="166"/>
      <c r="P335" s="166"/>
      <c r="Q335" s="169">
        <v>0</v>
      </c>
    </row>
    <row r="336" spans="2:17" x14ac:dyDescent="0.25">
      <c r="B336" s="168" t="s">
        <v>1155</v>
      </c>
      <c r="C336" s="168" t="s">
        <v>1156</v>
      </c>
      <c r="D336" s="168" t="s">
        <v>53</v>
      </c>
      <c r="E336" s="169">
        <v>16</v>
      </c>
      <c r="F336" s="169">
        <v>2830</v>
      </c>
      <c r="G336" s="169">
        <v>45280</v>
      </c>
      <c r="H336" s="169">
        <v>0</v>
      </c>
      <c r="I336" s="169">
        <v>0</v>
      </c>
      <c r="J336" s="166"/>
      <c r="K336" s="166"/>
      <c r="L336" s="166"/>
      <c r="M336" s="169">
        <v>45280</v>
      </c>
      <c r="N336" s="166"/>
      <c r="O336" s="166"/>
      <c r="P336" s="166"/>
      <c r="Q336" s="169">
        <v>0</v>
      </c>
    </row>
    <row r="337" spans="2:17" x14ac:dyDescent="0.25">
      <c r="B337" s="168" t="s">
        <v>1157</v>
      </c>
      <c r="C337" s="168" t="s">
        <v>1158</v>
      </c>
      <c r="D337" s="168" t="s">
        <v>53</v>
      </c>
      <c r="E337" s="169">
        <v>13</v>
      </c>
      <c r="F337" s="169">
        <v>2465</v>
      </c>
      <c r="G337" s="169">
        <v>32045</v>
      </c>
      <c r="H337" s="169">
        <v>0</v>
      </c>
      <c r="I337" s="169">
        <v>0</v>
      </c>
      <c r="J337" s="166"/>
      <c r="K337" s="166"/>
      <c r="L337" s="166"/>
      <c r="M337" s="169">
        <v>32045</v>
      </c>
      <c r="N337" s="166"/>
      <c r="O337" s="166"/>
      <c r="P337" s="166"/>
      <c r="Q337" s="169">
        <v>0</v>
      </c>
    </row>
    <row r="338" spans="2:17" x14ac:dyDescent="0.25">
      <c r="B338" s="168" t="s">
        <v>1159</v>
      </c>
      <c r="C338" s="168" t="s">
        <v>1160</v>
      </c>
      <c r="D338" s="168" t="s">
        <v>53</v>
      </c>
      <c r="E338" s="169">
        <v>13</v>
      </c>
      <c r="F338" s="169">
        <v>2715</v>
      </c>
      <c r="G338" s="169">
        <v>35295</v>
      </c>
      <c r="H338" s="169">
        <v>0</v>
      </c>
      <c r="I338" s="169">
        <v>0</v>
      </c>
      <c r="J338" s="166"/>
      <c r="K338" s="166"/>
      <c r="L338" s="166"/>
      <c r="M338" s="169">
        <v>35295</v>
      </c>
      <c r="N338" s="166"/>
      <c r="O338" s="166"/>
      <c r="P338" s="166"/>
      <c r="Q338" s="169">
        <v>0</v>
      </c>
    </row>
    <row r="339" spans="2:17" x14ac:dyDescent="0.25">
      <c r="B339" s="168" t="s">
        <v>1161</v>
      </c>
      <c r="C339" s="168" t="s">
        <v>1162</v>
      </c>
      <c r="D339" s="168" t="s">
        <v>53</v>
      </c>
      <c r="E339" s="169">
        <v>1</v>
      </c>
      <c r="F339" s="169">
        <v>2950</v>
      </c>
      <c r="G339" s="169">
        <v>2950</v>
      </c>
      <c r="H339" s="169">
        <v>0</v>
      </c>
      <c r="I339" s="169">
        <v>0</v>
      </c>
      <c r="J339" s="166"/>
      <c r="K339" s="166"/>
      <c r="L339" s="166"/>
      <c r="M339" s="169">
        <v>2950</v>
      </c>
      <c r="N339" s="166"/>
      <c r="O339" s="166"/>
      <c r="P339" s="166"/>
      <c r="Q339" s="169">
        <v>0</v>
      </c>
    </row>
    <row r="340" spans="2:17" x14ac:dyDescent="0.25">
      <c r="B340" s="168" t="s">
        <v>1163</v>
      </c>
      <c r="C340" s="168" t="s">
        <v>1164</v>
      </c>
      <c r="D340" s="168" t="s">
        <v>53</v>
      </c>
      <c r="E340" s="169">
        <v>1</v>
      </c>
      <c r="F340" s="169">
        <v>3850</v>
      </c>
      <c r="G340" s="169">
        <v>3850</v>
      </c>
      <c r="H340" s="169">
        <v>0</v>
      </c>
      <c r="I340" s="169">
        <v>0</v>
      </c>
      <c r="J340" s="166"/>
      <c r="K340" s="166"/>
      <c r="L340" s="166"/>
      <c r="M340" s="169">
        <v>3850</v>
      </c>
      <c r="N340" s="166"/>
      <c r="O340" s="166"/>
      <c r="P340" s="166"/>
      <c r="Q340" s="169">
        <v>0</v>
      </c>
    </row>
    <row r="341" spans="2:17" x14ac:dyDescent="0.25">
      <c r="B341" s="168" t="s">
        <v>1165</v>
      </c>
      <c r="C341" s="168" t="s">
        <v>1166</v>
      </c>
      <c r="D341" s="168" t="s">
        <v>53</v>
      </c>
      <c r="E341" s="169">
        <v>1</v>
      </c>
      <c r="F341" s="169">
        <v>3500</v>
      </c>
      <c r="G341" s="169">
        <v>3500</v>
      </c>
      <c r="H341" s="169">
        <v>0</v>
      </c>
      <c r="I341" s="169">
        <v>0</v>
      </c>
      <c r="J341" s="166"/>
      <c r="K341" s="166"/>
      <c r="L341" s="166"/>
      <c r="M341" s="169">
        <v>3500</v>
      </c>
      <c r="N341" s="166"/>
      <c r="O341" s="166"/>
      <c r="P341" s="166"/>
      <c r="Q341" s="169">
        <v>0</v>
      </c>
    </row>
    <row r="342" spans="2:17" x14ac:dyDescent="0.25">
      <c r="B342" s="168" t="s">
        <v>1167</v>
      </c>
      <c r="C342" s="168" t="s">
        <v>1168</v>
      </c>
      <c r="D342" s="168" t="s">
        <v>53</v>
      </c>
      <c r="E342" s="169">
        <v>1</v>
      </c>
      <c r="F342" s="169">
        <v>4500</v>
      </c>
      <c r="G342" s="169">
        <v>4500</v>
      </c>
      <c r="H342" s="169">
        <v>0</v>
      </c>
      <c r="I342" s="169">
        <v>0</v>
      </c>
      <c r="J342" s="166"/>
      <c r="K342" s="166"/>
      <c r="L342" s="166"/>
      <c r="M342" s="169">
        <v>4500</v>
      </c>
      <c r="N342" s="166"/>
      <c r="O342" s="166"/>
      <c r="P342" s="166"/>
      <c r="Q342" s="169">
        <v>0</v>
      </c>
    </row>
    <row r="343" spans="2:17" x14ac:dyDescent="0.25">
      <c r="B343" s="168" t="s">
        <v>1169</v>
      </c>
      <c r="C343" s="168" t="s">
        <v>1170</v>
      </c>
      <c r="D343" s="168" t="s">
        <v>53</v>
      </c>
      <c r="E343" s="169">
        <v>1</v>
      </c>
      <c r="F343" s="169">
        <v>2500</v>
      </c>
      <c r="G343" s="169">
        <v>2500</v>
      </c>
      <c r="H343" s="169">
        <v>0</v>
      </c>
      <c r="I343" s="169">
        <v>0</v>
      </c>
      <c r="J343" s="166"/>
      <c r="K343" s="166"/>
      <c r="L343" s="166"/>
      <c r="M343" s="169">
        <v>2500</v>
      </c>
      <c r="N343" s="166"/>
      <c r="O343" s="166"/>
      <c r="P343" s="166"/>
      <c r="Q343" s="169">
        <v>0</v>
      </c>
    </row>
    <row r="344" spans="2:17" x14ac:dyDescent="0.25">
      <c r="B344" s="168" t="s">
        <v>1171</v>
      </c>
      <c r="C344" s="168" t="s">
        <v>1172</v>
      </c>
      <c r="D344" s="168" t="s">
        <v>53</v>
      </c>
      <c r="E344" s="169">
        <v>1</v>
      </c>
      <c r="F344" s="169">
        <v>2580</v>
      </c>
      <c r="G344" s="169">
        <v>2580</v>
      </c>
      <c r="H344" s="169">
        <v>0</v>
      </c>
      <c r="I344" s="169">
        <v>0</v>
      </c>
      <c r="J344" s="166"/>
      <c r="K344" s="166"/>
      <c r="L344" s="166"/>
      <c r="M344" s="169">
        <v>2580</v>
      </c>
      <c r="N344" s="166"/>
      <c r="O344" s="166"/>
      <c r="P344" s="166"/>
      <c r="Q344" s="169">
        <v>0</v>
      </c>
    </row>
    <row r="345" spans="2:17" x14ac:dyDescent="0.25">
      <c r="B345" s="168" t="s">
        <v>1173</v>
      </c>
      <c r="C345" s="168" t="s">
        <v>1174</v>
      </c>
      <c r="D345" s="168" t="s">
        <v>53</v>
      </c>
      <c r="E345" s="169">
        <v>1</v>
      </c>
      <c r="F345" s="169">
        <v>4300</v>
      </c>
      <c r="G345" s="169">
        <v>4300</v>
      </c>
      <c r="H345" s="169">
        <v>0</v>
      </c>
      <c r="I345" s="169">
        <v>0</v>
      </c>
      <c r="J345" s="166"/>
      <c r="K345" s="166"/>
      <c r="L345" s="166"/>
      <c r="M345" s="169">
        <v>4300</v>
      </c>
      <c r="N345" s="166"/>
      <c r="O345" s="166"/>
      <c r="P345" s="166"/>
      <c r="Q345" s="169">
        <v>0</v>
      </c>
    </row>
    <row r="346" spans="2:17" x14ac:dyDescent="0.25">
      <c r="B346" s="168" t="s">
        <v>1175</v>
      </c>
      <c r="C346" s="168" t="s">
        <v>1176</v>
      </c>
      <c r="D346" s="168" t="s">
        <v>53</v>
      </c>
      <c r="E346" s="169">
        <v>1</v>
      </c>
      <c r="F346" s="169">
        <v>2080</v>
      </c>
      <c r="G346" s="169">
        <v>2080</v>
      </c>
      <c r="H346" s="169">
        <v>0</v>
      </c>
      <c r="I346" s="169">
        <v>0</v>
      </c>
      <c r="J346" s="166"/>
      <c r="K346" s="166"/>
      <c r="L346" s="166"/>
      <c r="M346" s="169">
        <v>2080</v>
      </c>
      <c r="N346" s="166"/>
      <c r="O346" s="166"/>
      <c r="P346" s="166"/>
      <c r="Q346" s="169">
        <v>0</v>
      </c>
    </row>
    <row r="347" spans="2:17" x14ac:dyDescent="0.25">
      <c r="B347" s="168" t="s">
        <v>1177</v>
      </c>
      <c r="C347" s="168" t="s">
        <v>1178</v>
      </c>
      <c r="D347" s="168" t="s">
        <v>53</v>
      </c>
      <c r="E347" s="169">
        <v>1</v>
      </c>
      <c r="F347" s="169">
        <v>2850</v>
      </c>
      <c r="G347" s="169">
        <v>2850</v>
      </c>
      <c r="H347" s="169">
        <v>0</v>
      </c>
      <c r="I347" s="169">
        <v>0</v>
      </c>
      <c r="J347" s="166"/>
      <c r="K347" s="166"/>
      <c r="L347" s="166"/>
      <c r="M347" s="169">
        <v>2850</v>
      </c>
      <c r="N347" s="166"/>
      <c r="O347" s="166"/>
      <c r="P347" s="166"/>
      <c r="Q347" s="169">
        <v>0</v>
      </c>
    </row>
    <row r="348" spans="2:17" x14ac:dyDescent="0.25">
      <c r="B348" s="168" t="s">
        <v>1179</v>
      </c>
      <c r="C348" s="168" t="s">
        <v>1180</v>
      </c>
      <c r="D348" s="168" t="s">
        <v>53</v>
      </c>
      <c r="E348" s="169">
        <v>1</v>
      </c>
      <c r="F348" s="169">
        <v>2280</v>
      </c>
      <c r="G348" s="169">
        <v>2280</v>
      </c>
      <c r="H348" s="169">
        <v>0</v>
      </c>
      <c r="I348" s="169">
        <v>0</v>
      </c>
      <c r="J348" s="166"/>
      <c r="K348" s="166"/>
      <c r="L348" s="166"/>
      <c r="M348" s="169">
        <v>2280</v>
      </c>
      <c r="N348" s="166"/>
      <c r="O348" s="166"/>
      <c r="P348" s="166"/>
      <c r="Q348" s="169">
        <v>0</v>
      </c>
    </row>
    <row r="349" spans="2:17" x14ac:dyDescent="0.25">
      <c r="B349" s="168" t="s">
        <v>1181</v>
      </c>
      <c r="C349" s="168" t="s">
        <v>1182</v>
      </c>
      <c r="D349" s="168" t="s">
        <v>53</v>
      </c>
      <c r="E349" s="169">
        <v>1</v>
      </c>
      <c r="F349" s="169">
        <v>1550</v>
      </c>
      <c r="G349" s="169">
        <v>1550</v>
      </c>
      <c r="H349" s="169">
        <v>0</v>
      </c>
      <c r="I349" s="169">
        <v>0</v>
      </c>
      <c r="J349" s="166"/>
      <c r="K349" s="166"/>
      <c r="L349" s="166"/>
      <c r="M349" s="169">
        <v>1550</v>
      </c>
      <c r="N349" s="166"/>
      <c r="O349" s="166"/>
      <c r="P349" s="166"/>
      <c r="Q349" s="169">
        <v>0</v>
      </c>
    </row>
    <row r="350" spans="2:17" x14ac:dyDescent="0.25">
      <c r="B350" s="168" t="s">
        <v>1183</v>
      </c>
      <c r="C350" s="168" t="s">
        <v>1184</v>
      </c>
      <c r="D350" s="168" t="s">
        <v>53</v>
      </c>
      <c r="E350" s="169">
        <v>1</v>
      </c>
      <c r="F350" s="169">
        <v>2990</v>
      </c>
      <c r="G350" s="169">
        <v>2990</v>
      </c>
      <c r="H350" s="169">
        <v>0</v>
      </c>
      <c r="I350" s="169">
        <v>0</v>
      </c>
      <c r="J350" s="166"/>
      <c r="K350" s="166"/>
      <c r="L350" s="166"/>
      <c r="M350" s="169">
        <v>2990</v>
      </c>
      <c r="N350" s="166"/>
      <c r="O350" s="166"/>
      <c r="P350" s="166"/>
      <c r="Q350" s="169">
        <v>0</v>
      </c>
    </row>
    <row r="351" spans="2:17" x14ac:dyDescent="0.25">
      <c r="B351" s="168" t="s">
        <v>1185</v>
      </c>
      <c r="C351" s="168" t="s">
        <v>1186</v>
      </c>
      <c r="D351" s="168" t="s">
        <v>53</v>
      </c>
      <c r="E351" s="169">
        <v>1</v>
      </c>
      <c r="F351" s="169">
        <v>3030</v>
      </c>
      <c r="G351" s="169">
        <v>3030</v>
      </c>
      <c r="H351" s="169">
        <v>0</v>
      </c>
      <c r="I351" s="169">
        <v>0</v>
      </c>
      <c r="J351" s="166"/>
      <c r="K351" s="166"/>
      <c r="L351" s="166"/>
      <c r="M351" s="169">
        <v>3030</v>
      </c>
      <c r="N351" s="166"/>
      <c r="O351" s="166"/>
      <c r="P351" s="166"/>
      <c r="Q351" s="169">
        <v>0</v>
      </c>
    </row>
    <row r="352" spans="2:17" x14ac:dyDescent="0.25">
      <c r="B352" s="172" t="s">
        <v>484</v>
      </c>
      <c r="C352" s="172" t="s">
        <v>1187</v>
      </c>
      <c r="D352" s="166"/>
      <c r="E352" s="166"/>
      <c r="F352" s="166"/>
      <c r="G352" s="173">
        <v>33538.5</v>
      </c>
      <c r="H352" s="166"/>
      <c r="I352" s="173">
        <v>0</v>
      </c>
      <c r="J352" s="173">
        <v>0</v>
      </c>
      <c r="K352" s="173">
        <v>0</v>
      </c>
      <c r="L352" s="173">
        <v>0</v>
      </c>
      <c r="M352" s="173">
        <v>33538.5</v>
      </c>
      <c r="N352" s="173">
        <v>0</v>
      </c>
      <c r="O352" s="173">
        <v>0</v>
      </c>
      <c r="P352" s="173">
        <v>0</v>
      </c>
      <c r="Q352" s="173">
        <v>0</v>
      </c>
    </row>
    <row r="353" spans="2:17" x14ac:dyDescent="0.25">
      <c r="B353" s="168" t="s">
        <v>485</v>
      </c>
      <c r="C353" s="168" t="s">
        <v>1188</v>
      </c>
      <c r="D353" s="168" t="s">
        <v>157</v>
      </c>
      <c r="E353" s="169">
        <v>20.03</v>
      </c>
      <c r="F353" s="169">
        <v>950</v>
      </c>
      <c r="G353" s="169">
        <v>19028.5</v>
      </c>
      <c r="H353" s="169">
        <v>0</v>
      </c>
      <c r="I353" s="169">
        <v>0</v>
      </c>
      <c r="J353" s="166"/>
      <c r="K353" s="166"/>
      <c r="L353" s="166"/>
      <c r="M353" s="169">
        <v>19028.5</v>
      </c>
      <c r="N353" s="166"/>
      <c r="O353" s="166"/>
      <c r="P353" s="166"/>
      <c r="Q353" s="169">
        <v>0</v>
      </c>
    </row>
    <row r="354" spans="2:17" x14ac:dyDescent="0.25">
      <c r="B354" s="168" t="s">
        <v>486</v>
      </c>
      <c r="C354" s="168" t="s">
        <v>1189</v>
      </c>
      <c r="D354" s="168" t="s">
        <v>157</v>
      </c>
      <c r="E354" s="169">
        <v>16.41</v>
      </c>
      <c r="F354" s="169">
        <v>450</v>
      </c>
      <c r="G354" s="169">
        <v>7384.5</v>
      </c>
      <c r="H354" s="169">
        <v>0</v>
      </c>
      <c r="I354" s="169">
        <v>0</v>
      </c>
      <c r="J354" s="166"/>
      <c r="K354" s="166"/>
      <c r="L354" s="166"/>
      <c r="M354" s="169">
        <v>7384.5</v>
      </c>
      <c r="N354" s="166"/>
      <c r="O354" s="166"/>
      <c r="P354" s="166"/>
      <c r="Q354" s="169">
        <v>0</v>
      </c>
    </row>
    <row r="355" spans="2:17" x14ac:dyDescent="0.25">
      <c r="B355" s="168" t="s">
        <v>487</v>
      </c>
      <c r="C355" s="168" t="s">
        <v>1190</v>
      </c>
      <c r="D355" s="168" t="s">
        <v>157</v>
      </c>
      <c r="E355" s="169">
        <v>1.39</v>
      </c>
      <c r="F355" s="169">
        <v>450</v>
      </c>
      <c r="G355" s="169">
        <v>625.5</v>
      </c>
      <c r="H355" s="169">
        <v>0</v>
      </c>
      <c r="I355" s="169">
        <v>0</v>
      </c>
      <c r="J355" s="166"/>
      <c r="K355" s="166"/>
      <c r="L355" s="166"/>
      <c r="M355" s="169">
        <v>625.5</v>
      </c>
      <c r="N355" s="166"/>
      <c r="O355" s="166"/>
      <c r="P355" s="166"/>
      <c r="Q355" s="169">
        <v>0</v>
      </c>
    </row>
    <row r="356" spans="2:17" x14ac:dyDescent="0.25">
      <c r="B356" s="168" t="s">
        <v>1191</v>
      </c>
      <c r="C356" s="168" t="s">
        <v>1192</v>
      </c>
      <c r="D356" s="168" t="s">
        <v>53</v>
      </c>
      <c r="E356" s="169">
        <v>1</v>
      </c>
      <c r="F356" s="169">
        <v>6500</v>
      </c>
      <c r="G356" s="169">
        <v>6500</v>
      </c>
      <c r="H356" s="169">
        <v>0</v>
      </c>
      <c r="I356" s="169">
        <v>0</v>
      </c>
      <c r="J356" s="166"/>
      <c r="K356" s="166"/>
      <c r="L356" s="166"/>
      <c r="M356" s="169">
        <v>6500</v>
      </c>
      <c r="N356" s="166"/>
      <c r="O356" s="166"/>
      <c r="P356" s="166"/>
      <c r="Q356" s="169">
        <v>0</v>
      </c>
    </row>
    <row r="357" spans="2:17" x14ac:dyDescent="0.25">
      <c r="B357" s="172" t="s">
        <v>488</v>
      </c>
      <c r="C357" s="172" t="s">
        <v>465</v>
      </c>
      <c r="D357" s="166"/>
      <c r="E357" s="166"/>
      <c r="F357" s="166"/>
      <c r="G357" s="173">
        <v>52060</v>
      </c>
      <c r="H357" s="166"/>
      <c r="I357" s="173">
        <v>0</v>
      </c>
      <c r="J357" s="173">
        <v>0</v>
      </c>
      <c r="K357" s="173">
        <v>0</v>
      </c>
      <c r="L357" s="173">
        <v>0</v>
      </c>
      <c r="M357" s="173">
        <v>52060</v>
      </c>
      <c r="N357" s="173">
        <v>0</v>
      </c>
      <c r="O357" s="173">
        <v>0</v>
      </c>
      <c r="P357" s="173">
        <v>0</v>
      </c>
      <c r="Q357" s="173">
        <v>0</v>
      </c>
    </row>
    <row r="358" spans="2:17" x14ac:dyDescent="0.25">
      <c r="B358" s="168" t="s">
        <v>489</v>
      </c>
      <c r="C358" s="168" t="s">
        <v>1193</v>
      </c>
      <c r="D358" s="168" t="s">
        <v>53</v>
      </c>
      <c r="E358" s="169">
        <v>172</v>
      </c>
      <c r="F358" s="169">
        <v>300</v>
      </c>
      <c r="G358" s="169">
        <v>51600</v>
      </c>
      <c r="H358" s="169">
        <v>0</v>
      </c>
      <c r="I358" s="169">
        <v>0</v>
      </c>
      <c r="J358" s="166"/>
      <c r="K358" s="166"/>
      <c r="L358" s="166"/>
      <c r="M358" s="169">
        <v>51600</v>
      </c>
      <c r="N358" s="166"/>
      <c r="O358" s="166"/>
      <c r="P358" s="166"/>
      <c r="Q358" s="169">
        <v>0</v>
      </c>
    </row>
    <row r="359" spans="2:17" x14ac:dyDescent="0.25">
      <c r="B359" s="168" t="s">
        <v>490</v>
      </c>
      <c r="C359" s="168" t="s">
        <v>1194</v>
      </c>
      <c r="D359" s="168" t="s">
        <v>53</v>
      </c>
      <c r="E359" s="169">
        <v>2</v>
      </c>
      <c r="F359" s="169">
        <v>230</v>
      </c>
      <c r="G359" s="169">
        <v>460</v>
      </c>
      <c r="H359" s="169">
        <v>0</v>
      </c>
      <c r="I359" s="169">
        <v>0</v>
      </c>
      <c r="J359" s="166"/>
      <c r="K359" s="166"/>
      <c r="L359" s="166"/>
      <c r="M359" s="169">
        <v>460</v>
      </c>
      <c r="N359" s="166"/>
      <c r="O359" s="166"/>
      <c r="P359" s="166"/>
      <c r="Q359" s="169">
        <v>0</v>
      </c>
    </row>
    <row r="360" spans="2:17" x14ac:dyDescent="0.25">
      <c r="B360" s="170" t="s">
        <v>491</v>
      </c>
      <c r="C360" s="170" t="s">
        <v>1195</v>
      </c>
      <c r="D360" s="166"/>
      <c r="E360" s="166"/>
      <c r="F360" s="166"/>
      <c r="G360" s="171">
        <v>508791.21</v>
      </c>
      <c r="H360" s="166"/>
      <c r="I360" s="171">
        <v>0</v>
      </c>
      <c r="J360" s="171">
        <v>0</v>
      </c>
      <c r="K360" s="171">
        <v>0</v>
      </c>
      <c r="L360" s="171">
        <v>1281.25</v>
      </c>
      <c r="M360" s="171">
        <v>507510</v>
      </c>
      <c r="N360" s="171">
        <v>0</v>
      </c>
      <c r="O360" s="171">
        <v>0</v>
      </c>
      <c r="P360" s="171">
        <v>0</v>
      </c>
      <c r="Q360" s="171">
        <v>0</v>
      </c>
    </row>
    <row r="361" spans="2:17" x14ac:dyDescent="0.25">
      <c r="B361" s="168" t="s">
        <v>492</v>
      </c>
      <c r="C361" s="168" t="s">
        <v>1196</v>
      </c>
      <c r="D361" s="168" t="s">
        <v>82</v>
      </c>
      <c r="E361" s="169">
        <v>1211.52</v>
      </c>
      <c r="F361" s="169">
        <v>22</v>
      </c>
      <c r="G361" s="169">
        <v>26653.439999999999</v>
      </c>
      <c r="H361" s="169">
        <v>0</v>
      </c>
      <c r="I361" s="169">
        <v>0</v>
      </c>
      <c r="J361" s="166"/>
      <c r="K361" s="166"/>
      <c r="L361" s="166"/>
      <c r="M361" s="169">
        <v>26653.439999999999</v>
      </c>
      <c r="N361" s="166"/>
      <c r="O361" s="166"/>
      <c r="P361" s="166"/>
      <c r="Q361" s="169">
        <v>0</v>
      </c>
    </row>
    <row r="362" spans="2:17" x14ac:dyDescent="0.25">
      <c r="B362" s="168" t="s">
        <v>493</v>
      </c>
      <c r="C362" s="168" t="s">
        <v>1900</v>
      </c>
      <c r="D362" s="168" t="s">
        <v>82</v>
      </c>
      <c r="E362" s="169">
        <v>345.18</v>
      </c>
      <c r="F362" s="169">
        <v>31.5</v>
      </c>
      <c r="G362" s="169">
        <v>10873.17</v>
      </c>
      <c r="H362" s="169">
        <v>0</v>
      </c>
      <c r="I362" s="169">
        <v>0</v>
      </c>
      <c r="J362" s="166"/>
      <c r="K362" s="166"/>
      <c r="L362" s="169">
        <v>1208.25</v>
      </c>
      <c r="M362" s="169">
        <v>9665.0400000000009</v>
      </c>
      <c r="N362" s="166"/>
      <c r="O362" s="166"/>
      <c r="P362" s="169">
        <v>0</v>
      </c>
      <c r="Q362" s="169">
        <v>0</v>
      </c>
    </row>
    <row r="363" spans="2:17" x14ac:dyDescent="0.25">
      <c r="B363" s="168" t="s">
        <v>494</v>
      </c>
      <c r="C363" s="168" t="s">
        <v>1197</v>
      </c>
      <c r="D363" s="168" t="s">
        <v>82</v>
      </c>
      <c r="E363" s="169">
        <v>9989.26</v>
      </c>
      <c r="F363" s="169">
        <v>22</v>
      </c>
      <c r="G363" s="169">
        <v>219763.72</v>
      </c>
      <c r="H363" s="169">
        <v>0</v>
      </c>
      <c r="I363" s="169">
        <v>0</v>
      </c>
      <c r="J363" s="166"/>
      <c r="K363" s="166"/>
      <c r="L363" s="166"/>
      <c r="M363" s="169">
        <v>219763.72</v>
      </c>
      <c r="N363" s="166"/>
      <c r="O363" s="166"/>
      <c r="P363" s="166"/>
      <c r="Q363" s="169">
        <v>0</v>
      </c>
    </row>
    <row r="364" spans="2:17" x14ac:dyDescent="0.25">
      <c r="B364" s="168" t="s">
        <v>1199</v>
      </c>
      <c r="C364" s="168" t="s">
        <v>1198</v>
      </c>
      <c r="D364" s="168" t="s">
        <v>82</v>
      </c>
      <c r="E364" s="169">
        <v>519.49</v>
      </c>
      <c r="F364" s="169">
        <v>22</v>
      </c>
      <c r="G364" s="169">
        <v>11428.78</v>
      </c>
      <c r="H364" s="169">
        <v>0</v>
      </c>
      <c r="I364" s="169">
        <v>0</v>
      </c>
      <c r="J364" s="166"/>
      <c r="K364" s="166"/>
      <c r="L364" s="166"/>
      <c r="M364" s="169">
        <v>11428.78</v>
      </c>
      <c r="N364" s="166"/>
      <c r="O364" s="166"/>
      <c r="P364" s="166"/>
      <c r="Q364" s="169">
        <v>0</v>
      </c>
    </row>
    <row r="365" spans="2:17" x14ac:dyDescent="0.25">
      <c r="B365" s="168" t="s">
        <v>1201</v>
      </c>
      <c r="C365" s="168" t="s">
        <v>1200</v>
      </c>
      <c r="D365" s="168" t="s">
        <v>82</v>
      </c>
      <c r="E365" s="169">
        <v>794.33</v>
      </c>
      <c r="F365" s="169">
        <v>22</v>
      </c>
      <c r="G365" s="169">
        <v>17475.259999999998</v>
      </c>
      <c r="H365" s="169">
        <v>0</v>
      </c>
      <c r="I365" s="169">
        <v>0</v>
      </c>
      <c r="J365" s="166"/>
      <c r="K365" s="166"/>
      <c r="L365" s="166"/>
      <c r="M365" s="169">
        <v>17475.259999999998</v>
      </c>
      <c r="N365" s="166"/>
      <c r="O365" s="166"/>
      <c r="P365" s="166"/>
      <c r="Q365" s="169">
        <v>0</v>
      </c>
    </row>
    <row r="366" spans="2:17" x14ac:dyDescent="0.25">
      <c r="B366" s="168" t="s">
        <v>1203</v>
      </c>
      <c r="C366" s="168" t="s">
        <v>1202</v>
      </c>
      <c r="D366" s="168" t="s">
        <v>82</v>
      </c>
      <c r="E366" s="169">
        <v>643.83000000000004</v>
      </c>
      <c r="F366" s="169">
        <v>22</v>
      </c>
      <c r="G366" s="169">
        <v>14164.26</v>
      </c>
      <c r="H366" s="169">
        <v>0</v>
      </c>
      <c r="I366" s="169">
        <v>0</v>
      </c>
      <c r="J366" s="166"/>
      <c r="K366" s="166"/>
      <c r="L366" s="166"/>
      <c r="M366" s="169">
        <v>14164.26</v>
      </c>
      <c r="N366" s="166"/>
      <c r="O366" s="166"/>
      <c r="P366" s="166"/>
      <c r="Q366" s="169">
        <v>0</v>
      </c>
    </row>
    <row r="367" spans="2:17" x14ac:dyDescent="0.25">
      <c r="B367" s="168" t="s">
        <v>1205</v>
      </c>
      <c r="C367" s="168" t="s">
        <v>1204</v>
      </c>
      <c r="D367" s="168" t="s">
        <v>82</v>
      </c>
      <c r="E367" s="169">
        <v>3127.1</v>
      </c>
      <c r="F367" s="169">
        <v>22</v>
      </c>
      <c r="G367" s="169">
        <v>68796.2</v>
      </c>
      <c r="H367" s="169">
        <v>0</v>
      </c>
      <c r="I367" s="169">
        <v>0</v>
      </c>
      <c r="J367" s="166"/>
      <c r="K367" s="166"/>
      <c r="L367" s="166"/>
      <c r="M367" s="169">
        <v>68796.2</v>
      </c>
      <c r="N367" s="166"/>
      <c r="O367" s="166"/>
      <c r="P367" s="166"/>
      <c r="Q367" s="169">
        <v>0</v>
      </c>
    </row>
    <row r="368" spans="2:17" x14ac:dyDescent="0.25">
      <c r="B368" s="168" t="s">
        <v>1207</v>
      </c>
      <c r="C368" s="168" t="s">
        <v>1206</v>
      </c>
      <c r="D368" s="168" t="s">
        <v>82</v>
      </c>
      <c r="E368" s="169">
        <v>890.94</v>
      </c>
      <c r="F368" s="169">
        <v>22</v>
      </c>
      <c r="G368" s="169">
        <v>19600.68</v>
      </c>
      <c r="H368" s="169">
        <v>0</v>
      </c>
      <c r="I368" s="169">
        <v>0</v>
      </c>
      <c r="J368" s="166"/>
      <c r="K368" s="166"/>
      <c r="L368" s="166"/>
      <c r="M368" s="169">
        <v>19600.68</v>
      </c>
      <c r="N368" s="166"/>
      <c r="O368" s="166"/>
      <c r="P368" s="166"/>
      <c r="Q368" s="169">
        <v>0</v>
      </c>
    </row>
    <row r="369" spans="2:17" x14ac:dyDescent="0.25">
      <c r="B369" s="168" t="s">
        <v>1209</v>
      </c>
      <c r="C369" s="168" t="s">
        <v>1208</v>
      </c>
      <c r="D369" s="168" t="s">
        <v>82</v>
      </c>
      <c r="E369" s="169">
        <v>3964.96</v>
      </c>
      <c r="F369" s="169">
        <v>22</v>
      </c>
      <c r="G369" s="169">
        <v>87229.119999999995</v>
      </c>
      <c r="H369" s="169">
        <v>0</v>
      </c>
      <c r="I369" s="169">
        <v>0</v>
      </c>
      <c r="J369" s="166"/>
      <c r="K369" s="166"/>
      <c r="L369" s="166"/>
      <c r="M369" s="169">
        <v>87229.119999999995</v>
      </c>
      <c r="N369" s="166"/>
      <c r="O369" s="166"/>
      <c r="P369" s="166"/>
      <c r="Q369" s="169">
        <v>0</v>
      </c>
    </row>
    <row r="370" spans="2:17" x14ac:dyDescent="0.25">
      <c r="B370" s="168" t="s">
        <v>1211</v>
      </c>
      <c r="C370" s="168" t="s">
        <v>1210</v>
      </c>
      <c r="D370" s="168" t="s">
        <v>82</v>
      </c>
      <c r="E370" s="169">
        <v>693.77</v>
      </c>
      <c r="F370" s="169">
        <v>22</v>
      </c>
      <c r="G370" s="169">
        <v>15262.94</v>
      </c>
      <c r="H370" s="169">
        <v>0</v>
      </c>
      <c r="I370" s="169">
        <v>0</v>
      </c>
      <c r="J370" s="166"/>
      <c r="K370" s="166"/>
      <c r="L370" s="166"/>
      <c r="M370" s="169">
        <v>15262.94</v>
      </c>
      <c r="N370" s="166"/>
      <c r="O370" s="166"/>
      <c r="P370" s="166"/>
      <c r="Q370" s="169">
        <v>0</v>
      </c>
    </row>
    <row r="371" spans="2:17" x14ac:dyDescent="0.25">
      <c r="B371" s="168" t="s">
        <v>1213</v>
      </c>
      <c r="C371" s="168" t="s">
        <v>1212</v>
      </c>
      <c r="D371" s="168" t="s">
        <v>82</v>
      </c>
      <c r="E371" s="169">
        <v>268.89</v>
      </c>
      <c r="F371" s="169">
        <v>22</v>
      </c>
      <c r="G371" s="169">
        <v>5915.58</v>
      </c>
      <c r="H371" s="169">
        <v>0</v>
      </c>
      <c r="I371" s="169">
        <v>0</v>
      </c>
      <c r="J371" s="166"/>
      <c r="K371" s="166"/>
      <c r="L371" s="166"/>
      <c r="M371" s="169">
        <v>5915.58</v>
      </c>
      <c r="N371" s="166"/>
      <c r="O371" s="166"/>
      <c r="P371" s="166"/>
      <c r="Q371" s="169">
        <v>0</v>
      </c>
    </row>
    <row r="372" spans="2:17" x14ac:dyDescent="0.25">
      <c r="B372" s="168" t="s">
        <v>1214</v>
      </c>
      <c r="C372" s="168" t="s">
        <v>1216</v>
      </c>
      <c r="D372" s="168" t="s">
        <v>82</v>
      </c>
      <c r="E372" s="169">
        <v>194.3</v>
      </c>
      <c r="F372" s="169">
        <v>22</v>
      </c>
      <c r="G372" s="169">
        <v>4274.6000000000004</v>
      </c>
      <c r="H372" s="169">
        <v>0</v>
      </c>
      <c r="I372" s="169">
        <v>0</v>
      </c>
      <c r="J372" s="166"/>
      <c r="K372" s="166"/>
      <c r="L372" s="166"/>
      <c r="M372" s="169">
        <v>4274.6000000000004</v>
      </c>
      <c r="N372" s="166"/>
      <c r="O372" s="166"/>
      <c r="P372" s="166"/>
      <c r="Q372" s="169">
        <v>0</v>
      </c>
    </row>
    <row r="373" spans="2:17" x14ac:dyDescent="0.25">
      <c r="B373" s="168" t="s">
        <v>1215</v>
      </c>
      <c r="C373" s="168" t="s">
        <v>1218</v>
      </c>
      <c r="D373" s="168" t="s">
        <v>82</v>
      </c>
      <c r="E373" s="169">
        <v>10.08</v>
      </c>
      <c r="F373" s="169">
        <v>86.25</v>
      </c>
      <c r="G373" s="169">
        <v>869.4</v>
      </c>
      <c r="H373" s="169">
        <v>0</v>
      </c>
      <c r="I373" s="169">
        <v>0</v>
      </c>
      <c r="J373" s="166"/>
      <c r="K373" s="166"/>
      <c r="L373" s="169">
        <v>73</v>
      </c>
      <c r="M373" s="169">
        <v>796.32</v>
      </c>
      <c r="N373" s="166"/>
      <c r="O373" s="166"/>
      <c r="P373" s="169">
        <v>0</v>
      </c>
      <c r="Q373" s="169">
        <v>0</v>
      </c>
    </row>
    <row r="374" spans="2:17" x14ac:dyDescent="0.25">
      <c r="B374" s="168" t="s">
        <v>1217</v>
      </c>
      <c r="C374" s="168" t="s">
        <v>1220</v>
      </c>
      <c r="D374" s="168" t="s">
        <v>82</v>
      </c>
      <c r="E374" s="169">
        <v>45.2</v>
      </c>
      <c r="F374" s="169">
        <v>22</v>
      </c>
      <c r="G374" s="169">
        <v>994.4</v>
      </c>
      <c r="H374" s="169">
        <v>0</v>
      </c>
      <c r="I374" s="169">
        <v>0</v>
      </c>
      <c r="J374" s="166"/>
      <c r="K374" s="166"/>
      <c r="L374" s="166"/>
      <c r="M374" s="169">
        <v>994.4</v>
      </c>
      <c r="N374" s="166"/>
      <c r="O374" s="166"/>
      <c r="P374" s="166"/>
      <c r="Q374" s="169">
        <v>0</v>
      </c>
    </row>
    <row r="375" spans="2:17" x14ac:dyDescent="0.25">
      <c r="B375" s="168" t="s">
        <v>1219</v>
      </c>
      <c r="C375" s="168" t="s">
        <v>1221</v>
      </c>
      <c r="D375" s="168" t="s">
        <v>82</v>
      </c>
      <c r="E375" s="169">
        <v>249.53</v>
      </c>
      <c r="F375" s="169">
        <v>22</v>
      </c>
      <c r="G375" s="169">
        <v>5489.66</v>
      </c>
      <c r="H375" s="169">
        <v>0</v>
      </c>
      <c r="I375" s="169">
        <v>0</v>
      </c>
      <c r="J375" s="166"/>
      <c r="K375" s="166"/>
      <c r="L375" s="166"/>
      <c r="M375" s="169">
        <v>5489.66</v>
      </c>
      <c r="N375" s="166"/>
      <c r="O375" s="166"/>
      <c r="P375" s="166"/>
      <c r="Q375" s="169">
        <v>0</v>
      </c>
    </row>
    <row r="376" spans="2:17" x14ac:dyDescent="0.25">
      <c r="B376" s="170" t="s">
        <v>495</v>
      </c>
      <c r="C376" s="170" t="s">
        <v>1222</v>
      </c>
      <c r="D376" s="166"/>
      <c r="E376" s="166"/>
      <c r="F376" s="166"/>
      <c r="G376" s="171">
        <v>16540.23</v>
      </c>
      <c r="H376" s="166"/>
      <c r="I376" s="171">
        <v>0</v>
      </c>
      <c r="J376" s="171">
        <v>0</v>
      </c>
      <c r="K376" s="171">
        <v>0</v>
      </c>
      <c r="L376" s="171">
        <v>0</v>
      </c>
      <c r="M376" s="171">
        <v>16540.23</v>
      </c>
      <c r="N376" s="171">
        <v>0</v>
      </c>
      <c r="O376" s="171">
        <v>0</v>
      </c>
      <c r="P376" s="171">
        <v>0</v>
      </c>
      <c r="Q376" s="171">
        <v>0</v>
      </c>
    </row>
    <row r="377" spans="2:17" x14ac:dyDescent="0.25">
      <c r="B377" s="168" t="s">
        <v>496</v>
      </c>
      <c r="C377" s="168" t="s">
        <v>1223</v>
      </c>
      <c r="D377" s="168" t="s">
        <v>53</v>
      </c>
      <c r="E377" s="169">
        <v>76</v>
      </c>
      <c r="F377" s="169">
        <v>20</v>
      </c>
      <c r="G377" s="169">
        <v>1520</v>
      </c>
      <c r="H377" s="169">
        <v>0</v>
      </c>
      <c r="I377" s="169">
        <v>0</v>
      </c>
      <c r="J377" s="166"/>
      <c r="K377" s="166"/>
      <c r="L377" s="166"/>
      <c r="M377" s="169">
        <v>1520</v>
      </c>
      <c r="N377" s="166"/>
      <c r="O377" s="166"/>
      <c r="P377" s="166"/>
      <c r="Q377" s="169">
        <v>0</v>
      </c>
    </row>
    <row r="378" spans="2:17" x14ac:dyDescent="0.25">
      <c r="B378" s="168" t="s">
        <v>497</v>
      </c>
      <c r="C378" s="168" t="s">
        <v>1224</v>
      </c>
      <c r="D378" s="168" t="s">
        <v>53</v>
      </c>
      <c r="E378" s="169">
        <v>45</v>
      </c>
      <c r="F378" s="169">
        <v>13</v>
      </c>
      <c r="G378" s="169">
        <v>585</v>
      </c>
      <c r="H378" s="169">
        <v>0</v>
      </c>
      <c r="I378" s="169">
        <v>0</v>
      </c>
      <c r="J378" s="166"/>
      <c r="K378" s="166"/>
      <c r="L378" s="166"/>
      <c r="M378" s="169">
        <v>585</v>
      </c>
      <c r="N378" s="166"/>
      <c r="O378" s="166"/>
      <c r="P378" s="166"/>
      <c r="Q378" s="169">
        <v>0</v>
      </c>
    </row>
    <row r="379" spans="2:17" x14ac:dyDescent="0.25">
      <c r="B379" s="168" t="s">
        <v>498</v>
      </c>
      <c r="C379" s="168" t="s">
        <v>1225</v>
      </c>
      <c r="D379" s="168" t="s">
        <v>82</v>
      </c>
      <c r="E379" s="169">
        <v>231.25</v>
      </c>
      <c r="F379" s="169">
        <v>18</v>
      </c>
      <c r="G379" s="169">
        <v>4162.5</v>
      </c>
      <c r="H379" s="169">
        <v>0</v>
      </c>
      <c r="I379" s="169">
        <v>0</v>
      </c>
      <c r="J379" s="166"/>
      <c r="K379" s="166"/>
      <c r="L379" s="166"/>
      <c r="M379" s="169">
        <v>4162.5</v>
      </c>
      <c r="N379" s="166"/>
      <c r="O379" s="166"/>
      <c r="P379" s="166"/>
      <c r="Q379" s="169">
        <v>0</v>
      </c>
    </row>
    <row r="380" spans="2:17" x14ac:dyDescent="0.25">
      <c r="B380" s="168" t="s">
        <v>499</v>
      </c>
      <c r="C380" s="168" t="s">
        <v>1226</v>
      </c>
      <c r="D380" s="168" t="s">
        <v>53</v>
      </c>
      <c r="E380" s="169">
        <v>108</v>
      </c>
      <c r="F380" s="169">
        <v>13</v>
      </c>
      <c r="G380" s="169">
        <v>1404</v>
      </c>
      <c r="H380" s="169">
        <v>0</v>
      </c>
      <c r="I380" s="169">
        <v>0</v>
      </c>
      <c r="J380" s="166"/>
      <c r="K380" s="166"/>
      <c r="L380" s="166"/>
      <c r="M380" s="169">
        <v>1404</v>
      </c>
      <c r="N380" s="166"/>
      <c r="O380" s="166"/>
      <c r="P380" s="166"/>
      <c r="Q380" s="169">
        <v>0</v>
      </c>
    </row>
    <row r="381" spans="2:17" x14ac:dyDescent="0.25">
      <c r="B381" s="168" t="s">
        <v>500</v>
      </c>
      <c r="C381" s="168" t="s">
        <v>1227</v>
      </c>
      <c r="D381" s="168" t="s">
        <v>157</v>
      </c>
      <c r="E381" s="169">
        <v>463.61</v>
      </c>
      <c r="F381" s="169">
        <v>13</v>
      </c>
      <c r="G381" s="169">
        <v>6026.93</v>
      </c>
      <c r="H381" s="169">
        <v>0</v>
      </c>
      <c r="I381" s="169">
        <v>0</v>
      </c>
      <c r="J381" s="166"/>
      <c r="K381" s="166"/>
      <c r="L381" s="166"/>
      <c r="M381" s="169">
        <v>6026.93</v>
      </c>
      <c r="N381" s="166"/>
      <c r="O381" s="166"/>
      <c r="P381" s="166"/>
      <c r="Q381" s="169">
        <v>0</v>
      </c>
    </row>
    <row r="382" spans="2:17" x14ac:dyDescent="0.25">
      <c r="B382" s="168" t="s">
        <v>501</v>
      </c>
      <c r="C382" s="168" t="s">
        <v>1228</v>
      </c>
      <c r="D382" s="168" t="s">
        <v>157</v>
      </c>
      <c r="E382" s="169">
        <v>173.6</v>
      </c>
      <c r="F382" s="169">
        <v>13</v>
      </c>
      <c r="G382" s="169">
        <v>2256.8000000000002</v>
      </c>
      <c r="H382" s="169">
        <v>0</v>
      </c>
      <c r="I382" s="169">
        <v>0</v>
      </c>
      <c r="J382" s="166"/>
      <c r="K382" s="166"/>
      <c r="L382" s="166"/>
      <c r="M382" s="169">
        <v>2256.8000000000002</v>
      </c>
      <c r="N382" s="166"/>
      <c r="O382" s="166"/>
      <c r="P382" s="166"/>
      <c r="Q382" s="169">
        <v>0</v>
      </c>
    </row>
    <row r="383" spans="2:17" x14ac:dyDescent="0.25">
      <c r="B383" s="168" t="s">
        <v>502</v>
      </c>
      <c r="C383" s="168" t="s">
        <v>1229</v>
      </c>
      <c r="D383" s="168" t="s">
        <v>53</v>
      </c>
      <c r="E383" s="169">
        <v>45</v>
      </c>
      <c r="F383" s="169">
        <v>13</v>
      </c>
      <c r="G383" s="169">
        <v>585</v>
      </c>
      <c r="H383" s="169">
        <v>0</v>
      </c>
      <c r="I383" s="169">
        <v>0</v>
      </c>
      <c r="J383" s="166"/>
      <c r="K383" s="166"/>
      <c r="L383" s="166"/>
      <c r="M383" s="169">
        <v>585</v>
      </c>
      <c r="N383" s="166"/>
      <c r="O383" s="166"/>
      <c r="P383" s="166"/>
      <c r="Q383" s="169">
        <v>0</v>
      </c>
    </row>
    <row r="384" spans="2:17" x14ac:dyDescent="0.25">
      <c r="B384" s="170" t="s">
        <v>503</v>
      </c>
      <c r="C384" s="170" t="s">
        <v>1230</v>
      </c>
      <c r="D384" s="166"/>
      <c r="E384" s="166"/>
      <c r="F384" s="166"/>
      <c r="G384" s="171">
        <v>259062.53</v>
      </c>
      <c r="H384" s="166"/>
      <c r="I384" s="171">
        <v>0</v>
      </c>
      <c r="J384" s="171">
        <v>0</v>
      </c>
      <c r="K384" s="171">
        <v>258362.53</v>
      </c>
      <c r="L384" s="171">
        <v>0</v>
      </c>
      <c r="M384" s="171">
        <v>700</v>
      </c>
      <c r="N384" s="171">
        <v>0</v>
      </c>
      <c r="O384" s="171">
        <v>0</v>
      </c>
      <c r="P384" s="171">
        <v>0</v>
      </c>
      <c r="Q384" s="171">
        <v>0</v>
      </c>
    </row>
    <row r="385" spans="2:17" x14ac:dyDescent="0.25">
      <c r="B385" s="172" t="s">
        <v>504</v>
      </c>
      <c r="C385" s="172" t="s">
        <v>1231</v>
      </c>
      <c r="D385" s="166"/>
      <c r="E385" s="166"/>
      <c r="F385" s="166"/>
      <c r="G385" s="173">
        <v>166654.62</v>
      </c>
      <c r="H385" s="166"/>
      <c r="I385" s="173">
        <v>0</v>
      </c>
      <c r="J385" s="173">
        <v>0</v>
      </c>
      <c r="K385" s="173">
        <v>166654.62</v>
      </c>
      <c r="L385" s="173">
        <v>0</v>
      </c>
      <c r="M385" s="173">
        <v>0</v>
      </c>
      <c r="N385" s="173">
        <v>0</v>
      </c>
      <c r="O385" s="173">
        <v>0</v>
      </c>
      <c r="P385" s="173">
        <v>0</v>
      </c>
      <c r="Q385" s="173">
        <v>0</v>
      </c>
    </row>
    <row r="386" spans="2:17" x14ac:dyDescent="0.25">
      <c r="B386" s="168" t="s">
        <v>505</v>
      </c>
      <c r="C386" s="168" t="s">
        <v>1232</v>
      </c>
      <c r="D386" s="168" t="s">
        <v>53</v>
      </c>
      <c r="E386" s="169">
        <v>174</v>
      </c>
      <c r="F386" s="169">
        <v>261.98</v>
      </c>
      <c r="G386" s="169">
        <v>45584.52</v>
      </c>
      <c r="H386" s="169">
        <v>0</v>
      </c>
      <c r="I386" s="169">
        <v>0</v>
      </c>
      <c r="J386" s="166"/>
      <c r="K386" s="169">
        <v>45584.52</v>
      </c>
      <c r="L386" s="166"/>
      <c r="M386" s="166"/>
      <c r="N386" s="166"/>
      <c r="O386" s="169">
        <v>0</v>
      </c>
      <c r="P386" s="166"/>
      <c r="Q386" s="166"/>
    </row>
    <row r="387" spans="2:17" x14ac:dyDescent="0.25">
      <c r="B387" s="168" t="s">
        <v>506</v>
      </c>
      <c r="C387" s="168" t="s">
        <v>1233</v>
      </c>
      <c r="D387" s="168" t="s">
        <v>53</v>
      </c>
      <c r="E387" s="169">
        <v>174</v>
      </c>
      <c r="F387" s="169">
        <v>20</v>
      </c>
      <c r="G387" s="169">
        <v>3480</v>
      </c>
      <c r="H387" s="169">
        <v>0</v>
      </c>
      <c r="I387" s="169">
        <v>0</v>
      </c>
      <c r="J387" s="166"/>
      <c r="K387" s="169">
        <v>3480</v>
      </c>
      <c r="L387" s="166"/>
      <c r="M387" s="166"/>
      <c r="N387" s="166"/>
      <c r="O387" s="169">
        <v>0</v>
      </c>
      <c r="P387" s="166"/>
      <c r="Q387" s="166"/>
    </row>
    <row r="388" spans="2:17" x14ac:dyDescent="0.25">
      <c r="B388" s="168" t="s">
        <v>507</v>
      </c>
      <c r="C388" s="168" t="s">
        <v>1234</v>
      </c>
      <c r="D388" s="168" t="s">
        <v>53</v>
      </c>
      <c r="E388" s="169">
        <v>172</v>
      </c>
      <c r="F388" s="169">
        <v>434.05</v>
      </c>
      <c r="G388" s="169">
        <v>74656.600000000006</v>
      </c>
      <c r="H388" s="169">
        <v>0</v>
      </c>
      <c r="I388" s="169">
        <v>0</v>
      </c>
      <c r="J388" s="166"/>
      <c r="K388" s="169">
        <v>74656.600000000006</v>
      </c>
      <c r="L388" s="166"/>
      <c r="M388" s="166"/>
      <c r="N388" s="166"/>
      <c r="O388" s="169">
        <v>0</v>
      </c>
      <c r="P388" s="166"/>
      <c r="Q388" s="166"/>
    </row>
    <row r="389" spans="2:17" x14ac:dyDescent="0.25">
      <c r="B389" s="168" t="s">
        <v>508</v>
      </c>
      <c r="C389" s="168" t="s">
        <v>1235</v>
      </c>
      <c r="D389" s="168" t="s">
        <v>53</v>
      </c>
      <c r="E389" s="169">
        <v>172</v>
      </c>
      <c r="F389" s="169">
        <v>20</v>
      </c>
      <c r="G389" s="169">
        <v>3440</v>
      </c>
      <c r="H389" s="169">
        <v>0</v>
      </c>
      <c r="I389" s="169">
        <v>0</v>
      </c>
      <c r="J389" s="166"/>
      <c r="K389" s="169">
        <v>3440</v>
      </c>
      <c r="L389" s="166"/>
      <c r="M389" s="166"/>
      <c r="N389" s="166"/>
      <c r="O389" s="169">
        <v>0</v>
      </c>
      <c r="P389" s="166"/>
      <c r="Q389" s="166"/>
    </row>
    <row r="390" spans="2:17" x14ac:dyDescent="0.25">
      <c r="B390" s="168" t="s">
        <v>509</v>
      </c>
      <c r="C390" s="168" t="s">
        <v>1236</v>
      </c>
      <c r="D390" s="168" t="s">
        <v>53</v>
      </c>
      <c r="E390" s="169">
        <v>64</v>
      </c>
      <c r="F390" s="169">
        <v>280</v>
      </c>
      <c r="G390" s="169">
        <v>17920</v>
      </c>
      <c r="H390" s="169">
        <v>0</v>
      </c>
      <c r="I390" s="169">
        <v>0</v>
      </c>
      <c r="J390" s="166"/>
      <c r="K390" s="169">
        <v>17920</v>
      </c>
      <c r="L390" s="166"/>
      <c r="M390" s="166"/>
      <c r="N390" s="166"/>
      <c r="O390" s="169">
        <v>0</v>
      </c>
      <c r="P390" s="166"/>
      <c r="Q390" s="166"/>
    </row>
    <row r="391" spans="2:17" x14ac:dyDescent="0.25">
      <c r="B391" s="168" t="s">
        <v>510</v>
      </c>
      <c r="C391" s="168" t="s">
        <v>1237</v>
      </c>
      <c r="D391" s="168" t="s">
        <v>53</v>
      </c>
      <c r="E391" s="169">
        <v>64</v>
      </c>
      <c r="F391" s="169">
        <v>20</v>
      </c>
      <c r="G391" s="169">
        <v>1280</v>
      </c>
      <c r="H391" s="169">
        <v>0</v>
      </c>
      <c r="I391" s="169">
        <v>0</v>
      </c>
      <c r="J391" s="166"/>
      <c r="K391" s="169">
        <v>1280</v>
      </c>
      <c r="L391" s="166"/>
      <c r="M391" s="166"/>
      <c r="N391" s="166"/>
      <c r="O391" s="169">
        <v>0</v>
      </c>
      <c r="P391" s="166"/>
      <c r="Q391" s="166"/>
    </row>
    <row r="392" spans="2:17" x14ac:dyDescent="0.25">
      <c r="B392" s="168" t="s">
        <v>511</v>
      </c>
      <c r="C392" s="168" t="s">
        <v>1238</v>
      </c>
      <c r="D392" s="168" t="s">
        <v>53</v>
      </c>
      <c r="E392" s="169">
        <v>2</v>
      </c>
      <c r="F392" s="169">
        <v>280</v>
      </c>
      <c r="G392" s="169">
        <v>560</v>
      </c>
      <c r="H392" s="169">
        <v>0</v>
      </c>
      <c r="I392" s="169">
        <v>0</v>
      </c>
      <c r="J392" s="166"/>
      <c r="K392" s="169">
        <v>560</v>
      </c>
      <c r="L392" s="166"/>
      <c r="M392" s="166"/>
      <c r="N392" s="166"/>
      <c r="O392" s="169">
        <v>0</v>
      </c>
      <c r="P392" s="166"/>
      <c r="Q392" s="166"/>
    </row>
    <row r="393" spans="2:17" x14ac:dyDescent="0.25">
      <c r="B393" s="168" t="s">
        <v>512</v>
      </c>
      <c r="C393" s="168" t="s">
        <v>1239</v>
      </c>
      <c r="D393" s="168" t="s">
        <v>53</v>
      </c>
      <c r="E393" s="169">
        <v>2</v>
      </c>
      <c r="F393" s="169">
        <v>20</v>
      </c>
      <c r="G393" s="169">
        <v>40</v>
      </c>
      <c r="H393" s="169">
        <v>0</v>
      </c>
      <c r="I393" s="169">
        <v>0</v>
      </c>
      <c r="J393" s="166"/>
      <c r="K393" s="169">
        <v>40</v>
      </c>
      <c r="L393" s="166"/>
      <c r="M393" s="166"/>
      <c r="N393" s="166"/>
      <c r="O393" s="169">
        <v>0</v>
      </c>
      <c r="P393" s="166"/>
      <c r="Q393" s="166"/>
    </row>
    <row r="394" spans="2:17" x14ac:dyDescent="0.25">
      <c r="B394" s="168" t="s">
        <v>513</v>
      </c>
      <c r="C394" s="168" t="s">
        <v>1240</v>
      </c>
      <c r="D394" s="168" t="s">
        <v>53</v>
      </c>
      <c r="E394" s="169">
        <v>2</v>
      </c>
      <c r="F394" s="169">
        <v>622.75</v>
      </c>
      <c r="G394" s="169">
        <v>1245.5</v>
      </c>
      <c r="H394" s="169">
        <v>0</v>
      </c>
      <c r="I394" s="169">
        <v>0</v>
      </c>
      <c r="J394" s="166"/>
      <c r="K394" s="169">
        <v>1245.5</v>
      </c>
      <c r="L394" s="166"/>
      <c r="M394" s="166"/>
      <c r="N394" s="166"/>
      <c r="O394" s="169">
        <v>0</v>
      </c>
      <c r="P394" s="166"/>
      <c r="Q394" s="166"/>
    </row>
    <row r="395" spans="2:17" x14ac:dyDescent="0.25">
      <c r="B395" s="168" t="s">
        <v>514</v>
      </c>
      <c r="C395" s="168" t="s">
        <v>1241</v>
      </c>
      <c r="D395" s="168" t="s">
        <v>53</v>
      </c>
      <c r="E395" s="169">
        <v>2</v>
      </c>
      <c r="F395" s="169">
        <v>20</v>
      </c>
      <c r="G395" s="169">
        <v>40</v>
      </c>
      <c r="H395" s="169">
        <v>0</v>
      </c>
      <c r="I395" s="169">
        <v>0</v>
      </c>
      <c r="J395" s="166"/>
      <c r="K395" s="169">
        <v>40</v>
      </c>
      <c r="L395" s="166"/>
      <c r="M395" s="166"/>
      <c r="N395" s="166"/>
      <c r="O395" s="169">
        <v>0</v>
      </c>
      <c r="P395" s="166"/>
      <c r="Q395" s="166"/>
    </row>
    <row r="396" spans="2:17" x14ac:dyDescent="0.25">
      <c r="B396" s="168" t="s">
        <v>515</v>
      </c>
      <c r="C396" s="168" t="s">
        <v>1242</v>
      </c>
      <c r="D396" s="168" t="s">
        <v>53</v>
      </c>
      <c r="E396" s="169">
        <v>1</v>
      </c>
      <c r="F396" s="169">
        <v>800</v>
      </c>
      <c r="G396" s="169">
        <v>800</v>
      </c>
      <c r="H396" s="169">
        <v>0</v>
      </c>
      <c r="I396" s="169">
        <v>0</v>
      </c>
      <c r="J396" s="166"/>
      <c r="K396" s="169">
        <v>800</v>
      </c>
      <c r="L396" s="166"/>
      <c r="M396" s="166"/>
      <c r="N396" s="166"/>
      <c r="O396" s="169">
        <v>0</v>
      </c>
      <c r="P396" s="166"/>
      <c r="Q396" s="166"/>
    </row>
    <row r="397" spans="2:17" x14ac:dyDescent="0.25">
      <c r="B397" s="168" t="s">
        <v>516</v>
      </c>
      <c r="C397" s="168" t="s">
        <v>1243</v>
      </c>
      <c r="D397" s="168" t="s">
        <v>53</v>
      </c>
      <c r="E397" s="169">
        <v>1</v>
      </c>
      <c r="F397" s="169">
        <v>20</v>
      </c>
      <c r="G397" s="169">
        <v>20</v>
      </c>
      <c r="H397" s="169">
        <v>0</v>
      </c>
      <c r="I397" s="169">
        <v>0</v>
      </c>
      <c r="J397" s="166"/>
      <c r="K397" s="169">
        <v>20</v>
      </c>
      <c r="L397" s="166"/>
      <c r="M397" s="166"/>
      <c r="N397" s="166"/>
      <c r="O397" s="169">
        <v>0</v>
      </c>
      <c r="P397" s="166"/>
      <c r="Q397" s="166"/>
    </row>
    <row r="398" spans="2:17" x14ac:dyDescent="0.25">
      <c r="B398" s="168" t="s">
        <v>517</v>
      </c>
      <c r="C398" s="168" t="s">
        <v>1244</v>
      </c>
      <c r="D398" s="168" t="s">
        <v>53</v>
      </c>
      <c r="E398" s="169">
        <v>108</v>
      </c>
      <c r="F398" s="169">
        <v>137.75</v>
      </c>
      <c r="G398" s="169">
        <v>14877</v>
      </c>
      <c r="H398" s="169">
        <v>0</v>
      </c>
      <c r="I398" s="169">
        <v>0</v>
      </c>
      <c r="J398" s="166"/>
      <c r="K398" s="169">
        <v>14877</v>
      </c>
      <c r="L398" s="166"/>
      <c r="M398" s="166"/>
      <c r="N398" s="166"/>
      <c r="O398" s="169">
        <v>0</v>
      </c>
      <c r="P398" s="166"/>
      <c r="Q398" s="166"/>
    </row>
    <row r="399" spans="2:17" x14ac:dyDescent="0.25">
      <c r="B399" s="168" t="s">
        <v>518</v>
      </c>
      <c r="C399" s="168" t="s">
        <v>1245</v>
      </c>
      <c r="D399" s="168" t="s">
        <v>53</v>
      </c>
      <c r="E399" s="169">
        <v>108</v>
      </c>
      <c r="F399" s="169">
        <v>20</v>
      </c>
      <c r="G399" s="169">
        <v>2160</v>
      </c>
      <c r="H399" s="169">
        <v>0</v>
      </c>
      <c r="I399" s="169">
        <v>0</v>
      </c>
      <c r="J399" s="166"/>
      <c r="K399" s="169">
        <v>2160</v>
      </c>
      <c r="L399" s="166"/>
      <c r="M399" s="166"/>
      <c r="N399" s="166"/>
      <c r="O399" s="169">
        <v>0</v>
      </c>
      <c r="P399" s="166"/>
      <c r="Q399" s="166"/>
    </row>
    <row r="400" spans="2:17" x14ac:dyDescent="0.25">
      <c r="B400" s="168" t="s">
        <v>519</v>
      </c>
      <c r="C400" s="168" t="s">
        <v>1246</v>
      </c>
      <c r="D400" s="168" t="s">
        <v>53</v>
      </c>
      <c r="E400" s="169">
        <v>2</v>
      </c>
      <c r="F400" s="169">
        <v>137.75</v>
      </c>
      <c r="G400" s="169">
        <v>275.5</v>
      </c>
      <c r="H400" s="169">
        <v>0</v>
      </c>
      <c r="I400" s="169">
        <v>0</v>
      </c>
      <c r="J400" s="166"/>
      <c r="K400" s="169">
        <v>275.5</v>
      </c>
      <c r="L400" s="166"/>
      <c r="M400" s="166"/>
      <c r="N400" s="166"/>
      <c r="O400" s="169">
        <v>0</v>
      </c>
      <c r="P400" s="166"/>
      <c r="Q400" s="166"/>
    </row>
    <row r="401" spans="2:17" x14ac:dyDescent="0.25">
      <c r="B401" s="168" t="s">
        <v>1247</v>
      </c>
      <c r="C401" s="168" t="s">
        <v>1248</v>
      </c>
      <c r="D401" s="168" t="s">
        <v>53</v>
      </c>
      <c r="E401" s="169">
        <v>2</v>
      </c>
      <c r="F401" s="169">
        <v>137.75</v>
      </c>
      <c r="G401" s="169">
        <v>275.5</v>
      </c>
      <c r="H401" s="169">
        <v>0</v>
      </c>
      <c r="I401" s="169">
        <v>0</v>
      </c>
      <c r="J401" s="166"/>
      <c r="K401" s="169">
        <v>275.5</v>
      </c>
      <c r="L401" s="166"/>
      <c r="M401" s="166"/>
      <c r="N401" s="166"/>
      <c r="O401" s="169">
        <v>0</v>
      </c>
      <c r="P401" s="166"/>
      <c r="Q401" s="166"/>
    </row>
    <row r="402" spans="2:17" x14ac:dyDescent="0.25">
      <c r="B402" s="172" t="s">
        <v>520</v>
      </c>
      <c r="C402" s="172" t="s">
        <v>1249</v>
      </c>
      <c r="D402" s="166"/>
      <c r="E402" s="166"/>
      <c r="F402" s="166"/>
      <c r="G402" s="173">
        <v>90778.48</v>
      </c>
      <c r="H402" s="166"/>
      <c r="I402" s="173">
        <v>0</v>
      </c>
      <c r="J402" s="173">
        <v>0</v>
      </c>
      <c r="K402" s="173">
        <v>90778.48</v>
      </c>
      <c r="L402" s="173">
        <v>0</v>
      </c>
      <c r="M402" s="173">
        <v>0</v>
      </c>
      <c r="N402" s="173">
        <v>0</v>
      </c>
      <c r="O402" s="173">
        <v>0</v>
      </c>
      <c r="P402" s="173">
        <v>0</v>
      </c>
      <c r="Q402" s="173">
        <v>0</v>
      </c>
    </row>
    <row r="403" spans="2:17" x14ac:dyDescent="0.25">
      <c r="B403" s="168" t="s">
        <v>521</v>
      </c>
      <c r="C403" s="168" t="s">
        <v>1250</v>
      </c>
      <c r="D403" s="168" t="s">
        <v>53</v>
      </c>
      <c r="E403" s="169">
        <v>108</v>
      </c>
      <c r="F403" s="169">
        <v>187.12</v>
      </c>
      <c r="G403" s="169">
        <v>20208.96</v>
      </c>
      <c r="H403" s="169">
        <v>0</v>
      </c>
      <c r="I403" s="169">
        <v>0</v>
      </c>
      <c r="J403" s="166"/>
      <c r="K403" s="169">
        <v>20208.96</v>
      </c>
      <c r="L403" s="166"/>
      <c r="M403" s="166"/>
      <c r="N403" s="166"/>
      <c r="O403" s="169">
        <v>0</v>
      </c>
      <c r="P403" s="166"/>
      <c r="Q403" s="166"/>
    </row>
    <row r="404" spans="2:17" x14ac:dyDescent="0.25">
      <c r="B404" s="168" t="s">
        <v>522</v>
      </c>
      <c r="C404" s="168" t="s">
        <v>1251</v>
      </c>
      <c r="D404" s="168" t="s">
        <v>53</v>
      </c>
      <c r="E404" s="169">
        <v>4</v>
      </c>
      <c r="F404" s="169">
        <v>187.12</v>
      </c>
      <c r="G404" s="169">
        <v>748.48</v>
      </c>
      <c r="H404" s="169">
        <v>0</v>
      </c>
      <c r="I404" s="169">
        <v>0</v>
      </c>
      <c r="J404" s="166"/>
      <c r="K404" s="169">
        <v>748.48</v>
      </c>
      <c r="L404" s="166"/>
      <c r="M404" s="166"/>
      <c r="N404" s="166"/>
      <c r="O404" s="169">
        <v>0</v>
      </c>
      <c r="P404" s="166"/>
      <c r="Q404" s="166"/>
    </row>
    <row r="405" spans="2:17" x14ac:dyDescent="0.25">
      <c r="B405" s="168" t="s">
        <v>523</v>
      </c>
      <c r="C405" s="168" t="s">
        <v>1252</v>
      </c>
      <c r="D405" s="168" t="s">
        <v>53</v>
      </c>
      <c r="E405" s="169">
        <v>172</v>
      </c>
      <c r="F405" s="169">
        <v>134.97</v>
      </c>
      <c r="G405" s="169">
        <v>23214.84</v>
      </c>
      <c r="H405" s="169">
        <v>0</v>
      </c>
      <c r="I405" s="169">
        <v>0</v>
      </c>
      <c r="J405" s="166"/>
      <c r="K405" s="169">
        <v>23214.84</v>
      </c>
      <c r="L405" s="166"/>
      <c r="M405" s="166"/>
      <c r="N405" s="166"/>
      <c r="O405" s="169">
        <v>0</v>
      </c>
      <c r="P405" s="166"/>
      <c r="Q405" s="166"/>
    </row>
    <row r="406" spans="2:17" x14ac:dyDescent="0.25">
      <c r="B406" s="168" t="s">
        <v>524</v>
      </c>
      <c r="C406" s="168" t="s">
        <v>1253</v>
      </c>
      <c r="D406" s="168" t="s">
        <v>53</v>
      </c>
      <c r="E406" s="169">
        <v>172</v>
      </c>
      <c r="F406" s="169">
        <v>183.91</v>
      </c>
      <c r="G406" s="169">
        <v>31632.52</v>
      </c>
      <c r="H406" s="169">
        <v>0</v>
      </c>
      <c r="I406" s="169">
        <v>0</v>
      </c>
      <c r="J406" s="166"/>
      <c r="K406" s="169">
        <v>31632.52</v>
      </c>
      <c r="L406" s="166"/>
      <c r="M406" s="166"/>
      <c r="N406" s="166"/>
      <c r="O406" s="169">
        <v>0</v>
      </c>
      <c r="P406" s="166"/>
      <c r="Q406" s="166"/>
    </row>
    <row r="407" spans="2:17" x14ac:dyDescent="0.25">
      <c r="B407" s="168" t="s">
        <v>525</v>
      </c>
      <c r="C407" s="168" t="s">
        <v>1254</v>
      </c>
      <c r="D407" s="168" t="s">
        <v>53</v>
      </c>
      <c r="E407" s="169">
        <v>64</v>
      </c>
      <c r="F407" s="169">
        <v>225.87</v>
      </c>
      <c r="G407" s="169">
        <v>14455.68</v>
      </c>
      <c r="H407" s="169">
        <v>0</v>
      </c>
      <c r="I407" s="169">
        <v>0</v>
      </c>
      <c r="J407" s="166"/>
      <c r="K407" s="169">
        <v>14455.68</v>
      </c>
      <c r="L407" s="166"/>
      <c r="M407" s="166"/>
      <c r="N407" s="166"/>
      <c r="O407" s="169">
        <v>0</v>
      </c>
      <c r="P407" s="166"/>
      <c r="Q407" s="166"/>
    </row>
    <row r="408" spans="2:17" x14ac:dyDescent="0.25">
      <c r="B408" s="168" t="s">
        <v>526</v>
      </c>
      <c r="C408" s="168" t="s">
        <v>1255</v>
      </c>
      <c r="D408" s="168" t="s">
        <v>53</v>
      </c>
      <c r="E408" s="169">
        <v>1</v>
      </c>
      <c r="F408" s="169">
        <v>109</v>
      </c>
      <c r="G408" s="169">
        <v>109</v>
      </c>
      <c r="H408" s="169">
        <v>0</v>
      </c>
      <c r="I408" s="169">
        <v>0</v>
      </c>
      <c r="J408" s="166"/>
      <c r="K408" s="169">
        <v>109</v>
      </c>
      <c r="L408" s="166"/>
      <c r="M408" s="166"/>
      <c r="N408" s="166"/>
      <c r="O408" s="169">
        <v>0</v>
      </c>
      <c r="P408" s="166"/>
      <c r="Q408" s="166"/>
    </row>
    <row r="409" spans="2:17" x14ac:dyDescent="0.25">
      <c r="B409" s="168" t="s">
        <v>527</v>
      </c>
      <c r="C409" s="168" t="s">
        <v>1256</v>
      </c>
      <c r="D409" s="168" t="s">
        <v>53</v>
      </c>
      <c r="E409" s="169">
        <v>2</v>
      </c>
      <c r="F409" s="169">
        <v>180</v>
      </c>
      <c r="G409" s="169">
        <v>360</v>
      </c>
      <c r="H409" s="169">
        <v>0</v>
      </c>
      <c r="I409" s="169">
        <v>0</v>
      </c>
      <c r="J409" s="166"/>
      <c r="K409" s="169">
        <v>360</v>
      </c>
      <c r="L409" s="166"/>
      <c r="M409" s="166"/>
      <c r="N409" s="166"/>
      <c r="O409" s="169">
        <v>0</v>
      </c>
      <c r="P409" s="166"/>
      <c r="Q409" s="166"/>
    </row>
    <row r="410" spans="2:17" x14ac:dyDescent="0.25">
      <c r="B410" s="168" t="s">
        <v>528</v>
      </c>
      <c r="C410" s="168" t="s">
        <v>1257</v>
      </c>
      <c r="D410" s="168" t="s">
        <v>53</v>
      </c>
      <c r="E410" s="169">
        <v>1</v>
      </c>
      <c r="F410" s="169">
        <v>49</v>
      </c>
      <c r="G410" s="169">
        <v>49</v>
      </c>
      <c r="H410" s="169">
        <v>0</v>
      </c>
      <c r="I410" s="169">
        <v>0</v>
      </c>
      <c r="J410" s="166"/>
      <c r="K410" s="169">
        <v>49</v>
      </c>
      <c r="L410" s="166"/>
      <c r="M410" s="166"/>
      <c r="N410" s="166"/>
      <c r="O410" s="169">
        <v>0</v>
      </c>
      <c r="P410" s="166"/>
      <c r="Q410" s="166"/>
    </row>
    <row r="411" spans="2:17" x14ac:dyDescent="0.25">
      <c r="B411" s="172" t="s">
        <v>529</v>
      </c>
      <c r="C411" s="172" t="s">
        <v>1258</v>
      </c>
      <c r="D411" s="166"/>
      <c r="E411" s="166"/>
      <c r="F411" s="166"/>
      <c r="G411" s="173">
        <v>1629.43</v>
      </c>
      <c r="H411" s="166"/>
      <c r="I411" s="173">
        <v>0</v>
      </c>
      <c r="J411" s="173">
        <v>0</v>
      </c>
      <c r="K411" s="173">
        <v>929.43</v>
      </c>
      <c r="L411" s="173">
        <v>0</v>
      </c>
      <c r="M411" s="173">
        <v>700</v>
      </c>
      <c r="N411" s="173">
        <v>0</v>
      </c>
      <c r="O411" s="173">
        <v>0</v>
      </c>
      <c r="P411" s="173">
        <v>0</v>
      </c>
      <c r="Q411" s="173">
        <v>0</v>
      </c>
    </row>
    <row r="412" spans="2:17" x14ac:dyDescent="0.25">
      <c r="B412" s="168" t="s">
        <v>530</v>
      </c>
      <c r="C412" s="168" t="s">
        <v>1259</v>
      </c>
      <c r="D412" s="168" t="s">
        <v>53</v>
      </c>
      <c r="E412" s="169">
        <v>3</v>
      </c>
      <c r="F412" s="169">
        <v>151.01</v>
      </c>
      <c r="G412" s="169">
        <v>453.03</v>
      </c>
      <c r="H412" s="169">
        <v>0</v>
      </c>
      <c r="I412" s="169">
        <v>0</v>
      </c>
      <c r="J412" s="166"/>
      <c r="K412" s="169">
        <v>453.03</v>
      </c>
      <c r="L412" s="166"/>
      <c r="M412" s="166"/>
      <c r="N412" s="166"/>
      <c r="O412" s="169">
        <v>0</v>
      </c>
      <c r="P412" s="166"/>
      <c r="Q412" s="166"/>
    </row>
    <row r="413" spans="2:17" x14ac:dyDescent="0.25">
      <c r="B413" s="168" t="s">
        <v>531</v>
      </c>
      <c r="C413" s="168" t="s">
        <v>1260</v>
      </c>
      <c r="D413" s="168" t="s">
        <v>53</v>
      </c>
      <c r="E413" s="169">
        <v>4</v>
      </c>
      <c r="F413" s="169">
        <v>119.1</v>
      </c>
      <c r="G413" s="169">
        <v>476.4</v>
      </c>
      <c r="H413" s="169">
        <v>0</v>
      </c>
      <c r="I413" s="169">
        <v>0</v>
      </c>
      <c r="J413" s="166"/>
      <c r="K413" s="169">
        <v>476.4</v>
      </c>
      <c r="L413" s="166"/>
      <c r="M413" s="166"/>
      <c r="N413" s="166"/>
      <c r="O413" s="169">
        <v>0</v>
      </c>
      <c r="P413" s="166"/>
      <c r="Q413" s="166"/>
    </row>
    <row r="414" spans="2:17" x14ac:dyDescent="0.25">
      <c r="B414" s="168" t="s">
        <v>1261</v>
      </c>
      <c r="C414" s="168" t="s">
        <v>1262</v>
      </c>
      <c r="D414" s="168" t="s">
        <v>53</v>
      </c>
      <c r="E414" s="169">
        <v>7</v>
      </c>
      <c r="F414" s="169">
        <v>100</v>
      </c>
      <c r="G414" s="169">
        <v>700</v>
      </c>
      <c r="H414" s="169">
        <v>0</v>
      </c>
      <c r="I414" s="169">
        <v>0</v>
      </c>
      <c r="J414" s="166"/>
      <c r="K414" s="166"/>
      <c r="L414" s="166"/>
      <c r="M414" s="169">
        <v>700</v>
      </c>
      <c r="N414" s="166"/>
      <c r="O414" s="166"/>
      <c r="P414" s="166"/>
      <c r="Q414" s="169">
        <v>0</v>
      </c>
    </row>
    <row r="415" spans="2:17" x14ac:dyDescent="0.25">
      <c r="B415" s="170" t="s">
        <v>532</v>
      </c>
      <c r="C415" s="170" t="s">
        <v>1263</v>
      </c>
      <c r="D415" s="166"/>
      <c r="E415" s="166"/>
      <c r="F415" s="166"/>
      <c r="G415" s="171">
        <v>533046.18000000005</v>
      </c>
      <c r="H415" s="166"/>
      <c r="I415" s="171">
        <v>0</v>
      </c>
      <c r="J415" s="171">
        <v>0</v>
      </c>
      <c r="K415" s="171">
        <v>0</v>
      </c>
      <c r="L415" s="171">
        <v>0</v>
      </c>
      <c r="M415" s="171">
        <v>533046.18000000005</v>
      </c>
      <c r="N415" s="171">
        <v>0</v>
      </c>
      <c r="O415" s="171">
        <v>0</v>
      </c>
      <c r="P415" s="171">
        <v>0</v>
      </c>
      <c r="Q415" s="171">
        <v>0</v>
      </c>
    </row>
    <row r="416" spans="2:17" x14ac:dyDescent="0.25">
      <c r="B416" s="172" t="s">
        <v>533</v>
      </c>
      <c r="C416" s="172" t="s">
        <v>1264</v>
      </c>
      <c r="D416" s="166"/>
      <c r="E416" s="166"/>
      <c r="F416" s="166"/>
      <c r="G416" s="173">
        <v>191503.85</v>
      </c>
      <c r="H416" s="166"/>
      <c r="I416" s="173">
        <v>0</v>
      </c>
      <c r="J416" s="173">
        <v>0</v>
      </c>
      <c r="K416" s="173">
        <v>0</v>
      </c>
      <c r="L416" s="173">
        <v>0</v>
      </c>
      <c r="M416" s="173">
        <v>191503.85</v>
      </c>
      <c r="N416" s="173">
        <v>0</v>
      </c>
      <c r="O416" s="173">
        <v>0</v>
      </c>
      <c r="P416" s="173">
        <v>0</v>
      </c>
      <c r="Q416" s="173">
        <v>0</v>
      </c>
    </row>
    <row r="417" spans="2:17" x14ac:dyDescent="0.25">
      <c r="B417" s="168" t="s">
        <v>1265</v>
      </c>
      <c r="C417" s="168" t="s">
        <v>1266</v>
      </c>
      <c r="D417" s="168" t="s">
        <v>53</v>
      </c>
      <c r="E417" s="169">
        <v>1</v>
      </c>
      <c r="F417" s="169">
        <v>1291.5</v>
      </c>
      <c r="G417" s="169">
        <v>1291.5</v>
      </c>
      <c r="H417" s="169">
        <v>0</v>
      </c>
      <c r="I417" s="169">
        <v>0</v>
      </c>
      <c r="J417" s="166"/>
      <c r="K417" s="166"/>
      <c r="L417" s="166"/>
      <c r="M417" s="169">
        <v>1291.5</v>
      </c>
      <c r="N417" s="166"/>
      <c r="O417" s="166"/>
      <c r="P417" s="166"/>
      <c r="Q417" s="169">
        <v>0</v>
      </c>
    </row>
    <row r="418" spans="2:17" x14ac:dyDescent="0.25">
      <c r="B418" s="168" t="s">
        <v>1267</v>
      </c>
      <c r="C418" s="168" t="s">
        <v>1268</v>
      </c>
      <c r="D418" s="168" t="s">
        <v>53</v>
      </c>
      <c r="E418" s="169">
        <v>1</v>
      </c>
      <c r="F418" s="169">
        <v>1230</v>
      </c>
      <c r="G418" s="169">
        <v>1230</v>
      </c>
      <c r="H418" s="169">
        <v>0</v>
      </c>
      <c r="I418" s="169">
        <v>0</v>
      </c>
      <c r="J418" s="166"/>
      <c r="K418" s="166"/>
      <c r="L418" s="166"/>
      <c r="M418" s="169">
        <v>1230</v>
      </c>
      <c r="N418" s="166"/>
      <c r="O418" s="166"/>
      <c r="P418" s="166"/>
      <c r="Q418" s="169">
        <v>0</v>
      </c>
    </row>
    <row r="419" spans="2:17" x14ac:dyDescent="0.25">
      <c r="B419" s="168" t="s">
        <v>1269</v>
      </c>
      <c r="C419" s="168" t="s">
        <v>1270</v>
      </c>
      <c r="D419" s="168" t="s">
        <v>53</v>
      </c>
      <c r="E419" s="169">
        <v>21</v>
      </c>
      <c r="F419" s="169">
        <v>1654.35</v>
      </c>
      <c r="G419" s="169">
        <v>34741.35</v>
      </c>
      <c r="H419" s="169">
        <v>0</v>
      </c>
      <c r="I419" s="169">
        <v>0</v>
      </c>
      <c r="J419" s="166"/>
      <c r="K419" s="166"/>
      <c r="L419" s="166"/>
      <c r="M419" s="169">
        <v>34741.35</v>
      </c>
      <c r="N419" s="166"/>
      <c r="O419" s="166"/>
      <c r="P419" s="166"/>
      <c r="Q419" s="169">
        <v>0</v>
      </c>
    </row>
    <row r="420" spans="2:17" x14ac:dyDescent="0.25">
      <c r="B420" s="168" t="s">
        <v>1271</v>
      </c>
      <c r="C420" s="168" t="s">
        <v>1272</v>
      </c>
      <c r="D420" s="168" t="s">
        <v>53</v>
      </c>
      <c r="E420" s="169">
        <v>21</v>
      </c>
      <c r="F420" s="169">
        <v>953.25</v>
      </c>
      <c r="G420" s="169">
        <v>20018.25</v>
      </c>
      <c r="H420" s="169">
        <v>0</v>
      </c>
      <c r="I420" s="169">
        <v>0</v>
      </c>
      <c r="J420" s="166"/>
      <c r="K420" s="166"/>
      <c r="L420" s="166"/>
      <c r="M420" s="169">
        <v>20018.25</v>
      </c>
      <c r="N420" s="166"/>
      <c r="O420" s="166"/>
      <c r="P420" s="166"/>
      <c r="Q420" s="169">
        <v>0</v>
      </c>
    </row>
    <row r="421" spans="2:17" x14ac:dyDescent="0.25">
      <c r="B421" s="168" t="s">
        <v>1273</v>
      </c>
      <c r="C421" s="168" t="s">
        <v>1274</v>
      </c>
      <c r="D421" s="168" t="s">
        <v>53</v>
      </c>
      <c r="E421" s="169">
        <v>21</v>
      </c>
      <c r="F421" s="169">
        <v>1586.7</v>
      </c>
      <c r="G421" s="169">
        <v>33320.699999999997</v>
      </c>
      <c r="H421" s="169">
        <v>0</v>
      </c>
      <c r="I421" s="169">
        <v>0</v>
      </c>
      <c r="J421" s="166"/>
      <c r="K421" s="166"/>
      <c r="L421" s="166"/>
      <c r="M421" s="169">
        <v>33320.699999999997</v>
      </c>
      <c r="N421" s="166"/>
      <c r="O421" s="166"/>
      <c r="P421" s="166"/>
      <c r="Q421" s="169">
        <v>0</v>
      </c>
    </row>
    <row r="422" spans="2:17" x14ac:dyDescent="0.25">
      <c r="B422" s="168" t="s">
        <v>1275</v>
      </c>
      <c r="C422" s="168" t="s">
        <v>1276</v>
      </c>
      <c r="D422" s="168" t="s">
        <v>53</v>
      </c>
      <c r="E422" s="169">
        <v>21</v>
      </c>
      <c r="F422" s="169">
        <v>1230</v>
      </c>
      <c r="G422" s="169">
        <v>25830</v>
      </c>
      <c r="H422" s="169">
        <v>0</v>
      </c>
      <c r="I422" s="169">
        <v>0</v>
      </c>
      <c r="J422" s="166"/>
      <c r="K422" s="166"/>
      <c r="L422" s="166"/>
      <c r="M422" s="169">
        <v>25830</v>
      </c>
      <c r="N422" s="166"/>
      <c r="O422" s="166"/>
      <c r="P422" s="166"/>
      <c r="Q422" s="169">
        <v>0</v>
      </c>
    </row>
    <row r="423" spans="2:17" x14ac:dyDescent="0.25">
      <c r="B423" s="168" t="s">
        <v>1277</v>
      </c>
      <c r="C423" s="168" t="s">
        <v>1278</v>
      </c>
      <c r="D423" s="168" t="s">
        <v>53</v>
      </c>
      <c r="E423" s="169">
        <v>22</v>
      </c>
      <c r="F423" s="169">
        <v>916.35</v>
      </c>
      <c r="G423" s="169">
        <v>20159.7</v>
      </c>
      <c r="H423" s="169">
        <v>0</v>
      </c>
      <c r="I423" s="169">
        <v>0</v>
      </c>
      <c r="J423" s="166"/>
      <c r="K423" s="166"/>
      <c r="L423" s="166"/>
      <c r="M423" s="169">
        <v>20159.7</v>
      </c>
      <c r="N423" s="166"/>
      <c r="O423" s="166"/>
      <c r="P423" s="166"/>
      <c r="Q423" s="169">
        <v>0</v>
      </c>
    </row>
    <row r="424" spans="2:17" x14ac:dyDescent="0.25">
      <c r="B424" s="168" t="s">
        <v>1279</v>
      </c>
      <c r="C424" s="168" t="s">
        <v>1280</v>
      </c>
      <c r="D424" s="168" t="s">
        <v>53</v>
      </c>
      <c r="E424" s="169">
        <v>21</v>
      </c>
      <c r="F424" s="169">
        <v>779.7</v>
      </c>
      <c r="G424" s="169">
        <v>16373.7</v>
      </c>
      <c r="H424" s="169">
        <v>0</v>
      </c>
      <c r="I424" s="169">
        <v>0</v>
      </c>
      <c r="J424" s="166"/>
      <c r="K424" s="166"/>
      <c r="L424" s="166"/>
      <c r="M424" s="169">
        <v>16373.7</v>
      </c>
      <c r="N424" s="166"/>
      <c r="O424" s="166"/>
      <c r="P424" s="166"/>
      <c r="Q424" s="169">
        <v>0</v>
      </c>
    </row>
    <row r="425" spans="2:17" x14ac:dyDescent="0.25">
      <c r="B425" s="168" t="s">
        <v>1281</v>
      </c>
      <c r="C425" s="168" t="s">
        <v>1282</v>
      </c>
      <c r="D425" s="168" t="s">
        <v>53</v>
      </c>
      <c r="E425" s="169">
        <v>22</v>
      </c>
      <c r="F425" s="169">
        <v>807.95</v>
      </c>
      <c r="G425" s="169">
        <v>17774.900000000001</v>
      </c>
      <c r="H425" s="169">
        <v>0</v>
      </c>
      <c r="I425" s="169">
        <v>0</v>
      </c>
      <c r="J425" s="166"/>
      <c r="K425" s="166"/>
      <c r="L425" s="166"/>
      <c r="M425" s="169">
        <v>17774.900000000001</v>
      </c>
      <c r="N425" s="166"/>
      <c r="O425" s="166"/>
      <c r="P425" s="166"/>
      <c r="Q425" s="169">
        <v>0</v>
      </c>
    </row>
    <row r="426" spans="2:17" x14ac:dyDescent="0.25">
      <c r="B426" s="168" t="s">
        <v>1283</v>
      </c>
      <c r="C426" s="168" t="s">
        <v>1284</v>
      </c>
      <c r="D426" s="168" t="s">
        <v>53</v>
      </c>
      <c r="E426" s="169">
        <v>21</v>
      </c>
      <c r="F426" s="169">
        <v>463.3</v>
      </c>
      <c r="G426" s="169">
        <v>9729.2999999999993</v>
      </c>
      <c r="H426" s="169">
        <v>0</v>
      </c>
      <c r="I426" s="169">
        <v>0</v>
      </c>
      <c r="J426" s="166"/>
      <c r="K426" s="166"/>
      <c r="L426" s="166"/>
      <c r="M426" s="169">
        <v>9729.2999999999993</v>
      </c>
      <c r="N426" s="166"/>
      <c r="O426" s="166"/>
      <c r="P426" s="166"/>
      <c r="Q426" s="169">
        <v>0</v>
      </c>
    </row>
    <row r="427" spans="2:17" x14ac:dyDescent="0.25">
      <c r="B427" s="168" t="s">
        <v>1285</v>
      </c>
      <c r="C427" s="168" t="s">
        <v>1286</v>
      </c>
      <c r="D427" s="168" t="s">
        <v>53</v>
      </c>
      <c r="E427" s="169">
        <v>21</v>
      </c>
      <c r="F427" s="169">
        <v>525.45000000000005</v>
      </c>
      <c r="G427" s="169">
        <v>11034.45</v>
      </c>
      <c r="H427" s="169">
        <v>0</v>
      </c>
      <c r="I427" s="169">
        <v>0</v>
      </c>
      <c r="J427" s="166"/>
      <c r="K427" s="166"/>
      <c r="L427" s="166"/>
      <c r="M427" s="169">
        <v>11034.45</v>
      </c>
      <c r="N427" s="166"/>
      <c r="O427" s="166"/>
      <c r="P427" s="166"/>
      <c r="Q427" s="169">
        <v>0</v>
      </c>
    </row>
    <row r="428" spans="2:17" x14ac:dyDescent="0.25">
      <c r="B428" s="172" t="s">
        <v>534</v>
      </c>
      <c r="C428" s="172" t="s">
        <v>1287</v>
      </c>
      <c r="D428" s="166"/>
      <c r="E428" s="166"/>
      <c r="F428" s="166"/>
      <c r="G428" s="173">
        <v>326540.33</v>
      </c>
      <c r="H428" s="166"/>
      <c r="I428" s="173">
        <v>0</v>
      </c>
      <c r="J428" s="173">
        <v>0</v>
      </c>
      <c r="K428" s="173">
        <v>0</v>
      </c>
      <c r="L428" s="173">
        <v>0</v>
      </c>
      <c r="M428" s="173">
        <v>326540.33</v>
      </c>
      <c r="N428" s="173">
        <v>0</v>
      </c>
      <c r="O428" s="173">
        <v>0</v>
      </c>
      <c r="P428" s="173">
        <v>0</v>
      </c>
      <c r="Q428" s="173">
        <v>0</v>
      </c>
    </row>
    <row r="429" spans="2:17" x14ac:dyDescent="0.25">
      <c r="B429" s="168" t="s">
        <v>1901</v>
      </c>
      <c r="C429" s="168" t="s">
        <v>1289</v>
      </c>
      <c r="D429" s="168" t="s">
        <v>53</v>
      </c>
      <c r="E429" s="169">
        <v>1</v>
      </c>
      <c r="F429" s="169">
        <v>2682.55</v>
      </c>
      <c r="G429" s="169">
        <v>2682.55</v>
      </c>
      <c r="H429" s="169">
        <v>0</v>
      </c>
      <c r="I429" s="169">
        <v>0</v>
      </c>
      <c r="J429" s="166"/>
      <c r="K429" s="166"/>
      <c r="L429" s="166"/>
      <c r="M429" s="169">
        <v>2682.55</v>
      </c>
      <c r="N429" s="166"/>
      <c r="O429" s="166"/>
      <c r="P429" s="166"/>
      <c r="Q429" s="169">
        <v>0</v>
      </c>
    </row>
    <row r="430" spans="2:17" x14ac:dyDescent="0.25">
      <c r="B430" s="168" t="s">
        <v>1902</v>
      </c>
      <c r="C430" s="168" t="s">
        <v>1291</v>
      </c>
      <c r="D430" s="168" t="s">
        <v>53</v>
      </c>
      <c r="E430" s="169">
        <v>1</v>
      </c>
      <c r="F430" s="169">
        <v>12500</v>
      </c>
      <c r="G430" s="169">
        <v>12500</v>
      </c>
      <c r="H430" s="169">
        <v>0</v>
      </c>
      <c r="I430" s="169">
        <v>0</v>
      </c>
      <c r="J430" s="166"/>
      <c r="K430" s="166"/>
      <c r="L430" s="166"/>
      <c r="M430" s="169">
        <v>12500</v>
      </c>
      <c r="N430" s="166"/>
      <c r="O430" s="166"/>
      <c r="P430" s="166"/>
      <c r="Q430" s="169">
        <v>0</v>
      </c>
    </row>
    <row r="431" spans="2:17" x14ac:dyDescent="0.25">
      <c r="B431" s="168" t="s">
        <v>1288</v>
      </c>
      <c r="C431" s="168" t="s">
        <v>1293</v>
      </c>
      <c r="D431" s="168" t="s">
        <v>53</v>
      </c>
      <c r="E431" s="169">
        <v>1</v>
      </c>
      <c r="F431" s="169">
        <v>2700</v>
      </c>
      <c r="G431" s="169">
        <v>2700</v>
      </c>
      <c r="H431" s="169">
        <v>0</v>
      </c>
      <c r="I431" s="169">
        <v>0</v>
      </c>
      <c r="J431" s="166"/>
      <c r="K431" s="166"/>
      <c r="L431" s="166"/>
      <c r="M431" s="169">
        <v>2700</v>
      </c>
      <c r="N431" s="166"/>
      <c r="O431" s="166"/>
      <c r="P431" s="166"/>
      <c r="Q431" s="169">
        <v>0</v>
      </c>
    </row>
    <row r="432" spans="2:17" x14ac:dyDescent="0.25">
      <c r="B432" s="168" t="s">
        <v>1290</v>
      </c>
      <c r="C432" s="168" t="s">
        <v>1295</v>
      </c>
      <c r="D432" s="168" t="s">
        <v>53</v>
      </c>
      <c r="E432" s="169">
        <v>2</v>
      </c>
      <c r="F432" s="169">
        <v>970.2</v>
      </c>
      <c r="G432" s="169">
        <v>1940.4</v>
      </c>
      <c r="H432" s="169">
        <v>0</v>
      </c>
      <c r="I432" s="169">
        <v>0</v>
      </c>
      <c r="J432" s="166"/>
      <c r="K432" s="166"/>
      <c r="L432" s="166"/>
      <c r="M432" s="169">
        <v>1940.4</v>
      </c>
      <c r="N432" s="166"/>
      <c r="O432" s="166"/>
      <c r="P432" s="166"/>
      <c r="Q432" s="169">
        <v>0</v>
      </c>
    </row>
    <row r="433" spans="2:17" x14ac:dyDescent="0.25">
      <c r="B433" s="174" t="s">
        <v>1292</v>
      </c>
      <c r="C433" s="174" t="s">
        <v>1903</v>
      </c>
      <c r="D433" s="166"/>
      <c r="E433" s="166"/>
      <c r="F433" s="166"/>
      <c r="G433" s="175">
        <v>200187.38</v>
      </c>
      <c r="H433" s="166"/>
      <c r="I433" s="175">
        <v>0</v>
      </c>
      <c r="J433" s="175">
        <v>0</v>
      </c>
      <c r="K433" s="175">
        <v>0</v>
      </c>
      <c r="L433" s="175">
        <v>0</v>
      </c>
      <c r="M433" s="175">
        <v>200187.38</v>
      </c>
      <c r="N433" s="175">
        <v>0</v>
      </c>
      <c r="O433" s="175">
        <v>0</v>
      </c>
      <c r="P433" s="175">
        <v>0</v>
      </c>
      <c r="Q433" s="175">
        <v>0</v>
      </c>
    </row>
    <row r="434" spans="2:17" x14ac:dyDescent="0.25">
      <c r="B434" s="168" t="s">
        <v>1904</v>
      </c>
      <c r="C434" s="168" t="s">
        <v>1905</v>
      </c>
      <c r="D434" s="168" t="s">
        <v>53</v>
      </c>
      <c r="E434" s="169">
        <v>1</v>
      </c>
      <c r="F434" s="169">
        <v>1875</v>
      </c>
      <c r="G434" s="169">
        <v>1875</v>
      </c>
      <c r="H434" s="169">
        <v>0</v>
      </c>
      <c r="I434" s="169">
        <v>0</v>
      </c>
      <c r="J434" s="166"/>
      <c r="K434" s="166"/>
      <c r="L434" s="166"/>
      <c r="M434" s="169">
        <v>1875</v>
      </c>
      <c r="N434" s="166"/>
      <c r="O434" s="166"/>
      <c r="P434" s="166"/>
      <c r="Q434" s="169">
        <v>0</v>
      </c>
    </row>
    <row r="435" spans="2:17" x14ac:dyDescent="0.25">
      <c r="B435" s="168" t="s">
        <v>1906</v>
      </c>
      <c r="C435" s="168" t="s">
        <v>1907</v>
      </c>
      <c r="D435" s="168" t="s">
        <v>53</v>
      </c>
      <c r="E435" s="169">
        <v>1</v>
      </c>
      <c r="F435" s="169">
        <v>1725</v>
      </c>
      <c r="G435" s="169">
        <v>1725</v>
      </c>
      <c r="H435" s="169">
        <v>0</v>
      </c>
      <c r="I435" s="169">
        <v>0</v>
      </c>
      <c r="J435" s="166"/>
      <c r="K435" s="166"/>
      <c r="L435" s="166"/>
      <c r="M435" s="169">
        <v>1725</v>
      </c>
      <c r="N435" s="166"/>
      <c r="O435" s="166"/>
      <c r="P435" s="166"/>
      <c r="Q435" s="169">
        <v>0</v>
      </c>
    </row>
    <row r="436" spans="2:17" x14ac:dyDescent="0.25">
      <c r="B436" s="168" t="s">
        <v>1908</v>
      </c>
      <c r="C436" s="168" t="s">
        <v>1909</v>
      </c>
      <c r="D436" s="168" t="s">
        <v>53</v>
      </c>
      <c r="E436" s="169">
        <v>1</v>
      </c>
      <c r="F436" s="169">
        <v>2195</v>
      </c>
      <c r="G436" s="169">
        <v>2195</v>
      </c>
      <c r="H436" s="169">
        <v>0</v>
      </c>
      <c r="I436" s="169">
        <v>0</v>
      </c>
      <c r="J436" s="166"/>
      <c r="K436" s="166"/>
      <c r="L436" s="166"/>
      <c r="M436" s="169">
        <v>2195</v>
      </c>
      <c r="N436" s="166"/>
      <c r="O436" s="166"/>
      <c r="P436" s="166"/>
      <c r="Q436" s="169">
        <v>0</v>
      </c>
    </row>
    <row r="437" spans="2:17" x14ac:dyDescent="0.25">
      <c r="B437" s="168" t="s">
        <v>1910</v>
      </c>
      <c r="C437" s="168" t="s">
        <v>1911</v>
      </c>
      <c r="D437" s="168" t="s">
        <v>53</v>
      </c>
      <c r="E437" s="169">
        <v>21</v>
      </c>
      <c r="F437" s="169">
        <v>2225</v>
      </c>
      <c r="G437" s="169">
        <v>46725</v>
      </c>
      <c r="H437" s="169">
        <v>0</v>
      </c>
      <c r="I437" s="169">
        <v>0</v>
      </c>
      <c r="J437" s="166"/>
      <c r="K437" s="166"/>
      <c r="L437" s="166"/>
      <c r="M437" s="169">
        <v>46725</v>
      </c>
      <c r="N437" s="166"/>
      <c r="O437" s="166"/>
      <c r="P437" s="166"/>
      <c r="Q437" s="169">
        <v>0</v>
      </c>
    </row>
    <row r="438" spans="2:17" x14ac:dyDescent="0.25">
      <c r="B438" s="168" t="s">
        <v>1912</v>
      </c>
      <c r="C438" s="168" t="s">
        <v>1913</v>
      </c>
      <c r="D438" s="168" t="s">
        <v>53</v>
      </c>
      <c r="E438" s="169">
        <v>21</v>
      </c>
      <c r="F438" s="169">
        <v>930</v>
      </c>
      <c r="G438" s="169">
        <v>19530</v>
      </c>
      <c r="H438" s="169">
        <v>0</v>
      </c>
      <c r="I438" s="169">
        <v>0</v>
      </c>
      <c r="J438" s="166"/>
      <c r="K438" s="166"/>
      <c r="L438" s="166"/>
      <c r="M438" s="169">
        <v>19530</v>
      </c>
      <c r="N438" s="166"/>
      <c r="O438" s="166"/>
      <c r="P438" s="166"/>
      <c r="Q438" s="169">
        <v>0</v>
      </c>
    </row>
    <row r="439" spans="2:17" x14ac:dyDescent="0.25">
      <c r="B439" s="168" t="s">
        <v>1914</v>
      </c>
      <c r="C439" s="168" t="s">
        <v>1915</v>
      </c>
      <c r="D439" s="168" t="s">
        <v>53</v>
      </c>
      <c r="E439" s="169">
        <v>21</v>
      </c>
      <c r="F439" s="169">
        <v>2150</v>
      </c>
      <c r="G439" s="169">
        <v>45150</v>
      </c>
      <c r="H439" s="169">
        <v>0</v>
      </c>
      <c r="I439" s="169">
        <v>0</v>
      </c>
      <c r="J439" s="166"/>
      <c r="K439" s="166"/>
      <c r="L439" s="166"/>
      <c r="M439" s="169">
        <v>45150</v>
      </c>
      <c r="N439" s="166"/>
      <c r="O439" s="166"/>
      <c r="P439" s="166"/>
      <c r="Q439" s="169">
        <v>0</v>
      </c>
    </row>
    <row r="440" spans="2:17" x14ac:dyDescent="0.25">
      <c r="B440" s="168" t="s">
        <v>1916</v>
      </c>
      <c r="C440" s="168" t="s">
        <v>1917</v>
      </c>
      <c r="D440" s="168" t="s">
        <v>53</v>
      </c>
      <c r="E440" s="169">
        <v>21</v>
      </c>
      <c r="F440" s="169">
        <v>1756.78</v>
      </c>
      <c r="G440" s="169">
        <v>36892.379999999997</v>
      </c>
      <c r="H440" s="169">
        <v>0</v>
      </c>
      <c r="I440" s="169">
        <v>0</v>
      </c>
      <c r="J440" s="166"/>
      <c r="K440" s="166"/>
      <c r="L440" s="166"/>
      <c r="M440" s="169">
        <v>36892.379999999997</v>
      </c>
      <c r="N440" s="166"/>
      <c r="O440" s="166"/>
      <c r="P440" s="166"/>
      <c r="Q440" s="169">
        <v>0</v>
      </c>
    </row>
    <row r="441" spans="2:17" x14ac:dyDescent="0.25">
      <c r="B441" s="168" t="s">
        <v>1918</v>
      </c>
      <c r="C441" s="168" t="s">
        <v>1919</v>
      </c>
      <c r="D441" s="168" t="s">
        <v>53</v>
      </c>
      <c r="E441" s="169">
        <v>21</v>
      </c>
      <c r="F441" s="169">
        <v>2195</v>
      </c>
      <c r="G441" s="169">
        <v>46095</v>
      </c>
      <c r="H441" s="169">
        <v>0</v>
      </c>
      <c r="I441" s="169">
        <v>0</v>
      </c>
      <c r="J441" s="166"/>
      <c r="K441" s="166"/>
      <c r="L441" s="166"/>
      <c r="M441" s="169">
        <v>46095</v>
      </c>
      <c r="N441" s="166"/>
      <c r="O441" s="166"/>
      <c r="P441" s="166"/>
      <c r="Q441" s="169">
        <v>0</v>
      </c>
    </row>
    <row r="442" spans="2:17" x14ac:dyDescent="0.25">
      <c r="B442" s="174" t="s">
        <v>1294</v>
      </c>
      <c r="C442" s="174" t="s">
        <v>1920</v>
      </c>
      <c r="D442" s="166"/>
      <c r="E442" s="166"/>
      <c r="F442" s="166"/>
      <c r="G442" s="175">
        <v>106530</v>
      </c>
      <c r="H442" s="166"/>
      <c r="I442" s="175">
        <v>0</v>
      </c>
      <c r="J442" s="175">
        <v>0</v>
      </c>
      <c r="K442" s="175">
        <v>0</v>
      </c>
      <c r="L442" s="175">
        <v>0</v>
      </c>
      <c r="M442" s="175">
        <v>106530</v>
      </c>
      <c r="N442" s="175">
        <v>0</v>
      </c>
      <c r="O442" s="175">
        <v>0</v>
      </c>
      <c r="P442" s="175">
        <v>0</v>
      </c>
      <c r="Q442" s="175">
        <v>0</v>
      </c>
    </row>
    <row r="443" spans="2:17" x14ac:dyDescent="0.25">
      <c r="B443" s="168" t="s">
        <v>1921</v>
      </c>
      <c r="C443" s="168" t="s">
        <v>1905</v>
      </c>
      <c r="D443" s="168" t="s">
        <v>53</v>
      </c>
      <c r="E443" s="169">
        <v>1</v>
      </c>
      <c r="F443" s="169">
        <v>765</v>
      </c>
      <c r="G443" s="169">
        <v>765</v>
      </c>
      <c r="H443" s="169">
        <v>0</v>
      </c>
      <c r="I443" s="169">
        <v>0</v>
      </c>
      <c r="J443" s="166"/>
      <c r="K443" s="166"/>
      <c r="L443" s="166"/>
      <c r="M443" s="169">
        <v>765</v>
      </c>
      <c r="N443" s="166"/>
      <c r="O443" s="166"/>
      <c r="P443" s="166"/>
      <c r="Q443" s="169">
        <v>0</v>
      </c>
    </row>
    <row r="444" spans="2:17" x14ac:dyDescent="0.25">
      <c r="B444" s="168" t="s">
        <v>1922</v>
      </c>
      <c r="C444" s="168" t="s">
        <v>1907</v>
      </c>
      <c r="D444" s="168" t="s">
        <v>53</v>
      </c>
      <c r="E444" s="169">
        <v>1</v>
      </c>
      <c r="F444" s="169">
        <v>780</v>
      </c>
      <c r="G444" s="169">
        <v>780</v>
      </c>
      <c r="H444" s="169">
        <v>0</v>
      </c>
      <c r="I444" s="169">
        <v>0</v>
      </c>
      <c r="J444" s="166"/>
      <c r="K444" s="166"/>
      <c r="L444" s="166"/>
      <c r="M444" s="169">
        <v>780</v>
      </c>
      <c r="N444" s="166"/>
      <c r="O444" s="166"/>
      <c r="P444" s="166"/>
      <c r="Q444" s="169">
        <v>0</v>
      </c>
    </row>
    <row r="445" spans="2:17" x14ac:dyDescent="0.25">
      <c r="B445" s="168" t="s">
        <v>1923</v>
      </c>
      <c r="C445" s="168" t="s">
        <v>1909</v>
      </c>
      <c r="D445" s="168" t="s">
        <v>53</v>
      </c>
      <c r="E445" s="169">
        <v>1</v>
      </c>
      <c r="F445" s="169">
        <v>930</v>
      </c>
      <c r="G445" s="169">
        <v>930</v>
      </c>
      <c r="H445" s="169">
        <v>0</v>
      </c>
      <c r="I445" s="169">
        <v>0</v>
      </c>
      <c r="J445" s="166"/>
      <c r="K445" s="166"/>
      <c r="L445" s="166"/>
      <c r="M445" s="169">
        <v>930</v>
      </c>
      <c r="N445" s="166"/>
      <c r="O445" s="166"/>
      <c r="P445" s="166"/>
      <c r="Q445" s="169">
        <v>0</v>
      </c>
    </row>
    <row r="446" spans="2:17" x14ac:dyDescent="0.25">
      <c r="B446" s="168" t="s">
        <v>1924</v>
      </c>
      <c r="C446" s="168" t="s">
        <v>1911</v>
      </c>
      <c r="D446" s="168" t="s">
        <v>53</v>
      </c>
      <c r="E446" s="169">
        <v>21</v>
      </c>
      <c r="F446" s="169">
        <v>1285</v>
      </c>
      <c r="G446" s="169">
        <v>26985</v>
      </c>
      <c r="H446" s="169">
        <v>0</v>
      </c>
      <c r="I446" s="169">
        <v>0</v>
      </c>
      <c r="J446" s="166"/>
      <c r="K446" s="166"/>
      <c r="L446" s="166"/>
      <c r="M446" s="169">
        <v>26985</v>
      </c>
      <c r="N446" s="166"/>
      <c r="O446" s="166"/>
      <c r="P446" s="166"/>
      <c r="Q446" s="169">
        <v>0</v>
      </c>
    </row>
    <row r="447" spans="2:17" x14ac:dyDescent="0.25">
      <c r="B447" s="168" t="s">
        <v>1925</v>
      </c>
      <c r="C447" s="168" t="s">
        <v>1913</v>
      </c>
      <c r="D447" s="168" t="s">
        <v>53</v>
      </c>
      <c r="E447" s="169">
        <v>21</v>
      </c>
      <c r="F447" s="169">
        <v>720</v>
      </c>
      <c r="G447" s="169">
        <v>15120</v>
      </c>
      <c r="H447" s="169">
        <v>0</v>
      </c>
      <c r="I447" s="169">
        <v>0</v>
      </c>
      <c r="J447" s="166"/>
      <c r="K447" s="166"/>
      <c r="L447" s="166"/>
      <c r="M447" s="169">
        <v>15120</v>
      </c>
      <c r="N447" s="166"/>
      <c r="O447" s="166"/>
      <c r="P447" s="166"/>
      <c r="Q447" s="169">
        <v>0</v>
      </c>
    </row>
    <row r="448" spans="2:17" x14ac:dyDescent="0.25">
      <c r="B448" s="168" t="s">
        <v>1926</v>
      </c>
      <c r="C448" s="168" t="s">
        <v>1915</v>
      </c>
      <c r="D448" s="168" t="s">
        <v>53</v>
      </c>
      <c r="E448" s="169">
        <v>21</v>
      </c>
      <c r="F448" s="169">
        <v>1240</v>
      </c>
      <c r="G448" s="169">
        <v>26040</v>
      </c>
      <c r="H448" s="169">
        <v>0</v>
      </c>
      <c r="I448" s="169">
        <v>0</v>
      </c>
      <c r="J448" s="166"/>
      <c r="K448" s="166"/>
      <c r="L448" s="166"/>
      <c r="M448" s="169">
        <v>26040</v>
      </c>
      <c r="N448" s="166"/>
      <c r="O448" s="166"/>
      <c r="P448" s="166"/>
      <c r="Q448" s="169">
        <v>0</v>
      </c>
    </row>
    <row r="449" spans="2:17" x14ac:dyDescent="0.25">
      <c r="B449" s="168" t="s">
        <v>1927</v>
      </c>
      <c r="C449" s="168" t="s">
        <v>1917</v>
      </c>
      <c r="D449" s="168" t="s">
        <v>53</v>
      </c>
      <c r="E449" s="169">
        <v>21</v>
      </c>
      <c r="F449" s="169">
        <v>780</v>
      </c>
      <c r="G449" s="169">
        <v>16380</v>
      </c>
      <c r="H449" s="169">
        <v>0</v>
      </c>
      <c r="I449" s="169">
        <v>0</v>
      </c>
      <c r="J449" s="166"/>
      <c r="K449" s="166"/>
      <c r="L449" s="166"/>
      <c r="M449" s="169">
        <v>16380</v>
      </c>
      <c r="N449" s="166"/>
      <c r="O449" s="166"/>
      <c r="P449" s="166"/>
      <c r="Q449" s="169">
        <v>0</v>
      </c>
    </row>
    <row r="450" spans="2:17" x14ac:dyDescent="0.25">
      <c r="B450" s="168" t="s">
        <v>1928</v>
      </c>
      <c r="C450" s="168" t="s">
        <v>1919</v>
      </c>
      <c r="D450" s="168" t="s">
        <v>53</v>
      </c>
      <c r="E450" s="169">
        <v>21</v>
      </c>
      <c r="F450" s="169">
        <v>930</v>
      </c>
      <c r="G450" s="169">
        <v>19530</v>
      </c>
      <c r="H450" s="169">
        <v>0</v>
      </c>
      <c r="I450" s="169">
        <v>0</v>
      </c>
      <c r="J450" s="166"/>
      <c r="K450" s="166"/>
      <c r="L450" s="166"/>
      <c r="M450" s="169">
        <v>19530</v>
      </c>
      <c r="N450" s="166"/>
      <c r="O450" s="166"/>
      <c r="P450" s="166"/>
      <c r="Q450" s="169">
        <v>0</v>
      </c>
    </row>
    <row r="451" spans="2:17" x14ac:dyDescent="0.25">
      <c r="B451" s="172" t="s">
        <v>535</v>
      </c>
      <c r="C451" s="172" t="s">
        <v>1296</v>
      </c>
      <c r="D451" s="166"/>
      <c r="E451" s="166"/>
      <c r="F451" s="166"/>
      <c r="G451" s="173">
        <v>15002</v>
      </c>
      <c r="H451" s="166"/>
      <c r="I451" s="173">
        <v>0</v>
      </c>
      <c r="J451" s="173">
        <v>0</v>
      </c>
      <c r="K451" s="173">
        <v>0</v>
      </c>
      <c r="L451" s="173">
        <v>0</v>
      </c>
      <c r="M451" s="173">
        <v>15002</v>
      </c>
      <c r="N451" s="173">
        <v>0</v>
      </c>
      <c r="O451" s="173">
        <v>0</v>
      </c>
      <c r="P451" s="173">
        <v>0</v>
      </c>
      <c r="Q451" s="173">
        <v>0</v>
      </c>
    </row>
    <row r="452" spans="2:17" x14ac:dyDescent="0.25">
      <c r="B452" s="168" t="s">
        <v>1297</v>
      </c>
      <c r="C452" s="168" t="s">
        <v>1298</v>
      </c>
      <c r="D452" s="168" t="s">
        <v>53</v>
      </c>
      <c r="E452" s="169">
        <v>1</v>
      </c>
      <c r="F452" s="169">
        <v>4500</v>
      </c>
      <c r="G452" s="169">
        <v>4500</v>
      </c>
      <c r="H452" s="169">
        <v>0</v>
      </c>
      <c r="I452" s="169">
        <v>0</v>
      </c>
      <c r="J452" s="166"/>
      <c r="K452" s="166"/>
      <c r="L452" s="166"/>
      <c r="M452" s="169">
        <v>4500</v>
      </c>
      <c r="N452" s="166"/>
      <c r="O452" s="166"/>
      <c r="P452" s="166"/>
      <c r="Q452" s="169">
        <v>0</v>
      </c>
    </row>
    <row r="453" spans="2:17" x14ac:dyDescent="0.25">
      <c r="B453" s="168" t="s">
        <v>1299</v>
      </c>
      <c r="C453" s="168" t="s">
        <v>1300</v>
      </c>
      <c r="D453" s="168" t="s">
        <v>53</v>
      </c>
      <c r="E453" s="169">
        <v>1</v>
      </c>
      <c r="F453" s="169">
        <v>900</v>
      </c>
      <c r="G453" s="169">
        <v>900</v>
      </c>
      <c r="H453" s="169">
        <v>0</v>
      </c>
      <c r="I453" s="169">
        <v>0</v>
      </c>
      <c r="J453" s="166"/>
      <c r="K453" s="166"/>
      <c r="L453" s="166"/>
      <c r="M453" s="169">
        <v>900</v>
      </c>
      <c r="N453" s="166"/>
      <c r="O453" s="166"/>
      <c r="P453" s="166"/>
      <c r="Q453" s="169">
        <v>0</v>
      </c>
    </row>
    <row r="454" spans="2:17" x14ac:dyDescent="0.25">
      <c r="B454" s="168" t="s">
        <v>1301</v>
      </c>
      <c r="C454" s="168" t="s">
        <v>1302</v>
      </c>
      <c r="D454" s="168" t="s">
        <v>53</v>
      </c>
      <c r="E454" s="169">
        <v>1</v>
      </c>
      <c r="F454" s="169">
        <v>1250</v>
      </c>
      <c r="G454" s="169">
        <v>1250</v>
      </c>
      <c r="H454" s="169">
        <v>0</v>
      </c>
      <c r="I454" s="169">
        <v>0</v>
      </c>
      <c r="J454" s="166"/>
      <c r="K454" s="166"/>
      <c r="L454" s="166"/>
      <c r="M454" s="169">
        <v>1250</v>
      </c>
      <c r="N454" s="166"/>
      <c r="O454" s="166"/>
      <c r="P454" s="166"/>
      <c r="Q454" s="169">
        <v>0</v>
      </c>
    </row>
    <row r="455" spans="2:17" x14ac:dyDescent="0.25">
      <c r="B455" s="168" t="s">
        <v>1303</v>
      </c>
      <c r="C455" s="168" t="s">
        <v>1929</v>
      </c>
      <c r="D455" s="168" t="s">
        <v>53</v>
      </c>
      <c r="E455" s="169">
        <v>1</v>
      </c>
      <c r="F455" s="169">
        <v>3250</v>
      </c>
      <c r="G455" s="169">
        <v>3250</v>
      </c>
      <c r="H455" s="169">
        <v>0</v>
      </c>
      <c r="I455" s="169">
        <v>0</v>
      </c>
      <c r="J455" s="166"/>
      <c r="K455" s="166"/>
      <c r="L455" s="166"/>
      <c r="M455" s="169">
        <v>3250</v>
      </c>
      <c r="N455" s="166"/>
      <c r="O455" s="166"/>
      <c r="P455" s="166"/>
      <c r="Q455" s="169">
        <v>0</v>
      </c>
    </row>
    <row r="456" spans="2:17" x14ac:dyDescent="0.25">
      <c r="B456" s="168" t="s">
        <v>1304</v>
      </c>
      <c r="C456" s="168" t="s">
        <v>1930</v>
      </c>
      <c r="D456" s="168" t="s">
        <v>53</v>
      </c>
      <c r="E456" s="169">
        <v>1</v>
      </c>
      <c r="F456" s="169">
        <v>1850</v>
      </c>
      <c r="G456" s="169">
        <v>1850</v>
      </c>
      <c r="H456" s="169">
        <v>0</v>
      </c>
      <c r="I456" s="169">
        <v>0</v>
      </c>
      <c r="J456" s="166"/>
      <c r="K456" s="166"/>
      <c r="L456" s="166"/>
      <c r="M456" s="169">
        <v>1850</v>
      </c>
      <c r="N456" s="166"/>
      <c r="O456" s="166"/>
      <c r="P456" s="166"/>
      <c r="Q456" s="169">
        <v>0</v>
      </c>
    </row>
    <row r="457" spans="2:17" x14ac:dyDescent="0.25">
      <c r="B457" s="168" t="s">
        <v>1931</v>
      </c>
      <c r="C457" s="168" t="s">
        <v>1305</v>
      </c>
      <c r="D457" s="168" t="s">
        <v>53</v>
      </c>
      <c r="E457" s="169">
        <v>1</v>
      </c>
      <c r="F457" s="169">
        <v>2100</v>
      </c>
      <c r="G457" s="169">
        <v>2100</v>
      </c>
      <c r="H457" s="169">
        <v>0</v>
      </c>
      <c r="I457" s="169">
        <v>0</v>
      </c>
      <c r="J457" s="166"/>
      <c r="K457" s="166"/>
      <c r="L457" s="166"/>
      <c r="M457" s="169">
        <v>2100</v>
      </c>
      <c r="N457" s="166"/>
      <c r="O457" s="166"/>
      <c r="P457" s="166"/>
      <c r="Q457" s="169">
        <v>0</v>
      </c>
    </row>
    <row r="458" spans="2:17" x14ac:dyDescent="0.25">
      <c r="B458" s="168" t="s">
        <v>1932</v>
      </c>
      <c r="C458" s="168" t="s">
        <v>1306</v>
      </c>
      <c r="D458" s="168" t="s">
        <v>29</v>
      </c>
      <c r="E458" s="169">
        <v>3.2</v>
      </c>
      <c r="F458" s="169">
        <v>360</v>
      </c>
      <c r="G458" s="169">
        <v>1152</v>
      </c>
      <c r="H458" s="169">
        <v>0</v>
      </c>
      <c r="I458" s="169">
        <v>0</v>
      </c>
      <c r="J458" s="166"/>
      <c r="K458" s="166"/>
      <c r="L458" s="166"/>
      <c r="M458" s="169">
        <v>1152</v>
      </c>
      <c r="N458" s="166"/>
      <c r="O458" s="166"/>
      <c r="P458" s="166"/>
      <c r="Q458" s="169">
        <v>0</v>
      </c>
    </row>
    <row r="459" spans="2:17" x14ac:dyDescent="0.25">
      <c r="B459" s="170" t="s">
        <v>536</v>
      </c>
      <c r="C459" s="170" t="s">
        <v>1307</v>
      </c>
      <c r="D459" s="166"/>
      <c r="E459" s="166"/>
      <c r="F459" s="166"/>
      <c r="G459" s="171">
        <v>196424.12</v>
      </c>
      <c r="H459" s="166"/>
      <c r="I459" s="171">
        <v>4145</v>
      </c>
      <c r="J459" s="171">
        <v>0</v>
      </c>
      <c r="K459" s="171">
        <v>191424.12</v>
      </c>
      <c r="L459" s="171">
        <v>0</v>
      </c>
      <c r="M459" s="171">
        <v>5000</v>
      </c>
      <c r="N459" s="171">
        <v>0</v>
      </c>
      <c r="O459" s="171">
        <v>0</v>
      </c>
      <c r="P459" s="171">
        <v>0</v>
      </c>
      <c r="Q459" s="171">
        <v>4145</v>
      </c>
    </row>
    <row r="460" spans="2:17" x14ac:dyDescent="0.25">
      <c r="B460" s="168" t="s">
        <v>537</v>
      </c>
      <c r="C460" s="168" t="s">
        <v>1308</v>
      </c>
      <c r="D460" s="168" t="s">
        <v>53</v>
      </c>
      <c r="E460" s="169">
        <v>87</v>
      </c>
      <c r="F460" s="169">
        <v>445</v>
      </c>
      <c r="G460" s="169">
        <v>38715</v>
      </c>
      <c r="H460" s="169">
        <v>0</v>
      </c>
      <c r="I460" s="169">
        <v>0</v>
      </c>
      <c r="J460" s="166"/>
      <c r="K460" s="169">
        <v>38715</v>
      </c>
      <c r="L460" s="166"/>
      <c r="M460" s="166"/>
      <c r="N460" s="166"/>
      <c r="O460" s="169">
        <v>0</v>
      </c>
      <c r="P460" s="166"/>
      <c r="Q460" s="166"/>
    </row>
    <row r="461" spans="2:17" x14ac:dyDescent="0.25">
      <c r="B461" s="168" t="s">
        <v>538</v>
      </c>
      <c r="C461" s="168" t="s">
        <v>1309</v>
      </c>
      <c r="D461" s="168" t="s">
        <v>53</v>
      </c>
      <c r="E461" s="169">
        <v>109</v>
      </c>
      <c r="F461" s="169">
        <v>254</v>
      </c>
      <c r="G461" s="169">
        <v>27686</v>
      </c>
      <c r="H461" s="169">
        <v>0</v>
      </c>
      <c r="I461" s="169">
        <v>0</v>
      </c>
      <c r="J461" s="166"/>
      <c r="K461" s="169">
        <v>27686</v>
      </c>
      <c r="L461" s="166"/>
      <c r="M461" s="166"/>
      <c r="N461" s="166"/>
      <c r="O461" s="169">
        <v>0</v>
      </c>
      <c r="P461" s="166"/>
      <c r="Q461" s="166"/>
    </row>
    <row r="462" spans="2:17" x14ac:dyDescent="0.25">
      <c r="B462" s="168" t="s">
        <v>539</v>
      </c>
      <c r="C462" s="168" t="s">
        <v>1933</v>
      </c>
      <c r="D462" s="168" t="s">
        <v>53</v>
      </c>
      <c r="E462" s="169">
        <v>64</v>
      </c>
      <c r="F462" s="169">
        <v>826</v>
      </c>
      <c r="G462" s="169">
        <v>52864</v>
      </c>
      <c r="H462" s="169">
        <v>0</v>
      </c>
      <c r="I462" s="169">
        <v>0</v>
      </c>
      <c r="J462" s="166"/>
      <c r="K462" s="169">
        <v>52864</v>
      </c>
      <c r="L462" s="166"/>
      <c r="M462" s="166"/>
      <c r="N462" s="166"/>
      <c r="O462" s="169">
        <v>0</v>
      </c>
      <c r="P462" s="166"/>
      <c r="Q462" s="166"/>
    </row>
    <row r="463" spans="2:17" x14ac:dyDescent="0.25">
      <c r="B463" s="168" t="s">
        <v>540</v>
      </c>
      <c r="C463" s="168" t="s">
        <v>1934</v>
      </c>
      <c r="D463" s="168" t="s">
        <v>53</v>
      </c>
      <c r="E463" s="169">
        <v>45</v>
      </c>
      <c r="F463" s="169">
        <v>953</v>
      </c>
      <c r="G463" s="169">
        <v>42885</v>
      </c>
      <c r="H463" s="169">
        <v>0</v>
      </c>
      <c r="I463" s="169">
        <v>0</v>
      </c>
      <c r="J463" s="166"/>
      <c r="K463" s="169">
        <v>42885</v>
      </c>
      <c r="L463" s="166"/>
      <c r="M463" s="166"/>
      <c r="N463" s="166"/>
      <c r="O463" s="169">
        <v>0</v>
      </c>
      <c r="P463" s="166"/>
      <c r="Q463" s="166"/>
    </row>
    <row r="464" spans="2:17" x14ac:dyDescent="0.25">
      <c r="B464" s="168" t="s">
        <v>541</v>
      </c>
      <c r="C464" s="168" t="s">
        <v>1310</v>
      </c>
      <c r="D464" s="168" t="s">
        <v>53</v>
      </c>
      <c r="E464" s="169">
        <v>22</v>
      </c>
      <c r="F464" s="169">
        <v>500</v>
      </c>
      <c r="G464" s="169">
        <v>11000</v>
      </c>
      <c r="H464" s="169">
        <v>0</v>
      </c>
      <c r="I464" s="169">
        <v>0</v>
      </c>
      <c r="J464" s="166"/>
      <c r="K464" s="169">
        <v>11000</v>
      </c>
      <c r="L464" s="166"/>
      <c r="M464" s="166"/>
      <c r="N464" s="166"/>
      <c r="O464" s="169">
        <v>0</v>
      </c>
      <c r="P464" s="166"/>
      <c r="Q464" s="166"/>
    </row>
    <row r="465" spans="2:17" x14ac:dyDescent="0.25">
      <c r="B465" s="168" t="s">
        <v>542</v>
      </c>
      <c r="C465" s="168" t="s">
        <v>1311</v>
      </c>
      <c r="D465" s="168" t="s">
        <v>53</v>
      </c>
      <c r="E465" s="169">
        <v>21</v>
      </c>
      <c r="F465" s="169">
        <v>205</v>
      </c>
      <c r="G465" s="169">
        <v>4305</v>
      </c>
      <c r="H465" s="169">
        <v>0</v>
      </c>
      <c r="I465" s="169">
        <v>0</v>
      </c>
      <c r="J465" s="166"/>
      <c r="K465" s="169">
        <v>4305</v>
      </c>
      <c r="L465" s="166"/>
      <c r="M465" s="166"/>
      <c r="N465" s="166"/>
      <c r="O465" s="169">
        <v>0</v>
      </c>
      <c r="P465" s="166"/>
      <c r="Q465" s="166"/>
    </row>
    <row r="466" spans="2:17" x14ac:dyDescent="0.25">
      <c r="B466" s="168" t="s">
        <v>543</v>
      </c>
      <c r="C466" s="168" t="s">
        <v>1312</v>
      </c>
      <c r="D466" s="168" t="s">
        <v>53</v>
      </c>
      <c r="E466" s="169">
        <v>1</v>
      </c>
      <c r="F466" s="169">
        <v>0</v>
      </c>
      <c r="G466" s="169">
        <v>0</v>
      </c>
      <c r="H466" s="169">
        <v>4145</v>
      </c>
      <c r="I466" s="169">
        <v>4145</v>
      </c>
      <c r="J466" s="166"/>
      <c r="K466" s="166"/>
      <c r="L466" s="166"/>
      <c r="M466" s="169">
        <v>0</v>
      </c>
      <c r="N466" s="166"/>
      <c r="O466" s="166"/>
      <c r="P466" s="166"/>
      <c r="Q466" s="169">
        <v>4145</v>
      </c>
    </row>
    <row r="467" spans="2:17" x14ac:dyDescent="0.25">
      <c r="B467" s="168" t="s">
        <v>544</v>
      </c>
      <c r="C467" s="168" t="s">
        <v>1313</v>
      </c>
      <c r="D467" s="168" t="s">
        <v>53</v>
      </c>
      <c r="E467" s="169">
        <v>2</v>
      </c>
      <c r="F467" s="169">
        <v>2500</v>
      </c>
      <c r="G467" s="169">
        <v>5000</v>
      </c>
      <c r="H467" s="169">
        <v>0</v>
      </c>
      <c r="I467" s="169">
        <v>0</v>
      </c>
      <c r="J467" s="166"/>
      <c r="K467" s="166"/>
      <c r="L467" s="166"/>
      <c r="M467" s="169">
        <v>5000</v>
      </c>
      <c r="N467" s="166"/>
      <c r="O467" s="166"/>
      <c r="P467" s="166"/>
      <c r="Q467" s="169">
        <v>0</v>
      </c>
    </row>
    <row r="468" spans="2:17" x14ac:dyDescent="0.25">
      <c r="B468" s="168" t="s">
        <v>545</v>
      </c>
      <c r="C468" s="168" t="s">
        <v>1314</v>
      </c>
      <c r="D468" s="168" t="s">
        <v>53</v>
      </c>
      <c r="E468" s="169">
        <v>22</v>
      </c>
      <c r="F468" s="169">
        <v>634.96</v>
      </c>
      <c r="G468" s="169">
        <v>13969.12</v>
      </c>
      <c r="H468" s="169">
        <v>0</v>
      </c>
      <c r="I468" s="169">
        <v>0</v>
      </c>
      <c r="J468" s="166"/>
      <c r="K468" s="169">
        <v>13969.12</v>
      </c>
      <c r="L468" s="166"/>
      <c r="M468" s="166"/>
      <c r="N468" s="166"/>
      <c r="O468" s="169">
        <v>0</v>
      </c>
      <c r="P468" s="166"/>
      <c r="Q468" s="166"/>
    </row>
    <row r="469" spans="2:17" x14ac:dyDescent="0.25">
      <c r="B469" s="170" t="s">
        <v>546</v>
      </c>
      <c r="C469" s="170" t="s">
        <v>1315</v>
      </c>
      <c r="D469" s="166"/>
      <c r="E469" s="166"/>
      <c r="F469" s="166"/>
      <c r="G469" s="171">
        <v>12625</v>
      </c>
      <c r="H469" s="166"/>
      <c r="I469" s="171">
        <v>0</v>
      </c>
      <c r="J469" s="171">
        <v>0</v>
      </c>
      <c r="K469" s="171">
        <v>8880</v>
      </c>
      <c r="L469" s="171">
        <v>0</v>
      </c>
      <c r="M469" s="171">
        <v>3745</v>
      </c>
      <c r="N469" s="171">
        <v>0</v>
      </c>
      <c r="O469" s="171">
        <v>0</v>
      </c>
      <c r="P469" s="171">
        <v>0</v>
      </c>
      <c r="Q469" s="171">
        <v>0</v>
      </c>
    </row>
    <row r="470" spans="2:17" x14ac:dyDescent="0.25">
      <c r="B470" s="172" t="s">
        <v>547</v>
      </c>
      <c r="C470" s="172" t="s">
        <v>1316</v>
      </c>
      <c r="D470" s="166"/>
      <c r="E470" s="166"/>
      <c r="F470" s="166"/>
      <c r="G470" s="173">
        <v>12625</v>
      </c>
      <c r="H470" s="166"/>
      <c r="I470" s="173">
        <v>0</v>
      </c>
      <c r="J470" s="173">
        <v>0</v>
      </c>
      <c r="K470" s="173">
        <v>8880</v>
      </c>
      <c r="L470" s="173">
        <v>0</v>
      </c>
      <c r="M470" s="173">
        <v>3745</v>
      </c>
      <c r="N470" s="173">
        <v>0</v>
      </c>
      <c r="O470" s="173">
        <v>0</v>
      </c>
      <c r="P470" s="173">
        <v>0</v>
      </c>
      <c r="Q470" s="173">
        <v>0</v>
      </c>
    </row>
    <row r="471" spans="2:17" x14ac:dyDescent="0.25">
      <c r="B471" s="168" t="s">
        <v>1317</v>
      </c>
      <c r="C471" s="168" t="s">
        <v>1318</v>
      </c>
      <c r="D471" s="168" t="s">
        <v>53</v>
      </c>
      <c r="E471" s="169">
        <v>40</v>
      </c>
      <c r="F471" s="169">
        <v>92</v>
      </c>
      <c r="G471" s="169">
        <v>3680</v>
      </c>
      <c r="H471" s="169">
        <v>0</v>
      </c>
      <c r="I471" s="169">
        <v>0</v>
      </c>
      <c r="J471" s="166"/>
      <c r="K471" s="169">
        <v>480</v>
      </c>
      <c r="L471" s="166"/>
      <c r="M471" s="169">
        <v>3200</v>
      </c>
      <c r="N471" s="166"/>
      <c r="O471" s="169">
        <v>0</v>
      </c>
      <c r="P471" s="166"/>
      <c r="Q471" s="169">
        <v>0</v>
      </c>
    </row>
    <row r="472" spans="2:17" x14ac:dyDescent="0.25">
      <c r="B472" s="168" t="s">
        <v>1319</v>
      </c>
      <c r="C472" s="168" t="s">
        <v>1320</v>
      </c>
      <c r="D472" s="168" t="s">
        <v>53</v>
      </c>
      <c r="E472" s="169">
        <v>1</v>
      </c>
      <c r="F472" s="169">
        <v>247</v>
      </c>
      <c r="G472" s="169">
        <v>247</v>
      </c>
      <c r="H472" s="169">
        <v>0</v>
      </c>
      <c r="I472" s="169">
        <v>0</v>
      </c>
      <c r="J472" s="166"/>
      <c r="K472" s="169">
        <v>12</v>
      </c>
      <c r="L472" s="166"/>
      <c r="M472" s="169">
        <v>235</v>
      </c>
      <c r="N472" s="166"/>
      <c r="O472" s="169">
        <v>0</v>
      </c>
      <c r="P472" s="166"/>
      <c r="Q472" s="169">
        <v>0</v>
      </c>
    </row>
    <row r="473" spans="2:17" x14ac:dyDescent="0.25">
      <c r="B473" s="168" t="s">
        <v>1321</v>
      </c>
      <c r="C473" s="168" t="s">
        <v>1322</v>
      </c>
      <c r="D473" s="168" t="s">
        <v>53</v>
      </c>
      <c r="E473" s="169">
        <v>1</v>
      </c>
      <c r="F473" s="169">
        <v>322</v>
      </c>
      <c r="G473" s="169">
        <v>322</v>
      </c>
      <c r="H473" s="169">
        <v>0</v>
      </c>
      <c r="I473" s="169">
        <v>0</v>
      </c>
      <c r="J473" s="166"/>
      <c r="K473" s="169">
        <v>12</v>
      </c>
      <c r="L473" s="166"/>
      <c r="M473" s="169">
        <v>310</v>
      </c>
      <c r="N473" s="166"/>
      <c r="O473" s="169">
        <v>0</v>
      </c>
      <c r="P473" s="166"/>
      <c r="Q473" s="169">
        <v>0</v>
      </c>
    </row>
    <row r="474" spans="2:17" x14ac:dyDescent="0.25">
      <c r="B474" s="168" t="s">
        <v>1323</v>
      </c>
      <c r="C474" s="168" t="s">
        <v>1324</v>
      </c>
      <c r="D474" s="168" t="s">
        <v>53</v>
      </c>
      <c r="E474" s="169">
        <v>26</v>
      </c>
      <c r="F474" s="169">
        <v>12</v>
      </c>
      <c r="G474" s="169">
        <v>312</v>
      </c>
      <c r="H474" s="169">
        <v>0</v>
      </c>
      <c r="I474" s="169">
        <v>0</v>
      </c>
      <c r="J474" s="166"/>
      <c r="K474" s="169">
        <v>312</v>
      </c>
      <c r="L474" s="166"/>
      <c r="M474" s="166"/>
      <c r="N474" s="166"/>
      <c r="O474" s="169">
        <v>0</v>
      </c>
      <c r="P474" s="166"/>
      <c r="Q474" s="166"/>
    </row>
    <row r="475" spans="2:17" x14ac:dyDescent="0.25">
      <c r="B475" s="168" t="s">
        <v>1325</v>
      </c>
      <c r="C475" s="168" t="s">
        <v>1326</v>
      </c>
      <c r="D475" s="168" t="s">
        <v>53</v>
      </c>
      <c r="E475" s="169">
        <v>64</v>
      </c>
      <c r="F475" s="169">
        <v>12</v>
      </c>
      <c r="G475" s="169">
        <v>768</v>
      </c>
      <c r="H475" s="169">
        <v>0</v>
      </c>
      <c r="I475" s="169">
        <v>0</v>
      </c>
      <c r="J475" s="166"/>
      <c r="K475" s="169">
        <v>768</v>
      </c>
      <c r="L475" s="166"/>
      <c r="M475" s="166"/>
      <c r="N475" s="166"/>
      <c r="O475" s="169">
        <v>0</v>
      </c>
      <c r="P475" s="166"/>
      <c r="Q475" s="166"/>
    </row>
    <row r="476" spans="2:17" x14ac:dyDescent="0.25">
      <c r="B476" s="168" t="s">
        <v>1327</v>
      </c>
      <c r="C476" s="168" t="s">
        <v>1328</v>
      </c>
      <c r="D476" s="168" t="s">
        <v>53</v>
      </c>
      <c r="E476" s="169">
        <v>43</v>
      </c>
      <c r="F476" s="169">
        <v>12</v>
      </c>
      <c r="G476" s="169">
        <v>516</v>
      </c>
      <c r="H476" s="169">
        <v>0</v>
      </c>
      <c r="I476" s="169">
        <v>0</v>
      </c>
      <c r="J476" s="166"/>
      <c r="K476" s="169">
        <v>516</v>
      </c>
      <c r="L476" s="166"/>
      <c r="M476" s="166"/>
      <c r="N476" s="166"/>
      <c r="O476" s="169">
        <v>0</v>
      </c>
      <c r="P476" s="166"/>
      <c r="Q476" s="166"/>
    </row>
    <row r="477" spans="2:17" x14ac:dyDescent="0.25">
      <c r="B477" s="168" t="s">
        <v>1329</v>
      </c>
      <c r="C477" s="168" t="s">
        <v>1330</v>
      </c>
      <c r="D477" s="168" t="s">
        <v>53</v>
      </c>
      <c r="E477" s="169">
        <v>146</v>
      </c>
      <c r="F477" s="169">
        <v>12</v>
      </c>
      <c r="G477" s="169">
        <v>1752</v>
      </c>
      <c r="H477" s="169">
        <v>0</v>
      </c>
      <c r="I477" s="169">
        <v>0</v>
      </c>
      <c r="J477" s="166"/>
      <c r="K477" s="169">
        <v>1752</v>
      </c>
      <c r="L477" s="166"/>
      <c r="M477" s="166"/>
      <c r="N477" s="166"/>
      <c r="O477" s="169">
        <v>0</v>
      </c>
      <c r="P477" s="166"/>
      <c r="Q477" s="166"/>
    </row>
    <row r="478" spans="2:17" x14ac:dyDescent="0.25">
      <c r="B478" s="168" t="s">
        <v>1331</v>
      </c>
      <c r="C478" s="168" t="s">
        <v>1332</v>
      </c>
      <c r="D478" s="168" t="s">
        <v>53</v>
      </c>
      <c r="E478" s="169">
        <v>126</v>
      </c>
      <c r="F478" s="169">
        <v>12</v>
      </c>
      <c r="G478" s="169">
        <v>1512</v>
      </c>
      <c r="H478" s="169">
        <v>0</v>
      </c>
      <c r="I478" s="169">
        <v>0</v>
      </c>
      <c r="J478" s="166"/>
      <c r="K478" s="169">
        <v>1512</v>
      </c>
      <c r="L478" s="166"/>
      <c r="M478" s="166"/>
      <c r="N478" s="166"/>
      <c r="O478" s="169">
        <v>0</v>
      </c>
      <c r="P478" s="166"/>
      <c r="Q478" s="166"/>
    </row>
    <row r="479" spans="2:17" x14ac:dyDescent="0.25">
      <c r="B479" s="168" t="s">
        <v>1333</v>
      </c>
      <c r="C479" s="168" t="s">
        <v>1334</v>
      </c>
      <c r="D479" s="168" t="s">
        <v>53</v>
      </c>
      <c r="E479" s="169">
        <v>106</v>
      </c>
      <c r="F479" s="169">
        <v>12</v>
      </c>
      <c r="G479" s="169">
        <v>1272</v>
      </c>
      <c r="H479" s="169">
        <v>0</v>
      </c>
      <c r="I479" s="169">
        <v>0</v>
      </c>
      <c r="J479" s="166"/>
      <c r="K479" s="169">
        <v>1272</v>
      </c>
      <c r="L479" s="166"/>
      <c r="M479" s="166"/>
      <c r="N479" s="166"/>
      <c r="O479" s="169">
        <v>0</v>
      </c>
      <c r="P479" s="166"/>
      <c r="Q479" s="166"/>
    </row>
    <row r="480" spans="2:17" x14ac:dyDescent="0.25">
      <c r="B480" s="168" t="s">
        <v>1335</v>
      </c>
      <c r="C480" s="168" t="s">
        <v>1336</v>
      </c>
      <c r="D480" s="168" t="s">
        <v>53</v>
      </c>
      <c r="E480" s="169">
        <v>28</v>
      </c>
      <c r="F480" s="169">
        <v>12</v>
      </c>
      <c r="G480" s="169">
        <v>336</v>
      </c>
      <c r="H480" s="169">
        <v>0</v>
      </c>
      <c r="I480" s="169">
        <v>0</v>
      </c>
      <c r="J480" s="166"/>
      <c r="K480" s="169">
        <v>336</v>
      </c>
      <c r="L480" s="166"/>
      <c r="M480" s="166"/>
      <c r="N480" s="166"/>
      <c r="O480" s="169">
        <v>0</v>
      </c>
      <c r="P480" s="166"/>
      <c r="Q480" s="166"/>
    </row>
    <row r="481" spans="2:17" x14ac:dyDescent="0.25">
      <c r="B481" s="168" t="s">
        <v>1337</v>
      </c>
      <c r="C481" s="168" t="s">
        <v>1338</v>
      </c>
      <c r="D481" s="168" t="s">
        <v>53</v>
      </c>
      <c r="E481" s="169">
        <v>11</v>
      </c>
      <c r="F481" s="169">
        <v>12</v>
      </c>
      <c r="G481" s="169">
        <v>132</v>
      </c>
      <c r="H481" s="169">
        <v>0</v>
      </c>
      <c r="I481" s="169">
        <v>0</v>
      </c>
      <c r="J481" s="166"/>
      <c r="K481" s="169">
        <v>132</v>
      </c>
      <c r="L481" s="166"/>
      <c r="M481" s="166"/>
      <c r="N481" s="166"/>
      <c r="O481" s="169">
        <v>0</v>
      </c>
      <c r="P481" s="166"/>
      <c r="Q481" s="166"/>
    </row>
    <row r="482" spans="2:17" x14ac:dyDescent="0.25">
      <c r="B482" s="168" t="s">
        <v>1339</v>
      </c>
      <c r="C482" s="168" t="s">
        <v>1340</v>
      </c>
      <c r="D482" s="168" t="s">
        <v>53</v>
      </c>
      <c r="E482" s="169">
        <v>30</v>
      </c>
      <c r="F482" s="169">
        <v>12</v>
      </c>
      <c r="G482" s="169">
        <v>360</v>
      </c>
      <c r="H482" s="169">
        <v>0</v>
      </c>
      <c r="I482" s="169">
        <v>0</v>
      </c>
      <c r="J482" s="166"/>
      <c r="K482" s="169">
        <v>360</v>
      </c>
      <c r="L482" s="166"/>
      <c r="M482" s="166"/>
      <c r="N482" s="166"/>
      <c r="O482" s="169">
        <v>0</v>
      </c>
      <c r="P482" s="166"/>
      <c r="Q482" s="166"/>
    </row>
    <row r="483" spans="2:17" x14ac:dyDescent="0.25">
      <c r="B483" s="168" t="s">
        <v>1341</v>
      </c>
      <c r="C483" s="168" t="s">
        <v>1342</v>
      </c>
      <c r="D483" s="168" t="s">
        <v>53</v>
      </c>
      <c r="E483" s="169">
        <v>28</v>
      </c>
      <c r="F483" s="169">
        <v>12</v>
      </c>
      <c r="G483" s="169">
        <v>336</v>
      </c>
      <c r="H483" s="169">
        <v>0</v>
      </c>
      <c r="I483" s="169">
        <v>0</v>
      </c>
      <c r="J483" s="166"/>
      <c r="K483" s="169">
        <v>336</v>
      </c>
      <c r="L483" s="166"/>
      <c r="M483" s="166"/>
      <c r="N483" s="166"/>
      <c r="O483" s="169">
        <v>0</v>
      </c>
      <c r="P483" s="166"/>
      <c r="Q483" s="166"/>
    </row>
    <row r="484" spans="2:17" x14ac:dyDescent="0.25">
      <c r="B484" s="168" t="s">
        <v>1343</v>
      </c>
      <c r="C484" s="168" t="s">
        <v>1344</v>
      </c>
      <c r="D484" s="168" t="s">
        <v>53</v>
      </c>
      <c r="E484" s="169">
        <v>28</v>
      </c>
      <c r="F484" s="169">
        <v>12</v>
      </c>
      <c r="G484" s="169">
        <v>336</v>
      </c>
      <c r="H484" s="169">
        <v>0</v>
      </c>
      <c r="I484" s="169">
        <v>0</v>
      </c>
      <c r="J484" s="166"/>
      <c r="K484" s="169">
        <v>336</v>
      </c>
      <c r="L484" s="166"/>
      <c r="M484" s="166"/>
      <c r="N484" s="166"/>
      <c r="O484" s="169">
        <v>0</v>
      </c>
      <c r="P484" s="166"/>
      <c r="Q484" s="166"/>
    </row>
    <row r="485" spans="2:17" x14ac:dyDescent="0.25">
      <c r="B485" s="168" t="s">
        <v>1345</v>
      </c>
      <c r="C485" s="168" t="s">
        <v>1346</v>
      </c>
      <c r="D485" s="168" t="s">
        <v>53</v>
      </c>
      <c r="E485" s="169">
        <v>1</v>
      </c>
      <c r="F485" s="169">
        <v>12</v>
      </c>
      <c r="G485" s="169">
        <v>12</v>
      </c>
      <c r="H485" s="169">
        <v>0</v>
      </c>
      <c r="I485" s="169">
        <v>0</v>
      </c>
      <c r="J485" s="166"/>
      <c r="K485" s="169">
        <v>12</v>
      </c>
      <c r="L485" s="166"/>
      <c r="M485" s="166"/>
      <c r="N485" s="166"/>
      <c r="O485" s="169">
        <v>0</v>
      </c>
      <c r="P485" s="166"/>
      <c r="Q485" s="166"/>
    </row>
    <row r="486" spans="2:17" x14ac:dyDescent="0.25">
      <c r="B486" s="168" t="s">
        <v>1347</v>
      </c>
      <c r="C486" s="168" t="s">
        <v>1348</v>
      </c>
      <c r="D486" s="168" t="s">
        <v>53</v>
      </c>
      <c r="E486" s="169">
        <v>1</v>
      </c>
      <c r="F486" s="169">
        <v>12</v>
      </c>
      <c r="G486" s="169">
        <v>12</v>
      </c>
      <c r="H486" s="169">
        <v>0</v>
      </c>
      <c r="I486" s="169">
        <v>0</v>
      </c>
      <c r="J486" s="166"/>
      <c r="K486" s="169">
        <v>12</v>
      </c>
      <c r="L486" s="166"/>
      <c r="M486" s="166"/>
      <c r="N486" s="166"/>
      <c r="O486" s="169">
        <v>0</v>
      </c>
      <c r="P486" s="166"/>
      <c r="Q486" s="166"/>
    </row>
    <row r="487" spans="2:17" x14ac:dyDescent="0.25">
      <c r="B487" s="168" t="s">
        <v>1349</v>
      </c>
      <c r="C487" s="168" t="s">
        <v>1350</v>
      </c>
      <c r="D487" s="168" t="s">
        <v>53</v>
      </c>
      <c r="E487" s="169">
        <v>1</v>
      </c>
      <c r="F487" s="169">
        <v>12</v>
      </c>
      <c r="G487" s="169">
        <v>12</v>
      </c>
      <c r="H487" s="169">
        <v>0</v>
      </c>
      <c r="I487" s="169">
        <v>0</v>
      </c>
      <c r="J487" s="166"/>
      <c r="K487" s="169">
        <v>12</v>
      </c>
      <c r="L487" s="166"/>
      <c r="M487" s="166"/>
      <c r="N487" s="166"/>
      <c r="O487" s="169">
        <v>0</v>
      </c>
      <c r="P487" s="166"/>
      <c r="Q487" s="166"/>
    </row>
    <row r="488" spans="2:17" x14ac:dyDescent="0.25">
      <c r="B488" s="168" t="s">
        <v>1351</v>
      </c>
      <c r="C488" s="168" t="s">
        <v>1352</v>
      </c>
      <c r="D488" s="168" t="s">
        <v>53</v>
      </c>
      <c r="E488" s="169">
        <v>28</v>
      </c>
      <c r="F488" s="169">
        <v>12</v>
      </c>
      <c r="G488" s="169">
        <v>336</v>
      </c>
      <c r="H488" s="169">
        <v>0</v>
      </c>
      <c r="I488" s="169">
        <v>0</v>
      </c>
      <c r="J488" s="166"/>
      <c r="K488" s="169">
        <v>336</v>
      </c>
      <c r="L488" s="166"/>
      <c r="M488" s="166"/>
      <c r="N488" s="166"/>
      <c r="O488" s="169">
        <v>0</v>
      </c>
      <c r="P488" s="166"/>
      <c r="Q488" s="166"/>
    </row>
    <row r="489" spans="2:17" x14ac:dyDescent="0.25">
      <c r="B489" s="168" t="s">
        <v>1353</v>
      </c>
      <c r="C489" s="168" t="s">
        <v>1354</v>
      </c>
      <c r="D489" s="168" t="s">
        <v>53</v>
      </c>
      <c r="E489" s="169">
        <v>31</v>
      </c>
      <c r="F489" s="169">
        <v>12</v>
      </c>
      <c r="G489" s="169">
        <v>372</v>
      </c>
      <c r="H489" s="169">
        <v>0</v>
      </c>
      <c r="I489" s="169">
        <v>0</v>
      </c>
      <c r="J489" s="166"/>
      <c r="K489" s="169">
        <v>372</v>
      </c>
      <c r="L489" s="166"/>
      <c r="M489" s="166"/>
      <c r="N489" s="166"/>
      <c r="O489" s="169">
        <v>0</v>
      </c>
      <c r="P489" s="166"/>
      <c r="Q489" s="166"/>
    </row>
    <row r="490" spans="2:17" x14ac:dyDescent="0.25">
      <c r="B490" s="170" t="s">
        <v>548</v>
      </c>
      <c r="C490" s="170" t="s">
        <v>1355</v>
      </c>
      <c r="D490" s="166"/>
      <c r="E490" s="166"/>
      <c r="F490" s="166"/>
      <c r="G490" s="171">
        <v>10701.27</v>
      </c>
      <c r="H490" s="166"/>
      <c r="I490" s="171">
        <v>0</v>
      </c>
      <c r="J490" s="171">
        <v>0</v>
      </c>
      <c r="K490" s="171">
        <v>0</v>
      </c>
      <c r="L490" s="171">
        <v>0</v>
      </c>
      <c r="M490" s="171">
        <v>7321.27</v>
      </c>
      <c r="N490" s="171">
        <v>0</v>
      </c>
      <c r="O490" s="171">
        <v>0</v>
      </c>
      <c r="P490" s="171">
        <v>0</v>
      </c>
      <c r="Q490" s="171">
        <v>0</v>
      </c>
    </row>
    <row r="491" spans="2:17" x14ac:dyDescent="0.25">
      <c r="B491" s="168" t="s">
        <v>1935</v>
      </c>
      <c r="C491" s="168" t="s">
        <v>1357</v>
      </c>
      <c r="D491" s="168" t="s">
        <v>82</v>
      </c>
      <c r="E491" s="169">
        <v>13</v>
      </c>
      <c r="F491" s="169">
        <v>260</v>
      </c>
      <c r="G491" s="169">
        <v>3380</v>
      </c>
      <c r="H491" s="169">
        <v>0</v>
      </c>
      <c r="I491" s="169">
        <v>0</v>
      </c>
      <c r="J491" s="166"/>
      <c r="K491" s="166"/>
      <c r="L491" s="166"/>
      <c r="M491" s="166"/>
      <c r="N491" s="166"/>
      <c r="O491" s="166"/>
      <c r="P491" s="166"/>
      <c r="Q491" s="166"/>
    </row>
    <row r="492" spans="2:17" x14ac:dyDescent="0.25">
      <c r="B492" s="168" t="s">
        <v>1356</v>
      </c>
      <c r="C492" s="168" t="s">
        <v>1359</v>
      </c>
      <c r="D492" s="168" t="s">
        <v>82</v>
      </c>
      <c r="E492" s="169">
        <v>64.790000000000006</v>
      </c>
      <c r="F492" s="169">
        <v>113</v>
      </c>
      <c r="G492" s="169">
        <v>7321.27</v>
      </c>
      <c r="H492" s="169">
        <v>0</v>
      </c>
      <c r="I492" s="169">
        <v>0</v>
      </c>
      <c r="J492" s="166"/>
      <c r="K492" s="166"/>
      <c r="L492" s="166"/>
      <c r="M492" s="169">
        <v>7321.27</v>
      </c>
      <c r="N492" s="166"/>
      <c r="O492" s="166"/>
      <c r="P492" s="166"/>
      <c r="Q492" s="169">
        <v>0</v>
      </c>
    </row>
    <row r="493" spans="2:17" x14ac:dyDescent="0.25">
      <c r="B493" s="170" t="s">
        <v>549</v>
      </c>
      <c r="C493" s="170" t="s">
        <v>1360</v>
      </c>
      <c r="D493" s="166"/>
      <c r="E493" s="166"/>
      <c r="F493" s="166"/>
      <c r="G493" s="171">
        <v>17510</v>
      </c>
      <c r="H493" s="166"/>
      <c r="I493" s="171">
        <v>0</v>
      </c>
      <c r="J493" s="171">
        <v>0</v>
      </c>
      <c r="K493" s="171">
        <v>7640</v>
      </c>
      <c r="L493" s="171">
        <v>0</v>
      </c>
      <c r="M493" s="171">
        <v>9870</v>
      </c>
      <c r="N493" s="171">
        <v>0</v>
      </c>
      <c r="O493" s="171">
        <v>0</v>
      </c>
      <c r="P493" s="171">
        <v>0</v>
      </c>
      <c r="Q493" s="171">
        <v>0</v>
      </c>
    </row>
    <row r="494" spans="2:17" x14ac:dyDescent="0.25">
      <c r="B494" s="168" t="s">
        <v>550</v>
      </c>
      <c r="C494" s="168" t="s">
        <v>1361</v>
      </c>
      <c r="D494" s="168" t="s">
        <v>53</v>
      </c>
      <c r="E494" s="169">
        <v>90</v>
      </c>
      <c r="F494" s="169">
        <v>56</v>
      </c>
      <c r="G494" s="169">
        <v>5040</v>
      </c>
      <c r="H494" s="169">
        <v>0</v>
      </c>
      <c r="I494" s="169">
        <v>0</v>
      </c>
      <c r="J494" s="166"/>
      <c r="K494" s="169">
        <v>5040</v>
      </c>
      <c r="L494" s="166"/>
      <c r="M494" s="166"/>
      <c r="N494" s="166"/>
      <c r="O494" s="169">
        <v>0</v>
      </c>
      <c r="P494" s="166"/>
      <c r="Q494" s="166"/>
    </row>
    <row r="495" spans="2:17" x14ac:dyDescent="0.25">
      <c r="B495" s="168" t="s">
        <v>551</v>
      </c>
      <c r="C495" s="168" t="s">
        <v>1362</v>
      </c>
      <c r="D495" s="168" t="s">
        <v>53</v>
      </c>
      <c r="E495" s="169">
        <v>65</v>
      </c>
      <c r="F495" s="169">
        <v>40</v>
      </c>
      <c r="G495" s="169">
        <v>2600</v>
      </c>
      <c r="H495" s="169">
        <v>0</v>
      </c>
      <c r="I495" s="169">
        <v>0</v>
      </c>
      <c r="J495" s="166"/>
      <c r="K495" s="169">
        <v>2600</v>
      </c>
      <c r="L495" s="166"/>
      <c r="M495" s="166"/>
      <c r="N495" s="166"/>
      <c r="O495" s="169">
        <v>0</v>
      </c>
      <c r="P495" s="166"/>
      <c r="Q495" s="166"/>
    </row>
    <row r="496" spans="2:17" x14ac:dyDescent="0.25">
      <c r="B496" s="168" t="s">
        <v>552</v>
      </c>
      <c r="C496" s="168" t="s">
        <v>1363</v>
      </c>
      <c r="D496" s="168" t="s">
        <v>53</v>
      </c>
      <c r="E496" s="169">
        <v>12</v>
      </c>
      <c r="F496" s="169">
        <v>180</v>
      </c>
      <c r="G496" s="169">
        <v>2160</v>
      </c>
      <c r="H496" s="169">
        <v>0</v>
      </c>
      <c r="I496" s="169">
        <v>0</v>
      </c>
      <c r="J496" s="166"/>
      <c r="K496" s="166"/>
      <c r="L496" s="166"/>
      <c r="M496" s="169">
        <v>2160</v>
      </c>
      <c r="N496" s="166"/>
      <c r="O496" s="166"/>
      <c r="P496" s="166"/>
      <c r="Q496" s="169">
        <v>0</v>
      </c>
    </row>
    <row r="497" spans="2:17" x14ac:dyDescent="0.25">
      <c r="B497" s="168" t="s">
        <v>553</v>
      </c>
      <c r="C497" s="168" t="s">
        <v>1364</v>
      </c>
      <c r="D497" s="168" t="s">
        <v>53</v>
      </c>
      <c r="E497" s="169">
        <v>58</v>
      </c>
      <c r="F497" s="169">
        <v>120</v>
      </c>
      <c r="G497" s="169">
        <v>6960</v>
      </c>
      <c r="H497" s="169">
        <v>0</v>
      </c>
      <c r="I497" s="169">
        <v>0</v>
      </c>
      <c r="J497" s="166"/>
      <c r="K497" s="166"/>
      <c r="L497" s="166"/>
      <c r="M497" s="169">
        <v>6960</v>
      </c>
      <c r="N497" s="166"/>
      <c r="O497" s="166"/>
      <c r="P497" s="166"/>
      <c r="Q497" s="169">
        <v>0</v>
      </c>
    </row>
    <row r="498" spans="2:17" x14ac:dyDescent="0.25">
      <c r="B498" s="168" t="s">
        <v>554</v>
      </c>
      <c r="C498" s="168" t="s">
        <v>1365</v>
      </c>
      <c r="D498" s="168" t="s">
        <v>53</v>
      </c>
      <c r="E498" s="169">
        <v>5</v>
      </c>
      <c r="F498" s="169">
        <v>150</v>
      </c>
      <c r="G498" s="169">
        <v>750</v>
      </c>
      <c r="H498" s="169">
        <v>0</v>
      </c>
      <c r="I498" s="169">
        <v>0</v>
      </c>
      <c r="J498" s="166"/>
      <c r="K498" s="166"/>
      <c r="L498" s="166"/>
      <c r="M498" s="169">
        <v>750</v>
      </c>
      <c r="N498" s="166"/>
      <c r="O498" s="166"/>
      <c r="P498" s="166"/>
      <c r="Q498" s="169">
        <v>0</v>
      </c>
    </row>
    <row r="499" spans="2:17" x14ac:dyDescent="0.25">
      <c r="B499" s="170" t="s">
        <v>555</v>
      </c>
      <c r="C499" s="170" t="s">
        <v>290</v>
      </c>
      <c r="D499" s="166"/>
      <c r="E499" s="166"/>
      <c r="F499" s="166"/>
      <c r="G499" s="171">
        <v>12046.25</v>
      </c>
      <c r="H499" s="166"/>
      <c r="I499" s="171">
        <v>0</v>
      </c>
      <c r="J499" s="171">
        <v>0</v>
      </c>
      <c r="K499" s="171">
        <v>0</v>
      </c>
      <c r="L499" s="171">
        <v>0</v>
      </c>
      <c r="M499" s="171">
        <v>12046.25</v>
      </c>
      <c r="N499" s="171">
        <v>0</v>
      </c>
      <c r="O499" s="171">
        <v>0</v>
      </c>
      <c r="P499" s="171">
        <v>0</v>
      </c>
      <c r="Q499" s="171">
        <v>0</v>
      </c>
    </row>
    <row r="500" spans="2:17" x14ac:dyDescent="0.25">
      <c r="B500" s="168" t="s">
        <v>556</v>
      </c>
      <c r="C500" s="168" t="s">
        <v>1366</v>
      </c>
      <c r="D500" s="168" t="s">
        <v>15</v>
      </c>
      <c r="E500" s="169">
        <v>1</v>
      </c>
      <c r="F500" s="169">
        <v>2500</v>
      </c>
      <c r="G500" s="169">
        <v>2500</v>
      </c>
      <c r="H500" s="169">
        <v>0</v>
      </c>
      <c r="I500" s="169">
        <v>0</v>
      </c>
      <c r="J500" s="166"/>
      <c r="K500" s="166"/>
      <c r="L500" s="166"/>
      <c r="M500" s="169">
        <v>2500</v>
      </c>
      <c r="N500" s="166"/>
      <c r="O500" s="166"/>
      <c r="P500" s="166"/>
      <c r="Q500" s="169">
        <v>0</v>
      </c>
    </row>
    <row r="501" spans="2:17" x14ac:dyDescent="0.25">
      <c r="B501" s="168" t="s">
        <v>557</v>
      </c>
      <c r="C501" s="168" t="s">
        <v>1367</v>
      </c>
      <c r="D501" s="168" t="s">
        <v>82</v>
      </c>
      <c r="E501" s="169">
        <v>6.09</v>
      </c>
      <c r="F501" s="169">
        <v>200</v>
      </c>
      <c r="G501" s="169">
        <v>1218</v>
      </c>
      <c r="H501" s="169">
        <v>0</v>
      </c>
      <c r="I501" s="169">
        <v>0</v>
      </c>
      <c r="J501" s="166"/>
      <c r="K501" s="166"/>
      <c r="L501" s="166"/>
      <c r="M501" s="169">
        <v>1218</v>
      </c>
      <c r="N501" s="166"/>
      <c r="O501" s="166"/>
      <c r="P501" s="166"/>
      <c r="Q501" s="169">
        <v>0</v>
      </c>
    </row>
    <row r="502" spans="2:17" x14ac:dyDescent="0.25">
      <c r="B502" s="168" t="s">
        <v>1368</v>
      </c>
      <c r="C502" s="168" t="s">
        <v>1369</v>
      </c>
      <c r="D502" s="168" t="s">
        <v>15</v>
      </c>
      <c r="E502" s="169">
        <v>1</v>
      </c>
      <c r="F502" s="169">
        <v>1000</v>
      </c>
      <c r="G502" s="169">
        <v>1000</v>
      </c>
      <c r="H502" s="169">
        <v>0</v>
      </c>
      <c r="I502" s="169">
        <v>0</v>
      </c>
      <c r="J502" s="166"/>
      <c r="K502" s="166"/>
      <c r="L502" s="166"/>
      <c r="M502" s="169">
        <v>1000</v>
      </c>
      <c r="N502" s="166"/>
      <c r="O502" s="166"/>
      <c r="P502" s="166"/>
      <c r="Q502" s="169">
        <v>0</v>
      </c>
    </row>
    <row r="503" spans="2:17" x14ac:dyDescent="0.25">
      <c r="B503" s="168" t="s">
        <v>1370</v>
      </c>
      <c r="C503" s="168" t="s">
        <v>1372</v>
      </c>
      <c r="D503" s="168" t="s">
        <v>53</v>
      </c>
      <c r="E503" s="169">
        <v>12</v>
      </c>
      <c r="F503" s="169">
        <v>120</v>
      </c>
      <c r="G503" s="169">
        <v>1440</v>
      </c>
      <c r="H503" s="169">
        <v>0</v>
      </c>
      <c r="I503" s="169">
        <v>0</v>
      </c>
      <c r="J503" s="166"/>
      <c r="K503" s="166"/>
      <c r="L503" s="166"/>
      <c r="M503" s="169">
        <v>1440</v>
      </c>
      <c r="N503" s="166"/>
      <c r="O503" s="166"/>
      <c r="P503" s="166"/>
      <c r="Q503" s="169">
        <v>0</v>
      </c>
    </row>
    <row r="504" spans="2:17" x14ac:dyDescent="0.25">
      <c r="B504" s="168" t="s">
        <v>1371</v>
      </c>
      <c r="C504" s="168" t="s">
        <v>1374</v>
      </c>
      <c r="D504" s="168" t="s">
        <v>15</v>
      </c>
      <c r="E504" s="169">
        <v>1</v>
      </c>
      <c r="F504" s="169">
        <v>350</v>
      </c>
      <c r="G504" s="169">
        <v>350</v>
      </c>
      <c r="H504" s="169">
        <v>0</v>
      </c>
      <c r="I504" s="169">
        <v>0</v>
      </c>
      <c r="J504" s="166"/>
      <c r="K504" s="166"/>
      <c r="L504" s="166"/>
      <c r="M504" s="169">
        <v>350</v>
      </c>
      <c r="N504" s="166"/>
      <c r="O504" s="166"/>
      <c r="P504" s="166"/>
      <c r="Q504" s="169">
        <v>0</v>
      </c>
    </row>
    <row r="505" spans="2:17" x14ac:dyDescent="0.25">
      <c r="B505" s="168" t="s">
        <v>1373</v>
      </c>
      <c r="C505" s="168" t="s">
        <v>1376</v>
      </c>
      <c r="D505" s="168" t="s">
        <v>15</v>
      </c>
      <c r="E505" s="169">
        <v>1</v>
      </c>
      <c r="F505" s="169">
        <v>600</v>
      </c>
      <c r="G505" s="169">
        <v>600</v>
      </c>
      <c r="H505" s="169">
        <v>0</v>
      </c>
      <c r="I505" s="169">
        <v>0</v>
      </c>
      <c r="J505" s="166"/>
      <c r="K505" s="166"/>
      <c r="L505" s="166"/>
      <c r="M505" s="169">
        <v>600</v>
      </c>
      <c r="N505" s="166"/>
      <c r="O505" s="166"/>
      <c r="P505" s="166"/>
      <c r="Q505" s="169">
        <v>0</v>
      </c>
    </row>
    <row r="506" spans="2:17" x14ac:dyDescent="0.25">
      <c r="B506" s="168" t="s">
        <v>1375</v>
      </c>
      <c r="C506" s="168" t="s">
        <v>1378</v>
      </c>
      <c r="D506" s="168" t="s">
        <v>15</v>
      </c>
      <c r="E506" s="169">
        <v>1</v>
      </c>
      <c r="F506" s="169">
        <v>350</v>
      </c>
      <c r="G506" s="169">
        <v>350</v>
      </c>
      <c r="H506" s="169">
        <v>0</v>
      </c>
      <c r="I506" s="169">
        <v>0</v>
      </c>
      <c r="J506" s="166"/>
      <c r="K506" s="166"/>
      <c r="L506" s="166"/>
      <c r="M506" s="169">
        <v>350</v>
      </c>
      <c r="N506" s="166"/>
      <c r="O506" s="166"/>
      <c r="P506" s="166"/>
      <c r="Q506" s="169">
        <v>0</v>
      </c>
    </row>
    <row r="507" spans="2:17" x14ac:dyDescent="0.25">
      <c r="B507" s="168" t="s">
        <v>1377</v>
      </c>
      <c r="C507" s="168" t="s">
        <v>1380</v>
      </c>
      <c r="D507" s="168" t="s">
        <v>15</v>
      </c>
      <c r="E507" s="169">
        <v>1</v>
      </c>
      <c r="F507" s="169">
        <v>700</v>
      </c>
      <c r="G507" s="169">
        <v>700</v>
      </c>
      <c r="H507" s="169">
        <v>0</v>
      </c>
      <c r="I507" s="169">
        <v>0</v>
      </c>
      <c r="J507" s="166"/>
      <c r="K507" s="166"/>
      <c r="L507" s="166"/>
      <c r="M507" s="169">
        <v>700</v>
      </c>
      <c r="N507" s="166"/>
      <c r="O507" s="166"/>
      <c r="P507" s="166"/>
      <c r="Q507" s="169">
        <v>0</v>
      </c>
    </row>
    <row r="508" spans="2:17" x14ac:dyDescent="0.25">
      <c r="B508" s="168" t="s">
        <v>1379</v>
      </c>
      <c r="C508" s="168" t="s">
        <v>1382</v>
      </c>
      <c r="D508" s="168" t="s">
        <v>157</v>
      </c>
      <c r="E508" s="169">
        <v>3.12</v>
      </c>
      <c r="F508" s="169">
        <v>300</v>
      </c>
      <c r="G508" s="169">
        <v>936</v>
      </c>
      <c r="H508" s="169">
        <v>0</v>
      </c>
      <c r="I508" s="169">
        <v>0</v>
      </c>
      <c r="J508" s="166"/>
      <c r="K508" s="166"/>
      <c r="L508" s="166"/>
      <c r="M508" s="169">
        <v>936</v>
      </c>
      <c r="N508" s="166"/>
      <c r="O508" s="166"/>
      <c r="P508" s="166"/>
      <c r="Q508" s="169">
        <v>0</v>
      </c>
    </row>
    <row r="509" spans="2:17" x14ac:dyDescent="0.25">
      <c r="B509" s="168" t="s">
        <v>1381</v>
      </c>
      <c r="C509" s="168" t="s">
        <v>1383</v>
      </c>
      <c r="D509" s="168" t="s">
        <v>82</v>
      </c>
      <c r="E509" s="169">
        <v>16.87</v>
      </c>
      <c r="F509" s="169">
        <v>175</v>
      </c>
      <c r="G509" s="169">
        <v>2952.25</v>
      </c>
      <c r="H509" s="169">
        <v>0</v>
      </c>
      <c r="I509" s="169">
        <v>0</v>
      </c>
      <c r="J509" s="166"/>
      <c r="K509" s="166"/>
      <c r="L509" s="166"/>
      <c r="M509" s="169">
        <v>2952.25</v>
      </c>
      <c r="N509" s="166"/>
      <c r="O509" s="166"/>
      <c r="P509" s="166"/>
      <c r="Q509" s="169">
        <v>0</v>
      </c>
    </row>
    <row r="510" spans="2:17" x14ac:dyDescent="0.25">
      <c r="B510" s="170" t="s">
        <v>558</v>
      </c>
      <c r="C510" s="170" t="s">
        <v>387</v>
      </c>
      <c r="D510" s="166"/>
      <c r="E510" s="166"/>
      <c r="F510" s="166"/>
      <c r="G510" s="171">
        <v>108786.14</v>
      </c>
      <c r="H510" s="166"/>
      <c r="I510" s="171">
        <v>96.31</v>
      </c>
      <c r="J510" s="171">
        <v>1002.32</v>
      </c>
      <c r="K510" s="171">
        <v>973.1</v>
      </c>
      <c r="L510" s="171">
        <v>41.43</v>
      </c>
      <c r="M510" s="171">
        <v>106769.02</v>
      </c>
      <c r="N510" s="171">
        <v>0</v>
      </c>
      <c r="O510" s="171">
        <v>95.61</v>
      </c>
      <c r="P510" s="171">
        <v>0</v>
      </c>
      <c r="Q510" s="171">
        <v>0</v>
      </c>
    </row>
    <row r="511" spans="2:17" x14ac:dyDescent="0.25">
      <c r="B511" s="168" t="s">
        <v>559</v>
      </c>
      <c r="C511" s="168" t="s">
        <v>1384</v>
      </c>
      <c r="D511" s="168" t="s">
        <v>53</v>
      </c>
      <c r="E511" s="169">
        <v>108</v>
      </c>
      <c r="F511" s="169">
        <v>42</v>
      </c>
      <c r="G511" s="169">
        <v>4536</v>
      </c>
      <c r="H511" s="169">
        <v>0</v>
      </c>
      <c r="I511" s="169">
        <v>0</v>
      </c>
      <c r="J511" s="166"/>
      <c r="K511" s="166"/>
      <c r="L511" s="166"/>
      <c r="M511" s="169">
        <v>4536</v>
      </c>
      <c r="N511" s="166"/>
      <c r="O511" s="166"/>
      <c r="P511" s="166"/>
      <c r="Q511" s="169">
        <v>0</v>
      </c>
    </row>
    <row r="512" spans="2:17" x14ac:dyDescent="0.25">
      <c r="B512" s="168" t="s">
        <v>560</v>
      </c>
      <c r="C512" s="168" t="s">
        <v>1385</v>
      </c>
      <c r="D512" s="168" t="s">
        <v>53</v>
      </c>
      <c r="E512" s="169">
        <v>22</v>
      </c>
      <c r="F512" s="169">
        <v>7.5</v>
      </c>
      <c r="G512" s="169">
        <v>165</v>
      </c>
      <c r="H512" s="169">
        <v>0</v>
      </c>
      <c r="I512" s="169">
        <v>0</v>
      </c>
      <c r="J512" s="166"/>
      <c r="K512" s="166"/>
      <c r="L512" s="166"/>
      <c r="M512" s="169">
        <v>165</v>
      </c>
      <c r="N512" s="166"/>
      <c r="O512" s="166"/>
      <c r="P512" s="166"/>
      <c r="Q512" s="169">
        <v>0</v>
      </c>
    </row>
    <row r="513" spans="2:17" x14ac:dyDescent="0.25">
      <c r="B513" s="168" t="s">
        <v>1877</v>
      </c>
      <c r="C513" s="168" t="s">
        <v>1878</v>
      </c>
      <c r="D513" s="168" t="s">
        <v>53</v>
      </c>
      <c r="E513" s="169">
        <v>105</v>
      </c>
      <c r="F513" s="169">
        <v>890</v>
      </c>
      <c r="G513" s="169">
        <v>93450</v>
      </c>
      <c r="H513" s="169">
        <v>0</v>
      </c>
      <c r="I513" s="169">
        <v>0</v>
      </c>
      <c r="J513" s="166"/>
      <c r="K513" s="166"/>
      <c r="L513" s="166"/>
      <c r="M513" s="169">
        <v>93450</v>
      </c>
      <c r="N513" s="166"/>
      <c r="O513" s="166"/>
      <c r="P513" s="166"/>
      <c r="Q513" s="169">
        <v>0</v>
      </c>
    </row>
    <row r="514" spans="2:17" x14ac:dyDescent="0.25">
      <c r="B514" s="172" t="s">
        <v>2126</v>
      </c>
      <c r="C514" s="172" t="s">
        <v>2127</v>
      </c>
      <c r="D514" s="166"/>
      <c r="E514" s="166"/>
      <c r="F514" s="166"/>
      <c r="G514" s="173">
        <v>10635.14</v>
      </c>
      <c r="H514" s="166"/>
      <c r="I514" s="173">
        <v>96.31</v>
      </c>
      <c r="J514" s="173">
        <v>1002.32</v>
      </c>
      <c r="K514" s="173">
        <v>973.1</v>
      </c>
      <c r="L514" s="173">
        <v>41.43</v>
      </c>
      <c r="M514" s="173">
        <v>8618.02</v>
      </c>
      <c r="N514" s="173">
        <v>0</v>
      </c>
      <c r="O514" s="173">
        <v>95.61</v>
      </c>
      <c r="P514" s="173">
        <v>0</v>
      </c>
      <c r="Q514" s="173">
        <v>0</v>
      </c>
    </row>
    <row r="515" spans="2:17" x14ac:dyDescent="0.25">
      <c r="B515" s="174" t="s">
        <v>2128</v>
      </c>
      <c r="C515" s="174" t="s">
        <v>2129</v>
      </c>
      <c r="D515" s="166"/>
      <c r="E515" s="166"/>
      <c r="F515" s="166"/>
      <c r="G515" s="175">
        <v>2532.4899999999998</v>
      </c>
      <c r="H515" s="166"/>
      <c r="I515" s="175">
        <v>96.31</v>
      </c>
      <c r="J515" s="175">
        <v>593.25</v>
      </c>
      <c r="K515" s="175">
        <v>844.81</v>
      </c>
      <c r="L515" s="175">
        <v>20.97</v>
      </c>
      <c r="M515" s="175">
        <v>1073.3</v>
      </c>
      <c r="N515" s="175">
        <v>0</v>
      </c>
      <c r="O515" s="175">
        <v>95.61</v>
      </c>
      <c r="P515" s="175">
        <v>0</v>
      </c>
      <c r="Q515" s="175">
        <v>0</v>
      </c>
    </row>
    <row r="516" spans="2:17" x14ac:dyDescent="0.25">
      <c r="B516" s="176" t="s">
        <v>2130</v>
      </c>
      <c r="C516" s="176" t="s">
        <v>2131</v>
      </c>
      <c r="D516" s="166"/>
      <c r="E516" s="166"/>
      <c r="F516" s="166"/>
      <c r="G516" s="177">
        <v>2230.44</v>
      </c>
      <c r="H516" s="166"/>
      <c r="I516" s="177">
        <v>81.400000000000006</v>
      </c>
      <c r="J516" s="177">
        <v>477.95</v>
      </c>
      <c r="K516" s="177">
        <v>721.96</v>
      </c>
      <c r="L516" s="177">
        <v>15.43</v>
      </c>
      <c r="M516" s="177">
        <v>1014.96</v>
      </c>
      <c r="N516" s="177">
        <v>0</v>
      </c>
      <c r="O516" s="177">
        <v>80.790000000000006</v>
      </c>
      <c r="P516" s="177">
        <v>0</v>
      </c>
      <c r="Q516" s="177">
        <v>0</v>
      </c>
    </row>
    <row r="517" spans="2:17" x14ac:dyDescent="0.25">
      <c r="B517" s="168" t="s">
        <v>2132</v>
      </c>
      <c r="C517" s="168" t="s">
        <v>2133</v>
      </c>
      <c r="D517" s="168" t="s">
        <v>82</v>
      </c>
      <c r="E517" s="169">
        <v>11</v>
      </c>
      <c r="F517" s="169">
        <v>46.83</v>
      </c>
      <c r="G517" s="169">
        <v>515.13</v>
      </c>
      <c r="H517" s="169">
        <v>0.38</v>
      </c>
      <c r="I517" s="169">
        <v>4.18</v>
      </c>
      <c r="J517" s="169">
        <v>285.43</v>
      </c>
      <c r="K517" s="169">
        <v>127.6</v>
      </c>
      <c r="L517" s="169">
        <v>8.56</v>
      </c>
      <c r="M517" s="169">
        <v>93.5</v>
      </c>
      <c r="N517" s="169">
        <v>0</v>
      </c>
      <c r="O517" s="169">
        <v>4.13</v>
      </c>
      <c r="P517" s="169">
        <v>0</v>
      </c>
      <c r="Q517" s="169">
        <v>0</v>
      </c>
    </row>
    <row r="518" spans="2:17" x14ac:dyDescent="0.25">
      <c r="B518" s="168" t="s">
        <v>2134</v>
      </c>
      <c r="C518" s="168" t="s">
        <v>2135</v>
      </c>
      <c r="D518" s="168" t="s">
        <v>82</v>
      </c>
      <c r="E518" s="169">
        <v>11</v>
      </c>
      <c r="F518" s="169">
        <v>63</v>
      </c>
      <c r="G518" s="169">
        <v>693</v>
      </c>
      <c r="H518" s="169">
        <v>0</v>
      </c>
      <c r="I518" s="169">
        <v>0</v>
      </c>
      <c r="J518" s="166"/>
      <c r="K518" s="166"/>
      <c r="L518" s="166"/>
      <c r="M518" s="169">
        <v>693</v>
      </c>
      <c r="N518" s="166"/>
      <c r="O518" s="166"/>
      <c r="P518" s="166"/>
      <c r="Q518" s="169">
        <v>0</v>
      </c>
    </row>
    <row r="519" spans="2:17" x14ac:dyDescent="0.25">
      <c r="B519" s="168" t="s">
        <v>2136</v>
      </c>
      <c r="C519" s="168" t="s">
        <v>2137</v>
      </c>
      <c r="D519" s="168" t="s">
        <v>150</v>
      </c>
      <c r="E519" s="169">
        <v>22.41</v>
      </c>
      <c r="F519" s="169">
        <v>1.03</v>
      </c>
      <c r="G519" s="169">
        <v>23.08</v>
      </c>
      <c r="H519" s="169">
        <v>0.91</v>
      </c>
      <c r="I519" s="169">
        <v>20.39</v>
      </c>
      <c r="J519" s="166"/>
      <c r="K519" s="169">
        <v>0.67</v>
      </c>
      <c r="L519" s="166"/>
      <c r="M519" s="169">
        <v>22.41</v>
      </c>
      <c r="N519" s="166"/>
      <c r="O519" s="169">
        <v>20.239999999999998</v>
      </c>
      <c r="P519" s="166"/>
      <c r="Q519" s="169">
        <v>0</v>
      </c>
    </row>
    <row r="520" spans="2:17" x14ac:dyDescent="0.25">
      <c r="B520" s="168" t="s">
        <v>2138</v>
      </c>
      <c r="C520" s="168" t="s">
        <v>2139</v>
      </c>
      <c r="D520" s="168" t="s">
        <v>150</v>
      </c>
      <c r="E520" s="169">
        <v>48.07</v>
      </c>
      <c r="F520" s="169">
        <v>1.03</v>
      </c>
      <c r="G520" s="169">
        <v>49.51</v>
      </c>
      <c r="H520" s="169">
        <v>0.91</v>
      </c>
      <c r="I520" s="169">
        <v>43.74</v>
      </c>
      <c r="J520" s="166"/>
      <c r="K520" s="169">
        <v>1.44</v>
      </c>
      <c r="L520" s="166"/>
      <c r="M520" s="169">
        <v>48.07</v>
      </c>
      <c r="N520" s="166"/>
      <c r="O520" s="169">
        <v>43.43</v>
      </c>
      <c r="P520" s="166"/>
      <c r="Q520" s="169">
        <v>0</v>
      </c>
    </row>
    <row r="521" spans="2:17" x14ac:dyDescent="0.25">
      <c r="B521" s="168" t="s">
        <v>2140</v>
      </c>
      <c r="C521" s="168" t="s">
        <v>2141</v>
      </c>
      <c r="D521" s="168" t="s">
        <v>150</v>
      </c>
      <c r="E521" s="169">
        <v>14.38</v>
      </c>
      <c r="F521" s="169">
        <v>1.03</v>
      </c>
      <c r="G521" s="169">
        <v>14.81</v>
      </c>
      <c r="H521" s="169">
        <v>0.91</v>
      </c>
      <c r="I521" s="169">
        <v>13.09</v>
      </c>
      <c r="J521" s="166"/>
      <c r="K521" s="169">
        <v>0.43</v>
      </c>
      <c r="L521" s="166"/>
      <c r="M521" s="169">
        <v>14.38</v>
      </c>
      <c r="N521" s="166"/>
      <c r="O521" s="169">
        <v>12.99</v>
      </c>
      <c r="P521" s="166"/>
      <c r="Q521" s="169">
        <v>0</v>
      </c>
    </row>
    <row r="522" spans="2:17" x14ac:dyDescent="0.25">
      <c r="B522" s="168" t="s">
        <v>2142</v>
      </c>
      <c r="C522" s="168" t="s">
        <v>2143</v>
      </c>
      <c r="D522" s="168" t="s">
        <v>138</v>
      </c>
      <c r="E522" s="169">
        <v>2</v>
      </c>
      <c r="F522" s="169">
        <v>373.68</v>
      </c>
      <c r="G522" s="169">
        <v>747.36</v>
      </c>
      <c r="H522" s="169">
        <v>0</v>
      </c>
      <c r="I522" s="169">
        <v>0</v>
      </c>
      <c r="J522" s="169">
        <v>50.27</v>
      </c>
      <c r="K522" s="169">
        <v>590.5</v>
      </c>
      <c r="L522" s="169">
        <v>1.51</v>
      </c>
      <c r="M522" s="169">
        <v>105.1</v>
      </c>
      <c r="N522" s="169">
        <v>0</v>
      </c>
      <c r="O522" s="169">
        <v>0</v>
      </c>
      <c r="P522" s="169">
        <v>0</v>
      </c>
      <c r="Q522" s="169">
        <v>0</v>
      </c>
    </row>
    <row r="523" spans="2:17" x14ac:dyDescent="0.25">
      <c r="B523" s="168" t="s">
        <v>2144</v>
      </c>
      <c r="C523" s="168" t="s">
        <v>2145</v>
      </c>
      <c r="D523" s="168" t="s">
        <v>82</v>
      </c>
      <c r="E523" s="169">
        <v>11</v>
      </c>
      <c r="F523" s="169">
        <v>1.85</v>
      </c>
      <c r="G523" s="169">
        <v>20.350000000000001</v>
      </c>
      <c r="H523" s="169">
        <v>0</v>
      </c>
      <c r="I523" s="169">
        <v>0</v>
      </c>
      <c r="J523" s="169">
        <v>18.12</v>
      </c>
      <c r="K523" s="169">
        <v>1.32</v>
      </c>
      <c r="L523" s="169">
        <v>0.91</v>
      </c>
      <c r="M523" s="166"/>
      <c r="N523" s="169">
        <v>0</v>
      </c>
      <c r="O523" s="169">
        <v>0</v>
      </c>
      <c r="P523" s="169">
        <v>0</v>
      </c>
      <c r="Q523" s="166"/>
    </row>
    <row r="524" spans="2:17" x14ac:dyDescent="0.25">
      <c r="B524" s="168" t="s">
        <v>2146</v>
      </c>
      <c r="C524" s="168" t="s">
        <v>2147</v>
      </c>
      <c r="D524" s="168" t="s">
        <v>82</v>
      </c>
      <c r="E524" s="169">
        <v>11</v>
      </c>
      <c r="F524" s="169">
        <v>8.2200000000000006</v>
      </c>
      <c r="G524" s="169">
        <v>90.42</v>
      </c>
      <c r="H524" s="169">
        <v>0</v>
      </c>
      <c r="I524" s="169">
        <v>0</v>
      </c>
      <c r="J524" s="169">
        <v>87.77</v>
      </c>
      <c r="K524" s="166"/>
      <c r="L524" s="169">
        <v>2.63</v>
      </c>
      <c r="M524" s="166"/>
      <c r="N524" s="169">
        <v>0</v>
      </c>
      <c r="O524" s="166"/>
      <c r="P524" s="169">
        <v>0</v>
      </c>
      <c r="Q524" s="166"/>
    </row>
    <row r="525" spans="2:17" x14ac:dyDescent="0.25">
      <c r="B525" s="168" t="s">
        <v>2148</v>
      </c>
      <c r="C525" s="168" t="s">
        <v>2149</v>
      </c>
      <c r="D525" s="168" t="s">
        <v>82</v>
      </c>
      <c r="E525" s="169">
        <v>11</v>
      </c>
      <c r="F525" s="169">
        <v>3.48</v>
      </c>
      <c r="G525" s="169">
        <v>38.28</v>
      </c>
      <c r="H525" s="169">
        <v>0</v>
      </c>
      <c r="I525" s="169">
        <v>0</v>
      </c>
      <c r="J525" s="169">
        <v>36.36</v>
      </c>
      <c r="K525" s="166"/>
      <c r="L525" s="169">
        <v>1.82</v>
      </c>
      <c r="M525" s="166"/>
      <c r="N525" s="169">
        <v>0</v>
      </c>
      <c r="O525" s="166"/>
      <c r="P525" s="169">
        <v>0</v>
      </c>
      <c r="Q525" s="166"/>
    </row>
    <row r="526" spans="2:17" x14ac:dyDescent="0.25">
      <c r="B526" s="168" t="s">
        <v>2150</v>
      </c>
      <c r="C526" s="168" t="s">
        <v>2151</v>
      </c>
      <c r="D526" s="168" t="s">
        <v>82</v>
      </c>
      <c r="E526" s="169">
        <v>11</v>
      </c>
      <c r="F526" s="169">
        <v>3.5</v>
      </c>
      <c r="G526" s="169">
        <v>38.5</v>
      </c>
      <c r="H526" s="169">
        <v>0</v>
      </c>
      <c r="I526" s="169">
        <v>0</v>
      </c>
      <c r="J526" s="166"/>
      <c r="K526" s="166"/>
      <c r="L526" s="166"/>
      <c r="M526" s="169">
        <v>38.5</v>
      </c>
      <c r="N526" s="166"/>
      <c r="O526" s="166"/>
      <c r="P526" s="166"/>
      <c r="Q526" s="169">
        <v>0</v>
      </c>
    </row>
    <row r="527" spans="2:17" x14ac:dyDescent="0.25">
      <c r="B527" s="176" t="s">
        <v>2152</v>
      </c>
      <c r="C527" s="176" t="s">
        <v>2153</v>
      </c>
      <c r="D527" s="166"/>
      <c r="E527" s="166"/>
      <c r="F527" s="166"/>
      <c r="G527" s="177">
        <v>302.05</v>
      </c>
      <c r="H527" s="166"/>
      <c r="I527" s="177">
        <v>14.91</v>
      </c>
      <c r="J527" s="177">
        <v>115.3</v>
      </c>
      <c r="K527" s="177">
        <v>122.85</v>
      </c>
      <c r="L527" s="177">
        <v>5.54</v>
      </c>
      <c r="M527" s="177">
        <v>58.34</v>
      </c>
      <c r="N527" s="177">
        <v>0</v>
      </c>
      <c r="O527" s="177">
        <v>14.82</v>
      </c>
      <c r="P527" s="177">
        <v>0</v>
      </c>
      <c r="Q527" s="177">
        <v>0</v>
      </c>
    </row>
    <row r="528" spans="2:17" x14ac:dyDescent="0.25">
      <c r="B528" s="168" t="s">
        <v>2154</v>
      </c>
      <c r="C528" s="168" t="s">
        <v>2155</v>
      </c>
      <c r="D528" s="168" t="s">
        <v>82</v>
      </c>
      <c r="E528" s="169">
        <v>3</v>
      </c>
      <c r="F528" s="169">
        <v>55.09</v>
      </c>
      <c r="G528" s="169">
        <v>165.27</v>
      </c>
      <c r="H528" s="169">
        <v>0.42</v>
      </c>
      <c r="I528" s="169">
        <v>1.26</v>
      </c>
      <c r="J528" s="169">
        <v>98.8</v>
      </c>
      <c r="K528" s="169">
        <v>33.46</v>
      </c>
      <c r="L528" s="169">
        <v>4.9400000000000004</v>
      </c>
      <c r="M528" s="169">
        <v>28.05</v>
      </c>
      <c r="N528" s="169">
        <v>0</v>
      </c>
      <c r="O528" s="169">
        <v>1.27</v>
      </c>
      <c r="P528" s="169">
        <v>0</v>
      </c>
      <c r="Q528" s="169">
        <v>0</v>
      </c>
    </row>
    <row r="529" spans="2:17" x14ac:dyDescent="0.25">
      <c r="B529" s="168" t="s">
        <v>2156</v>
      </c>
      <c r="C529" s="168" t="s">
        <v>2157</v>
      </c>
      <c r="D529" s="168" t="s">
        <v>150</v>
      </c>
      <c r="E529" s="169">
        <v>15</v>
      </c>
      <c r="F529" s="169">
        <v>1.03</v>
      </c>
      <c r="G529" s="169">
        <v>15.45</v>
      </c>
      <c r="H529" s="169">
        <v>0.91</v>
      </c>
      <c r="I529" s="169">
        <v>13.65</v>
      </c>
      <c r="J529" s="166"/>
      <c r="K529" s="169">
        <v>0.45</v>
      </c>
      <c r="L529" s="166"/>
      <c r="M529" s="169">
        <v>15</v>
      </c>
      <c r="N529" s="166"/>
      <c r="O529" s="169">
        <v>13.55</v>
      </c>
      <c r="P529" s="166"/>
      <c r="Q529" s="169">
        <v>0</v>
      </c>
    </row>
    <row r="530" spans="2:17" x14ac:dyDescent="0.25">
      <c r="B530" s="168" t="s">
        <v>2158</v>
      </c>
      <c r="C530" s="168" t="s">
        <v>2159</v>
      </c>
      <c r="D530" s="168" t="s">
        <v>138</v>
      </c>
      <c r="E530" s="169">
        <v>0.3</v>
      </c>
      <c r="F530" s="169">
        <v>385.92</v>
      </c>
      <c r="G530" s="169">
        <v>115.78</v>
      </c>
      <c r="H530" s="169">
        <v>0</v>
      </c>
      <c r="I530" s="169">
        <v>0</v>
      </c>
      <c r="J530" s="169">
        <v>11.56</v>
      </c>
      <c r="K530" s="169">
        <v>88.58</v>
      </c>
      <c r="L530" s="169">
        <v>0.35</v>
      </c>
      <c r="M530" s="169">
        <v>15.29</v>
      </c>
      <c r="N530" s="169">
        <v>0</v>
      </c>
      <c r="O530" s="169">
        <v>0</v>
      </c>
      <c r="P530" s="169">
        <v>0</v>
      </c>
      <c r="Q530" s="169">
        <v>0</v>
      </c>
    </row>
    <row r="531" spans="2:17" x14ac:dyDescent="0.25">
      <c r="B531" s="168" t="s">
        <v>2160</v>
      </c>
      <c r="C531" s="168" t="s">
        <v>2145</v>
      </c>
      <c r="D531" s="168" t="s">
        <v>82</v>
      </c>
      <c r="E531" s="169">
        <v>3</v>
      </c>
      <c r="F531" s="169">
        <v>1.85</v>
      </c>
      <c r="G531" s="169">
        <v>5.55</v>
      </c>
      <c r="H531" s="169">
        <v>0</v>
      </c>
      <c r="I531" s="169">
        <v>0</v>
      </c>
      <c r="J531" s="169">
        <v>4.9400000000000004</v>
      </c>
      <c r="K531" s="169">
        <v>0.36</v>
      </c>
      <c r="L531" s="169">
        <v>0.25</v>
      </c>
      <c r="M531" s="166"/>
      <c r="N531" s="169">
        <v>0</v>
      </c>
      <c r="O531" s="169">
        <v>0</v>
      </c>
      <c r="P531" s="169">
        <v>0</v>
      </c>
      <c r="Q531" s="166"/>
    </row>
    <row r="532" spans="2:17" x14ac:dyDescent="0.25">
      <c r="B532" s="174" t="s">
        <v>2161</v>
      </c>
      <c r="C532" s="174" t="s">
        <v>2162</v>
      </c>
      <c r="D532" s="166"/>
      <c r="E532" s="166"/>
      <c r="F532" s="166"/>
      <c r="G532" s="175">
        <v>878.65</v>
      </c>
      <c r="H532" s="166"/>
      <c r="I532" s="175">
        <v>0</v>
      </c>
      <c r="J532" s="175">
        <v>409.07</v>
      </c>
      <c r="K532" s="175">
        <v>128.29</v>
      </c>
      <c r="L532" s="175">
        <v>20.46</v>
      </c>
      <c r="M532" s="175">
        <v>320.72000000000003</v>
      </c>
      <c r="N532" s="175">
        <v>0</v>
      </c>
      <c r="O532" s="175">
        <v>0</v>
      </c>
      <c r="P532" s="175">
        <v>0</v>
      </c>
      <c r="Q532" s="175">
        <v>0</v>
      </c>
    </row>
    <row r="533" spans="2:17" x14ac:dyDescent="0.25">
      <c r="B533" s="168" t="s">
        <v>2163</v>
      </c>
      <c r="C533" s="168" t="s">
        <v>2164</v>
      </c>
      <c r="D533" s="168" t="s">
        <v>82</v>
      </c>
      <c r="E533" s="169">
        <v>6.3</v>
      </c>
      <c r="F533" s="169">
        <v>32.53</v>
      </c>
      <c r="G533" s="169">
        <v>204.94</v>
      </c>
      <c r="H533" s="169">
        <v>0</v>
      </c>
      <c r="I533" s="169">
        <v>0</v>
      </c>
      <c r="J533" s="169">
        <v>139.13999999999999</v>
      </c>
      <c r="K533" s="169">
        <v>46.72</v>
      </c>
      <c r="L533" s="169">
        <v>6.96</v>
      </c>
      <c r="M533" s="169">
        <v>12.1</v>
      </c>
      <c r="N533" s="169">
        <v>0</v>
      </c>
      <c r="O533" s="169">
        <v>0</v>
      </c>
      <c r="P533" s="169">
        <v>0</v>
      </c>
      <c r="Q533" s="169">
        <v>0</v>
      </c>
    </row>
    <row r="534" spans="2:17" x14ac:dyDescent="0.25">
      <c r="B534" s="168" t="s">
        <v>2165</v>
      </c>
      <c r="C534" s="168" t="s">
        <v>2166</v>
      </c>
      <c r="D534" s="168" t="s">
        <v>29</v>
      </c>
      <c r="E534" s="169">
        <v>13</v>
      </c>
      <c r="F534" s="169">
        <v>3.5</v>
      </c>
      <c r="G534" s="169">
        <v>45.5</v>
      </c>
      <c r="H534" s="169">
        <v>0</v>
      </c>
      <c r="I534" s="169">
        <v>0</v>
      </c>
      <c r="J534" s="166"/>
      <c r="K534" s="166"/>
      <c r="L534" s="166"/>
      <c r="M534" s="169">
        <v>45.5</v>
      </c>
      <c r="N534" s="166"/>
      <c r="O534" s="166"/>
      <c r="P534" s="166"/>
      <c r="Q534" s="169">
        <v>0</v>
      </c>
    </row>
    <row r="535" spans="2:17" x14ac:dyDescent="0.25">
      <c r="B535" s="168" t="s">
        <v>2167</v>
      </c>
      <c r="C535" s="168" t="s">
        <v>2168</v>
      </c>
      <c r="D535" s="168" t="s">
        <v>82</v>
      </c>
      <c r="E535" s="169">
        <v>11</v>
      </c>
      <c r="F535" s="169">
        <v>35.11</v>
      </c>
      <c r="G535" s="169">
        <v>386.21</v>
      </c>
      <c r="H535" s="169">
        <v>0</v>
      </c>
      <c r="I535" s="169">
        <v>0</v>
      </c>
      <c r="J535" s="169">
        <v>269.93</v>
      </c>
      <c r="K535" s="169">
        <v>81.569999999999993</v>
      </c>
      <c r="L535" s="169">
        <v>13.5</v>
      </c>
      <c r="M535" s="169">
        <v>21.12</v>
      </c>
      <c r="N535" s="169">
        <v>0</v>
      </c>
      <c r="O535" s="169">
        <v>0</v>
      </c>
      <c r="P535" s="169">
        <v>0</v>
      </c>
      <c r="Q535" s="169">
        <v>0</v>
      </c>
    </row>
    <row r="536" spans="2:17" x14ac:dyDescent="0.25">
      <c r="B536" s="168" t="s">
        <v>2169</v>
      </c>
      <c r="C536" s="168" t="s">
        <v>2170</v>
      </c>
      <c r="D536" s="168" t="s">
        <v>82</v>
      </c>
      <c r="E536" s="169">
        <v>11</v>
      </c>
      <c r="F536" s="169">
        <v>22</v>
      </c>
      <c r="G536" s="169">
        <v>242</v>
      </c>
      <c r="H536" s="169">
        <v>0</v>
      </c>
      <c r="I536" s="169">
        <v>0</v>
      </c>
      <c r="J536" s="166"/>
      <c r="K536" s="166"/>
      <c r="L536" s="166"/>
      <c r="M536" s="169">
        <v>242</v>
      </c>
      <c r="N536" s="166"/>
      <c r="O536" s="166"/>
      <c r="P536" s="166"/>
      <c r="Q536" s="169">
        <v>0</v>
      </c>
    </row>
    <row r="537" spans="2:17" x14ac:dyDescent="0.25">
      <c r="B537" s="168" t="s">
        <v>2171</v>
      </c>
      <c r="C537" s="168" t="s">
        <v>2172</v>
      </c>
      <c r="D537" s="168" t="s">
        <v>15</v>
      </c>
      <c r="E537" s="169">
        <v>1</v>
      </c>
      <c r="F537" s="169">
        <v>6424</v>
      </c>
      <c r="G537" s="169">
        <v>6424</v>
      </c>
      <c r="H537" s="169">
        <v>0</v>
      </c>
      <c r="I537" s="169">
        <v>0</v>
      </c>
      <c r="J537" s="166"/>
      <c r="K537" s="166"/>
      <c r="L537" s="166"/>
      <c r="M537" s="169">
        <v>6424</v>
      </c>
      <c r="N537" s="166"/>
      <c r="O537" s="166"/>
      <c r="P537" s="166"/>
      <c r="Q537" s="169">
        <v>0</v>
      </c>
    </row>
    <row r="538" spans="2:17" x14ac:dyDescent="0.25">
      <c r="B538" s="174" t="s">
        <v>2173</v>
      </c>
      <c r="C538" s="174" t="s">
        <v>2174</v>
      </c>
      <c r="D538" s="166"/>
      <c r="E538" s="166"/>
      <c r="F538" s="166"/>
      <c r="G538" s="175">
        <v>800</v>
      </c>
      <c r="H538" s="166"/>
      <c r="I538" s="175">
        <v>0</v>
      </c>
      <c r="J538" s="175">
        <v>0</v>
      </c>
      <c r="K538" s="175">
        <v>0</v>
      </c>
      <c r="L538" s="175">
        <v>0</v>
      </c>
      <c r="M538" s="175">
        <v>800</v>
      </c>
      <c r="N538" s="175">
        <v>0</v>
      </c>
      <c r="O538" s="175">
        <v>0</v>
      </c>
      <c r="P538" s="175">
        <v>0</v>
      </c>
      <c r="Q538" s="175">
        <v>0</v>
      </c>
    </row>
    <row r="539" spans="2:17" x14ac:dyDescent="0.25">
      <c r="B539" s="168" t="s">
        <v>2175</v>
      </c>
      <c r="C539" s="168" t="s">
        <v>2176</v>
      </c>
      <c r="D539" s="168" t="s">
        <v>15</v>
      </c>
      <c r="E539" s="169">
        <v>1</v>
      </c>
      <c r="F539" s="169">
        <v>800</v>
      </c>
      <c r="G539" s="169">
        <v>800</v>
      </c>
      <c r="H539" s="169">
        <v>0</v>
      </c>
      <c r="I539" s="169">
        <v>0</v>
      </c>
      <c r="J539" s="166"/>
      <c r="K539" s="166"/>
      <c r="L539" s="166"/>
      <c r="M539" s="169">
        <v>800</v>
      </c>
      <c r="N539" s="166"/>
      <c r="O539" s="166"/>
      <c r="P539" s="166"/>
      <c r="Q539" s="169">
        <v>0</v>
      </c>
    </row>
    <row r="541" spans="2:17" x14ac:dyDescent="0.25">
      <c r="G541" s="161"/>
    </row>
  </sheetData>
  <autoFilter ref="A6:I539" xr:uid="{35700492-8C94-4C61-9352-0B28D036A766}"/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9A8D-B64D-4B16-9285-E3FAC9C6A8BF}">
  <dimension ref="B1:I248"/>
  <sheetViews>
    <sheetView workbookViewId="0">
      <selection activeCell="K15" sqref="K15"/>
    </sheetView>
  </sheetViews>
  <sheetFormatPr defaultColWidth="11.42578125" defaultRowHeight="15" x14ac:dyDescent="0.25"/>
  <cols>
    <col min="3" max="3" width="47.7109375" customWidth="1"/>
    <col min="4" max="4" width="4.140625" bestFit="1" customWidth="1"/>
    <col min="5" max="9" width="11.42578125" style="56"/>
  </cols>
  <sheetData>
    <row r="1" spans="2:9" ht="16.5" x14ac:dyDescent="0.25">
      <c r="B1" s="190" t="s">
        <v>1386</v>
      </c>
      <c r="C1" s="191"/>
      <c r="D1" s="191"/>
      <c r="E1" s="133"/>
      <c r="F1" s="133"/>
      <c r="G1" s="134"/>
      <c r="H1" s="133"/>
      <c r="I1" s="133"/>
    </row>
    <row r="2" spans="2:9" x14ac:dyDescent="0.25">
      <c r="B2" s="120"/>
      <c r="C2" s="121"/>
      <c r="D2" s="121"/>
      <c r="E2" s="133"/>
      <c r="F2" s="133"/>
      <c r="G2" s="134"/>
      <c r="H2" s="133"/>
      <c r="I2" s="133"/>
    </row>
    <row r="3" spans="2:9" x14ac:dyDescent="0.25">
      <c r="B3" s="122" t="s">
        <v>718</v>
      </c>
      <c r="C3" s="123" t="s">
        <v>719</v>
      </c>
      <c r="D3" s="124"/>
      <c r="E3" s="135"/>
      <c r="F3" s="135"/>
      <c r="G3" s="134"/>
      <c r="H3" s="135"/>
      <c r="I3" s="135"/>
    </row>
    <row r="4" spans="2:9" x14ac:dyDescent="0.25">
      <c r="B4" s="122" t="s">
        <v>720</v>
      </c>
      <c r="C4" s="123" t="s">
        <v>721</v>
      </c>
      <c r="D4" s="126"/>
      <c r="E4" s="135"/>
      <c r="F4" s="135"/>
      <c r="G4" s="134"/>
      <c r="H4" s="135"/>
      <c r="I4" s="135"/>
    </row>
    <row r="5" spans="2:9" ht="17.25" thickBot="1" x14ac:dyDescent="0.3">
      <c r="B5" s="127" t="s">
        <v>722</v>
      </c>
      <c r="C5" s="128" t="s">
        <v>723</v>
      </c>
      <c r="D5" s="129"/>
      <c r="E5" s="136"/>
      <c r="F5" s="136"/>
      <c r="G5" s="136"/>
      <c r="H5" s="145" t="s">
        <v>724</v>
      </c>
      <c r="I5" s="146" t="s">
        <v>2177</v>
      </c>
    </row>
    <row r="6" spans="2:9" x14ac:dyDescent="0.25">
      <c r="B6" s="110" t="s">
        <v>2</v>
      </c>
      <c r="C6" s="110" t="s">
        <v>3</v>
      </c>
      <c r="D6" s="110" t="s">
        <v>0</v>
      </c>
      <c r="E6" s="137" t="s">
        <v>4</v>
      </c>
      <c r="F6" s="137" t="s">
        <v>5</v>
      </c>
      <c r="G6" s="137" t="s">
        <v>6</v>
      </c>
      <c r="H6" s="137" t="s">
        <v>7</v>
      </c>
      <c r="I6" s="137" t="s">
        <v>8</v>
      </c>
    </row>
    <row r="7" spans="2:9" x14ac:dyDescent="0.25">
      <c r="B7" s="148" t="s">
        <v>9</v>
      </c>
      <c r="C7" s="148" t="s">
        <v>295</v>
      </c>
      <c r="D7" s="149"/>
      <c r="E7" s="149"/>
      <c r="F7" s="149"/>
      <c r="G7" s="150">
        <v>1479993.54</v>
      </c>
      <c r="H7" s="149"/>
      <c r="I7" s="150">
        <v>17280.82</v>
      </c>
    </row>
    <row r="8" spans="2:9" x14ac:dyDescent="0.25">
      <c r="B8" s="151" t="s">
        <v>11</v>
      </c>
      <c r="C8" s="151" t="s">
        <v>1387</v>
      </c>
      <c r="D8" s="149"/>
      <c r="E8" s="149"/>
      <c r="F8" s="149"/>
      <c r="G8" s="152">
        <v>292924.26</v>
      </c>
      <c r="H8" s="149"/>
      <c r="I8" s="152">
        <v>0</v>
      </c>
    </row>
    <row r="9" spans="2:9" x14ac:dyDescent="0.25">
      <c r="B9" s="153" t="s">
        <v>13</v>
      </c>
      <c r="C9" s="153" t="s">
        <v>1388</v>
      </c>
      <c r="D9" s="153" t="s">
        <v>1389</v>
      </c>
      <c r="E9" s="154">
        <v>42.85</v>
      </c>
      <c r="F9" s="154">
        <v>91.97</v>
      </c>
      <c r="G9" s="154">
        <v>3940.91</v>
      </c>
      <c r="H9" s="149"/>
      <c r="I9" s="149"/>
    </row>
    <row r="10" spans="2:9" x14ac:dyDescent="0.25">
      <c r="B10" s="153" t="s">
        <v>16</v>
      </c>
      <c r="C10" s="153" t="s">
        <v>1390</v>
      </c>
      <c r="D10" s="153" t="s">
        <v>1389</v>
      </c>
      <c r="E10" s="154">
        <v>91.5</v>
      </c>
      <c r="F10" s="154">
        <v>58.9</v>
      </c>
      <c r="G10" s="154">
        <v>5389.35</v>
      </c>
      <c r="H10" s="149"/>
      <c r="I10" s="149"/>
    </row>
    <row r="11" spans="2:9" x14ac:dyDescent="0.25">
      <c r="B11" s="153" t="s">
        <v>18</v>
      </c>
      <c r="C11" s="153" t="s">
        <v>1391</v>
      </c>
      <c r="D11" s="153" t="s">
        <v>1389</v>
      </c>
      <c r="E11" s="154">
        <v>95.25</v>
      </c>
      <c r="F11" s="154">
        <v>58.9</v>
      </c>
      <c r="G11" s="154">
        <v>5610.23</v>
      </c>
      <c r="H11" s="149"/>
      <c r="I11" s="149"/>
    </row>
    <row r="12" spans="2:9" x14ac:dyDescent="0.25">
      <c r="B12" s="153" t="s">
        <v>21</v>
      </c>
      <c r="C12" s="153" t="s">
        <v>1392</v>
      </c>
      <c r="D12" s="153" t="s">
        <v>1389</v>
      </c>
      <c r="E12" s="154">
        <v>97.6</v>
      </c>
      <c r="F12" s="154">
        <v>17.989999999999998</v>
      </c>
      <c r="G12" s="154">
        <v>1755.82</v>
      </c>
      <c r="H12" s="149"/>
      <c r="I12" s="149"/>
    </row>
    <row r="13" spans="2:9" x14ac:dyDescent="0.25">
      <c r="B13" s="153" t="s">
        <v>23</v>
      </c>
      <c r="C13" s="153" t="s">
        <v>1393</v>
      </c>
      <c r="D13" s="153" t="s">
        <v>1389</v>
      </c>
      <c r="E13" s="154">
        <v>16.5</v>
      </c>
      <c r="F13" s="154">
        <v>17.989999999999998</v>
      </c>
      <c r="G13" s="154">
        <v>296.83999999999997</v>
      </c>
      <c r="H13" s="149"/>
      <c r="I13" s="149"/>
    </row>
    <row r="14" spans="2:9" x14ac:dyDescent="0.25">
      <c r="B14" s="153" t="s">
        <v>355</v>
      </c>
      <c r="C14" s="153" t="s">
        <v>1394</v>
      </c>
      <c r="D14" s="153" t="s">
        <v>1389</v>
      </c>
      <c r="E14" s="154">
        <v>39.5</v>
      </c>
      <c r="F14" s="154">
        <v>17.989999999999998</v>
      </c>
      <c r="G14" s="154">
        <v>710.61</v>
      </c>
      <c r="H14" s="149"/>
      <c r="I14" s="149"/>
    </row>
    <row r="15" spans="2:9" x14ac:dyDescent="0.25">
      <c r="B15" s="153" t="s">
        <v>356</v>
      </c>
      <c r="C15" s="153" t="s">
        <v>1395</v>
      </c>
      <c r="D15" s="153" t="s">
        <v>1389</v>
      </c>
      <c r="E15" s="154">
        <v>32.6</v>
      </c>
      <c r="F15" s="154">
        <v>17.989999999999998</v>
      </c>
      <c r="G15" s="154">
        <v>586.47</v>
      </c>
      <c r="H15" s="149"/>
      <c r="I15" s="149"/>
    </row>
    <row r="16" spans="2:9" x14ac:dyDescent="0.25">
      <c r="B16" s="153" t="s">
        <v>357</v>
      </c>
      <c r="C16" s="153" t="s">
        <v>1396</v>
      </c>
      <c r="D16" s="153" t="s">
        <v>1389</v>
      </c>
      <c r="E16" s="154">
        <v>29.2</v>
      </c>
      <c r="F16" s="154">
        <v>17.989999999999998</v>
      </c>
      <c r="G16" s="154">
        <v>525.30999999999995</v>
      </c>
      <c r="H16" s="149"/>
      <c r="I16" s="149"/>
    </row>
    <row r="17" spans="2:9" x14ac:dyDescent="0.25">
      <c r="B17" s="153" t="s">
        <v>358</v>
      </c>
      <c r="C17" s="153" t="s">
        <v>1397</v>
      </c>
      <c r="D17" s="153" t="s">
        <v>1389</v>
      </c>
      <c r="E17" s="154">
        <v>25.85</v>
      </c>
      <c r="F17" s="154">
        <v>17.989999999999998</v>
      </c>
      <c r="G17" s="154">
        <v>465.04</v>
      </c>
      <c r="H17" s="149"/>
      <c r="I17" s="149"/>
    </row>
    <row r="18" spans="2:9" x14ac:dyDescent="0.25">
      <c r="B18" s="153" t="s">
        <v>359</v>
      </c>
      <c r="C18" s="153" t="s">
        <v>1398</v>
      </c>
      <c r="D18" s="153" t="s">
        <v>1389</v>
      </c>
      <c r="E18" s="154">
        <v>17.45</v>
      </c>
      <c r="F18" s="154">
        <v>17.989999999999998</v>
      </c>
      <c r="G18" s="154">
        <v>313.93</v>
      </c>
      <c r="H18" s="149"/>
      <c r="I18" s="149"/>
    </row>
    <row r="19" spans="2:9" x14ac:dyDescent="0.25">
      <c r="B19" s="153" t="s">
        <v>360</v>
      </c>
      <c r="C19" s="153" t="s">
        <v>1399</v>
      </c>
      <c r="D19" s="153" t="s">
        <v>1389</v>
      </c>
      <c r="E19" s="154">
        <v>109.7</v>
      </c>
      <c r="F19" s="154">
        <v>36.29</v>
      </c>
      <c r="G19" s="154">
        <v>3981.01</v>
      </c>
      <c r="H19" s="149"/>
      <c r="I19" s="149"/>
    </row>
    <row r="20" spans="2:9" x14ac:dyDescent="0.25">
      <c r="B20" s="153" t="s">
        <v>361</v>
      </c>
      <c r="C20" s="153" t="s">
        <v>1400</v>
      </c>
      <c r="D20" s="153" t="s">
        <v>1389</v>
      </c>
      <c r="E20" s="154">
        <v>103.8</v>
      </c>
      <c r="F20" s="154">
        <v>17.989999999999998</v>
      </c>
      <c r="G20" s="154">
        <v>1867.36</v>
      </c>
      <c r="H20" s="149"/>
      <c r="I20" s="149"/>
    </row>
    <row r="21" spans="2:9" x14ac:dyDescent="0.25">
      <c r="B21" s="153" t="s">
        <v>363</v>
      </c>
      <c r="C21" s="153" t="s">
        <v>1401</v>
      </c>
      <c r="D21" s="153" t="s">
        <v>1389</v>
      </c>
      <c r="E21" s="154">
        <v>98.5</v>
      </c>
      <c r="F21" s="154">
        <v>17.989999999999998</v>
      </c>
      <c r="G21" s="154">
        <v>1772.02</v>
      </c>
      <c r="H21" s="149"/>
      <c r="I21" s="149"/>
    </row>
    <row r="22" spans="2:9" x14ac:dyDescent="0.25">
      <c r="B22" s="153" t="s">
        <v>364</v>
      </c>
      <c r="C22" s="153" t="s">
        <v>1402</v>
      </c>
      <c r="D22" s="153" t="s">
        <v>1389</v>
      </c>
      <c r="E22" s="154">
        <v>97</v>
      </c>
      <c r="F22" s="154">
        <v>17.989999999999998</v>
      </c>
      <c r="G22" s="154">
        <v>1745.03</v>
      </c>
      <c r="H22" s="149"/>
      <c r="I22" s="149"/>
    </row>
    <row r="23" spans="2:9" x14ac:dyDescent="0.25">
      <c r="B23" s="153" t="s">
        <v>1403</v>
      </c>
      <c r="C23" s="153" t="s">
        <v>1404</v>
      </c>
      <c r="D23" s="153" t="s">
        <v>1389</v>
      </c>
      <c r="E23" s="154">
        <v>97.6</v>
      </c>
      <c r="F23" s="154">
        <v>17.989999999999998</v>
      </c>
      <c r="G23" s="154">
        <v>1755.82</v>
      </c>
      <c r="H23" s="149"/>
      <c r="I23" s="149"/>
    </row>
    <row r="24" spans="2:9" x14ac:dyDescent="0.25">
      <c r="B24" s="153" t="s">
        <v>1405</v>
      </c>
      <c r="C24" s="153" t="s">
        <v>1406</v>
      </c>
      <c r="D24" s="153" t="s">
        <v>1389</v>
      </c>
      <c r="E24" s="154">
        <v>105.35</v>
      </c>
      <c r="F24" s="154">
        <v>51.9</v>
      </c>
      <c r="G24" s="154">
        <v>5467.67</v>
      </c>
      <c r="H24" s="149"/>
      <c r="I24" s="149"/>
    </row>
    <row r="25" spans="2:9" x14ac:dyDescent="0.25">
      <c r="B25" s="153" t="s">
        <v>1407</v>
      </c>
      <c r="C25" s="153" t="s">
        <v>1408</v>
      </c>
      <c r="D25" s="153" t="s">
        <v>1389</v>
      </c>
      <c r="E25" s="154">
        <v>9.5</v>
      </c>
      <c r="F25" s="154">
        <v>120.95</v>
      </c>
      <c r="G25" s="154">
        <v>1149.03</v>
      </c>
      <c r="H25" s="149"/>
      <c r="I25" s="149"/>
    </row>
    <row r="26" spans="2:9" x14ac:dyDescent="0.25">
      <c r="B26" s="153" t="s">
        <v>1409</v>
      </c>
      <c r="C26" s="153" t="s">
        <v>1410</v>
      </c>
      <c r="D26" s="153" t="s">
        <v>1389</v>
      </c>
      <c r="E26" s="154">
        <v>52.6</v>
      </c>
      <c r="F26" s="154">
        <v>82.5</v>
      </c>
      <c r="G26" s="154">
        <v>4339.5</v>
      </c>
      <c r="H26" s="149"/>
      <c r="I26" s="149"/>
    </row>
    <row r="27" spans="2:9" x14ac:dyDescent="0.25">
      <c r="B27" s="153" t="s">
        <v>1411</v>
      </c>
      <c r="C27" s="153" t="s">
        <v>1412</v>
      </c>
      <c r="D27" s="153" t="s">
        <v>1389</v>
      </c>
      <c r="E27" s="154">
        <v>99.5</v>
      </c>
      <c r="F27" s="154">
        <v>40.26</v>
      </c>
      <c r="G27" s="154">
        <v>4005.87</v>
      </c>
      <c r="H27" s="149"/>
      <c r="I27" s="149"/>
    </row>
    <row r="28" spans="2:9" x14ac:dyDescent="0.25">
      <c r="B28" s="153" t="s">
        <v>1413</v>
      </c>
      <c r="C28" s="153" t="s">
        <v>1414</v>
      </c>
      <c r="D28" s="153" t="s">
        <v>1389</v>
      </c>
      <c r="E28" s="154">
        <v>8.6</v>
      </c>
      <c r="F28" s="154">
        <v>17.989999999999998</v>
      </c>
      <c r="G28" s="154">
        <v>154.71</v>
      </c>
      <c r="H28" s="149"/>
      <c r="I28" s="149"/>
    </row>
    <row r="29" spans="2:9" x14ac:dyDescent="0.25">
      <c r="B29" s="153" t="s">
        <v>1415</v>
      </c>
      <c r="C29" s="153" t="s">
        <v>1416</v>
      </c>
      <c r="D29" s="153" t="s">
        <v>1389</v>
      </c>
      <c r="E29" s="154">
        <v>13.6</v>
      </c>
      <c r="F29" s="154">
        <v>17.989999999999998</v>
      </c>
      <c r="G29" s="154">
        <v>244.66</v>
      </c>
      <c r="H29" s="149"/>
      <c r="I29" s="149"/>
    </row>
    <row r="30" spans="2:9" x14ac:dyDescent="0.25">
      <c r="B30" s="153" t="s">
        <v>1417</v>
      </c>
      <c r="C30" s="153" t="s">
        <v>1418</v>
      </c>
      <c r="D30" s="153" t="s">
        <v>1389</v>
      </c>
      <c r="E30" s="154">
        <v>8.1999999999999993</v>
      </c>
      <c r="F30" s="154">
        <v>17.989999999999998</v>
      </c>
      <c r="G30" s="154">
        <v>147.52000000000001</v>
      </c>
      <c r="H30" s="149"/>
      <c r="I30" s="149"/>
    </row>
    <row r="31" spans="2:9" x14ac:dyDescent="0.25">
      <c r="B31" s="153" t="s">
        <v>1419</v>
      </c>
      <c r="C31" s="153" t="s">
        <v>1420</v>
      </c>
      <c r="D31" s="153" t="s">
        <v>1389</v>
      </c>
      <c r="E31" s="154">
        <v>11.6</v>
      </c>
      <c r="F31" s="154">
        <v>17.989999999999998</v>
      </c>
      <c r="G31" s="154">
        <v>208.68</v>
      </c>
      <c r="H31" s="149"/>
      <c r="I31" s="149"/>
    </row>
    <row r="32" spans="2:9" x14ac:dyDescent="0.25">
      <c r="B32" s="153" t="s">
        <v>1421</v>
      </c>
      <c r="C32" s="153" t="s">
        <v>1422</v>
      </c>
      <c r="D32" s="153" t="s">
        <v>1389</v>
      </c>
      <c r="E32" s="154">
        <v>13.4</v>
      </c>
      <c r="F32" s="154">
        <v>17.989999999999998</v>
      </c>
      <c r="G32" s="154">
        <v>241.07</v>
      </c>
      <c r="H32" s="149"/>
      <c r="I32" s="149"/>
    </row>
    <row r="33" spans="2:9" x14ac:dyDescent="0.25">
      <c r="B33" s="153" t="s">
        <v>1423</v>
      </c>
      <c r="C33" s="153" t="s">
        <v>1424</v>
      </c>
      <c r="D33" s="153" t="s">
        <v>1389</v>
      </c>
      <c r="E33" s="154">
        <v>47.85</v>
      </c>
      <c r="F33" s="154">
        <v>475</v>
      </c>
      <c r="G33" s="154">
        <v>22728.75</v>
      </c>
      <c r="H33" s="149"/>
      <c r="I33" s="149"/>
    </row>
    <row r="34" spans="2:9" x14ac:dyDescent="0.25">
      <c r="B34" s="153" t="s">
        <v>1425</v>
      </c>
      <c r="C34" s="153" t="s">
        <v>1426</v>
      </c>
      <c r="D34" s="153" t="s">
        <v>1389</v>
      </c>
      <c r="E34" s="154">
        <v>8.6</v>
      </c>
      <c r="F34" s="154">
        <v>475</v>
      </c>
      <c r="G34" s="154">
        <v>4085</v>
      </c>
      <c r="H34" s="149"/>
      <c r="I34" s="149"/>
    </row>
    <row r="35" spans="2:9" x14ac:dyDescent="0.25">
      <c r="B35" s="153" t="s">
        <v>1427</v>
      </c>
      <c r="C35" s="153" t="s">
        <v>1428</v>
      </c>
      <c r="D35" s="153" t="s">
        <v>1389</v>
      </c>
      <c r="E35" s="154">
        <v>7.85</v>
      </c>
      <c r="F35" s="154">
        <v>17.989999999999998</v>
      </c>
      <c r="G35" s="154">
        <v>141.22</v>
      </c>
      <c r="H35" s="149"/>
      <c r="I35" s="149"/>
    </row>
    <row r="36" spans="2:9" x14ac:dyDescent="0.25">
      <c r="B36" s="153" t="s">
        <v>1429</v>
      </c>
      <c r="C36" s="153" t="s">
        <v>1430</v>
      </c>
      <c r="D36" s="153" t="s">
        <v>1389</v>
      </c>
      <c r="E36" s="154">
        <v>108.65</v>
      </c>
      <c r="F36" s="154">
        <v>165.05</v>
      </c>
      <c r="G36" s="154">
        <v>17932.68</v>
      </c>
      <c r="H36" s="149"/>
      <c r="I36" s="149"/>
    </row>
    <row r="37" spans="2:9" x14ac:dyDescent="0.25">
      <c r="B37" s="153" t="s">
        <v>1431</v>
      </c>
      <c r="C37" s="153" t="s">
        <v>1432</v>
      </c>
      <c r="D37" s="153" t="s">
        <v>1389</v>
      </c>
      <c r="E37" s="154">
        <v>1806.2</v>
      </c>
      <c r="F37" s="154">
        <v>16.399999999999999</v>
      </c>
      <c r="G37" s="154">
        <v>29621.68</v>
      </c>
      <c r="H37" s="149"/>
      <c r="I37" s="149"/>
    </row>
    <row r="38" spans="2:9" x14ac:dyDescent="0.25">
      <c r="B38" s="153" t="s">
        <v>1433</v>
      </c>
      <c r="C38" s="153" t="s">
        <v>1434</v>
      </c>
      <c r="D38" s="153" t="s">
        <v>1389</v>
      </c>
      <c r="E38" s="154">
        <v>4185.1000000000004</v>
      </c>
      <c r="F38" s="154">
        <v>23.72</v>
      </c>
      <c r="G38" s="154">
        <v>99270.57</v>
      </c>
      <c r="H38" s="149"/>
      <c r="I38" s="149"/>
    </row>
    <row r="39" spans="2:9" x14ac:dyDescent="0.25">
      <c r="B39" s="153" t="s">
        <v>1435</v>
      </c>
      <c r="C39" s="153" t="s">
        <v>1436</v>
      </c>
      <c r="D39" s="153" t="s">
        <v>1389</v>
      </c>
      <c r="E39" s="154">
        <v>295.2</v>
      </c>
      <c r="F39" s="154">
        <v>31.47</v>
      </c>
      <c r="G39" s="154">
        <v>9289.94</v>
      </c>
      <c r="H39" s="149"/>
      <c r="I39" s="149"/>
    </row>
    <row r="40" spans="2:9" x14ac:dyDescent="0.25">
      <c r="B40" s="153" t="s">
        <v>1437</v>
      </c>
      <c r="C40" s="153" t="s">
        <v>1438</v>
      </c>
      <c r="D40" s="153" t="s">
        <v>1389</v>
      </c>
      <c r="E40" s="154">
        <v>1085.2</v>
      </c>
      <c r="F40" s="154">
        <v>49.57</v>
      </c>
      <c r="G40" s="154">
        <v>53793.36</v>
      </c>
      <c r="H40" s="149"/>
      <c r="I40" s="149"/>
    </row>
    <row r="41" spans="2:9" x14ac:dyDescent="0.25">
      <c r="B41" s="153" t="s">
        <v>1439</v>
      </c>
      <c r="C41" s="153" t="s">
        <v>1440</v>
      </c>
      <c r="D41" s="153" t="s">
        <v>1389</v>
      </c>
      <c r="E41" s="154">
        <v>365</v>
      </c>
      <c r="F41" s="154">
        <v>10.44</v>
      </c>
      <c r="G41" s="154">
        <v>3810.6</v>
      </c>
      <c r="H41" s="149"/>
      <c r="I41" s="149"/>
    </row>
    <row r="42" spans="2:9" x14ac:dyDescent="0.25">
      <c r="B42" s="153" t="s">
        <v>1441</v>
      </c>
      <c r="C42" s="153" t="s">
        <v>1442</v>
      </c>
      <c r="D42" s="153" t="s">
        <v>1389</v>
      </c>
      <c r="E42" s="154">
        <v>425</v>
      </c>
      <c r="F42" s="154">
        <v>13.12</v>
      </c>
      <c r="G42" s="154">
        <v>5576</v>
      </c>
      <c r="H42" s="149"/>
      <c r="I42" s="149"/>
    </row>
    <row r="43" spans="2:9" x14ac:dyDescent="0.25">
      <c r="B43" s="151" t="s">
        <v>25</v>
      </c>
      <c r="C43" s="151" t="s">
        <v>1443</v>
      </c>
      <c r="D43" s="149"/>
      <c r="E43" s="149"/>
      <c r="F43" s="149"/>
      <c r="G43" s="152">
        <v>91127.84</v>
      </c>
      <c r="H43" s="149"/>
      <c r="I43" s="152">
        <v>0</v>
      </c>
    </row>
    <row r="44" spans="2:9" x14ac:dyDescent="0.25">
      <c r="B44" s="153" t="s">
        <v>27</v>
      </c>
      <c r="C44" s="153" t="s">
        <v>1444</v>
      </c>
      <c r="D44" s="153" t="s">
        <v>1389</v>
      </c>
      <c r="E44" s="154">
        <v>1658</v>
      </c>
      <c r="F44" s="154">
        <v>9.24</v>
      </c>
      <c r="G44" s="154">
        <v>15319.92</v>
      </c>
      <c r="H44" s="149"/>
      <c r="I44" s="149"/>
    </row>
    <row r="45" spans="2:9" x14ac:dyDescent="0.25">
      <c r="B45" s="153" t="s">
        <v>30</v>
      </c>
      <c r="C45" s="153" t="s">
        <v>1445</v>
      </c>
      <c r="D45" s="153" t="s">
        <v>1389</v>
      </c>
      <c r="E45" s="154">
        <v>2850</v>
      </c>
      <c r="F45" s="154">
        <v>12.03</v>
      </c>
      <c r="G45" s="154">
        <v>34285.5</v>
      </c>
      <c r="H45" s="149"/>
      <c r="I45" s="149"/>
    </row>
    <row r="46" spans="2:9" x14ac:dyDescent="0.25">
      <c r="B46" s="153" t="s">
        <v>31</v>
      </c>
      <c r="C46" s="153" t="s">
        <v>1446</v>
      </c>
      <c r="D46" s="153" t="s">
        <v>1389</v>
      </c>
      <c r="E46" s="154">
        <v>985</v>
      </c>
      <c r="F46" s="154">
        <v>14.41</v>
      </c>
      <c r="G46" s="154">
        <v>14193.85</v>
      </c>
      <c r="H46" s="149"/>
      <c r="I46" s="149"/>
    </row>
    <row r="47" spans="2:9" x14ac:dyDescent="0.25">
      <c r="B47" s="153" t="s">
        <v>33</v>
      </c>
      <c r="C47" s="153" t="s">
        <v>1447</v>
      </c>
      <c r="D47" s="153" t="s">
        <v>1389</v>
      </c>
      <c r="E47" s="154">
        <v>465</v>
      </c>
      <c r="F47" s="154">
        <v>19.09</v>
      </c>
      <c r="G47" s="154">
        <v>8876.85</v>
      </c>
      <c r="H47" s="149"/>
      <c r="I47" s="149"/>
    </row>
    <row r="48" spans="2:9" x14ac:dyDescent="0.25">
      <c r="B48" s="153" t="s">
        <v>35</v>
      </c>
      <c r="C48" s="153" t="s">
        <v>1448</v>
      </c>
      <c r="D48" s="153" t="s">
        <v>1389</v>
      </c>
      <c r="E48" s="154">
        <v>12</v>
      </c>
      <c r="F48" s="154">
        <v>29.33</v>
      </c>
      <c r="G48" s="154">
        <v>351.96</v>
      </c>
      <c r="H48" s="149"/>
      <c r="I48" s="149"/>
    </row>
    <row r="49" spans="2:9" x14ac:dyDescent="0.25">
      <c r="B49" s="153" t="s">
        <v>316</v>
      </c>
      <c r="C49" s="153" t="s">
        <v>1449</v>
      </c>
      <c r="D49" s="153" t="s">
        <v>1389</v>
      </c>
      <c r="E49" s="154">
        <v>32</v>
      </c>
      <c r="F49" s="154">
        <v>45.94</v>
      </c>
      <c r="G49" s="154">
        <v>1470.08</v>
      </c>
      <c r="H49" s="149"/>
      <c r="I49" s="149"/>
    </row>
    <row r="50" spans="2:9" x14ac:dyDescent="0.25">
      <c r="B50" s="153" t="s">
        <v>36</v>
      </c>
      <c r="C50" s="153" t="s">
        <v>1450</v>
      </c>
      <c r="D50" s="153" t="s">
        <v>1389</v>
      </c>
      <c r="E50" s="154">
        <v>126</v>
      </c>
      <c r="F50" s="154">
        <v>13.12</v>
      </c>
      <c r="G50" s="154">
        <v>1653.12</v>
      </c>
      <c r="H50" s="149"/>
      <c r="I50" s="149"/>
    </row>
    <row r="51" spans="2:9" x14ac:dyDescent="0.25">
      <c r="B51" s="153" t="s">
        <v>38</v>
      </c>
      <c r="C51" s="153" t="s">
        <v>1451</v>
      </c>
      <c r="D51" s="153" t="s">
        <v>1389</v>
      </c>
      <c r="E51" s="154">
        <v>185</v>
      </c>
      <c r="F51" s="154">
        <v>16.7</v>
      </c>
      <c r="G51" s="154">
        <v>3089.5</v>
      </c>
      <c r="H51" s="149"/>
      <c r="I51" s="149"/>
    </row>
    <row r="52" spans="2:9" x14ac:dyDescent="0.25">
      <c r="B52" s="153" t="s">
        <v>40</v>
      </c>
      <c r="C52" s="153" t="s">
        <v>1452</v>
      </c>
      <c r="D52" s="153" t="s">
        <v>1389</v>
      </c>
      <c r="E52" s="154">
        <v>65</v>
      </c>
      <c r="F52" s="154">
        <v>24.36</v>
      </c>
      <c r="G52" s="154">
        <v>1583.4</v>
      </c>
      <c r="H52" s="149"/>
      <c r="I52" s="149"/>
    </row>
    <row r="53" spans="2:9" x14ac:dyDescent="0.25">
      <c r="B53" s="153" t="s">
        <v>42</v>
      </c>
      <c r="C53" s="153" t="s">
        <v>1453</v>
      </c>
      <c r="D53" s="153" t="s">
        <v>1389</v>
      </c>
      <c r="E53" s="154">
        <v>82</v>
      </c>
      <c r="F53" s="154">
        <v>32.31</v>
      </c>
      <c r="G53" s="154">
        <v>2649.42</v>
      </c>
      <c r="H53" s="149"/>
      <c r="I53" s="149"/>
    </row>
    <row r="54" spans="2:9" x14ac:dyDescent="0.25">
      <c r="B54" s="153" t="s">
        <v>44</v>
      </c>
      <c r="C54" s="153" t="s">
        <v>1454</v>
      </c>
      <c r="D54" s="153" t="s">
        <v>1389</v>
      </c>
      <c r="E54" s="154">
        <v>29</v>
      </c>
      <c r="F54" s="154">
        <v>62.84</v>
      </c>
      <c r="G54" s="154">
        <v>1822.36</v>
      </c>
      <c r="H54" s="149"/>
      <c r="I54" s="149"/>
    </row>
    <row r="55" spans="2:9" x14ac:dyDescent="0.25">
      <c r="B55" s="153" t="s">
        <v>46</v>
      </c>
      <c r="C55" s="153" t="s">
        <v>1455</v>
      </c>
      <c r="D55" s="153" t="s">
        <v>1389</v>
      </c>
      <c r="E55" s="154">
        <v>69</v>
      </c>
      <c r="F55" s="154">
        <v>84.52</v>
      </c>
      <c r="G55" s="154">
        <v>5831.88</v>
      </c>
      <c r="H55" s="149"/>
      <c r="I55" s="149"/>
    </row>
    <row r="56" spans="2:9" x14ac:dyDescent="0.25">
      <c r="B56" s="151" t="s">
        <v>55</v>
      </c>
      <c r="C56" s="151" t="s">
        <v>1456</v>
      </c>
      <c r="D56" s="149"/>
      <c r="E56" s="149"/>
      <c r="F56" s="149"/>
      <c r="G56" s="152">
        <v>6345.23</v>
      </c>
      <c r="H56" s="149"/>
      <c r="I56" s="152">
        <v>0</v>
      </c>
    </row>
    <row r="57" spans="2:9" x14ac:dyDescent="0.25">
      <c r="B57" s="153" t="s">
        <v>57</v>
      </c>
      <c r="C57" s="153" t="s">
        <v>1457</v>
      </c>
      <c r="D57" s="153" t="s">
        <v>1458</v>
      </c>
      <c r="E57" s="154">
        <v>91</v>
      </c>
      <c r="F57" s="154">
        <v>28.33</v>
      </c>
      <c r="G57" s="154">
        <v>2578.0300000000002</v>
      </c>
      <c r="H57" s="149"/>
      <c r="I57" s="149"/>
    </row>
    <row r="58" spans="2:9" x14ac:dyDescent="0.25">
      <c r="B58" s="153" t="s">
        <v>60</v>
      </c>
      <c r="C58" s="153" t="s">
        <v>1459</v>
      </c>
      <c r="D58" s="153" t="s">
        <v>1458</v>
      </c>
      <c r="E58" s="154">
        <v>18</v>
      </c>
      <c r="F58" s="154">
        <v>41.26</v>
      </c>
      <c r="G58" s="154">
        <v>742.68</v>
      </c>
      <c r="H58" s="149"/>
      <c r="I58" s="149"/>
    </row>
    <row r="59" spans="2:9" x14ac:dyDescent="0.25">
      <c r="B59" s="153" t="s">
        <v>326</v>
      </c>
      <c r="C59" s="153" t="s">
        <v>1460</v>
      </c>
      <c r="D59" s="153" t="s">
        <v>1458</v>
      </c>
      <c r="E59" s="154">
        <v>21</v>
      </c>
      <c r="F59" s="154">
        <v>51.7</v>
      </c>
      <c r="G59" s="154">
        <v>1085.7</v>
      </c>
      <c r="H59" s="149"/>
      <c r="I59" s="149"/>
    </row>
    <row r="60" spans="2:9" x14ac:dyDescent="0.25">
      <c r="B60" s="153" t="s">
        <v>382</v>
      </c>
      <c r="C60" s="153" t="s">
        <v>1461</v>
      </c>
      <c r="D60" s="153" t="s">
        <v>1458</v>
      </c>
      <c r="E60" s="154">
        <v>26</v>
      </c>
      <c r="F60" s="154">
        <v>74.569999999999993</v>
      </c>
      <c r="G60" s="154">
        <v>1938.82</v>
      </c>
      <c r="H60" s="149"/>
      <c r="I60" s="149"/>
    </row>
    <row r="61" spans="2:9" x14ac:dyDescent="0.25">
      <c r="B61" s="151" t="s">
        <v>62</v>
      </c>
      <c r="C61" s="151" t="s">
        <v>1462</v>
      </c>
      <c r="D61" s="149"/>
      <c r="E61" s="149"/>
      <c r="F61" s="149"/>
      <c r="G61" s="152">
        <v>181760.19</v>
      </c>
      <c r="H61" s="149"/>
      <c r="I61" s="152">
        <v>0</v>
      </c>
    </row>
    <row r="62" spans="2:9" x14ac:dyDescent="0.25">
      <c r="B62" s="153" t="s">
        <v>64</v>
      </c>
      <c r="C62" s="153" t="s">
        <v>1463</v>
      </c>
      <c r="D62" s="153" t="s">
        <v>1458</v>
      </c>
      <c r="E62" s="154">
        <v>1</v>
      </c>
      <c r="F62" s="154">
        <v>20736.080000000002</v>
      </c>
      <c r="G62" s="154">
        <v>20736.080000000002</v>
      </c>
      <c r="H62" s="149"/>
      <c r="I62" s="149"/>
    </row>
    <row r="63" spans="2:9" x14ac:dyDescent="0.25">
      <c r="B63" s="153" t="s">
        <v>66</v>
      </c>
      <c r="C63" s="153" t="s">
        <v>1464</v>
      </c>
      <c r="D63" s="153" t="s">
        <v>1458</v>
      </c>
      <c r="E63" s="154">
        <v>1</v>
      </c>
      <c r="F63" s="154">
        <v>9594.51</v>
      </c>
      <c r="G63" s="154">
        <v>9594.51</v>
      </c>
      <c r="H63" s="149"/>
      <c r="I63" s="149"/>
    </row>
    <row r="64" spans="2:9" x14ac:dyDescent="0.25">
      <c r="B64" s="153" t="s">
        <v>68</v>
      </c>
      <c r="C64" s="153" t="s">
        <v>1465</v>
      </c>
      <c r="D64" s="153" t="s">
        <v>1458</v>
      </c>
      <c r="E64" s="154">
        <v>1</v>
      </c>
      <c r="F64" s="154">
        <v>1675.32</v>
      </c>
      <c r="G64" s="154">
        <v>1675.32</v>
      </c>
      <c r="H64" s="149"/>
      <c r="I64" s="149"/>
    </row>
    <row r="65" spans="2:9" x14ac:dyDescent="0.25">
      <c r="B65" s="153" t="s">
        <v>70</v>
      </c>
      <c r="C65" s="153" t="s">
        <v>1466</v>
      </c>
      <c r="D65" s="153" t="s">
        <v>1458</v>
      </c>
      <c r="E65" s="154">
        <v>1</v>
      </c>
      <c r="F65" s="154">
        <v>1675.32</v>
      </c>
      <c r="G65" s="154">
        <v>1675.32</v>
      </c>
      <c r="H65" s="149"/>
      <c r="I65" s="149"/>
    </row>
    <row r="66" spans="2:9" x14ac:dyDescent="0.25">
      <c r="B66" s="153" t="s">
        <v>71</v>
      </c>
      <c r="C66" s="153" t="s">
        <v>1467</v>
      </c>
      <c r="D66" s="153" t="s">
        <v>1458</v>
      </c>
      <c r="E66" s="154">
        <v>1</v>
      </c>
      <c r="F66" s="154">
        <v>1675.32</v>
      </c>
      <c r="G66" s="154">
        <v>1675.32</v>
      </c>
      <c r="H66" s="149"/>
      <c r="I66" s="149"/>
    </row>
    <row r="67" spans="2:9" x14ac:dyDescent="0.25">
      <c r="B67" s="153" t="s">
        <v>330</v>
      </c>
      <c r="C67" s="153" t="s">
        <v>1468</v>
      </c>
      <c r="D67" s="153" t="s">
        <v>1458</v>
      </c>
      <c r="E67" s="154">
        <v>1</v>
      </c>
      <c r="F67" s="154">
        <v>1642.5</v>
      </c>
      <c r="G67" s="154">
        <v>1642.5</v>
      </c>
      <c r="H67" s="149"/>
      <c r="I67" s="149"/>
    </row>
    <row r="68" spans="2:9" x14ac:dyDescent="0.25">
      <c r="B68" s="153" t="s">
        <v>331</v>
      </c>
      <c r="C68" s="153" t="s">
        <v>1469</v>
      </c>
      <c r="D68" s="153" t="s">
        <v>1458</v>
      </c>
      <c r="E68" s="154">
        <v>1</v>
      </c>
      <c r="F68" s="154">
        <v>1642.5</v>
      </c>
      <c r="G68" s="154">
        <v>1642.5</v>
      </c>
      <c r="H68" s="149"/>
      <c r="I68" s="149"/>
    </row>
    <row r="69" spans="2:9" x14ac:dyDescent="0.25">
      <c r="B69" s="153" t="s">
        <v>332</v>
      </c>
      <c r="C69" s="153" t="s">
        <v>1470</v>
      </c>
      <c r="D69" s="153" t="s">
        <v>1458</v>
      </c>
      <c r="E69" s="154">
        <v>1</v>
      </c>
      <c r="F69" s="154">
        <v>2634.76</v>
      </c>
      <c r="G69" s="154">
        <v>2634.76</v>
      </c>
      <c r="H69" s="149"/>
      <c r="I69" s="149"/>
    </row>
    <row r="70" spans="2:9" x14ac:dyDescent="0.25">
      <c r="B70" s="153" t="s">
        <v>333</v>
      </c>
      <c r="C70" s="153" t="s">
        <v>1471</v>
      </c>
      <c r="D70" s="153" t="s">
        <v>1458</v>
      </c>
      <c r="E70" s="154">
        <v>1</v>
      </c>
      <c r="F70" s="154">
        <v>4335.93</v>
      </c>
      <c r="G70" s="154">
        <v>4335.93</v>
      </c>
      <c r="H70" s="149"/>
      <c r="I70" s="149"/>
    </row>
    <row r="71" spans="2:9" x14ac:dyDescent="0.25">
      <c r="B71" s="153" t="s">
        <v>334</v>
      </c>
      <c r="C71" s="153" t="s">
        <v>1472</v>
      </c>
      <c r="D71" s="153" t="s">
        <v>1458</v>
      </c>
      <c r="E71" s="154">
        <v>1</v>
      </c>
      <c r="F71" s="154">
        <v>2848.53</v>
      </c>
      <c r="G71" s="154">
        <v>2848.53</v>
      </c>
      <c r="H71" s="149"/>
      <c r="I71" s="149"/>
    </row>
    <row r="72" spans="2:9" x14ac:dyDescent="0.25">
      <c r="B72" s="153" t="s">
        <v>335</v>
      </c>
      <c r="C72" s="153" t="s">
        <v>1473</v>
      </c>
      <c r="D72" s="153" t="s">
        <v>1458</v>
      </c>
      <c r="E72" s="154">
        <v>87</v>
      </c>
      <c r="F72" s="154">
        <v>1143.3900000000001</v>
      </c>
      <c r="G72" s="154">
        <v>99474.93</v>
      </c>
      <c r="H72" s="149"/>
      <c r="I72" s="149"/>
    </row>
    <row r="73" spans="2:9" x14ac:dyDescent="0.25">
      <c r="B73" s="153" t="s">
        <v>336</v>
      </c>
      <c r="C73" s="153" t="s">
        <v>1474</v>
      </c>
      <c r="D73" s="153" t="s">
        <v>1458</v>
      </c>
      <c r="E73" s="154">
        <v>21</v>
      </c>
      <c r="F73" s="154">
        <v>1610.69</v>
      </c>
      <c r="G73" s="154">
        <v>33824.49</v>
      </c>
      <c r="H73" s="149"/>
      <c r="I73" s="149"/>
    </row>
    <row r="74" spans="2:9" x14ac:dyDescent="0.25">
      <c r="B74" s="151" t="s">
        <v>73</v>
      </c>
      <c r="C74" s="151" t="s">
        <v>1475</v>
      </c>
      <c r="D74" s="149"/>
      <c r="E74" s="149"/>
      <c r="F74" s="149"/>
      <c r="G74" s="152">
        <v>145954</v>
      </c>
      <c r="H74" s="149"/>
      <c r="I74" s="152">
        <v>0</v>
      </c>
    </row>
    <row r="75" spans="2:9" x14ac:dyDescent="0.25">
      <c r="B75" s="153" t="s">
        <v>75</v>
      </c>
      <c r="C75" s="153" t="s">
        <v>1476</v>
      </c>
      <c r="D75" s="153" t="s">
        <v>1458</v>
      </c>
      <c r="E75" s="154">
        <v>82</v>
      </c>
      <c r="F75" s="154">
        <v>68.400000000000006</v>
      </c>
      <c r="G75" s="154">
        <v>5608.8</v>
      </c>
      <c r="H75" s="149"/>
      <c r="I75" s="149"/>
    </row>
    <row r="76" spans="2:9" x14ac:dyDescent="0.25">
      <c r="B76" s="153" t="s">
        <v>77</v>
      </c>
      <c r="C76" s="153" t="s">
        <v>1477</v>
      </c>
      <c r="D76" s="153" t="s">
        <v>1458</v>
      </c>
      <c r="E76" s="154">
        <v>941</v>
      </c>
      <c r="F76" s="154">
        <v>68.400000000000006</v>
      </c>
      <c r="G76" s="154">
        <v>64364.4</v>
      </c>
      <c r="H76" s="149"/>
      <c r="I76" s="149"/>
    </row>
    <row r="77" spans="2:9" x14ac:dyDescent="0.25">
      <c r="B77" s="153" t="s">
        <v>185</v>
      </c>
      <c r="C77" s="153" t="s">
        <v>1478</v>
      </c>
      <c r="D77" s="153" t="s">
        <v>1458</v>
      </c>
      <c r="E77" s="154">
        <v>218</v>
      </c>
      <c r="F77" s="154">
        <v>68.400000000000006</v>
      </c>
      <c r="G77" s="154">
        <v>14911.2</v>
      </c>
      <c r="H77" s="149"/>
      <c r="I77" s="149"/>
    </row>
    <row r="78" spans="2:9" x14ac:dyDescent="0.25">
      <c r="B78" s="153" t="s">
        <v>187</v>
      </c>
      <c r="C78" s="153" t="s">
        <v>1479</v>
      </c>
      <c r="D78" s="153" t="s">
        <v>1458</v>
      </c>
      <c r="E78" s="154">
        <v>510</v>
      </c>
      <c r="F78" s="154">
        <v>68.400000000000006</v>
      </c>
      <c r="G78" s="154">
        <v>34884</v>
      </c>
      <c r="H78" s="149"/>
      <c r="I78" s="149"/>
    </row>
    <row r="79" spans="2:9" x14ac:dyDescent="0.25">
      <c r="B79" s="153" t="s">
        <v>580</v>
      </c>
      <c r="C79" s="153" t="s">
        <v>1480</v>
      </c>
      <c r="D79" s="153" t="s">
        <v>1458</v>
      </c>
      <c r="E79" s="154">
        <v>7</v>
      </c>
      <c r="F79" s="154">
        <v>68.400000000000006</v>
      </c>
      <c r="G79" s="154">
        <v>478.8</v>
      </c>
      <c r="H79" s="149"/>
      <c r="I79" s="149"/>
    </row>
    <row r="80" spans="2:9" x14ac:dyDescent="0.25">
      <c r="B80" s="153" t="s">
        <v>582</v>
      </c>
      <c r="C80" s="153" t="s">
        <v>1481</v>
      </c>
      <c r="D80" s="153" t="s">
        <v>1458</v>
      </c>
      <c r="E80" s="154">
        <v>7</v>
      </c>
      <c r="F80" s="154">
        <v>68.400000000000006</v>
      </c>
      <c r="G80" s="154">
        <v>478.8</v>
      </c>
      <c r="H80" s="149"/>
      <c r="I80" s="149"/>
    </row>
    <row r="81" spans="2:9" x14ac:dyDescent="0.25">
      <c r="B81" s="153" t="s">
        <v>584</v>
      </c>
      <c r="C81" s="153" t="s">
        <v>1482</v>
      </c>
      <c r="D81" s="153" t="s">
        <v>1458</v>
      </c>
      <c r="E81" s="154">
        <v>28</v>
      </c>
      <c r="F81" s="154">
        <v>68.400000000000006</v>
      </c>
      <c r="G81" s="154">
        <v>1915.2</v>
      </c>
      <c r="H81" s="149"/>
      <c r="I81" s="149"/>
    </row>
    <row r="82" spans="2:9" x14ac:dyDescent="0.25">
      <c r="B82" s="153" t="s">
        <v>586</v>
      </c>
      <c r="C82" s="153" t="s">
        <v>1483</v>
      </c>
      <c r="D82" s="153" t="s">
        <v>1458</v>
      </c>
      <c r="E82" s="154">
        <v>176</v>
      </c>
      <c r="F82" s="154">
        <v>69.5</v>
      </c>
      <c r="G82" s="154">
        <v>12232</v>
      </c>
      <c r="H82" s="149"/>
      <c r="I82" s="149"/>
    </row>
    <row r="83" spans="2:9" x14ac:dyDescent="0.25">
      <c r="B83" s="153" t="s">
        <v>588</v>
      </c>
      <c r="C83" s="153" t="s">
        <v>1484</v>
      </c>
      <c r="D83" s="153" t="s">
        <v>1458</v>
      </c>
      <c r="E83" s="154">
        <v>162</v>
      </c>
      <c r="F83" s="154">
        <v>68.400000000000006</v>
      </c>
      <c r="G83" s="154">
        <v>11080.8</v>
      </c>
      <c r="H83" s="149"/>
      <c r="I83" s="149"/>
    </row>
    <row r="84" spans="2:9" x14ac:dyDescent="0.25">
      <c r="B84" s="151" t="s">
        <v>79</v>
      </c>
      <c r="C84" s="151" t="s">
        <v>1485</v>
      </c>
      <c r="D84" s="149"/>
      <c r="E84" s="149"/>
      <c r="F84" s="149"/>
      <c r="G84" s="152">
        <v>54433</v>
      </c>
      <c r="H84" s="149"/>
      <c r="I84" s="152">
        <v>0</v>
      </c>
    </row>
    <row r="85" spans="2:9" x14ac:dyDescent="0.25">
      <c r="B85" s="153" t="s">
        <v>81</v>
      </c>
      <c r="C85" s="153" t="s">
        <v>1486</v>
      </c>
      <c r="D85" s="153" t="s">
        <v>1487</v>
      </c>
      <c r="E85" s="154">
        <v>338</v>
      </c>
      <c r="F85" s="154">
        <v>39.5</v>
      </c>
      <c r="G85" s="154">
        <v>13351</v>
      </c>
      <c r="H85" s="149"/>
      <c r="I85" s="149"/>
    </row>
    <row r="86" spans="2:9" x14ac:dyDescent="0.25">
      <c r="B86" s="153" t="s">
        <v>83</v>
      </c>
      <c r="C86" s="153" t="s">
        <v>1488</v>
      </c>
      <c r="D86" s="153" t="s">
        <v>1487</v>
      </c>
      <c r="E86" s="154">
        <v>241</v>
      </c>
      <c r="F86" s="154">
        <v>48</v>
      </c>
      <c r="G86" s="154">
        <v>11568</v>
      </c>
      <c r="H86" s="149"/>
      <c r="I86" s="149"/>
    </row>
    <row r="87" spans="2:9" x14ac:dyDescent="0.25">
      <c r="B87" s="153" t="s">
        <v>85</v>
      </c>
      <c r="C87" s="153" t="s">
        <v>1489</v>
      </c>
      <c r="D87" s="153" t="s">
        <v>1487</v>
      </c>
      <c r="E87" s="154">
        <v>174</v>
      </c>
      <c r="F87" s="154">
        <v>52</v>
      </c>
      <c r="G87" s="154">
        <v>9048</v>
      </c>
      <c r="H87" s="149"/>
      <c r="I87" s="149"/>
    </row>
    <row r="88" spans="2:9" x14ac:dyDescent="0.25">
      <c r="B88" s="153" t="s">
        <v>87</v>
      </c>
      <c r="C88" s="153" t="s">
        <v>1490</v>
      </c>
      <c r="D88" s="153" t="s">
        <v>1487</v>
      </c>
      <c r="E88" s="154">
        <v>42</v>
      </c>
      <c r="F88" s="154">
        <v>59.5</v>
      </c>
      <c r="G88" s="154">
        <v>2499</v>
      </c>
      <c r="H88" s="149"/>
      <c r="I88" s="149"/>
    </row>
    <row r="89" spans="2:9" x14ac:dyDescent="0.25">
      <c r="B89" s="153" t="s">
        <v>192</v>
      </c>
      <c r="C89" s="153" t="s">
        <v>1491</v>
      </c>
      <c r="D89" s="153" t="s">
        <v>1487</v>
      </c>
      <c r="E89" s="154">
        <v>64</v>
      </c>
      <c r="F89" s="154">
        <v>63.5</v>
      </c>
      <c r="G89" s="154">
        <v>4064</v>
      </c>
      <c r="H89" s="149"/>
      <c r="I89" s="149"/>
    </row>
    <row r="90" spans="2:9" x14ac:dyDescent="0.25">
      <c r="B90" s="153" t="s">
        <v>193</v>
      </c>
      <c r="C90" s="153" t="s">
        <v>1492</v>
      </c>
      <c r="D90" s="153" t="s">
        <v>1487</v>
      </c>
      <c r="E90" s="154">
        <v>86</v>
      </c>
      <c r="F90" s="154">
        <v>69.5</v>
      </c>
      <c r="G90" s="154">
        <v>5977</v>
      </c>
      <c r="H90" s="149"/>
      <c r="I90" s="149"/>
    </row>
    <row r="91" spans="2:9" x14ac:dyDescent="0.25">
      <c r="B91" s="153" t="s">
        <v>195</v>
      </c>
      <c r="C91" s="153" t="s">
        <v>1493</v>
      </c>
      <c r="D91" s="153" t="s">
        <v>1487</v>
      </c>
      <c r="E91" s="154">
        <v>42</v>
      </c>
      <c r="F91" s="154">
        <v>73</v>
      </c>
      <c r="G91" s="154">
        <v>3066</v>
      </c>
      <c r="H91" s="149"/>
      <c r="I91" s="149"/>
    </row>
    <row r="92" spans="2:9" x14ac:dyDescent="0.25">
      <c r="B92" s="153" t="s">
        <v>1494</v>
      </c>
      <c r="C92" s="153" t="s">
        <v>1495</v>
      </c>
      <c r="D92" s="153" t="s">
        <v>1487</v>
      </c>
      <c r="E92" s="154">
        <v>108</v>
      </c>
      <c r="F92" s="154">
        <v>45</v>
      </c>
      <c r="G92" s="154">
        <v>4860</v>
      </c>
      <c r="H92" s="149"/>
      <c r="I92" s="149"/>
    </row>
    <row r="93" spans="2:9" x14ac:dyDescent="0.25">
      <c r="B93" s="151" t="s">
        <v>88</v>
      </c>
      <c r="C93" s="151" t="s">
        <v>1496</v>
      </c>
      <c r="D93" s="149"/>
      <c r="E93" s="149"/>
      <c r="F93" s="149"/>
      <c r="G93" s="152">
        <v>135019.5</v>
      </c>
      <c r="H93" s="149"/>
      <c r="I93" s="152">
        <v>0</v>
      </c>
    </row>
    <row r="94" spans="2:9" x14ac:dyDescent="0.25">
      <c r="B94" s="153" t="s">
        <v>90</v>
      </c>
      <c r="C94" s="153" t="s">
        <v>1497</v>
      </c>
      <c r="D94" s="153" t="s">
        <v>1487</v>
      </c>
      <c r="E94" s="154">
        <v>10</v>
      </c>
      <c r="F94" s="154">
        <v>73.5</v>
      </c>
      <c r="G94" s="154">
        <v>735</v>
      </c>
      <c r="H94" s="149"/>
      <c r="I94" s="149"/>
    </row>
    <row r="95" spans="2:9" x14ac:dyDescent="0.25">
      <c r="B95" s="153" t="s">
        <v>92</v>
      </c>
      <c r="C95" s="153" t="s">
        <v>1498</v>
      </c>
      <c r="D95" s="153" t="s">
        <v>1487</v>
      </c>
      <c r="E95" s="154">
        <v>1822</v>
      </c>
      <c r="F95" s="154">
        <v>73.5</v>
      </c>
      <c r="G95" s="154">
        <v>133917</v>
      </c>
      <c r="H95" s="149"/>
      <c r="I95" s="149"/>
    </row>
    <row r="96" spans="2:9" x14ac:dyDescent="0.25">
      <c r="B96" s="153" t="s">
        <v>94</v>
      </c>
      <c r="C96" s="153" t="s">
        <v>1499</v>
      </c>
      <c r="D96" s="153" t="s">
        <v>1487</v>
      </c>
      <c r="E96" s="154">
        <v>5</v>
      </c>
      <c r="F96" s="154">
        <v>73.5</v>
      </c>
      <c r="G96" s="154">
        <v>367.5</v>
      </c>
      <c r="H96" s="149"/>
      <c r="I96" s="149"/>
    </row>
    <row r="97" spans="2:9" x14ac:dyDescent="0.25">
      <c r="B97" s="151" t="s">
        <v>96</v>
      </c>
      <c r="C97" s="151" t="s">
        <v>1500</v>
      </c>
      <c r="D97" s="149"/>
      <c r="E97" s="149"/>
      <c r="F97" s="149"/>
      <c r="G97" s="152">
        <v>73195.39</v>
      </c>
      <c r="H97" s="149"/>
      <c r="I97" s="152">
        <v>0</v>
      </c>
    </row>
    <row r="98" spans="2:9" x14ac:dyDescent="0.25">
      <c r="B98" s="153" t="s">
        <v>98</v>
      </c>
      <c r="C98" s="153" t="s">
        <v>1501</v>
      </c>
      <c r="D98" s="153" t="s">
        <v>1487</v>
      </c>
      <c r="E98" s="154">
        <v>3</v>
      </c>
      <c r="F98" s="154">
        <v>280</v>
      </c>
      <c r="G98" s="154">
        <v>840</v>
      </c>
      <c r="H98" s="149"/>
      <c r="I98" s="149"/>
    </row>
    <row r="99" spans="2:9" x14ac:dyDescent="0.25">
      <c r="B99" s="153" t="s">
        <v>203</v>
      </c>
      <c r="C99" s="153" t="s">
        <v>1502</v>
      </c>
      <c r="D99" s="153" t="s">
        <v>1487</v>
      </c>
      <c r="E99" s="154">
        <v>3</v>
      </c>
      <c r="F99" s="154">
        <v>320</v>
      </c>
      <c r="G99" s="154">
        <v>960</v>
      </c>
      <c r="H99" s="149"/>
      <c r="I99" s="149"/>
    </row>
    <row r="100" spans="2:9" x14ac:dyDescent="0.25">
      <c r="B100" s="153" t="s">
        <v>610</v>
      </c>
      <c r="C100" s="153" t="s">
        <v>1503</v>
      </c>
      <c r="D100" s="153" t="s">
        <v>1487</v>
      </c>
      <c r="E100" s="154">
        <v>3</v>
      </c>
      <c r="F100" s="154">
        <v>350</v>
      </c>
      <c r="G100" s="154">
        <v>1050</v>
      </c>
      <c r="H100" s="149"/>
      <c r="I100" s="149"/>
    </row>
    <row r="101" spans="2:9" x14ac:dyDescent="0.25">
      <c r="B101" s="153" t="s">
        <v>205</v>
      </c>
      <c r="C101" s="153" t="s">
        <v>1504</v>
      </c>
      <c r="D101" s="153" t="s">
        <v>1487</v>
      </c>
      <c r="E101" s="154">
        <v>2</v>
      </c>
      <c r="F101" s="154">
        <v>220</v>
      </c>
      <c r="G101" s="154">
        <v>440</v>
      </c>
      <c r="H101" s="149"/>
      <c r="I101" s="149"/>
    </row>
    <row r="102" spans="2:9" x14ac:dyDescent="0.25">
      <c r="B102" s="153" t="s">
        <v>206</v>
      </c>
      <c r="C102" s="153" t="s">
        <v>1505</v>
      </c>
      <c r="D102" s="153" t="s">
        <v>1487</v>
      </c>
      <c r="E102" s="154">
        <v>1</v>
      </c>
      <c r="F102" s="154">
        <v>650</v>
      </c>
      <c r="G102" s="154">
        <v>650</v>
      </c>
      <c r="H102" s="149"/>
      <c r="I102" s="149"/>
    </row>
    <row r="103" spans="2:9" x14ac:dyDescent="0.25">
      <c r="B103" s="153" t="s">
        <v>207</v>
      </c>
      <c r="C103" s="153" t="s">
        <v>1506</v>
      </c>
      <c r="D103" s="153" t="s">
        <v>1487</v>
      </c>
      <c r="E103" s="154">
        <v>1</v>
      </c>
      <c r="F103" s="154">
        <v>220</v>
      </c>
      <c r="G103" s="154">
        <v>220</v>
      </c>
      <c r="H103" s="149"/>
      <c r="I103" s="149"/>
    </row>
    <row r="104" spans="2:9" x14ac:dyDescent="0.25">
      <c r="B104" s="153" t="s">
        <v>209</v>
      </c>
      <c r="C104" s="153" t="s">
        <v>1507</v>
      </c>
      <c r="D104" s="153" t="s">
        <v>1487</v>
      </c>
      <c r="E104" s="154">
        <v>2</v>
      </c>
      <c r="F104" s="154">
        <v>347.99</v>
      </c>
      <c r="G104" s="154">
        <v>695.98</v>
      </c>
      <c r="H104" s="149"/>
      <c r="I104" s="149"/>
    </row>
    <row r="105" spans="2:9" x14ac:dyDescent="0.25">
      <c r="B105" s="153" t="s">
        <v>211</v>
      </c>
      <c r="C105" s="153" t="s">
        <v>1508</v>
      </c>
      <c r="D105" s="153" t="s">
        <v>1487</v>
      </c>
      <c r="E105" s="154">
        <v>2</v>
      </c>
      <c r="F105" s="154">
        <v>89.48</v>
      </c>
      <c r="G105" s="154">
        <v>178.96</v>
      </c>
      <c r="H105" s="149"/>
      <c r="I105" s="149"/>
    </row>
    <row r="106" spans="2:9" x14ac:dyDescent="0.25">
      <c r="B106" s="153" t="s">
        <v>213</v>
      </c>
      <c r="C106" s="153" t="s">
        <v>1509</v>
      </c>
      <c r="D106" s="153" t="s">
        <v>1487</v>
      </c>
      <c r="E106" s="154">
        <v>239</v>
      </c>
      <c r="F106" s="154">
        <v>61.64</v>
      </c>
      <c r="G106" s="154">
        <v>14731.96</v>
      </c>
      <c r="H106" s="149"/>
      <c r="I106" s="149"/>
    </row>
    <row r="107" spans="2:9" x14ac:dyDescent="0.25">
      <c r="B107" s="153" t="s">
        <v>1510</v>
      </c>
      <c r="C107" s="153" t="s">
        <v>1511</v>
      </c>
      <c r="D107" s="153" t="s">
        <v>1487</v>
      </c>
      <c r="E107" s="154">
        <v>150</v>
      </c>
      <c r="F107" s="154">
        <v>84.52</v>
      </c>
      <c r="G107" s="154">
        <v>12678</v>
      </c>
      <c r="H107" s="149"/>
      <c r="I107" s="149"/>
    </row>
    <row r="108" spans="2:9" x14ac:dyDescent="0.25">
      <c r="B108" s="153" t="s">
        <v>1512</v>
      </c>
      <c r="C108" s="153" t="s">
        <v>1513</v>
      </c>
      <c r="D108" s="153" t="s">
        <v>1487</v>
      </c>
      <c r="E108" s="154">
        <v>21</v>
      </c>
      <c r="F108" s="154">
        <v>74.569999999999993</v>
      </c>
      <c r="G108" s="154">
        <v>1565.97</v>
      </c>
      <c r="H108" s="149"/>
      <c r="I108" s="149"/>
    </row>
    <row r="109" spans="2:9" x14ac:dyDescent="0.25">
      <c r="B109" s="153" t="s">
        <v>1514</v>
      </c>
      <c r="C109" s="153" t="s">
        <v>1515</v>
      </c>
      <c r="D109" s="153" t="s">
        <v>1487</v>
      </c>
      <c r="E109" s="154">
        <v>21</v>
      </c>
      <c r="F109" s="154">
        <v>74.569999999999993</v>
      </c>
      <c r="G109" s="154">
        <v>1565.97</v>
      </c>
      <c r="H109" s="149"/>
      <c r="I109" s="149"/>
    </row>
    <row r="110" spans="2:9" x14ac:dyDescent="0.25">
      <c r="B110" s="153" t="s">
        <v>1516</v>
      </c>
      <c r="C110" s="153" t="s">
        <v>1517</v>
      </c>
      <c r="D110" s="153" t="s">
        <v>1487</v>
      </c>
      <c r="E110" s="154">
        <v>108</v>
      </c>
      <c r="F110" s="154">
        <v>74.569999999999993</v>
      </c>
      <c r="G110" s="154">
        <v>8053.56</v>
      </c>
      <c r="H110" s="149"/>
      <c r="I110" s="149"/>
    </row>
    <row r="111" spans="2:9" x14ac:dyDescent="0.25">
      <c r="B111" s="153" t="s">
        <v>1518</v>
      </c>
      <c r="C111" s="153" t="s">
        <v>1519</v>
      </c>
      <c r="D111" s="153" t="s">
        <v>1487</v>
      </c>
      <c r="E111" s="154">
        <v>21</v>
      </c>
      <c r="F111" s="154">
        <v>74.569999999999993</v>
      </c>
      <c r="G111" s="154">
        <v>1565.97</v>
      </c>
      <c r="H111" s="149"/>
      <c r="I111" s="149"/>
    </row>
    <row r="112" spans="2:9" x14ac:dyDescent="0.25">
      <c r="B112" s="153" t="s">
        <v>1520</v>
      </c>
      <c r="C112" s="153" t="s">
        <v>1521</v>
      </c>
      <c r="D112" s="153" t="s">
        <v>1487</v>
      </c>
      <c r="E112" s="154">
        <v>21</v>
      </c>
      <c r="F112" s="154">
        <v>64.63</v>
      </c>
      <c r="G112" s="154">
        <v>1357.23</v>
      </c>
      <c r="H112" s="149"/>
      <c r="I112" s="149"/>
    </row>
    <row r="113" spans="2:9" x14ac:dyDescent="0.25">
      <c r="B113" s="153" t="s">
        <v>1522</v>
      </c>
      <c r="C113" s="153" t="s">
        <v>1523</v>
      </c>
      <c r="D113" s="153" t="s">
        <v>1487</v>
      </c>
      <c r="E113" s="154">
        <v>108</v>
      </c>
      <c r="F113" s="154">
        <v>64.63</v>
      </c>
      <c r="G113" s="154">
        <v>6980.04</v>
      </c>
      <c r="H113" s="149"/>
      <c r="I113" s="149"/>
    </row>
    <row r="114" spans="2:9" x14ac:dyDescent="0.25">
      <c r="B114" s="153" t="s">
        <v>1524</v>
      </c>
      <c r="C114" s="153" t="s">
        <v>1525</v>
      </c>
      <c r="D114" s="153" t="s">
        <v>1487</v>
      </c>
      <c r="E114" s="154">
        <v>1</v>
      </c>
      <c r="F114" s="154">
        <v>149.13999999999999</v>
      </c>
      <c r="G114" s="154">
        <v>149.13999999999999</v>
      </c>
      <c r="H114" s="149"/>
      <c r="I114" s="149"/>
    </row>
    <row r="115" spans="2:9" x14ac:dyDescent="0.25">
      <c r="B115" s="153" t="s">
        <v>1526</v>
      </c>
      <c r="C115" s="153" t="s">
        <v>1527</v>
      </c>
      <c r="D115" s="153" t="s">
        <v>1487</v>
      </c>
      <c r="E115" s="154">
        <v>1</v>
      </c>
      <c r="F115" s="154">
        <v>94.46</v>
      </c>
      <c r="G115" s="154">
        <v>94.46</v>
      </c>
      <c r="H115" s="149"/>
      <c r="I115" s="149"/>
    </row>
    <row r="116" spans="2:9" x14ac:dyDescent="0.25">
      <c r="B116" s="153" t="s">
        <v>1528</v>
      </c>
      <c r="C116" s="153" t="s">
        <v>1529</v>
      </c>
      <c r="D116" s="153" t="s">
        <v>1487</v>
      </c>
      <c r="E116" s="154">
        <v>2</v>
      </c>
      <c r="F116" s="154">
        <v>178.97</v>
      </c>
      <c r="G116" s="154">
        <v>357.94</v>
      </c>
      <c r="H116" s="149"/>
      <c r="I116" s="149"/>
    </row>
    <row r="117" spans="2:9" x14ac:dyDescent="0.25">
      <c r="B117" s="153" t="s">
        <v>1530</v>
      </c>
      <c r="C117" s="153" t="s">
        <v>1531</v>
      </c>
      <c r="D117" s="153" t="s">
        <v>1487</v>
      </c>
      <c r="E117" s="154">
        <v>1</v>
      </c>
      <c r="F117" s="154">
        <v>119.31</v>
      </c>
      <c r="G117" s="154">
        <v>119.31</v>
      </c>
      <c r="H117" s="149"/>
      <c r="I117" s="149"/>
    </row>
    <row r="118" spans="2:9" x14ac:dyDescent="0.25">
      <c r="B118" s="153" t="s">
        <v>1532</v>
      </c>
      <c r="C118" s="153" t="s">
        <v>1533</v>
      </c>
      <c r="D118" s="153" t="s">
        <v>1487</v>
      </c>
      <c r="E118" s="154">
        <v>1</v>
      </c>
      <c r="F118" s="154">
        <v>119.31</v>
      </c>
      <c r="G118" s="154">
        <v>119.31</v>
      </c>
      <c r="H118" s="149"/>
      <c r="I118" s="149"/>
    </row>
    <row r="119" spans="2:9" x14ac:dyDescent="0.25">
      <c r="B119" s="153" t="s">
        <v>1534</v>
      </c>
      <c r="C119" s="153" t="s">
        <v>1535</v>
      </c>
      <c r="D119" s="153" t="s">
        <v>1487</v>
      </c>
      <c r="E119" s="154">
        <v>1</v>
      </c>
      <c r="F119" s="154">
        <v>119.31</v>
      </c>
      <c r="G119" s="154">
        <v>119.31</v>
      </c>
      <c r="H119" s="149"/>
      <c r="I119" s="149"/>
    </row>
    <row r="120" spans="2:9" x14ac:dyDescent="0.25">
      <c r="B120" s="153" t="s">
        <v>1536</v>
      </c>
      <c r="C120" s="153" t="s">
        <v>1537</v>
      </c>
      <c r="D120" s="153" t="s">
        <v>1487</v>
      </c>
      <c r="E120" s="154">
        <v>1</v>
      </c>
      <c r="F120" s="154">
        <v>188.91</v>
      </c>
      <c r="G120" s="154">
        <v>188.91</v>
      </c>
      <c r="H120" s="149"/>
      <c r="I120" s="149"/>
    </row>
    <row r="121" spans="2:9" x14ac:dyDescent="0.25">
      <c r="B121" s="153" t="s">
        <v>1538</v>
      </c>
      <c r="C121" s="153" t="s">
        <v>1539</v>
      </c>
      <c r="D121" s="153" t="s">
        <v>1487</v>
      </c>
      <c r="E121" s="154">
        <v>108</v>
      </c>
      <c r="F121" s="154">
        <v>64.63</v>
      </c>
      <c r="G121" s="154">
        <v>6980.04</v>
      </c>
      <c r="H121" s="149"/>
      <c r="I121" s="149"/>
    </row>
    <row r="122" spans="2:9" x14ac:dyDescent="0.25">
      <c r="B122" s="153" t="s">
        <v>1540</v>
      </c>
      <c r="C122" s="153" t="s">
        <v>1541</v>
      </c>
      <c r="D122" s="153" t="s">
        <v>1487</v>
      </c>
      <c r="E122" s="154">
        <v>1</v>
      </c>
      <c r="F122" s="154">
        <v>119.31</v>
      </c>
      <c r="G122" s="154">
        <v>119.31</v>
      </c>
      <c r="H122" s="149"/>
      <c r="I122" s="149"/>
    </row>
    <row r="123" spans="2:9" x14ac:dyDescent="0.25">
      <c r="B123" s="153" t="s">
        <v>1542</v>
      </c>
      <c r="C123" s="153" t="s">
        <v>1543</v>
      </c>
      <c r="D123" s="153" t="s">
        <v>1487</v>
      </c>
      <c r="E123" s="154">
        <v>1</v>
      </c>
      <c r="F123" s="154">
        <v>119.31</v>
      </c>
      <c r="G123" s="154">
        <v>119.31</v>
      </c>
      <c r="H123" s="149"/>
      <c r="I123" s="149"/>
    </row>
    <row r="124" spans="2:9" x14ac:dyDescent="0.25">
      <c r="B124" s="153" t="s">
        <v>1544</v>
      </c>
      <c r="C124" s="153" t="s">
        <v>1545</v>
      </c>
      <c r="D124" s="153" t="s">
        <v>1487</v>
      </c>
      <c r="E124" s="154">
        <v>5</v>
      </c>
      <c r="F124" s="154">
        <v>149.13999999999999</v>
      </c>
      <c r="G124" s="154">
        <v>745.7</v>
      </c>
      <c r="H124" s="149"/>
      <c r="I124" s="149"/>
    </row>
    <row r="125" spans="2:9" x14ac:dyDescent="0.25">
      <c r="B125" s="153" t="s">
        <v>1546</v>
      </c>
      <c r="C125" s="153" t="s">
        <v>1547</v>
      </c>
      <c r="D125" s="153" t="s">
        <v>1487</v>
      </c>
      <c r="E125" s="154">
        <v>5</v>
      </c>
      <c r="F125" s="154">
        <v>109.37</v>
      </c>
      <c r="G125" s="154">
        <v>546.85</v>
      </c>
      <c r="H125" s="149"/>
      <c r="I125" s="149"/>
    </row>
    <row r="126" spans="2:9" x14ac:dyDescent="0.25">
      <c r="B126" s="153" t="s">
        <v>1548</v>
      </c>
      <c r="C126" s="153" t="s">
        <v>1549</v>
      </c>
      <c r="D126" s="153" t="s">
        <v>1487</v>
      </c>
      <c r="E126" s="154">
        <v>1</v>
      </c>
      <c r="F126" s="154">
        <v>109.37</v>
      </c>
      <c r="G126" s="154">
        <v>109.37</v>
      </c>
      <c r="H126" s="149"/>
      <c r="I126" s="149"/>
    </row>
    <row r="127" spans="2:9" x14ac:dyDescent="0.25">
      <c r="B127" s="153" t="s">
        <v>1550</v>
      </c>
      <c r="C127" s="153" t="s">
        <v>1551</v>
      </c>
      <c r="D127" s="153" t="s">
        <v>1487</v>
      </c>
      <c r="E127" s="154">
        <v>2</v>
      </c>
      <c r="F127" s="154">
        <v>248.56</v>
      </c>
      <c r="G127" s="154">
        <v>497.12</v>
      </c>
      <c r="H127" s="149"/>
      <c r="I127" s="149"/>
    </row>
    <row r="128" spans="2:9" x14ac:dyDescent="0.25">
      <c r="B128" s="153" t="s">
        <v>1552</v>
      </c>
      <c r="C128" s="153" t="s">
        <v>1553</v>
      </c>
      <c r="D128" s="153" t="s">
        <v>1487</v>
      </c>
      <c r="E128" s="154">
        <v>2</v>
      </c>
      <c r="F128" s="154">
        <v>397.7</v>
      </c>
      <c r="G128" s="154">
        <v>795.4</v>
      </c>
      <c r="H128" s="149"/>
      <c r="I128" s="149"/>
    </row>
    <row r="129" spans="2:9" x14ac:dyDescent="0.25">
      <c r="B129" s="153" t="s">
        <v>1554</v>
      </c>
      <c r="C129" s="153" t="s">
        <v>1555</v>
      </c>
      <c r="D129" s="153" t="s">
        <v>1487</v>
      </c>
      <c r="E129" s="154">
        <v>1</v>
      </c>
      <c r="F129" s="154">
        <v>347.99</v>
      </c>
      <c r="G129" s="154">
        <v>347.99</v>
      </c>
      <c r="H129" s="149"/>
      <c r="I129" s="149"/>
    </row>
    <row r="130" spans="2:9" x14ac:dyDescent="0.25">
      <c r="B130" s="153" t="s">
        <v>1556</v>
      </c>
      <c r="C130" s="153" t="s">
        <v>1557</v>
      </c>
      <c r="D130" s="153" t="s">
        <v>1487</v>
      </c>
      <c r="E130" s="154">
        <v>1</v>
      </c>
      <c r="F130" s="154">
        <v>347.99</v>
      </c>
      <c r="G130" s="154">
        <v>347.99</v>
      </c>
      <c r="H130" s="149"/>
      <c r="I130" s="149"/>
    </row>
    <row r="131" spans="2:9" x14ac:dyDescent="0.25">
      <c r="B131" s="153" t="s">
        <v>1558</v>
      </c>
      <c r="C131" s="153" t="s">
        <v>1559</v>
      </c>
      <c r="D131" s="153" t="s">
        <v>1487</v>
      </c>
      <c r="E131" s="154">
        <v>1</v>
      </c>
      <c r="F131" s="154">
        <v>248.56</v>
      </c>
      <c r="G131" s="154">
        <v>248.56</v>
      </c>
      <c r="H131" s="149"/>
      <c r="I131" s="149"/>
    </row>
    <row r="132" spans="2:9" x14ac:dyDescent="0.25">
      <c r="B132" s="153" t="s">
        <v>1560</v>
      </c>
      <c r="C132" s="153" t="s">
        <v>1561</v>
      </c>
      <c r="D132" s="153" t="s">
        <v>1487</v>
      </c>
      <c r="E132" s="154">
        <v>5</v>
      </c>
      <c r="F132" s="154">
        <v>119.31</v>
      </c>
      <c r="G132" s="154">
        <v>596.54999999999995</v>
      </c>
      <c r="H132" s="149"/>
      <c r="I132" s="149"/>
    </row>
    <row r="133" spans="2:9" x14ac:dyDescent="0.25">
      <c r="B133" s="153" t="s">
        <v>1562</v>
      </c>
      <c r="C133" s="153" t="s">
        <v>1563</v>
      </c>
      <c r="D133" s="153" t="s">
        <v>294</v>
      </c>
      <c r="E133" s="154">
        <v>1</v>
      </c>
      <c r="F133" s="154">
        <v>4474.13</v>
      </c>
      <c r="G133" s="154">
        <v>4474.13</v>
      </c>
      <c r="H133" s="149"/>
      <c r="I133" s="149"/>
    </row>
    <row r="134" spans="2:9" x14ac:dyDescent="0.25">
      <c r="B134" s="153" t="s">
        <v>1564</v>
      </c>
      <c r="C134" s="153" t="s">
        <v>1565</v>
      </c>
      <c r="D134" s="153" t="s">
        <v>294</v>
      </c>
      <c r="E134" s="154">
        <v>1</v>
      </c>
      <c r="F134" s="154">
        <v>2585.0500000000002</v>
      </c>
      <c r="G134" s="154">
        <v>2585.0500000000002</v>
      </c>
      <c r="H134" s="149"/>
      <c r="I134" s="149"/>
    </row>
    <row r="135" spans="2:9" x14ac:dyDescent="0.25">
      <c r="B135" s="151" t="s">
        <v>100</v>
      </c>
      <c r="C135" s="151" t="s">
        <v>1566</v>
      </c>
      <c r="D135" s="149"/>
      <c r="E135" s="149"/>
      <c r="F135" s="149"/>
      <c r="G135" s="152">
        <v>11661.65</v>
      </c>
      <c r="H135" s="149"/>
      <c r="I135" s="152">
        <v>0</v>
      </c>
    </row>
    <row r="136" spans="2:9" x14ac:dyDescent="0.25">
      <c r="B136" s="153" t="s">
        <v>102</v>
      </c>
      <c r="C136" s="153" t="s">
        <v>1567</v>
      </c>
      <c r="D136" s="153" t="s">
        <v>1568</v>
      </c>
      <c r="E136" s="154">
        <v>8.5</v>
      </c>
      <c r="F136" s="154">
        <v>74.569999999999993</v>
      </c>
      <c r="G136" s="154">
        <v>633.85</v>
      </c>
      <c r="H136" s="149"/>
      <c r="I136" s="149"/>
    </row>
    <row r="137" spans="2:9" x14ac:dyDescent="0.25">
      <c r="B137" s="153" t="s">
        <v>104</v>
      </c>
      <c r="C137" s="153" t="s">
        <v>1569</v>
      </c>
      <c r="D137" s="153" t="s">
        <v>1458</v>
      </c>
      <c r="E137" s="154">
        <v>3</v>
      </c>
      <c r="F137" s="154">
        <v>1839.36</v>
      </c>
      <c r="G137" s="154">
        <v>5518.08</v>
      </c>
      <c r="H137" s="149"/>
      <c r="I137" s="149"/>
    </row>
    <row r="138" spans="2:9" x14ac:dyDescent="0.25">
      <c r="B138" s="153" t="s">
        <v>105</v>
      </c>
      <c r="C138" s="153" t="s">
        <v>1570</v>
      </c>
      <c r="D138" s="153" t="s">
        <v>1568</v>
      </c>
      <c r="E138" s="154">
        <v>8</v>
      </c>
      <c r="F138" s="154">
        <v>27.84</v>
      </c>
      <c r="G138" s="154">
        <v>222.72</v>
      </c>
      <c r="H138" s="149"/>
      <c r="I138" s="149"/>
    </row>
    <row r="139" spans="2:9" x14ac:dyDescent="0.25">
      <c r="B139" s="153" t="s">
        <v>107</v>
      </c>
      <c r="C139" s="153" t="s">
        <v>1571</v>
      </c>
      <c r="D139" s="153" t="s">
        <v>1572</v>
      </c>
      <c r="E139" s="154">
        <v>6.5</v>
      </c>
      <c r="F139" s="154">
        <v>55.68</v>
      </c>
      <c r="G139" s="154">
        <v>361.92</v>
      </c>
      <c r="H139" s="149"/>
      <c r="I139" s="149"/>
    </row>
    <row r="140" spans="2:9" x14ac:dyDescent="0.25">
      <c r="B140" s="153" t="s">
        <v>109</v>
      </c>
      <c r="C140" s="153" t="s">
        <v>1573</v>
      </c>
      <c r="D140" s="153" t="s">
        <v>1568</v>
      </c>
      <c r="E140" s="154">
        <v>18.649999999999999</v>
      </c>
      <c r="F140" s="154">
        <v>11.44</v>
      </c>
      <c r="G140" s="154">
        <v>213.36</v>
      </c>
      <c r="H140" s="149"/>
      <c r="I140" s="149"/>
    </row>
    <row r="141" spans="2:9" x14ac:dyDescent="0.25">
      <c r="B141" s="153" t="s">
        <v>111</v>
      </c>
      <c r="C141" s="153" t="s">
        <v>1574</v>
      </c>
      <c r="D141" s="153" t="s">
        <v>1568</v>
      </c>
      <c r="E141" s="154">
        <v>18.649999999999999</v>
      </c>
      <c r="F141" s="154">
        <v>28.33</v>
      </c>
      <c r="G141" s="154">
        <v>528.35</v>
      </c>
      <c r="H141" s="149"/>
      <c r="I141" s="149"/>
    </row>
    <row r="142" spans="2:9" x14ac:dyDescent="0.25">
      <c r="B142" s="153" t="s">
        <v>113</v>
      </c>
      <c r="C142" s="153" t="s">
        <v>1575</v>
      </c>
      <c r="D142" s="153" t="s">
        <v>1568</v>
      </c>
      <c r="E142" s="154">
        <v>29.2</v>
      </c>
      <c r="F142" s="154">
        <v>85.51</v>
      </c>
      <c r="G142" s="154">
        <v>2496.89</v>
      </c>
      <c r="H142" s="149"/>
      <c r="I142" s="149"/>
    </row>
    <row r="143" spans="2:9" x14ac:dyDescent="0.25">
      <c r="B143" s="153" t="s">
        <v>115</v>
      </c>
      <c r="C143" s="153" t="s">
        <v>1576</v>
      </c>
      <c r="D143" s="153" t="s">
        <v>1568</v>
      </c>
      <c r="E143" s="154">
        <v>6</v>
      </c>
      <c r="F143" s="154">
        <v>12.03</v>
      </c>
      <c r="G143" s="154">
        <v>72.180000000000007</v>
      </c>
      <c r="H143" s="149"/>
      <c r="I143" s="149"/>
    </row>
    <row r="144" spans="2:9" x14ac:dyDescent="0.25">
      <c r="B144" s="153" t="s">
        <v>116</v>
      </c>
      <c r="C144" s="153" t="s">
        <v>1577</v>
      </c>
      <c r="D144" s="153" t="s">
        <v>1568</v>
      </c>
      <c r="E144" s="154">
        <v>28</v>
      </c>
      <c r="F144" s="154">
        <v>14.41</v>
      </c>
      <c r="G144" s="154">
        <v>403.48</v>
      </c>
      <c r="H144" s="149"/>
      <c r="I144" s="149"/>
    </row>
    <row r="145" spans="2:9" x14ac:dyDescent="0.25">
      <c r="B145" s="153" t="s">
        <v>118</v>
      </c>
      <c r="C145" s="153" t="s">
        <v>1451</v>
      </c>
      <c r="D145" s="153" t="s">
        <v>1389</v>
      </c>
      <c r="E145" s="154">
        <v>55</v>
      </c>
      <c r="F145" s="154">
        <v>16.7</v>
      </c>
      <c r="G145" s="154">
        <v>918.5</v>
      </c>
      <c r="H145" s="149"/>
      <c r="I145" s="149"/>
    </row>
    <row r="146" spans="2:9" x14ac:dyDescent="0.25">
      <c r="B146" s="153" t="s">
        <v>119</v>
      </c>
      <c r="C146" s="153" t="s">
        <v>1452</v>
      </c>
      <c r="D146" s="153" t="s">
        <v>1389</v>
      </c>
      <c r="E146" s="154">
        <v>12</v>
      </c>
      <c r="F146" s="154">
        <v>24.36</v>
      </c>
      <c r="G146" s="154">
        <v>292.32</v>
      </c>
      <c r="H146" s="149"/>
      <c r="I146" s="149"/>
    </row>
    <row r="147" spans="2:9" x14ac:dyDescent="0.25">
      <c r="B147" s="153" t="s">
        <v>121</v>
      </c>
      <c r="C147" s="153" t="s">
        <v>1936</v>
      </c>
      <c r="D147" s="153" t="s">
        <v>1937</v>
      </c>
      <c r="E147" s="154">
        <v>0</v>
      </c>
      <c r="F147" s="149"/>
      <c r="G147" s="149"/>
      <c r="H147" s="149"/>
      <c r="I147" s="149"/>
    </row>
    <row r="148" spans="2:9" x14ac:dyDescent="0.25">
      <c r="B148" s="151" t="s">
        <v>243</v>
      </c>
      <c r="C148" s="151" t="s">
        <v>1578</v>
      </c>
      <c r="D148" s="149"/>
      <c r="E148" s="149"/>
      <c r="F148" s="149"/>
      <c r="G148" s="152">
        <v>43024.15</v>
      </c>
      <c r="H148" s="149"/>
      <c r="I148" s="152">
        <v>0</v>
      </c>
    </row>
    <row r="149" spans="2:9" x14ac:dyDescent="0.25">
      <c r="B149" s="153" t="s">
        <v>244</v>
      </c>
      <c r="C149" s="153" t="s">
        <v>1579</v>
      </c>
      <c r="D149" s="153" t="s">
        <v>1458</v>
      </c>
      <c r="E149" s="154">
        <v>1765</v>
      </c>
      <c r="F149" s="154">
        <v>19.89</v>
      </c>
      <c r="G149" s="154">
        <v>35105.85</v>
      </c>
      <c r="H149" s="149"/>
      <c r="I149" s="149"/>
    </row>
    <row r="150" spans="2:9" x14ac:dyDescent="0.25">
      <c r="B150" s="153" t="s">
        <v>249</v>
      </c>
      <c r="C150" s="153" t="s">
        <v>1580</v>
      </c>
      <c r="D150" s="153" t="s">
        <v>1458</v>
      </c>
      <c r="E150" s="154">
        <v>176</v>
      </c>
      <c r="F150" s="154">
        <v>24.86</v>
      </c>
      <c r="G150" s="154">
        <v>4375.3599999999997</v>
      </c>
      <c r="H150" s="149"/>
      <c r="I150" s="149"/>
    </row>
    <row r="151" spans="2:9" x14ac:dyDescent="0.25">
      <c r="B151" s="153" t="s">
        <v>254</v>
      </c>
      <c r="C151" s="153" t="s">
        <v>1581</v>
      </c>
      <c r="D151" s="153" t="s">
        <v>1458</v>
      </c>
      <c r="E151" s="154">
        <v>162</v>
      </c>
      <c r="F151" s="154">
        <v>21.87</v>
      </c>
      <c r="G151" s="154">
        <v>3542.94</v>
      </c>
      <c r="H151" s="149"/>
      <c r="I151" s="149"/>
    </row>
    <row r="152" spans="2:9" x14ac:dyDescent="0.25">
      <c r="B152" s="151" t="s">
        <v>469</v>
      </c>
      <c r="C152" s="151" t="s">
        <v>1582</v>
      </c>
      <c r="D152" s="149"/>
      <c r="E152" s="149"/>
      <c r="F152" s="149"/>
      <c r="G152" s="152">
        <v>162571.51</v>
      </c>
      <c r="H152" s="149"/>
      <c r="I152" s="152">
        <v>0</v>
      </c>
    </row>
    <row r="153" spans="2:9" x14ac:dyDescent="0.25">
      <c r="B153" s="153" t="s">
        <v>470</v>
      </c>
      <c r="C153" s="153" t="s">
        <v>1583</v>
      </c>
      <c r="D153" s="153" t="s">
        <v>1487</v>
      </c>
      <c r="E153" s="154">
        <v>338</v>
      </c>
      <c r="F153" s="154">
        <v>29.33</v>
      </c>
      <c r="G153" s="154">
        <v>9913.5400000000009</v>
      </c>
      <c r="H153" s="149"/>
      <c r="I153" s="149"/>
    </row>
    <row r="154" spans="2:9" x14ac:dyDescent="0.25">
      <c r="B154" s="153" t="s">
        <v>478</v>
      </c>
      <c r="C154" s="153" t="s">
        <v>1584</v>
      </c>
      <c r="D154" s="153" t="s">
        <v>1487</v>
      </c>
      <c r="E154" s="154">
        <v>241</v>
      </c>
      <c r="F154" s="154">
        <v>42.25</v>
      </c>
      <c r="G154" s="154">
        <v>10182.25</v>
      </c>
      <c r="H154" s="149"/>
      <c r="I154" s="149"/>
    </row>
    <row r="155" spans="2:9" x14ac:dyDescent="0.25">
      <c r="B155" s="153" t="s">
        <v>484</v>
      </c>
      <c r="C155" s="153" t="s">
        <v>1585</v>
      </c>
      <c r="D155" s="153" t="s">
        <v>1487</v>
      </c>
      <c r="E155" s="154">
        <v>174</v>
      </c>
      <c r="F155" s="154">
        <v>31.47</v>
      </c>
      <c r="G155" s="154">
        <v>5475.78</v>
      </c>
      <c r="H155" s="149"/>
      <c r="I155" s="149"/>
    </row>
    <row r="156" spans="2:9" x14ac:dyDescent="0.25">
      <c r="B156" s="153" t="s">
        <v>488</v>
      </c>
      <c r="C156" s="153" t="s">
        <v>1586</v>
      </c>
      <c r="D156" s="153" t="s">
        <v>1487</v>
      </c>
      <c r="E156" s="154">
        <v>42</v>
      </c>
      <c r="F156" s="154">
        <v>44.35</v>
      </c>
      <c r="G156" s="154">
        <v>1862.7</v>
      </c>
      <c r="H156" s="149"/>
      <c r="I156" s="149"/>
    </row>
    <row r="157" spans="2:9" x14ac:dyDescent="0.25">
      <c r="B157" s="153" t="s">
        <v>1587</v>
      </c>
      <c r="C157" s="153" t="s">
        <v>1588</v>
      </c>
      <c r="D157" s="153" t="s">
        <v>1487</v>
      </c>
      <c r="E157" s="154">
        <v>64</v>
      </c>
      <c r="F157" s="154">
        <v>42.25</v>
      </c>
      <c r="G157" s="154">
        <v>2704</v>
      </c>
      <c r="H157" s="149"/>
      <c r="I157" s="149"/>
    </row>
    <row r="158" spans="2:9" x14ac:dyDescent="0.25">
      <c r="B158" s="153" t="s">
        <v>1589</v>
      </c>
      <c r="C158" s="153" t="s">
        <v>1590</v>
      </c>
      <c r="D158" s="153" t="s">
        <v>1487</v>
      </c>
      <c r="E158" s="154">
        <v>42</v>
      </c>
      <c r="F158" s="154">
        <v>56.52</v>
      </c>
      <c r="G158" s="154">
        <v>2373.84</v>
      </c>
      <c r="H158" s="149"/>
      <c r="I158" s="149"/>
    </row>
    <row r="159" spans="2:9" x14ac:dyDescent="0.25">
      <c r="B159" s="153" t="s">
        <v>1591</v>
      </c>
      <c r="C159" s="153" t="s">
        <v>1592</v>
      </c>
      <c r="D159" s="153" t="s">
        <v>1487</v>
      </c>
      <c r="E159" s="154">
        <v>86</v>
      </c>
      <c r="F159" s="154">
        <v>54.09</v>
      </c>
      <c r="G159" s="154">
        <v>4651.74</v>
      </c>
      <c r="H159" s="149"/>
      <c r="I159" s="149"/>
    </row>
    <row r="160" spans="2:9" x14ac:dyDescent="0.25">
      <c r="B160" s="153" t="s">
        <v>1593</v>
      </c>
      <c r="C160" s="153" t="s">
        <v>1594</v>
      </c>
      <c r="D160" s="153" t="s">
        <v>1487</v>
      </c>
      <c r="E160" s="154">
        <v>108</v>
      </c>
      <c r="F160" s="154">
        <v>25.36</v>
      </c>
      <c r="G160" s="154">
        <v>2738.88</v>
      </c>
      <c r="H160" s="149"/>
      <c r="I160" s="149"/>
    </row>
    <row r="161" spans="2:9" x14ac:dyDescent="0.25">
      <c r="B161" s="153" t="s">
        <v>1595</v>
      </c>
      <c r="C161" s="153" t="s">
        <v>1596</v>
      </c>
      <c r="D161" s="153" t="s">
        <v>1487</v>
      </c>
      <c r="E161" s="154">
        <v>173</v>
      </c>
      <c r="F161" s="154">
        <v>77.760000000000005</v>
      </c>
      <c r="G161" s="154">
        <v>13452.48</v>
      </c>
      <c r="H161" s="149"/>
      <c r="I161" s="149"/>
    </row>
    <row r="162" spans="2:9" x14ac:dyDescent="0.25">
      <c r="B162" s="153" t="s">
        <v>1597</v>
      </c>
      <c r="C162" s="153" t="s">
        <v>1598</v>
      </c>
      <c r="D162" s="153" t="s">
        <v>1487</v>
      </c>
      <c r="E162" s="154">
        <v>21</v>
      </c>
      <c r="F162" s="154">
        <v>79.05</v>
      </c>
      <c r="G162" s="154">
        <v>1660.05</v>
      </c>
      <c r="H162" s="149"/>
      <c r="I162" s="149"/>
    </row>
    <row r="163" spans="2:9" x14ac:dyDescent="0.25">
      <c r="B163" s="153" t="s">
        <v>1599</v>
      </c>
      <c r="C163" s="153" t="s">
        <v>1600</v>
      </c>
      <c r="D163" s="153" t="s">
        <v>1487</v>
      </c>
      <c r="E163" s="154">
        <v>1843</v>
      </c>
      <c r="F163" s="154">
        <v>42</v>
      </c>
      <c r="G163" s="154">
        <v>77406</v>
      </c>
      <c r="H163" s="149"/>
      <c r="I163" s="149"/>
    </row>
    <row r="164" spans="2:9" x14ac:dyDescent="0.25">
      <c r="B164" s="153" t="s">
        <v>1601</v>
      </c>
      <c r="C164" s="153" t="s">
        <v>1602</v>
      </c>
      <c r="D164" s="153" t="s">
        <v>1487</v>
      </c>
      <c r="E164" s="154">
        <v>5</v>
      </c>
      <c r="F164" s="154">
        <v>283.37</v>
      </c>
      <c r="G164" s="154">
        <v>1416.85</v>
      </c>
      <c r="H164" s="149"/>
      <c r="I164" s="149"/>
    </row>
    <row r="165" spans="2:9" x14ac:dyDescent="0.25">
      <c r="B165" s="153" t="s">
        <v>1603</v>
      </c>
      <c r="C165" s="153" t="s">
        <v>1604</v>
      </c>
      <c r="D165" s="153" t="s">
        <v>1487</v>
      </c>
      <c r="E165" s="154">
        <v>108</v>
      </c>
      <c r="F165" s="154">
        <v>91.47</v>
      </c>
      <c r="G165" s="154">
        <v>9878.76</v>
      </c>
      <c r="H165" s="149"/>
      <c r="I165" s="149"/>
    </row>
    <row r="166" spans="2:9" x14ac:dyDescent="0.25">
      <c r="B166" s="153" t="s">
        <v>1605</v>
      </c>
      <c r="C166" s="153" t="s">
        <v>1606</v>
      </c>
      <c r="D166" s="153" t="s">
        <v>1458</v>
      </c>
      <c r="E166" s="154">
        <v>193</v>
      </c>
      <c r="F166" s="154">
        <v>41.76</v>
      </c>
      <c r="G166" s="154">
        <v>8059.68</v>
      </c>
      <c r="H166" s="149"/>
      <c r="I166" s="149"/>
    </row>
    <row r="167" spans="2:9" x14ac:dyDescent="0.25">
      <c r="B167" s="153" t="s">
        <v>1607</v>
      </c>
      <c r="C167" s="153" t="s">
        <v>1608</v>
      </c>
      <c r="D167" s="153" t="s">
        <v>1458</v>
      </c>
      <c r="E167" s="154">
        <v>282</v>
      </c>
      <c r="F167" s="154">
        <v>38.28</v>
      </c>
      <c r="G167" s="154">
        <v>10794.96</v>
      </c>
      <c r="H167" s="149"/>
      <c r="I167" s="149"/>
    </row>
    <row r="168" spans="2:9" x14ac:dyDescent="0.25">
      <c r="B168" s="151" t="s">
        <v>491</v>
      </c>
      <c r="C168" s="151" t="s">
        <v>1609</v>
      </c>
      <c r="D168" s="149"/>
      <c r="E168" s="149"/>
      <c r="F168" s="149"/>
      <c r="G168" s="152">
        <v>24249.43</v>
      </c>
      <c r="H168" s="149"/>
      <c r="I168" s="152">
        <v>0</v>
      </c>
    </row>
    <row r="169" spans="2:9" x14ac:dyDescent="0.25">
      <c r="B169" s="153" t="s">
        <v>492</v>
      </c>
      <c r="C169" s="153" t="s">
        <v>1610</v>
      </c>
      <c r="D169" s="153" t="s">
        <v>1389</v>
      </c>
      <c r="E169" s="154">
        <v>81.5</v>
      </c>
      <c r="F169" s="154">
        <v>243.6</v>
      </c>
      <c r="G169" s="154">
        <v>19853.400000000001</v>
      </c>
      <c r="H169" s="149"/>
      <c r="I169" s="149"/>
    </row>
    <row r="170" spans="2:9" x14ac:dyDescent="0.25">
      <c r="B170" s="153" t="s">
        <v>493</v>
      </c>
      <c r="C170" s="153" t="s">
        <v>1611</v>
      </c>
      <c r="D170" s="153" t="s">
        <v>1389</v>
      </c>
      <c r="E170" s="154">
        <v>16.5</v>
      </c>
      <c r="F170" s="154">
        <v>169.02</v>
      </c>
      <c r="G170" s="154">
        <v>2788.83</v>
      </c>
      <c r="H170" s="149"/>
      <c r="I170" s="149"/>
    </row>
    <row r="171" spans="2:9" x14ac:dyDescent="0.25">
      <c r="B171" s="153" t="s">
        <v>494</v>
      </c>
      <c r="C171" s="153" t="s">
        <v>1612</v>
      </c>
      <c r="D171" s="153" t="s">
        <v>1389</v>
      </c>
      <c r="E171" s="154">
        <v>98</v>
      </c>
      <c r="F171" s="154">
        <v>16.399999999999999</v>
      </c>
      <c r="G171" s="154">
        <v>1607.2</v>
      </c>
      <c r="H171" s="149"/>
      <c r="I171" s="149"/>
    </row>
    <row r="172" spans="2:9" x14ac:dyDescent="0.25">
      <c r="B172" s="151" t="s">
        <v>495</v>
      </c>
      <c r="C172" s="151" t="s">
        <v>341</v>
      </c>
      <c r="D172" s="149"/>
      <c r="E172" s="149"/>
      <c r="F172" s="149"/>
      <c r="G172" s="152">
        <v>132664.53</v>
      </c>
      <c r="H172" s="149"/>
      <c r="I172" s="152">
        <v>0</v>
      </c>
    </row>
    <row r="173" spans="2:9" x14ac:dyDescent="0.25">
      <c r="B173" s="155" t="s">
        <v>496</v>
      </c>
      <c r="C173" s="155" t="s">
        <v>296</v>
      </c>
      <c r="D173" s="149"/>
      <c r="E173" s="149"/>
      <c r="F173" s="149"/>
      <c r="G173" s="156">
        <v>52605.9</v>
      </c>
      <c r="H173" s="149"/>
      <c r="I173" s="156">
        <v>0</v>
      </c>
    </row>
    <row r="174" spans="2:9" x14ac:dyDescent="0.25">
      <c r="B174" s="153" t="s">
        <v>1613</v>
      </c>
      <c r="C174" s="153" t="s">
        <v>1614</v>
      </c>
      <c r="D174" s="153" t="s">
        <v>1458</v>
      </c>
      <c r="E174" s="154">
        <v>193</v>
      </c>
      <c r="F174" s="154">
        <v>59.66</v>
      </c>
      <c r="G174" s="154">
        <v>11514.38</v>
      </c>
      <c r="H174" s="149"/>
      <c r="I174" s="149"/>
    </row>
    <row r="175" spans="2:9" x14ac:dyDescent="0.25">
      <c r="B175" s="153" t="s">
        <v>1615</v>
      </c>
      <c r="C175" s="153" t="s">
        <v>1616</v>
      </c>
      <c r="D175" s="153" t="s">
        <v>1458</v>
      </c>
      <c r="E175" s="154">
        <v>219</v>
      </c>
      <c r="F175" s="154">
        <v>59.66</v>
      </c>
      <c r="G175" s="154">
        <v>13065.54</v>
      </c>
      <c r="H175" s="149"/>
      <c r="I175" s="149"/>
    </row>
    <row r="176" spans="2:9" x14ac:dyDescent="0.25">
      <c r="B176" s="153" t="s">
        <v>1617</v>
      </c>
      <c r="C176" s="153" t="s">
        <v>1618</v>
      </c>
      <c r="D176" s="153" t="s">
        <v>1458</v>
      </c>
      <c r="E176" s="154">
        <v>1</v>
      </c>
      <c r="F176" s="154">
        <v>59.66</v>
      </c>
      <c r="G176" s="154">
        <v>59.66</v>
      </c>
      <c r="H176" s="149"/>
      <c r="I176" s="149"/>
    </row>
    <row r="177" spans="2:9" x14ac:dyDescent="0.25">
      <c r="B177" s="153" t="s">
        <v>1619</v>
      </c>
      <c r="C177" s="153" t="s">
        <v>346</v>
      </c>
      <c r="D177" s="153" t="s">
        <v>1458</v>
      </c>
      <c r="E177" s="154">
        <v>282</v>
      </c>
      <c r="F177" s="154">
        <v>63.63</v>
      </c>
      <c r="G177" s="154">
        <v>17943.66</v>
      </c>
      <c r="H177" s="149"/>
      <c r="I177" s="149"/>
    </row>
    <row r="178" spans="2:9" x14ac:dyDescent="0.25">
      <c r="B178" s="153" t="s">
        <v>1620</v>
      </c>
      <c r="C178" s="153" t="s">
        <v>1621</v>
      </c>
      <c r="D178" s="153" t="s">
        <v>1458</v>
      </c>
      <c r="E178" s="154">
        <v>108</v>
      </c>
      <c r="F178" s="154">
        <v>64.63</v>
      </c>
      <c r="G178" s="154">
        <v>6980.04</v>
      </c>
      <c r="H178" s="149"/>
      <c r="I178" s="149"/>
    </row>
    <row r="179" spans="2:9" x14ac:dyDescent="0.25">
      <c r="B179" s="153" t="s">
        <v>1622</v>
      </c>
      <c r="C179" s="153" t="s">
        <v>345</v>
      </c>
      <c r="D179" s="153" t="s">
        <v>1458</v>
      </c>
      <c r="E179" s="154">
        <v>1</v>
      </c>
      <c r="F179" s="154">
        <v>59.66</v>
      </c>
      <c r="G179" s="154">
        <v>59.66</v>
      </c>
      <c r="H179" s="149"/>
      <c r="I179" s="149"/>
    </row>
    <row r="180" spans="2:9" x14ac:dyDescent="0.25">
      <c r="B180" s="153" t="s">
        <v>1623</v>
      </c>
      <c r="C180" s="153" t="s">
        <v>351</v>
      </c>
      <c r="D180" s="153" t="s">
        <v>1458</v>
      </c>
      <c r="E180" s="154">
        <v>41</v>
      </c>
      <c r="F180" s="154">
        <v>59.66</v>
      </c>
      <c r="G180" s="154">
        <v>2446.06</v>
      </c>
      <c r="H180" s="149"/>
      <c r="I180" s="149"/>
    </row>
    <row r="181" spans="2:9" x14ac:dyDescent="0.25">
      <c r="B181" s="153" t="s">
        <v>1624</v>
      </c>
      <c r="C181" s="153" t="s">
        <v>1625</v>
      </c>
      <c r="D181" s="153" t="s">
        <v>1458</v>
      </c>
      <c r="E181" s="154">
        <v>1</v>
      </c>
      <c r="F181" s="154">
        <v>149.13999999999999</v>
      </c>
      <c r="G181" s="154">
        <v>149.13999999999999</v>
      </c>
      <c r="H181" s="149"/>
      <c r="I181" s="149"/>
    </row>
    <row r="182" spans="2:9" x14ac:dyDescent="0.25">
      <c r="B182" s="153" t="s">
        <v>1626</v>
      </c>
      <c r="C182" s="153" t="s">
        <v>1627</v>
      </c>
      <c r="D182" s="153" t="s">
        <v>1458</v>
      </c>
      <c r="E182" s="154">
        <v>1</v>
      </c>
      <c r="F182" s="154">
        <v>149.13999999999999</v>
      </c>
      <c r="G182" s="154">
        <v>149.13999999999999</v>
      </c>
      <c r="H182" s="149"/>
      <c r="I182" s="149"/>
    </row>
    <row r="183" spans="2:9" x14ac:dyDescent="0.25">
      <c r="B183" s="153" t="s">
        <v>1628</v>
      </c>
      <c r="C183" s="153" t="s">
        <v>1629</v>
      </c>
      <c r="D183" s="153" t="s">
        <v>1458</v>
      </c>
      <c r="E183" s="154">
        <v>1</v>
      </c>
      <c r="F183" s="154">
        <v>149.13999999999999</v>
      </c>
      <c r="G183" s="154">
        <v>149.13999999999999</v>
      </c>
      <c r="H183" s="149"/>
      <c r="I183" s="149"/>
    </row>
    <row r="184" spans="2:9" x14ac:dyDescent="0.25">
      <c r="B184" s="153" t="s">
        <v>1630</v>
      </c>
      <c r="C184" s="153" t="s">
        <v>1631</v>
      </c>
      <c r="D184" s="153" t="s">
        <v>1458</v>
      </c>
      <c r="E184" s="154">
        <v>1</v>
      </c>
      <c r="F184" s="154">
        <v>89.48</v>
      </c>
      <c r="G184" s="154">
        <v>89.48</v>
      </c>
      <c r="H184" s="149"/>
      <c r="I184" s="149"/>
    </row>
    <row r="185" spans="2:9" x14ac:dyDescent="0.25">
      <c r="B185" s="155" t="s">
        <v>497</v>
      </c>
      <c r="C185" s="155" t="s">
        <v>1632</v>
      </c>
      <c r="D185" s="149"/>
      <c r="E185" s="149"/>
      <c r="F185" s="149"/>
      <c r="G185" s="156">
        <v>16306.24</v>
      </c>
      <c r="H185" s="149"/>
      <c r="I185" s="156">
        <v>0</v>
      </c>
    </row>
    <row r="186" spans="2:9" x14ac:dyDescent="0.25">
      <c r="B186" s="153" t="s">
        <v>1633</v>
      </c>
      <c r="C186" s="153" t="s">
        <v>1634</v>
      </c>
      <c r="D186" s="153" t="s">
        <v>1458</v>
      </c>
      <c r="E186" s="154">
        <v>175</v>
      </c>
      <c r="F186" s="154">
        <v>28.33</v>
      </c>
      <c r="G186" s="154">
        <v>4957.75</v>
      </c>
      <c r="H186" s="149"/>
      <c r="I186" s="149"/>
    </row>
    <row r="187" spans="2:9" x14ac:dyDescent="0.25">
      <c r="B187" s="153" t="s">
        <v>1635</v>
      </c>
      <c r="C187" s="153" t="s">
        <v>1636</v>
      </c>
      <c r="D187" s="153" t="s">
        <v>1458</v>
      </c>
      <c r="E187" s="154">
        <v>48</v>
      </c>
      <c r="F187" s="154">
        <v>41.26</v>
      </c>
      <c r="G187" s="154">
        <v>1980.48</v>
      </c>
      <c r="H187" s="149"/>
      <c r="I187" s="149"/>
    </row>
    <row r="188" spans="2:9" x14ac:dyDescent="0.25">
      <c r="B188" s="153" t="s">
        <v>1637</v>
      </c>
      <c r="C188" s="153" t="s">
        <v>1638</v>
      </c>
      <c r="D188" s="153" t="s">
        <v>1458</v>
      </c>
      <c r="E188" s="154">
        <v>22</v>
      </c>
      <c r="F188" s="154">
        <v>85.51</v>
      </c>
      <c r="G188" s="154">
        <v>1881.22</v>
      </c>
      <c r="H188" s="149"/>
      <c r="I188" s="149"/>
    </row>
    <row r="189" spans="2:9" x14ac:dyDescent="0.25">
      <c r="B189" s="153" t="s">
        <v>1639</v>
      </c>
      <c r="C189" s="153" t="s">
        <v>1640</v>
      </c>
      <c r="D189" s="153" t="s">
        <v>1458</v>
      </c>
      <c r="E189" s="154">
        <v>22</v>
      </c>
      <c r="F189" s="154">
        <v>303.25</v>
      </c>
      <c r="G189" s="154">
        <v>6671.5</v>
      </c>
      <c r="H189" s="149"/>
      <c r="I189" s="149"/>
    </row>
    <row r="190" spans="2:9" x14ac:dyDescent="0.25">
      <c r="B190" s="153" t="s">
        <v>1641</v>
      </c>
      <c r="C190" s="153" t="s">
        <v>1642</v>
      </c>
      <c r="D190" s="153" t="s">
        <v>1458</v>
      </c>
      <c r="E190" s="154">
        <v>1</v>
      </c>
      <c r="F190" s="154">
        <v>815.29</v>
      </c>
      <c r="G190" s="154">
        <v>815.29</v>
      </c>
      <c r="H190" s="149"/>
      <c r="I190" s="149"/>
    </row>
    <row r="191" spans="2:9" x14ac:dyDescent="0.25">
      <c r="B191" s="155" t="s">
        <v>498</v>
      </c>
      <c r="C191" s="155" t="s">
        <v>352</v>
      </c>
      <c r="D191" s="149"/>
      <c r="E191" s="149"/>
      <c r="F191" s="149"/>
      <c r="G191" s="156">
        <v>47287.33</v>
      </c>
      <c r="H191" s="149"/>
      <c r="I191" s="156">
        <v>0</v>
      </c>
    </row>
    <row r="192" spans="2:9" x14ac:dyDescent="0.25">
      <c r="B192" s="153" t="s">
        <v>1643</v>
      </c>
      <c r="C192" s="153" t="s">
        <v>1644</v>
      </c>
      <c r="D192" s="153" t="s">
        <v>1389</v>
      </c>
      <c r="E192" s="154">
        <v>1852</v>
      </c>
      <c r="F192" s="154">
        <v>9.24</v>
      </c>
      <c r="G192" s="154">
        <v>17112.48</v>
      </c>
      <c r="H192" s="149"/>
      <c r="I192" s="149"/>
    </row>
    <row r="193" spans="2:9" x14ac:dyDescent="0.25">
      <c r="B193" s="153" t="s">
        <v>1645</v>
      </c>
      <c r="C193" s="153" t="s">
        <v>1646</v>
      </c>
      <c r="D193" s="153" t="s">
        <v>1389</v>
      </c>
      <c r="E193" s="154">
        <v>2021</v>
      </c>
      <c r="F193" s="154">
        <v>12.03</v>
      </c>
      <c r="G193" s="154">
        <v>24312.63</v>
      </c>
      <c r="H193" s="149"/>
      <c r="I193" s="149"/>
    </row>
    <row r="194" spans="2:9" x14ac:dyDescent="0.25">
      <c r="B194" s="153" t="s">
        <v>1647</v>
      </c>
      <c r="C194" s="153" t="s">
        <v>1648</v>
      </c>
      <c r="D194" s="153" t="s">
        <v>1389</v>
      </c>
      <c r="E194" s="154">
        <v>6</v>
      </c>
      <c r="F194" s="154">
        <v>36.29</v>
      </c>
      <c r="G194" s="154">
        <v>217.74</v>
      </c>
      <c r="H194" s="149"/>
      <c r="I194" s="149"/>
    </row>
    <row r="195" spans="2:9" x14ac:dyDescent="0.25">
      <c r="B195" s="153" t="s">
        <v>1649</v>
      </c>
      <c r="C195" s="153" t="s">
        <v>1650</v>
      </c>
      <c r="D195" s="153" t="s">
        <v>1389</v>
      </c>
      <c r="E195" s="154">
        <v>152</v>
      </c>
      <c r="F195" s="154">
        <v>13.12</v>
      </c>
      <c r="G195" s="154">
        <v>1994.24</v>
      </c>
      <c r="H195" s="149"/>
      <c r="I195" s="149"/>
    </row>
    <row r="196" spans="2:9" x14ac:dyDescent="0.25">
      <c r="B196" s="153" t="s">
        <v>1651</v>
      </c>
      <c r="C196" s="153" t="s">
        <v>1652</v>
      </c>
      <c r="D196" s="153" t="s">
        <v>1389</v>
      </c>
      <c r="E196" s="154">
        <v>196</v>
      </c>
      <c r="F196" s="154">
        <v>16.7</v>
      </c>
      <c r="G196" s="154">
        <v>3273.2</v>
      </c>
      <c r="H196" s="149"/>
      <c r="I196" s="149"/>
    </row>
    <row r="197" spans="2:9" x14ac:dyDescent="0.25">
      <c r="B197" s="153" t="s">
        <v>1653</v>
      </c>
      <c r="C197" s="153" t="s">
        <v>1654</v>
      </c>
      <c r="D197" s="153" t="s">
        <v>1389</v>
      </c>
      <c r="E197" s="154">
        <v>6</v>
      </c>
      <c r="F197" s="154">
        <v>62.84</v>
      </c>
      <c r="G197" s="154">
        <v>377.04</v>
      </c>
      <c r="H197" s="149"/>
      <c r="I197" s="149"/>
    </row>
    <row r="198" spans="2:9" x14ac:dyDescent="0.25">
      <c r="B198" s="155" t="s">
        <v>499</v>
      </c>
      <c r="C198" s="155" t="s">
        <v>1655</v>
      </c>
      <c r="D198" s="149"/>
      <c r="E198" s="149"/>
      <c r="F198" s="149"/>
      <c r="G198" s="156">
        <v>16465.060000000001</v>
      </c>
      <c r="H198" s="149"/>
      <c r="I198" s="156">
        <v>0</v>
      </c>
    </row>
    <row r="199" spans="2:9" x14ac:dyDescent="0.25">
      <c r="B199" s="153" t="s">
        <v>1656</v>
      </c>
      <c r="C199" s="153" t="s">
        <v>1657</v>
      </c>
      <c r="D199" s="153" t="s">
        <v>1389</v>
      </c>
      <c r="E199" s="154">
        <v>73.599999999999994</v>
      </c>
      <c r="F199" s="154">
        <v>223.71</v>
      </c>
      <c r="G199" s="154">
        <v>16465.060000000001</v>
      </c>
      <c r="H199" s="149"/>
      <c r="I199" s="149"/>
    </row>
    <row r="200" spans="2:9" x14ac:dyDescent="0.25">
      <c r="B200" s="151" t="s">
        <v>503</v>
      </c>
      <c r="C200" s="151" t="s">
        <v>1658</v>
      </c>
      <c r="D200" s="149"/>
      <c r="E200" s="149"/>
      <c r="F200" s="149"/>
      <c r="G200" s="152">
        <v>49601.08</v>
      </c>
      <c r="H200" s="149"/>
      <c r="I200" s="152">
        <v>0</v>
      </c>
    </row>
    <row r="201" spans="2:9" x14ac:dyDescent="0.25">
      <c r="B201" s="155" t="s">
        <v>504</v>
      </c>
      <c r="C201" s="155" t="s">
        <v>296</v>
      </c>
      <c r="D201" s="149"/>
      <c r="E201" s="149"/>
      <c r="F201" s="149"/>
      <c r="G201" s="156">
        <v>28924.97</v>
      </c>
      <c r="H201" s="149"/>
      <c r="I201" s="156">
        <v>0</v>
      </c>
    </row>
    <row r="202" spans="2:9" x14ac:dyDescent="0.25">
      <c r="B202" s="153" t="s">
        <v>505</v>
      </c>
      <c r="C202" s="153" t="s">
        <v>1659</v>
      </c>
      <c r="D202" s="153" t="s">
        <v>1458</v>
      </c>
      <c r="E202" s="154">
        <v>1</v>
      </c>
      <c r="F202" s="154">
        <v>119.31</v>
      </c>
      <c r="G202" s="154">
        <v>119.31</v>
      </c>
      <c r="H202" s="149"/>
      <c r="I202" s="149"/>
    </row>
    <row r="203" spans="2:9" x14ac:dyDescent="0.25">
      <c r="B203" s="153" t="s">
        <v>506</v>
      </c>
      <c r="C203" s="153" t="s">
        <v>1660</v>
      </c>
      <c r="D203" s="153" t="s">
        <v>1458</v>
      </c>
      <c r="E203" s="154">
        <v>249</v>
      </c>
      <c r="F203" s="154">
        <v>59.66</v>
      </c>
      <c r="G203" s="154">
        <v>14855.34</v>
      </c>
      <c r="H203" s="149"/>
      <c r="I203" s="149"/>
    </row>
    <row r="204" spans="2:9" x14ac:dyDescent="0.25">
      <c r="B204" s="153" t="s">
        <v>507</v>
      </c>
      <c r="C204" s="153" t="s">
        <v>1661</v>
      </c>
      <c r="D204" s="153" t="s">
        <v>1458</v>
      </c>
      <c r="E204" s="154">
        <v>108</v>
      </c>
      <c r="F204" s="154">
        <v>59.66</v>
      </c>
      <c r="G204" s="154">
        <v>6443.28</v>
      </c>
      <c r="H204" s="149"/>
      <c r="I204" s="149"/>
    </row>
    <row r="205" spans="2:9" x14ac:dyDescent="0.25">
      <c r="B205" s="153" t="s">
        <v>508</v>
      </c>
      <c r="C205" s="153" t="s">
        <v>1662</v>
      </c>
      <c r="D205" s="153" t="s">
        <v>1458</v>
      </c>
      <c r="E205" s="154">
        <v>43</v>
      </c>
      <c r="F205" s="154">
        <v>59.66</v>
      </c>
      <c r="G205" s="154">
        <v>2565.38</v>
      </c>
      <c r="H205" s="149"/>
      <c r="I205" s="149"/>
    </row>
    <row r="206" spans="2:9" x14ac:dyDescent="0.25">
      <c r="B206" s="153" t="s">
        <v>509</v>
      </c>
      <c r="C206" s="153" t="s">
        <v>1663</v>
      </c>
      <c r="D206" s="153" t="s">
        <v>1458</v>
      </c>
      <c r="E206" s="154">
        <v>1</v>
      </c>
      <c r="F206" s="154">
        <v>79.540000000000006</v>
      </c>
      <c r="G206" s="154">
        <v>79.540000000000006</v>
      </c>
      <c r="H206" s="149"/>
      <c r="I206" s="149"/>
    </row>
    <row r="207" spans="2:9" x14ac:dyDescent="0.25">
      <c r="B207" s="153" t="s">
        <v>510</v>
      </c>
      <c r="C207" s="153" t="s">
        <v>1664</v>
      </c>
      <c r="D207" s="153" t="s">
        <v>1458</v>
      </c>
      <c r="E207" s="154">
        <v>41</v>
      </c>
      <c r="F207" s="154">
        <v>59.66</v>
      </c>
      <c r="G207" s="154">
        <v>2446.06</v>
      </c>
      <c r="H207" s="149"/>
      <c r="I207" s="149"/>
    </row>
    <row r="208" spans="2:9" x14ac:dyDescent="0.25">
      <c r="B208" s="153" t="s">
        <v>511</v>
      </c>
      <c r="C208" s="153" t="s">
        <v>1665</v>
      </c>
      <c r="D208" s="153" t="s">
        <v>1458</v>
      </c>
      <c r="E208" s="154">
        <v>26</v>
      </c>
      <c r="F208" s="154">
        <v>74.569999999999993</v>
      </c>
      <c r="G208" s="154">
        <v>1938.82</v>
      </c>
      <c r="H208" s="149"/>
      <c r="I208" s="149"/>
    </row>
    <row r="209" spans="2:9" x14ac:dyDescent="0.25">
      <c r="B209" s="153" t="s">
        <v>512</v>
      </c>
      <c r="C209" s="153" t="s">
        <v>1666</v>
      </c>
      <c r="D209" s="153" t="s">
        <v>1458</v>
      </c>
      <c r="E209" s="154">
        <v>4</v>
      </c>
      <c r="F209" s="154">
        <v>119.31</v>
      </c>
      <c r="G209" s="154">
        <v>477.24</v>
      </c>
      <c r="H209" s="149"/>
      <c r="I209" s="149"/>
    </row>
    <row r="210" spans="2:9" x14ac:dyDescent="0.25">
      <c r="B210" s="155" t="s">
        <v>520</v>
      </c>
      <c r="C210" s="155" t="s">
        <v>352</v>
      </c>
      <c r="D210" s="149"/>
      <c r="E210" s="149"/>
      <c r="F210" s="149"/>
      <c r="G210" s="156">
        <v>18660.47</v>
      </c>
      <c r="H210" s="149"/>
      <c r="I210" s="156">
        <v>0</v>
      </c>
    </row>
    <row r="211" spans="2:9" x14ac:dyDescent="0.25">
      <c r="B211" s="153" t="s">
        <v>521</v>
      </c>
      <c r="C211" s="153" t="s">
        <v>1644</v>
      </c>
      <c r="D211" s="153" t="s">
        <v>1389</v>
      </c>
      <c r="E211" s="154">
        <v>1685</v>
      </c>
      <c r="F211" s="154">
        <v>9.24</v>
      </c>
      <c r="G211" s="154">
        <v>15569.4</v>
      </c>
      <c r="H211" s="149"/>
      <c r="I211" s="149"/>
    </row>
    <row r="212" spans="2:9" x14ac:dyDescent="0.25">
      <c r="B212" s="153" t="s">
        <v>522</v>
      </c>
      <c r="C212" s="153" t="s">
        <v>1646</v>
      </c>
      <c r="D212" s="153" t="s">
        <v>1389</v>
      </c>
      <c r="E212" s="154">
        <v>65</v>
      </c>
      <c r="F212" s="154">
        <v>12.03</v>
      </c>
      <c r="G212" s="154">
        <v>781.95</v>
      </c>
      <c r="H212" s="149"/>
      <c r="I212" s="149"/>
    </row>
    <row r="213" spans="2:9" x14ac:dyDescent="0.25">
      <c r="B213" s="153" t="s">
        <v>523</v>
      </c>
      <c r="C213" s="153" t="s">
        <v>1650</v>
      </c>
      <c r="D213" s="153" t="s">
        <v>1389</v>
      </c>
      <c r="E213" s="154">
        <v>176</v>
      </c>
      <c r="F213" s="154">
        <v>13.12</v>
      </c>
      <c r="G213" s="154">
        <v>2309.12</v>
      </c>
      <c r="H213" s="149"/>
      <c r="I213" s="149"/>
    </row>
    <row r="214" spans="2:9" x14ac:dyDescent="0.25">
      <c r="B214" s="155" t="s">
        <v>529</v>
      </c>
      <c r="C214" s="155" t="s">
        <v>1632</v>
      </c>
      <c r="D214" s="149"/>
      <c r="E214" s="149"/>
      <c r="F214" s="149"/>
      <c r="G214" s="156">
        <v>2015.64</v>
      </c>
      <c r="H214" s="149"/>
      <c r="I214" s="156">
        <v>0</v>
      </c>
    </row>
    <row r="215" spans="2:9" x14ac:dyDescent="0.25">
      <c r="B215" s="153" t="s">
        <v>530</v>
      </c>
      <c r="C215" s="153" t="s">
        <v>1667</v>
      </c>
      <c r="D215" s="153" t="s">
        <v>1458</v>
      </c>
      <c r="E215" s="154">
        <v>26</v>
      </c>
      <c r="F215" s="154">
        <v>28.33</v>
      </c>
      <c r="G215" s="154">
        <v>736.58</v>
      </c>
      <c r="H215" s="149"/>
      <c r="I215" s="149"/>
    </row>
    <row r="216" spans="2:9" x14ac:dyDescent="0.25">
      <c r="B216" s="153" t="s">
        <v>531</v>
      </c>
      <c r="C216" s="153" t="s">
        <v>1668</v>
      </c>
      <c r="D216" s="153" t="s">
        <v>1458</v>
      </c>
      <c r="E216" s="154">
        <v>31</v>
      </c>
      <c r="F216" s="154">
        <v>41.26</v>
      </c>
      <c r="G216" s="154">
        <v>1279.06</v>
      </c>
      <c r="H216" s="149"/>
      <c r="I216" s="149"/>
    </row>
    <row r="217" spans="2:9" x14ac:dyDescent="0.25">
      <c r="B217" s="151" t="s">
        <v>532</v>
      </c>
      <c r="C217" s="151" t="s">
        <v>1360</v>
      </c>
      <c r="D217" s="149"/>
      <c r="E217" s="149"/>
      <c r="F217" s="149"/>
      <c r="G217" s="152">
        <v>24359.14</v>
      </c>
      <c r="H217" s="149"/>
      <c r="I217" s="152">
        <v>0</v>
      </c>
    </row>
    <row r="218" spans="2:9" x14ac:dyDescent="0.25">
      <c r="B218" s="153" t="s">
        <v>533</v>
      </c>
      <c r="C218" s="153" t="s">
        <v>1879</v>
      </c>
      <c r="D218" s="153" t="s">
        <v>294</v>
      </c>
      <c r="E218" s="154">
        <v>1</v>
      </c>
      <c r="F218" s="154">
        <v>6462.63</v>
      </c>
      <c r="G218" s="154">
        <v>6462.63</v>
      </c>
      <c r="H218" s="149"/>
      <c r="I218" s="149"/>
    </row>
    <row r="219" spans="2:9" x14ac:dyDescent="0.25">
      <c r="B219" s="153" t="s">
        <v>534</v>
      </c>
      <c r="C219" s="153" t="s">
        <v>354</v>
      </c>
      <c r="D219" s="153" t="s">
        <v>294</v>
      </c>
      <c r="E219" s="154">
        <v>1</v>
      </c>
      <c r="F219" s="154">
        <v>8451.1299999999992</v>
      </c>
      <c r="G219" s="154">
        <v>8451.1299999999992</v>
      </c>
      <c r="H219" s="149"/>
      <c r="I219" s="149"/>
    </row>
    <row r="220" spans="2:9" x14ac:dyDescent="0.25">
      <c r="B220" s="153" t="s">
        <v>535</v>
      </c>
      <c r="C220" s="153" t="s">
        <v>1669</v>
      </c>
      <c r="D220" s="153" t="s">
        <v>294</v>
      </c>
      <c r="E220" s="154">
        <v>1</v>
      </c>
      <c r="F220" s="154">
        <v>9445.3799999999992</v>
      </c>
      <c r="G220" s="154">
        <v>9445.3799999999992</v>
      </c>
      <c r="H220" s="149"/>
      <c r="I220" s="149"/>
    </row>
    <row r="221" spans="2:9" x14ac:dyDescent="0.25">
      <c r="B221" s="151" t="s">
        <v>536</v>
      </c>
      <c r="C221" s="151" t="s">
        <v>26</v>
      </c>
      <c r="D221" s="149"/>
      <c r="E221" s="149"/>
      <c r="F221" s="149"/>
      <c r="G221" s="152">
        <v>44940</v>
      </c>
      <c r="H221" s="149"/>
      <c r="I221" s="152">
        <v>8450</v>
      </c>
    </row>
    <row r="222" spans="2:9" x14ac:dyDescent="0.25">
      <c r="B222" s="153" t="s">
        <v>537</v>
      </c>
      <c r="C222" s="153" t="s">
        <v>1938</v>
      </c>
      <c r="D222" s="153" t="s">
        <v>294</v>
      </c>
      <c r="E222" s="154">
        <v>1</v>
      </c>
      <c r="F222" s="154">
        <v>44940</v>
      </c>
      <c r="G222" s="154">
        <v>44940</v>
      </c>
      <c r="H222" s="154">
        <v>0</v>
      </c>
      <c r="I222" s="154">
        <v>0</v>
      </c>
    </row>
    <row r="223" spans="2:9" x14ac:dyDescent="0.25">
      <c r="B223" s="153" t="s">
        <v>538</v>
      </c>
      <c r="C223" s="153" t="s">
        <v>1670</v>
      </c>
      <c r="D223" s="153" t="s">
        <v>294</v>
      </c>
      <c r="E223" s="154">
        <v>1</v>
      </c>
      <c r="F223" s="154">
        <v>0</v>
      </c>
      <c r="G223" s="154">
        <v>0</v>
      </c>
      <c r="H223" s="154">
        <v>8450</v>
      </c>
      <c r="I223" s="154">
        <v>8450</v>
      </c>
    </row>
    <row r="224" spans="2:9" x14ac:dyDescent="0.25">
      <c r="B224" s="151" t="s">
        <v>546</v>
      </c>
      <c r="C224" s="151" t="s">
        <v>1939</v>
      </c>
      <c r="D224" s="149"/>
      <c r="E224" s="149"/>
      <c r="F224" s="149"/>
      <c r="G224" s="152">
        <v>1029.6400000000001</v>
      </c>
      <c r="H224" s="149"/>
      <c r="I224" s="152">
        <v>0</v>
      </c>
    </row>
    <row r="225" spans="2:9" x14ac:dyDescent="0.25">
      <c r="B225" s="155" t="s">
        <v>547</v>
      </c>
      <c r="C225" s="155" t="s">
        <v>296</v>
      </c>
      <c r="D225" s="149"/>
      <c r="E225" s="149"/>
      <c r="F225" s="149"/>
      <c r="G225" s="156">
        <v>1029.6400000000001</v>
      </c>
      <c r="H225" s="149"/>
      <c r="I225" s="156">
        <v>0</v>
      </c>
    </row>
    <row r="226" spans="2:9" x14ac:dyDescent="0.25">
      <c r="B226" s="153" t="s">
        <v>1317</v>
      </c>
      <c r="C226" s="153" t="s">
        <v>1940</v>
      </c>
      <c r="D226" s="153" t="s">
        <v>1458</v>
      </c>
      <c r="E226" s="154">
        <v>3</v>
      </c>
      <c r="F226" s="154">
        <v>62</v>
      </c>
      <c r="G226" s="154">
        <v>186</v>
      </c>
      <c r="H226" s="149"/>
      <c r="I226" s="149"/>
    </row>
    <row r="227" spans="2:9" x14ac:dyDescent="0.25">
      <c r="B227" s="153" t="s">
        <v>1319</v>
      </c>
      <c r="C227" s="153" t="s">
        <v>1941</v>
      </c>
      <c r="D227" s="153" t="s">
        <v>1458</v>
      </c>
      <c r="E227" s="154">
        <v>1</v>
      </c>
      <c r="F227" s="154">
        <v>420</v>
      </c>
      <c r="G227" s="154">
        <v>420</v>
      </c>
      <c r="H227" s="149"/>
      <c r="I227" s="149"/>
    </row>
    <row r="228" spans="2:9" x14ac:dyDescent="0.25">
      <c r="B228" s="153" t="s">
        <v>1321</v>
      </c>
      <c r="C228" s="153" t="s">
        <v>1650</v>
      </c>
      <c r="D228" s="153" t="s">
        <v>1389</v>
      </c>
      <c r="E228" s="154">
        <v>26</v>
      </c>
      <c r="F228" s="154">
        <v>13.12</v>
      </c>
      <c r="G228" s="154">
        <v>341.12</v>
      </c>
      <c r="H228" s="149"/>
      <c r="I228" s="149"/>
    </row>
    <row r="229" spans="2:9" x14ac:dyDescent="0.25">
      <c r="B229" s="153" t="s">
        <v>1323</v>
      </c>
      <c r="C229" s="153" t="s">
        <v>1942</v>
      </c>
      <c r="D229" s="153" t="s">
        <v>1458</v>
      </c>
      <c r="E229" s="154">
        <v>2</v>
      </c>
      <c r="F229" s="154">
        <v>41.26</v>
      </c>
      <c r="G229" s="154">
        <v>82.52</v>
      </c>
      <c r="H229" s="149"/>
      <c r="I229" s="149"/>
    </row>
    <row r="230" spans="2:9" x14ac:dyDescent="0.25">
      <c r="B230" s="151" t="s">
        <v>548</v>
      </c>
      <c r="C230" s="151" t="s">
        <v>1943</v>
      </c>
      <c r="D230" s="149"/>
      <c r="E230" s="149"/>
      <c r="F230" s="149"/>
      <c r="G230" s="152">
        <v>5133</v>
      </c>
      <c r="H230" s="149"/>
      <c r="I230" s="152">
        <v>8830.82</v>
      </c>
    </row>
    <row r="231" spans="2:9" x14ac:dyDescent="0.25">
      <c r="B231" s="153" t="s">
        <v>1935</v>
      </c>
      <c r="C231" s="153" t="s">
        <v>1944</v>
      </c>
      <c r="D231" s="153" t="s">
        <v>53</v>
      </c>
      <c r="E231" s="154">
        <v>75</v>
      </c>
      <c r="F231" s="154">
        <v>0</v>
      </c>
      <c r="G231" s="154">
        <v>0</v>
      </c>
      <c r="H231" s="154">
        <v>27.12</v>
      </c>
      <c r="I231" s="154">
        <v>2034</v>
      </c>
    </row>
    <row r="232" spans="2:9" x14ac:dyDescent="0.25">
      <c r="B232" s="153" t="s">
        <v>1356</v>
      </c>
      <c r="C232" s="153" t="s">
        <v>1945</v>
      </c>
      <c r="D232" s="153" t="s">
        <v>53</v>
      </c>
      <c r="E232" s="154">
        <v>278</v>
      </c>
      <c r="F232" s="154">
        <v>0</v>
      </c>
      <c r="G232" s="154">
        <v>0</v>
      </c>
      <c r="H232" s="154">
        <v>10.43</v>
      </c>
      <c r="I232" s="154">
        <v>2899.54</v>
      </c>
    </row>
    <row r="233" spans="2:9" x14ac:dyDescent="0.25">
      <c r="B233" s="153" t="s">
        <v>1358</v>
      </c>
      <c r="C233" s="153" t="s">
        <v>1946</v>
      </c>
      <c r="D233" s="153" t="s">
        <v>53</v>
      </c>
      <c r="E233" s="154">
        <v>7</v>
      </c>
      <c r="F233" s="154">
        <v>0</v>
      </c>
      <c r="G233" s="154">
        <v>0</v>
      </c>
      <c r="H233" s="154">
        <v>5.4</v>
      </c>
      <c r="I233" s="154">
        <v>37.799999999999997</v>
      </c>
    </row>
    <row r="234" spans="2:9" x14ac:dyDescent="0.25">
      <c r="B234" s="153" t="s">
        <v>1947</v>
      </c>
      <c r="C234" s="153" t="s">
        <v>1948</v>
      </c>
      <c r="D234" s="153" t="s">
        <v>53</v>
      </c>
      <c r="E234" s="154">
        <v>5</v>
      </c>
      <c r="F234" s="154">
        <v>0</v>
      </c>
      <c r="G234" s="154">
        <v>0</v>
      </c>
      <c r="H234" s="154">
        <v>49.8</v>
      </c>
      <c r="I234" s="154">
        <v>249</v>
      </c>
    </row>
    <row r="235" spans="2:9" x14ac:dyDescent="0.25">
      <c r="B235" s="153" t="s">
        <v>1949</v>
      </c>
      <c r="C235" s="153" t="s">
        <v>1950</v>
      </c>
      <c r="D235" s="153" t="s">
        <v>53</v>
      </c>
      <c r="E235" s="154">
        <v>2.4500000000000002</v>
      </c>
      <c r="F235" s="154">
        <v>0</v>
      </c>
      <c r="G235" s="154">
        <v>0</v>
      </c>
      <c r="H235" s="154">
        <v>30.35</v>
      </c>
      <c r="I235" s="154">
        <v>74.36</v>
      </c>
    </row>
    <row r="236" spans="2:9" x14ac:dyDescent="0.25">
      <c r="B236" s="153" t="s">
        <v>1951</v>
      </c>
      <c r="C236" s="153" t="s">
        <v>1952</v>
      </c>
      <c r="D236" s="153" t="s">
        <v>53</v>
      </c>
      <c r="E236" s="154">
        <v>18</v>
      </c>
      <c r="F236" s="154">
        <v>0</v>
      </c>
      <c r="G236" s="154">
        <v>0</v>
      </c>
      <c r="H236" s="154">
        <v>5.04</v>
      </c>
      <c r="I236" s="154">
        <v>90.72</v>
      </c>
    </row>
    <row r="237" spans="2:9" x14ac:dyDescent="0.25">
      <c r="B237" s="153" t="s">
        <v>1953</v>
      </c>
      <c r="C237" s="153" t="s">
        <v>1954</v>
      </c>
      <c r="D237" s="153" t="s">
        <v>53</v>
      </c>
      <c r="E237" s="154">
        <v>4</v>
      </c>
      <c r="F237" s="154">
        <v>0</v>
      </c>
      <c r="G237" s="154">
        <v>0</v>
      </c>
      <c r="H237" s="154">
        <v>106.84</v>
      </c>
      <c r="I237" s="154">
        <v>427.36</v>
      </c>
    </row>
    <row r="238" spans="2:9" x14ac:dyDescent="0.25">
      <c r="B238" s="153" t="s">
        <v>1955</v>
      </c>
      <c r="C238" s="153" t="s">
        <v>1956</v>
      </c>
      <c r="D238" s="153" t="s">
        <v>53</v>
      </c>
      <c r="E238" s="154">
        <v>5</v>
      </c>
      <c r="F238" s="154">
        <v>0</v>
      </c>
      <c r="G238" s="154">
        <v>0</v>
      </c>
      <c r="H238" s="154">
        <v>8</v>
      </c>
      <c r="I238" s="154">
        <v>40</v>
      </c>
    </row>
    <row r="239" spans="2:9" x14ac:dyDescent="0.25">
      <c r="B239" s="153" t="s">
        <v>1957</v>
      </c>
      <c r="C239" s="153" t="s">
        <v>1958</v>
      </c>
      <c r="D239" s="153" t="s">
        <v>53</v>
      </c>
      <c r="E239" s="154">
        <v>9.86</v>
      </c>
      <c r="F239" s="154">
        <v>0</v>
      </c>
      <c r="G239" s="154">
        <v>0</v>
      </c>
      <c r="H239" s="154">
        <v>30.35</v>
      </c>
      <c r="I239" s="154">
        <v>299.25</v>
      </c>
    </row>
    <row r="240" spans="2:9" x14ac:dyDescent="0.25">
      <c r="B240" s="153" t="s">
        <v>1959</v>
      </c>
      <c r="C240" s="153" t="s">
        <v>1960</v>
      </c>
      <c r="D240" s="153" t="s">
        <v>53</v>
      </c>
      <c r="E240" s="154">
        <v>11</v>
      </c>
      <c r="F240" s="154">
        <v>0</v>
      </c>
      <c r="G240" s="154">
        <v>0</v>
      </c>
      <c r="H240" s="154">
        <v>11.85</v>
      </c>
      <c r="I240" s="154">
        <v>130.35</v>
      </c>
    </row>
    <row r="241" spans="2:9" x14ac:dyDescent="0.25">
      <c r="B241" s="153" t="s">
        <v>1961</v>
      </c>
      <c r="C241" s="153" t="s">
        <v>1962</v>
      </c>
      <c r="D241" s="153" t="s">
        <v>53</v>
      </c>
      <c r="E241" s="154">
        <v>5</v>
      </c>
      <c r="F241" s="154">
        <v>0</v>
      </c>
      <c r="G241" s="154">
        <v>0</v>
      </c>
      <c r="H241" s="154">
        <v>11.85</v>
      </c>
      <c r="I241" s="154">
        <v>59.25</v>
      </c>
    </row>
    <row r="242" spans="2:9" x14ac:dyDescent="0.25">
      <c r="B242" s="153" t="s">
        <v>1963</v>
      </c>
      <c r="C242" s="153" t="s">
        <v>1964</v>
      </c>
      <c r="D242" s="153" t="s">
        <v>53</v>
      </c>
      <c r="E242" s="154">
        <v>8</v>
      </c>
      <c r="F242" s="154">
        <v>0</v>
      </c>
      <c r="G242" s="154">
        <v>0</v>
      </c>
      <c r="H242" s="154">
        <v>11.85</v>
      </c>
      <c r="I242" s="154">
        <v>94.8</v>
      </c>
    </row>
    <row r="243" spans="2:9" x14ac:dyDescent="0.25">
      <c r="B243" s="153" t="s">
        <v>1965</v>
      </c>
      <c r="C243" s="153" t="s">
        <v>1966</v>
      </c>
      <c r="D243" s="153" t="s">
        <v>53</v>
      </c>
      <c r="E243" s="154">
        <v>8</v>
      </c>
      <c r="F243" s="154">
        <v>0</v>
      </c>
      <c r="G243" s="154">
        <v>0</v>
      </c>
      <c r="H243" s="154">
        <v>12.96</v>
      </c>
      <c r="I243" s="154">
        <v>103.68</v>
      </c>
    </row>
    <row r="244" spans="2:9" x14ac:dyDescent="0.25">
      <c r="B244" s="153" t="s">
        <v>1967</v>
      </c>
      <c r="C244" s="153" t="s">
        <v>1968</v>
      </c>
      <c r="D244" s="153" t="s">
        <v>53</v>
      </c>
      <c r="E244" s="154">
        <v>5</v>
      </c>
      <c r="F244" s="154">
        <v>0</v>
      </c>
      <c r="G244" s="154">
        <v>0</v>
      </c>
      <c r="H244" s="154">
        <v>11.85</v>
      </c>
      <c r="I244" s="154">
        <v>59.25</v>
      </c>
    </row>
    <row r="245" spans="2:9" x14ac:dyDescent="0.25">
      <c r="B245" s="153" t="s">
        <v>1969</v>
      </c>
      <c r="C245" s="153" t="s">
        <v>1970</v>
      </c>
      <c r="D245" s="153" t="s">
        <v>53</v>
      </c>
      <c r="E245" s="154">
        <v>885</v>
      </c>
      <c r="F245" s="154">
        <v>5.8</v>
      </c>
      <c r="G245" s="154">
        <v>5133</v>
      </c>
      <c r="H245" s="154">
        <v>0</v>
      </c>
      <c r="I245" s="154">
        <v>0</v>
      </c>
    </row>
    <row r="246" spans="2:9" x14ac:dyDescent="0.25">
      <c r="B246" s="153" t="s">
        <v>1971</v>
      </c>
      <c r="C246" s="153" t="s">
        <v>1972</v>
      </c>
      <c r="D246" s="153" t="s">
        <v>53</v>
      </c>
      <c r="E246" s="154">
        <v>231</v>
      </c>
      <c r="F246" s="154">
        <v>0</v>
      </c>
      <c r="G246" s="154">
        <v>0</v>
      </c>
      <c r="H246" s="154">
        <v>5.4</v>
      </c>
      <c r="I246" s="154">
        <v>1247.4000000000001</v>
      </c>
    </row>
    <row r="247" spans="2:9" x14ac:dyDescent="0.25">
      <c r="B247" s="153" t="s">
        <v>1973</v>
      </c>
      <c r="C247" s="153" t="s">
        <v>1974</v>
      </c>
      <c r="D247" s="153" t="s">
        <v>53</v>
      </c>
      <c r="E247" s="154">
        <v>42</v>
      </c>
      <c r="F247" s="154">
        <v>0</v>
      </c>
      <c r="G247" s="154">
        <v>0</v>
      </c>
      <c r="H247" s="154">
        <v>5.79</v>
      </c>
      <c r="I247" s="154">
        <v>243.18</v>
      </c>
    </row>
    <row r="248" spans="2:9" x14ac:dyDescent="0.25">
      <c r="B248" s="153" t="s">
        <v>1975</v>
      </c>
      <c r="C248" s="153" t="s">
        <v>1976</v>
      </c>
      <c r="D248" s="153" t="s">
        <v>53</v>
      </c>
      <c r="E248" s="154">
        <v>147</v>
      </c>
      <c r="F248" s="154">
        <v>0</v>
      </c>
      <c r="G248" s="154">
        <v>0</v>
      </c>
      <c r="H248" s="154">
        <v>5.04</v>
      </c>
      <c r="I248" s="154">
        <v>740.88</v>
      </c>
    </row>
  </sheetData>
  <autoFilter ref="B6:I222" xr:uid="{558A9A8D-B64D-4B16-9285-E3FAC9C6A8BF}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4248-94B4-48BB-9EFD-1BA4C9AA1C34}">
  <dimension ref="B1:I170"/>
  <sheetViews>
    <sheetView workbookViewId="0">
      <selection activeCell="K13" sqref="K13"/>
    </sheetView>
  </sheetViews>
  <sheetFormatPr defaultColWidth="11.42578125" defaultRowHeight="15" x14ac:dyDescent="0.25"/>
  <cols>
    <col min="3" max="3" width="52.140625" customWidth="1"/>
    <col min="4" max="4" width="4.140625" bestFit="1" customWidth="1"/>
    <col min="5" max="5" width="7" bestFit="1" customWidth="1"/>
    <col min="6" max="6" width="8.140625" bestFit="1" customWidth="1"/>
    <col min="7" max="7" width="8.7109375" bestFit="1" customWidth="1"/>
    <col min="8" max="8" width="8.28515625" bestFit="1" customWidth="1"/>
    <col min="9" max="9" width="8.7109375" bestFit="1" customWidth="1"/>
  </cols>
  <sheetData>
    <row r="1" spans="2:9" ht="16.5" x14ac:dyDescent="0.25">
      <c r="B1" s="190" t="s">
        <v>1671</v>
      </c>
      <c r="C1" s="191"/>
      <c r="D1" s="191"/>
      <c r="E1" s="117"/>
      <c r="F1" s="118"/>
      <c r="G1" s="119"/>
      <c r="H1" s="117"/>
      <c r="I1" s="117"/>
    </row>
    <row r="2" spans="2:9" x14ac:dyDescent="0.25">
      <c r="B2" s="120"/>
      <c r="C2" s="121"/>
      <c r="D2" s="121"/>
      <c r="E2" s="117"/>
      <c r="F2" s="118"/>
      <c r="G2" s="119"/>
      <c r="H2" s="117"/>
      <c r="I2" s="117"/>
    </row>
    <row r="3" spans="2:9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9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9" ht="16.5" x14ac:dyDescent="0.25">
      <c r="B5" s="138" t="s">
        <v>722</v>
      </c>
      <c r="C5" s="139" t="s">
        <v>723</v>
      </c>
      <c r="D5" s="140"/>
      <c r="E5" s="144"/>
      <c r="F5" s="144"/>
      <c r="G5" s="144"/>
      <c r="H5" s="145" t="s">
        <v>724</v>
      </c>
      <c r="I5" s="146" t="s">
        <v>2177</v>
      </c>
    </row>
    <row r="6" spans="2:9" x14ac:dyDescent="0.25">
      <c r="B6" s="159" t="s">
        <v>2</v>
      </c>
      <c r="C6" s="159" t="s">
        <v>3</v>
      </c>
      <c r="D6" s="159" t="s">
        <v>0</v>
      </c>
      <c r="E6" s="160" t="s">
        <v>4</v>
      </c>
      <c r="F6" s="160" t="s">
        <v>5</v>
      </c>
      <c r="G6" s="160" t="s">
        <v>6</v>
      </c>
      <c r="H6" s="160" t="s">
        <v>7</v>
      </c>
      <c r="I6" s="160" t="s">
        <v>8</v>
      </c>
    </row>
    <row r="7" spans="2:9" x14ac:dyDescent="0.25">
      <c r="B7" s="148" t="s">
        <v>9</v>
      </c>
      <c r="C7" s="148" t="s">
        <v>1</v>
      </c>
      <c r="D7" s="149"/>
      <c r="E7" s="149"/>
      <c r="F7" s="149"/>
      <c r="G7" s="150">
        <v>679904.36</v>
      </c>
      <c r="H7" s="149"/>
      <c r="I7" s="150">
        <v>40836.519999999997</v>
      </c>
    </row>
    <row r="8" spans="2:9" x14ac:dyDescent="0.25">
      <c r="B8" s="151" t="s">
        <v>11</v>
      </c>
      <c r="C8" s="151" t="s">
        <v>1230</v>
      </c>
      <c r="D8" s="149"/>
      <c r="E8" s="149"/>
      <c r="F8" s="149"/>
      <c r="G8" s="152">
        <v>50309.4</v>
      </c>
      <c r="H8" s="149"/>
      <c r="I8" s="152">
        <v>0</v>
      </c>
    </row>
    <row r="9" spans="2:9" x14ac:dyDescent="0.25">
      <c r="B9" s="155" t="s">
        <v>13</v>
      </c>
      <c r="C9" s="155" t="s">
        <v>1672</v>
      </c>
      <c r="D9" s="149"/>
      <c r="E9" s="149"/>
      <c r="F9" s="149"/>
      <c r="G9" s="156">
        <v>38325</v>
      </c>
      <c r="H9" s="149"/>
      <c r="I9" s="156">
        <v>0</v>
      </c>
    </row>
    <row r="10" spans="2:9" x14ac:dyDescent="0.25">
      <c r="B10" s="153" t="s">
        <v>130</v>
      </c>
      <c r="C10" s="153" t="s">
        <v>367</v>
      </c>
      <c r="D10" s="153" t="s">
        <v>53</v>
      </c>
      <c r="E10" s="154">
        <v>176</v>
      </c>
      <c r="F10" s="154">
        <v>73</v>
      </c>
      <c r="G10" s="154">
        <v>12848</v>
      </c>
      <c r="H10" s="154">
        <v>0</v>
      </c>
      <c r="I10" s="154">
        <v>0</v>
      </c>
    </row>
    <row r="11" spans="2:9" x14ac:dyDescent="0.25">
      <c r="B11" s="153" t="s">
        <v>132</v>
      </c>
      <c r="C11" s="153" t="s">
        <v>1673</v>
      </c>
      <c r="D11" s="153" t="s">
        <v>53</v>
      </c>
      <c r="E11" s="154">
        <v>239</v>
      </c>
      <c r="F11" s="154">
        <v>73</v>
      </c>
      <c r="G11" s="154">
        <v>17447</v>
      </c>
      <c r="H11" s="154">
        <v>0</v>
      </c>
      <c r="I11" s="154">
        <v>0</v>
      </c>
    </row>
    <row r="12" spans="2:9" x14ac:dyDescent="0.25">
      <c r="B12" s="153" t="s">
        <v>133</v>
      </c>
      <c r="C12" s="153" t="s">
        <v>365</v>
      </c>
      <c r="D12" s="153" t="s">
        <v>53</v>
      </c>
      <c r="E12" s="154">
        <v>110</v>
      </c>
      <c r="F12" s="154">
        <v>73</v>
      </c>
      <c r="G12" s="154">
        <v>8030</v>
      </c>
      <c r="H12" s="154">
        <v>0</v>
      </c>
      <c r="I12" s="154">
        <v>0</v>
      </c>
    </row>
    <row r="13" spans="2:9" x14ac:dyDescent="0.25">
      <c r="B13" s="155" t="s">
        <v>16</v>
      </c>
      <c r="C13" s="155" t="s">
        <v>1674</v>
      </c>
      <c r="D13" s="149"/>
      <c r="E13" s="149"/>
      <c r="F13" s="149"/>
      <c r="G13" s="156">
        <v>11984.4</v>
      </c>
      <c r="H13" s="149"/>
      <c r="I13" s="156">
        <v>0</v>
      </c>
    </row>
    <row r="14" spans="2:9" x14ac:dyDescent="0.25">
      <c r="B14" s="153" t="s">
        <v>137</v>
      </c>
      <c r="C14" s="153" t="s">
        <v>1675</v>
      </c>
      <c r="D14" s="153" t="s">
        <v>53</v>
      </c>
      <c r="E14" s="154">
        <v>0</v>
      </c>
      <c r="F14" s="149"/>
      <c r="G14" s="149"/>
      <c r="H14" s="149"/>
      <c r="I14" s="149"/>
    </row>
    <row r="15" spans="2:9" x14ac:dyDescent="0.25">
      <c r="B15" s="153" t="s">
        <v>268</v>
      </c>
      <c r="C15" s="153" t="s">
        <v>1676</v>
      </c>
      <c r="D15" s="153" t="s">
        <v>53</v>
      </c>
      <c r="E15" s="154">
        <v>0</v>
      </c>
      <c r="F15" s="149"/>
      <c r="G15" s="149"/>
      <c r="H15" s="149"/>
      <c r="I15" s="149"/>
    </row>
    <row r="16" spans="2:9" x14ac:dyDescent="0.25">
      <c r="B16" s="153" t="s">
        <v>269</v>
      </c>
      <c r="C16" s="153" t="s">
        <v>1677</v>
      </c>
      <c r="D16" s="153" t="s">
        <v>53</v>
      </c>
      <c r="E16" s="154">
        <v>0</v>
      </c>
      <c r="F16" s="149"/>
      <c r="G16" s="149"/>
      <c r="H16" s="149"/>
      <c r="I16" s="149"/>
    </row>
    <row r="17" spans="2:9" x14ac:dyDescent="0.25">
      <c r="B17" s="153" t="s">
        <v>270</v>
      </c>
      <c r="C17" s="153" t="s">
        <v>1678</v>
      </c>
      <c r="D17" s="153" t="s">
        <v>53</v>
      </c>
      <c r="E17" s="154">
        <v>8</v>
      </c>
      <c r="F17" s="154">
        <v>25.3</v>
      </c>
      <c r="G17" s="154">
        <v>202.4</v>
      </c>
      <c r="H17" s="149"/>
      <c r="I17" s="149"/>
    </row>
    <row r="18" spans="2:9" x14ac:dyDescent="0.25">
      <c r="B18" s="153" t="s">
        <v>271</v>
      </c>
      <c r="C18" s="153" t="s">
        <v>366</v>
      </c>
      <c r="D18" s="153" t="s">
        <v>53</v>
      </c>
      <c r="E18" s="154">
        <v>172</v>
      </c>
      <c r="F18" s="154">
        <v>68.5</v>
      </c>
      <c r="G18" s="154">
        <v>11782</v>
      </c>
      <c r="H18" s="149"/>
      <c r="I18" s="149"/>
    </row>
    <row r="19" spans="2:9" x14ac:dyDescent="0.25">
      <c r="B19" s="151" t="s">
        <v>25</v>
      </c>
      <c r="C19" s="151" t="s">
        <v>368</v>
      </c>
      <c r="D19" s="149"/>
      <c r="E19" s="149"/>
      <c r="F19" s="149"/>
      <c r="G19" s="152">
        <v>227573.02</v>
      </c>
      <c r="H19" s="149"/>
      <c r="I19" s="152">
        <v>0</v>
      </c>
    </row>
    <row r="20" spans="2:9" x14ac:dyDescent="0.25">
      <c r="B20" s="155" t="s">
        <v>27</v>
      </c>
      <c r="C20" s="155" t="s">
        <v>374</v>
      </c>
      <c r="D20" s="149"/>
      <c r="E20" s="149"/>
      <c r="F20" s="149"/>
      <c r="G20" s="156">
        <v>46956.51</v>
      </c>
      <c r="H20" s="149"/>
      <c r="I20" s="156">
        <v>0</v>
      </c>
    </row>
    <row r="21" spans="2:9" x14ac:dyDescent="0.25">
      <c r="B21" s="153" t="s">
        <v>146</v>
      </c>
      <c r="C21" s="153" t="s">
        <v>1679</v>
      </c>
      <c r="D21" s="153" t="s">
        <v>297</v>
      </c>
      <c r="E21" s="154">
        <v>812</v>
      </c>
      <c r="F21" s="154">
        <v>50.3</v>
      </c>
      <c r="G21" s="154">
        <v>40843.599999999999</v>
      </c>
      <c r="H21" s="149"/>
      <c r="I21" s="149"/>
    </row>
    <row r="22" spans="2:9" x14ac:dyDescent="0.25">
      <c r="B22" s="153" t="s">
        <v>147</v>
      </c>
      <c r="C22" s="153" t="s">
        <v>1680</v>
      </c>
      <c r="D22" s="153" t="s">
        <v>297</v>
      </c>
      <c r="E22" s="154">
        <v>109</v>
      </c>
      <c r="F22" s="154">
        <v>52.39</v>
      </c>
      <c r="G22" s="154">
        <v>5710.51</v>
      </c>
      <c r="H22" s="149"/>
      <c r="I22" s="149"/>
    </row>
    <row r="23" spans="2:9" x14ac:dyDescent="0.25">
      <c r="B23" s="153" t="s">
        <v>148</v>
      </c>
      <c r="C23" s="153" t="s">
        <v>1681</v>
      </c>
      <c r="D23" s="153" t="s">
        <v>297</v>
      </c>
      <c r="E23" s="154">
        <v>8</v>
      </c>
      <c r="F23" s="154">
        <v>50.3</v>
      </c>
      <c r="G23" s="154">
        <v>402.4</v>
      </c>
      <c r="H23" s="149"/>
      <c r="I23" s="149"/>
    </row>
    <row r="24" spans="2:9" x14ac:dyDescent="0.25">
      <c r="B24" s="155" t="s">
        <v>30</v>
      </c>
      <c r="C24" s="155" t="s">
        <v>1682</v>
      </c>
      <c r="D24" s="149"/>
      <c r="E24" s="149"/>
      <c r="F24" s="149"/>
      <c r="G24" s="156">
        <v>3110.58</v>
      </c>
      <c r="H24" s="149"/>
      <c r="I24" s="156">
        <v>0</v>
      </c>
    </row>
    <row r="25" spans="2:9" x14ac:dyDescent="0.25">
      <c r="B25" s="153" t="s">
        <v>154</v>
      </c>
      <c r="C25" s="153" t="s">
        <v>1683</v>
      </c>
      <c r="D25" s="153" t="s">
        <v>29</v>
      </c>
      <c r="E25" s="154">
        <v>52</v>
      </c>
      <c r="F25" s="154">
        <v>47.13</v>
      </c>
      <c r="G25" s="154">
        <v>2450.7600000000002</v>
      </c>
      <c r="H25" s="149"/>
      <c r="I25" s="149"/>
    </row>
    <row r="26" spans="2:9" x14ac:dyDescent="0.25">
      <c r="B26" s="153" t="s">
        <v>155</v>
      </c>
      <c r="C26" s="153" t="s">
        <v>1684</v>
      </c>
      <c r="D26" s="153" t="s">
        <v>29</v>
      </c>
      <c r="E26" s="154">
        <v>14</v>
      </c>
      <c r="F26" s="154">
        <v>47.13</v>
      </c>
      <c r="G26" s="154">
        <v>659.82</v>
      </c>
      <c r="H26" s="149"/>
      <c r="I26" s="149"/>
    </row>
    <row r="27" spans="2:9" x14ac:dyDescent="0.25">
      <c r="B27" s="155" t="s">
        <v>31</v>
      </c>
      <c r="C27" s="155" t="s">
        <v>1685</v>
      </c>
      <c r="D27" s="149"/>
      <c r="E27" s="149"/>
      <c r="F27" s="149"/>
      <c r="G27" s="156">
        <v>15007.33</v>
      </c>
      <c r="H27" s="149"/>
      <c r="I27" s="156">
        <v>0</v>
      </c>
    </row>
    <row r="28" spans="2:9" x14ac:dyDescent="0.25">
      <c r="B28" s="153" t="s">
        <v>164</v>
      </c>
      <c r="C28" s="153" t="s">
        <v>1686</v>
      </c>
      <c r="D28" s="153" t="s">
        <v>29</v>
      </c>
      <c r="E28" s="154">
        <v>5</v>
      </c>
      <c r="F28" s="154">
        <v>17.28</v>
      </c>
      <c r="G28" s="154">
        <v>86.4</v>
      </c>
      <c r="H28" s="149"/>
      <c r="I28" s="149"/>
    </row>
    <row r="29" spans="2:9" x14ac:dyDescent="0.25">
      <c r="B29" s="153" t="s">
        <v>165</v>
      </c>
      <c r="C29" s="153" t="s">
        <v>1687</v>
      </c>
      <c r="D29" s="153" t="s">
        <v>29</v>
      </c>
      <c r="E29" s="154">
        <v>3</v>
      </c>
      <c r="F29" s="154">
        <v>27.3</v>
      </c>
      <c r="G29" s="154">
        <v>81.900000000000006</v>
      </c>
      <c r="H29" s="149"/>
      <c r="I29" s="149"/>
    </row>
    <row r="30" spans="2:9" x14ac:dyDescent="0.25">
      <c r="B30" s="153" t="s">
        <v>167</v>
      </c>
      <c r="C30" s="153" t="s">
        <v>1688</v>
      </c>
      <c r="D30" s="153" t="s">
        <v>29</v>
      </c>
      <c r="E30" s="154">
        <v>6</v>
      </c>
      <c r="F30" s="154">
        <v>23.43</v>
      </c>
      <c r="G30" s="154">
        <v>140.58000000000001</v>
      </c>
      <c r="H30" s="149"/>
      <c r="I30" s="149"/>
    </row>
    <row r="31" spans="2:9" x14ac:dyDescent="0.25">
      <c r="B31" s="153" t="s">
        <v>168</v>
      </c>
      <c r="C31" s="153" t="s">
        <v>1689</v>
      </c>
      <c r="D31" s="153" t="s">
        <v>29</v>
      </c>
      <c r="E31" s="154">
        <v>12</v>
      </c>
      <c r="F31" s="154">
        <v>47.13</v>
      </c>
      <c r="G31" s="154">
        <v>565.55999999999995</v>
      </c>
      <c r="H31" s="149"/>
      <c r="I31" s="149"/>
    </row>
    <row r="32" spans="2:9" x14ac:dyDescent="0.25">
      <c r="B32" s="153" t="s">
        <v>169</v>
      </c>
      <c r="C32" s="153" t="s">
        <v>1690</v>
      </c>
      <c r="D32" s="153" t="s">
        <v>29</v>
      </c>
      <c r="E32" s="154">
        <v>13</v>
      </c>
      <c r="F32" s="154">
        <v>72.89</v>
      </c>
      <c r="G32" s="154">
        <v>947.57</v>
      </c>
      <c r="H32" s="149"/>
      <c r="I32" s="149"/>
    </row>
    <row r="33" spans="2:9" x14ac:dyDescent="0.25">
      <c r="B33" s="153" t="s">
        <v>369</v>
      </c>
      <c r="C33" s="153" t="s">
        <v>1691</v>
      </c>
      <c r="D33" s="153" t="s">
        <v>29</v>
      </c>
      <c r="E33" s="154">
        <v>148</v>
      </c>
      <c r="F33" s="154">
        <v>89.09</v>
      </c>
      <c r="G33" s="154">
        <v>13185.32</v>
      </c>
      <c r="H33" s="149"/>
      <c r="I33" s="149"/>
    </row>
    <row r="34" spans="2:9" x14ac:dyDescent="0.25">
      <c r="B34" s="155" t="s">
        <v>33</v>
      </c>
      <c r="C34" s="155" t="s">
        <v>1692</v>
      </c>
      <c r="D34" s="149"/>
      <c r="E34" s="149"/>
      <c r="F34" s="149"/>
      <c r="G34" s="156">
        <v>73032.83</v>
      </c>
      <c r="H34" s="149"/>
      <c r="I34" s="156">
        <v>0</v>
      </c>
    </row>
    <row r="35" spans="2:9" x14ac:dyDescent="0.25">
      <c r="B35" s="153" t="s">
        <v>370</v>
      </c>
      <c r="C35" s="153" t="s">
        <v>1693</v>
      </c>
      <c r="D35" s="153" t="s">
        <v>29</v>
      </c>
      <c r="E35" s="154">
        <v>811</v>
      </c>
      <c r="F35" s="154">
        <v>14.95</v>
      </c>
      <c r="G35" s="154">
        <v>12124.45</v>
      </c>
      <c r="H35" s="149"/>
      <c r="I35" s="149"/>
    </row>
    <row r="36" spans="2:9" x14ac:dyDescent="0.25">
      <c r="B36" s="153" t="s">
        <v>371</v>
      </c>
      <c r="C36" s="153" t="s">
        <v>1694</v>
      </c>
      <c r="D36" s="153" t="s">
        <v>29</v>
      </c>
      <c r="E36" s="154">
        <v>3401</v>
      </c>
      <c r="F36" s="154">
        <v>15.1</v>
      </c>
      <c r="G36" s="154">
        <v>51355.1</v>
      </c>
      <c r="H36" s="149"/>
      <c r="I36" s="149"/>
    </row>
    <row r="37" spans="2:9" x14ac:dyDescent="0.25">
      <c r="B37" s="153" t="s">
        <v>372</v>
      </c>
      <c r="C37" s="153" t="s">
        <v>1695</v>
      </c>
      <c r="D37" s="153" t="s">
        <v>29</v>
      </c>
      <c r="E37" s="154">
        <v>56</v>
      </c>
      <c r="F37" s="154">
        <v>16.43</v>
      </c>
      <c r="G37" s="154">
        <v>920.08</v>
      </c>
      <c r="H37" s="149"/>
      <c r="I37" s="149"/>
    </row>
    <row r="38" spans="2:9" x14ac:dyDescent="0.25">
      <c r="B38" s="153" t="s">
        <v>373</v>
      </c>
      <c r="C38" s="153" t="s">
        <v>1683</v>
      </c>
      <c r="D38" s="153" t="s">
        <v>29</v>
      </c>
      <c r="E38" s="154">
        <v>2</v>
      </c>
      <c r="F38" s="154">
        <v>15.95</v>
      </c>
      <c r="G38" s="154">
        <v>31.9</v>
      </c>
      <c r="H38" s="154">
        <v>0</v>
      </c>
      <c r="I38" s="154">
        <v>0</v>
      </c>
    </row>
    <row r="39" spans="2:9" x14ac:dyDescent="0.25">
      <c r="B39" s="153" t="s">
        <v>1977</v>
      </c>
      <c r="C39" s="153" t="s">
        <v>1696</v>
      </c>
      <c r="D39" s="153" t="s">
        <v>29</v>
      </c>
      <c r="E39" s="154">
        <v>95</v>
      </c>
      <c r="F39" s="154">
        <v>90.54</v>
      </c>
      <c r="G39" s="154">
        <v>8601.2999999999993</v>
      </c>
      <c r="H39" s="149"/>
      <c r="I39" s="149"/>
    </row>
    <row r="40" spans="2:9" x14ac:dyDescent="0.25">
      <c r="B40" s="155" t="s">
        <v>35</v>
      </c>
      <c r="C40" s="155" t="s">
        <v>362</v>
      </c>
      <c r="D40" s="149"/>
      <c r="E40" s="149"/>
      <c r="F40" s="149"/>
      <c r="G40" s="156">
        <v>36710.17</v>
      </c>
      <c r="H40" s="149"/>
      <c r="I40" s="156">
        <v>0</v>
      </c>
    </row>
    <row r="41" spans="2:9" x14ac:dyDescent="0.25">
      <c r="B41" s="153" t="s">
        <v>375</v>
      </c>
      <c r="C41" s="153" t="s">
        <v>1697</v>
      </c>
      <c r="D41" s="153" t="s">
        <v>53</v>
      </c>
      <c r="E41" s="154">
        <v>119</v>
      </c>
      <c r="F41" s="154">
        <v>49.12</v>
      </c>
      <c r="G41" s="154">
        <v>5845.28</v>
      </c>
      <c r="H41" s="149"/>
      <c r="I41" s="149"/>
    </row>
    <row r="42" spans="2:9" x14ac:dyDescent="0.25">
      <c r="B42" s="153" t="s">
        <v>376</v>
      </c>
      <c r="C42" s="153" t="s">
        <v>1698</v>
      </c>
      <c r="D42" s="153" t="s">
        <v>53</v>
      </c>
      <c r="E42" s="154">
        <v>500</v>
      </c>
      <c r="F42" s="154">
        <v>50.21</v>
      </c>
      <c r="G42" s="154">
        <v>25105</v>
      </c>
      <c r="H42" s="149"/>
      <c r="I42" s="149"/>
    </row>
    <row r="43" spans="2:9" x14ac:dyDescent="0.25">
      <c r="B43" s="153" t="s">
        <v>1699</v>
      </c>
      <c r="C43" s="153" t="s">
        <v>1700</v>
      </c>
      <c r="D43" s="153" t="s">
        <v>53</v>
      </c>
      <c r="E43" s="154">
        <v>23</v>
      </c>
      <c r="F43" s="154">
        <v>130.43</v>
      </c>
      <c r="G43" s="154">
        <v>2999.89</v>
      </c>
      <c r="H43" s="149"/>
      <c r="I43" s="149"/>
    </row>
    <row r="44" spans="2:9" x14ac:dyDescent="0.25">
      <c r="B44" s="153" t="s">
        <v>1701</v>
      </c>
      <c r="C44" s="153" t="s">
        <v>1702</v>
      </c>
      <c r="D44" s="153" t="s">
        <v>53</v>
      </c>
      <c r="E44" s="154">
        <v>2</v>
      </c>
      <c r="F44" s="154">
        <v>180</v>
      </c>
      <c r="G44" s="154">
        <v>360</v>
      </c>
      <c r="H44" s="149"/>
      <c r="I44" s="149"/>
    </row>
    <row r="45" spans="2:9" x14ac:dyDescent="0.25">
      <c r="B45" s="153" t="s">
        <v>1703</v>
      </c>
      <c r="C45" s="153" t="s">
        <v>1704</v>
      </c>
      <c r="D45" s="153" t="s">
        <v>53</v>
      </c>
      <c r="E45" s="154">
        <v>2</v>
      </c>
      <c r="F45" s="154">
        <v>520</v>
      </c>
      <c r="G45" s="154">
        <v>1040</v>
      </c>
      <c r="H45" s="149"/>
      <c r="I45" s="149"/>
    </row>
    <row r="46" spans="2:9" x14ac:dyDescent="0.25">
      <c r="B46" s="153" t="s">
        <v>1705</v>
      </c>
      <c r="C46" s="153" t="s">
        <v>1706</v>
      </c>
      <c r="D46" s="153" t="s">
        <v>53</v>
      </c>
      <c r="E46" s="154">
        <v>1</v>
      </c>
      <c r="F46" s="154">
        <v>380</v>
      </c>
      <c r="G46" s="154">
        <v>380</v>
      </c>
      <c r="H46" s="149"/>
      <c r="I46" s="149"/>
    </row>
    <row r="47" spans="2:9" x14ac:dyDescent="0.25">
      <c r="B47" s="153" t="s">
        <v>1707</v>
      </c>
      <c r="C47" s="153" t="s">
        <v>1708</v>
      </c>
      <c r="D47" s="153" t="s">
        <v>53</v>
      </c>
      <c r="E47" s="154">
        <v>2</v>
      </c>
      <c r="F47" s="154">
        <v>490</v>
      </c>
      <c r="G47" s="154">
        <v>980</v>
      </c>
      <c r="H47" s="149"/>
      <c r="I47" s="149"/>
    </row>
    <row r="48" spans="2:9" x14ac:dyDescent="0.25">
      <c r="B48" s="153" t="s">
        <v>1709</v>
      </c>
      <c r="C48" s="153" t="s">
        <v>1710</v>
      </c>
      <c r="D48" s="153" t="s">
        <v>53</v>
      </c>
      <c r="E48" s="154">
        <v>0</v>
      </c>
      <c r="F48" s="149"/>
      <c r="G48" s="149"/>
      <c r="H48" s="149"/>
      <c r="I48" s="149"/>
    </row>
    <row r="49" spans="2:9" x14ac:dyDescent="0.25">
      <c r="B49" s="155" t="s">
        <v>316</v>
      </c>
      <c r="C49" s="155" t="s">
        <v>293</v>
      </c>
      <c r="D49" s="149"/>
      <c r="E49" s="149"/>
      <c r="F49" s="149"/>
      <c r="G49" s="156">
        <v>52755.6</v>
      </c>
      <c r="H49" s="149"/>
      <c r="I49" s="156">
        <v>0</v>
      </c>
    </row>
    <row r="50" spans="2:9" x14ac:dyDescent="0.25">
      <c r="B50" s="153" t="s">
        <v>377</v>
      </c>
      <c r="C50" s="153" t="s">
        <v>1711</v>
      </c>
      <c r="D50" s="153" t="s">
        <v>53</v>
      </c>
      <c r="E50" s="154">
        <v>1</v>
      </c>
      <c r="F50" s="154">
        <v>2200</v>
      </c>
      <c r="G50" s="154">
        <v>2200</v>
      </c>
      <c r="H50" s="149"/>
      <c r="I50" s="149"/>
    </row>
    <row r="51" spans="2:9" x14ac:dyDescent="0.25">
      <c r="B51" s="153" t="s">
        <v>378</v>
      </c>
      <c r="C51" s="153" t="s">
        <v>1712</v>
      </c>
      <c r="D51" s="153" t="s">
        <v>53</v>
      </c>
      <c r="E51" s="154">
        <v>0</v>
      </c>
      <c r="F51" s="149"/>
      <c r="G51" s="149"/>
      <c r="H51" s="149"/>
      <c r="I51" s="149"/>
    </row>
    <row r="52" spans="2:9" x14ac:dyDescent="0.25">
      <c r="B52" s="153" t="s">
        <v>379</v>
      </c>
      <c r="C52" s="153" t="s">
        <v>1713</v>
      </c>
      <c r="D52" s="153" t="s">
        <v>53</v>
      </c>
      <c r="E52" s="154">
        <v>0</v>
      </c>
      <c r="F52" s="149"/>
      <c r="G52" s="149"/>
      <c r="H52" s="149"/>
      <c r="I52" s="149"/>
    </row>
    <row r="53" spans="2:9" x14ac:dyDescent="0.25">
      <c r="B53" s="153" t="s">
        <v>380</v>
      </c>
      <c r="C53" s="153" t="s">
        <v>1714</v>
      </c>
      <c r="D53" s="153" t="s">
        <v>53</v>
      </c>
      <c r="E53" s="154">
        <v>0</v>
      </c>
      <c r="F53" s="149"/>
      <c r="G53" s="149"/>
      <c r="H53" s="149"/>
      <c r="I53" s="149"/>
    </row>
    <row r="54" spans="2:9" x14ac:dyDescent="0.25">
      <c r="B54" s="153" t="s">
        <v>1715</v>
      </c>
      <c r="C54" s="153" t="s">
        <v>1716</v>
      </c>
      <c r="D54" s="153" t="s">
        <v>53</v>
      </c>
      <c r="E54" s="154">
        <v>0</v>
      </c>
      <c r="F54" s="149"/>
      <c r="G54" s="149"/>
      <c r="H54" s="149"/>
      <c r="I54" s="149"/>
    </row>
    <row r="55" spans="2:9" x14ac:dyDescent="0.25">
      <c r="B55" s="153" t="s">
        <v>1717</v>
      </c>
      <c r="C55" s="153" t="s">
        <v>1718</v>
      </c>
      <c r="D55" s="153" t="s">
        <v>53</v>
      </c>
      <c r="E55" s="154">
        <v>0</v>
      </c>
      <c r="F55" s="149"/>
      <c r="G55" s="149"/>
      <c r="H55" s="149"/>
      <c r="I55" s="149"/>
    </row>
    <row r="56" spans="2:9" x14ac:dyDescent="0.25">
      <c r="B56" s="153" t="s">
        <v>1719</v>
      </c>
      <c r="C56" s="153" t="s">
        <v>1720</v>
      </c>
      <c r="D56" s="153" t="s">
        <v>53</v>
      </c>
      <c r="E56" s="154">
        <v>0</v>
      </c>
      <c r="F56" s="149"/>
      <c r="G56" s="149"/>
      <c r="H56" s="149"/>
      <c r="I56" s="149"/>
    </row>
    <row r="57" spans="2:9" x14ac:dyDescent="0.25">
      <c r="B57" s="153" t="s">
        <v>1721</v>
      </c>
      <c r="C57" s="153" t="s">
        <v>1722</v>
      </c>
      <c r="D57" s="153" t="s">
        <v>29</v>
      </c>
      <c r="E57" s="154">
        <v>5604</v>
      </c>
      <c r="F57" s="154">
        <v>1.2</v>
      </c>
      <c r="G57" s="154">
        <v>6724.8</v>
      </c>
      <c r="H57" s="149"/>
      <c r="I57" s="149"/>
    </row>
    <row r="58" spans="2:9" x14ac:dyDescent="0.25">
      <c r="B58" s="153" t="s">
        <v>1723</v>
      </c>
      <c r="C58" s="153" t="s">
        <v>1724</v>
      </c>
      <c r="D58" s="153" t="s">
        <v>29</v>
      </c>
      <c r="E58" s="154">
        <v>5604</v>
      </c>
      <c r="F58" s="154">
        <v>0.9</v>
      </c>
      <c r="G58" s="154">
        <v>5043.6000000000004</v>
      </c>
      <c r="H58" s="149"/>
      <c r="I58" s="149"/>
    </row>
    <row r="59" spans="2:9" x14ac:dyDescent="0.25">
      <c r="B59" s="153" t="s">
        <v>1725</v>
      </c>
      <c r="C59" s="153" t="s">
        <v>1726</v>
      </c>
      <c r="D59" s="153" t="s">
        <v>53</v>
      </c>
      <c r="E59" s="154">
        <v>8</v>
      </c>
      <c r="F59" s="154">
        <v>35.9</v>
      </c>
      <c r="G59" s="154">
        <v>287.2</v>
      </c>
      <c r="H59" s="149"/>
      <c r="I59" s="149"/>
    </row>
    <row r="60" spans="2:9" x14ac:dyDescent="0.25">
      <c r="B60" s="153" t="s">
        <v>1727</v>
      </c>
      <c r="C60" s="153" t="s">
        <v>1728</v>
      </c>
      <c r="D60" s="153" t="s">
        <v>53</v>
      </c>
      <c r="E60" s="154">
        <v>0</v>
      </c>
      <c r="F60" s="149"/>
      <c r="G60" s="149"/>
      <c r="H60" s="149"/>
      <c r="I60" s="149"/>
    </row>
    <row r="61" spans="2:9" x14ac:dyDescent="0.25">
      <c r="B61" s="153" t="s">
        <v>1729</v>
      </c>
      <c r="C61" s="153" t="s">
        <v>1730</v>
      </c>
      <c r="D61" s="153" t="s">
        <v>53</v>
      </c>
      <c r="E61" s="154">
        <v>110</v>
      </c>
      <c r="F61" s="154">
        <v>350</v>
      </c>
      <c r="G61" s="154">
        <v>38500</v>
      </c>
      <c r="H61" s="149"/>
      <c r="I61" s="149"/>
    </row>
    <row r="62" spans="2:9" x14ac:dyDescent="0.25">
      <c r="B62" s="153" t="s">
        <v>1731</v>
      </c>
      <c r="C62" s="153" t="s">
        <v>1732</v>
      </c>
      <c r="D62" s="153" t="s">
        <v>53</v>
      </c>
      <c r="E62" s="154">
        <v>0</v>
      </c>
      <c r="F62" s="149"/>
      <c r="G62" s="149"/>
      <c r="H62" s="149"/>
      <c r="I62" s="149"/>
    </row>
    <row r="63" spans="2:9" x14ac:dyDescent="0.25">
      <c r="B63" s="151" t="s">
        <v>55</v>
      </c>
      <c r="C63" s="151" t="s">
        <v>381</v>
      </c>
      <c r="D63" s="149"/>
      <c r="E63" s="149"/>
      <c r="F63" s="149"/>
      <c r="G63" s="152">
        <v>79915.100000000006</v>
      </c>
      <c r="H63" s="149"/>
      <c r="I63" s="152">
        <v>0</v>
      </c>
    </row>
    <row r="64" spans="2:9" x14ac:dyDescent="0.25">
      <c r="B64" s="155" t="s">
        <v>57</v>
      </c>
      <c r="C64" s="155" t="s">
        <v>404</v>
      </c>
      <c r="D64" s="149"/>
      <c r="E64" s="149"/>
      <c r="F64" s="149"/>
      <c r="G64" s="156">
        <v>33878.51</v>
      </c>
      <c r="H64" s="149"/>
      <c r="I64" s="156">
        <v>0</v>
      </c>
    </row>
    <row r="65" spans="2:9" x14ac:dyDescent="0.25">
      <c r="B65" s="153" t="s">
        <v>173</v>
      </c>
      <c r="C65" s="153" t="s">
        <v>1733</v>
      </c>
      <c r="D65" s="153" t="s">
        <v>297</v>
      </c>
      <c r="E65" s="154">
        <v>560</v>
      </c>
      <c r="F65" s="154">
        <v>50.3</v>
      </c>
      <c r="G65" s="154">
        <v>28168</v>
      </c>
      <c r="H65" s="149"/>
      <c r="I65" s="149"/>
    </row>
    <row r="66" spans="2:9" x14ac:dyDescent="0.25">
      <c r="B66" s="153" t="s">
        <v>317</v>
      </c>
      <c r="C66" s="153" t="s">
        <v>1734</v>
      </c>
      <c r="D66" s="153" t="s">
        <v>297</v>
      </c>
      <c r="E66" s="154">
        <v>109</v>
      </c>
      <c r="F66" s="154">
        <v>52.39</v>
      </c>
      <c r="G66" s="154">
        <v>5710.51</v>
      </c>
      <c r="H66" s="149"/>
      <c r="I66" s="149"/>
    </row>
    <row r="67" spans="2:9" x14ac:dyDescent="0.25">
      <c r="B67" s="155" t="s">
        <v>60</v>
      </c>
      <c r="C67" s="155" t="s">
        <v>1692</v>
      </c>
      <c r="D67" s="149"/>
      <c r="E67" s="149"/>
      <c r="F67" s="149"/>
      <c r="G67" s="156">
        <v>25145.05</v>
      </c>
      <c r="H67" s="149"/>
      <c r="I67" s="156">
        <v>0</v>
      </c>
    </row>
    <row r="68" spans="2:9" x14ac:dyDescent="0.25">
      <c r="B68" s="153" t="s">
        <v>175</v>
      </c>
      <c r="C68" s="153" t="s">
        <v>1735</v>
      </c>
      <c r="D68" s="153" t="s">
        <v>29</v>
      </c>
      <c r="E68" s="154">
        <v>1285</v>
      </c>
      <c r="F68" s="154">
        <v>14.95</v>
      </c>
      <c r="G68" s="154">
        <v>19210.75</v>
      </c>
      <c r="H68" s="149"/>
      <c r="I68" s="149"/>
    </row>
    <row r="69" spans="2:9" x14ac:dyDescent="0.25">
      <c r="B69" s="153" t="s">
        <v>177</v>
      </c>
      <c r="C69" s="153" t="s">
        <v>1736</v>
      </c>
      <c r="D69" s="153" t="s">
        <v>29</v>
      </c>
      <c r="E69" s="154">
        <v>393</v>
      </c>
      <c r="F69" s="154">
        <v>15.1</v>
      </c>
      <c r="G69" s="154">
        <v>5934.3</v>
      </c>
      <c r="H69" s="149"/>
      <c r="I69" s="149"/>
    </row>
    <row r="70" spans="2:9" x14ac:dyDescent="0.25">
      <c r="B70" s="155" t="s">
        <v>326</v>
      </c>
      <c r="C70" s="155" t="s">
        <v>362</v>
      </c>
      <c r="D70" s="149"/>
      <c r="E70" s="149"/>
      <c r="F70" s="149"/>
      <c r="G70" s="156">
        <v>15962.84</v>
      </c>
      <c r="H70" s="149"/>
      <c r="I70" s="156">
        <v>0</v>
      </c>
    </row>
    <row r="71" spans="2:9" x14ac:dyDescent="0.25">
      <c r="B71" s="153" t="s">
        <v>327</v>
      </c>
      <c r="C71" s="153" t="s">
        <v>1697</v>
      </c>
      <c r="D71" s="153" t="s">
        <v>53</v>
      </c>
      <c r="E71" s="154">
        <v>280</v>
      </c>
      <c r="F71" s="154">
        <v>49.12</v>
      </c>
      <c r="G71" s="154">
        <v>13753.6</v>
      </c>
      <c r="H71" s="149"/>
      <c r="I71" s="149"/>
    </row>
    <row r="72" spans="2:9" x14ac:dyDescent="0.25">
      <c r="B72" s="153" t="s">
        <v>328</v>
      </c>
      <c r="C72" s="153" t="s">
        <v>1698</v>
      </c>
      <c r="D72" s="153" t="s">
        <v>53</v>
      </c>
      <c r="E72" s="154">
        <v>44</v>
      </c>
      <c r="F72" s="154">
        <v>50.21</v>
      </c>
      <c r="G72" s="154">
        <v>2209.2399999999998</v>
      </c>
      <c r="H72" s="149"/>
      <c r="I72" s="149"/>
    </row>
    <row r="73" spans="2:9" x14ac:dyDescent="0.25">
      <c r="B73" s="153" t="s">
        <v>329</v>
      </c>
      <c r="C73" s="153" t="s">
        <v>1737</v>
      </c>
      <c r="D73" s="153" t="s">
        <v>53</v>
      </c>
      <c r="E73" s="154">
        <v>0</v>
      </c>
      <c r="F73" s="149"/>
      <c r="G73" s="149"/>
      <c r="H73" s="149"/>
      <c r="I73" s="149"/>
    </row>
    <row r="74" spans="2:9" x14ac:dyDescent="0.25">
      <c r="B74" s="155" t="s">
        <v>382</v>
      </c>
      <c r="C74" s="155" t="s">
        <v>1738</v>
      </c>
      <c r="D74" s="149"/>
      <c r="E74" s="149"/>
      <c r="F74" s="149"/>
      <c r="G74" s="156">
        <v>0</v>
      </c>
      <c r="H74" s="149"/>
      <c r="I74" s="156">
        <v>0</v>
      </c>
    </row>
    <row r="75" spans="2:9" x14ac:dyDescent="0.25">
      <c r="B75" s="153" t="s">
        <v>383</v>
      </c>
      <c r="C75" s="153" t="s">
        <v>1739</v>
      </c>
      <c r="D75" s="153" t="s">
        <v>53</v>
      </c>
      <c r="E75" s="154">
        <v>0</v>
      </c>
      <c r="F75" s="149"/>
      <c r="G75" s="149"/>
      <c r="H75" s="149"/>
      <c r="I75" s="149"/>
    </row>
    <row r="76" spans="2:9" x14ac:dyDescent="0.25">
      <c r="B76" s="153" t="s">
        <v>384</v>
      </c>
      <c r="C76" s="153" t="s">
        <v>1740</v>
      </c>
      <c r="D76" s="153" t="s">
        <v>53</v>
      </c>
      <c r="E76" s="154">
        <v>0</v>
      </c>
      <c r="F76" s="149"/>
      <c r="G76" s="149"/>
      <c r="H76" s="149"/>
      <c r="I76" s="149"/>
    </row>
    <row r="77" spans="2:9" x14ac:dyDescent="0.25">
      <c r="B77" s="155" t="s">
        <v>385</v>
      </c>
      <c r="C77" s="155" t="s">
        <v>293</v>
      </c>
      <c r="D77" s="149"/>
      <c r="E77" s="149"/>
      <c r="F77" s="149"/>
      <c r="G77" s="156">
        <v>4928.7</v>
      </c>
      <c r="H77" s="149"/>
      <c r="I77" s="156">
        <v>0</v>
      </c>
    </row>
    <row r="78" spans="2:9" x14ac:dyDescent="0.25">
      <c r="B78" s="153" t="s">
        <v>386</v>
      </c>
      <c r="C78" s="153" t="s">
        <v>1741</v>
      </c>
      <c r="D78" s="153" t="s">
        <v>29</v>
      </c>
      <c r="E78" s="154">
        <v>2347</v>
      </c>
      <c r="F78" s="154">
        <v>1.2</v>
      </c>
      <c r="G78" s="154">
        <v>2816.4</v>
      </c>
      <c r="H78" s="149"/>
      <c r="I78" s="149"/>
    </row>
    <row r="79" spans="2:9" x14ac:dyDescent="0.25">
      <c r="B79" s="153" t="s">
        <v>1742</v>
      </c>
      <c r="C79" s="153" t="s">
        <v>1724</v>
      </c>
      <c r="D79" s="153" t="s">
        <v>29</v>
      </c>
      <c r="E79" s="154">
        <v>2347</v>
      </c>
      <c r="F79" s="154">
        <v>0.9</v>
      </c>
      <c r="G79" s="154">
        <v>2112.3000000000002</v>
      </c>
      <c r="H79" s="149"/>
      <c r="I79" s="149"/>
    </row>
    <row r="80" spans="2:9" x14ac:dyDescent="0.25">
      <c r="B80" s="153" t="s">
        <v>1743</v>
      </c>
      <c r="C80" s="153" t="s">
        <v>1728</v>
      </c>
      <c r="D80" s="153" t="s">
        <v>53</v>
      </c>
      <c r="E80" s="154">
        <v>0</v>
      </c>
      <c r="F80" s="149"/>
      <c r="G80" s="149"/>
      <c r="H80" s="149"/>
      <c r="I80" s="149"/>
    </row>
    <row r="81" spans="2:9" x14ac:dyDescent="0.25">
      <c r="B81" s="153" t="s">
        <v>1744</v>
      </c>
      <c r="C81" s="153" t="s">
        <v>1732</v>
      </c>
      <c r="D81" s="153" t="s">
        <v>53</v>
      </c>
      <c r="E81" s="154">
        <v>0</v>
      </c>
      <c r="F81" s="149"/>
      <c r="G81" s="149"/>
      <c r="H81" s="149"/>
      <c r="I81" s="149"/>
    </row>
    <row r="82" spans="2:9" x14ac:dyDescent="0.25">
      <c r="B82" s="151" t="s">
        <v>62</v>
      </c>
      <c r="C82" s="151" t="s">
        <v>1745</v>
      </c>
      <c r="D82" s="149"/>
      <c r="E82" s="149"/>
      <c r="F82" s="149"/>
      <c r="G82" s="152">
        <v>293931.14</v>
      </c>
      <c r="H82" s="149"/>
      <c r="I82" s="152">
        <v>0</v>
      </c>
    </row>
    <row r="83" spans="2:9" x14ac:dyDescent="0.25">
      <c r="B83" s="155" t="s">
        <v>64</v>
      </c>
      <c r="C83" s="155" t="s">
        <v>1746</v>
      </c>
      <c r="D83" s="149"/>
      <c r="E83" s="149"/>
      <c r="F83" s="149"/>
      <c r="G83" s="156">
        <v>5773.5</v>
      </c>
      <c r="H83" s="149"/>
      <c r="I83" s="156">
        <v>0</v>
      </c>
    </row>
    <row r="84" spans="2:9" x14ac:dyDescent="0.25">
      <c r="B84" s="153" t="s">
        <v>180</v>
      </c>
      <c r="C84" s="153" t="s">
        <v>1747</v>
      </c>
      <c r="D84" s="153" t="s">
        <v>29</v>
      </c>
      <c r="E84" s="154">
        <v>60</v>
      </c>
      <c r="F84" s="154">
        <v>35.299999999999997</v>
      </c>
      <c r="G84" s="154">
        <v>2118</v>
      </c>
      <c r="H84" s="149"/>
      <c r="I84" s="149"/>
    </row>
    <row r="85" spans="2:9" x14ac:dyDescent="0.25">
      <c r="B85" s="153" t="s">
        <v>181</v>
      </c>
      <c r="C85" s="153" t="s">
        <v>1748</v>
      </c>
      <c r="D85" s="153" t="s">
        <v>29</v>
      </c>
      <c r="E85" s="154">
        <v>60</v>
      </c>
      <c r="F85" s="154">
        <v>28.5</v>
      </c>
      <c r="G85" s="154">
        <v>1710</v>
      </c>
      <c r="H85" s="149"/>
      <c r="I85" s="149"/>
    </row>
    <row r="86" spans="2:9" x14ac:dyDescent="0.25">
      <c r="B86" s="153" t="s">
        <v>183</v>
      </c>
      <c r="C86" s="153" t="s">
        <v>1749</v>
      </c>
      <c r="D86" s="153" t="s">
        <v>29</v>
      </c>
      <c r="E86" s="154">
        <v>0</v>
      </c>
      <c r="F86" s="149"/>
      <c r="G86" s="149"/>
      <c r="H86" s="149"/>
      <c r="I86" s="149"/>
    </row>
    <row r="87" spans="2:9" x14ac:dyDescent="0.25">
      <c r="B87" s="153" t="s">
        <v>184</v>
      </c>
      <c r="C87" s="153" t="s">
        <v>1750</v>
      </c>
      <c r="D87" s="153" t="s">
        <v>29</v>
      </c>
      <c r="E87" s="154">
        <v>60</v>
      </c>
      <c r="F87" s="154">
        <v>25.3</v>
      </c>
      <c r="G87" s="154">
        <v>1518</v>
      </c>
      <c r="H87" s="149"/>
      <c r="I87" s="149"/>
    </row>
    <row r="88" spans="2:9" x14ac:dyDescent="0.25">
      <c r="B88" s="153" t="s">
        <v>388</v>
      </c>
      <c r="C88" s="153" t="s">
        <v>1751</v>
      </c>
      <c r="D88" s="153" t="s">
        <v>138</v>
      </c>
      <c r="E88" s="154">
        <v>15</v>
      </c>
      <c r="F88" s="154">
        <v>28.5</v>
      </c>
      <c r="G88" s="154">
        <v>427.5</v>
      </c>
      <c r="H88" s="149"/>
      <c r="I88" s="149"/>
    </row>
    <row r="89" spans="2:9" x14ac:dyDescent="0.25">
      <c r="B89" s="155" t="s">
        <v>66</v>
      </c>
      <c r="C89" s="155" t="s">
        <v>296</v>
      </c>
      <c r="D89" s="149"/>
      <c r="E89" s="149"/>
      <c r="F89" s="149"/>
      <c r="G89" s="156">
        <v>107285.94</v>
      </c>
      <c r="H89" s="149"/>
      <c r="I89" s="156">
        <v>0</v>
      </c>
    </row>
    <row r="90" spans="2:9" x14ac:dyDescent="0.25">
      <c r="B90" s="153" t="s">
        <v>276</v>
      </c>
      <c r="C90" s="153" t="s">
        <v>1752</v>
      </c>
      <c r="D90" s="153" t="s">
        <v>297</v>
      </c>
      <c r="E90" s="154">
        <v>397</v>
      </c>
      <c r="F90" s="154">
        <v>50.2</v>
      </c>
      <c r="G90" s="154">
        <v>19929.400000000001</v>
      </c>
      <c r="H90" s="149"/>
      <c r="I90" s="149"/>
    </row>
    <row r="91" spans="2:9" x14ac:dyDescent="0.25">
      <c r="B91" s="153" t="s">
        <v>277</v>
      </c>
      <c r="C91" s="153" t="s">
        <v>1753</v>
      </c>
      <c r="D91" s="153" t="s">
        <v>297</v>
      </c>
      <c r="E91" s="154">
        <v>172</v>
      </c>
      <c r="F91" s="154">
        <v>50.2</v>
      </c>
      <c r="G91" s="154">
        <v>8634.4</v>
      </c>
      <c r="H91" s="149"/>
      <c r="I91" s="149"/>
    </row>
    <row r="92" spans="2:9" x14ac:dyDescent="0.25">
      <c r="B92" s="153" t="s">
        <v>278</v>
      </c>
      <c r="C92" s="153" t="s">
        <v>1754</v>
      </c>
      <c r="D92" s="153" t="s">
        <v>297</v>
      </c>
      <c r="E92" s="154">
        <v>64</v>
      </c>
      <c r="F92" s="154">
        <v>50.2</v>
      </c>
      <c r="G92" s="154">
        <v>3212.8</v>
      </c>
      <c r="H92" s="149"/>
      <c r="I92" s="149"/>
    </row>
    <row r="93" spans="2:9" x14ac:dyDescent="0.25">
      <c r="B93" s="153" t="s">
        <v>571</v>
      </c>
      <c r="C93" s="153" t="s">
        <v>1755</v>
      </c>
      <c r="D93" s="153" t="s">
        <v>297</v>
      </c>
      <c r="E93" s="154">
        <v>174</v>
      </c>
      <c r="F93" s="154">
        <v>55.3</v>
      </c>
      <c r="G93" s="154">
        <v>9622.2000000000007</v>
      </c>
      <c r="H93" s="149"/>
      <c r="I93" s="149"/>
    </row>
    <row r="94" spans="2:9" x14ac:dyDescent="0.25">
      <c r="B94" s="153" t="s">
        <v>1756</v>
      </c>
      <c r="C94" s="153" t="s">
        <v>1757</v>
      </c>
      <c r="D94" s="153" t="s">
        <v>297</v>
      </c>
      <c r="E94" s="154">
        <v>280</v>
      </c>
      <c r="F94" s="154">
        <v>50.2</v>
      </c>
      <c r="G94" s="154">
        <v>14056</v>
      </c>
      <c r="H94" s="149"/>
      <c r="I94" s="149"/>
    </row>
    <row r="95" spans="2:9" x14ac:dyDescent="0.25">
      <c r="B95" s="153" t="s">
        <v>1758</v>
      </c>
      <c r="C95" s="153" t="s">
        <v>1759</v>
      </c>
      <c r="D95" s="153" t="s">
        <v>297</v>
      </c>
      <c r="E95" s="154">
        <v>37</v>
      </c>
      <c r="F95" s="154">
        <v>53.54</v>
      </c>
      <c r="G95" s="154">
        <v>1980.98</v>
      </c>
      <c r="H95" s="149"/>
      <c r="I95" s="149"/>
    </row>
    <row r="96" spans="2:9" x14ac:dyDescent="0.25">
      <c r="B96" s="153" t="s">
        <v>1760</v>
      </c>
      <c r="C96" s="153" t="s">
        <v>1761</v>
      </c>
      <c r="D96" s="153" t="s">
        <v>297</v>
      </c>
      <c r="E96" s="154">
        <v>304</v>
      </c>
      <c r="F96" s="154">
        <v>50.2</v>
      </c>
      <c r="G96" s="154">
        <v>15260.8</v>
      </c>
      <c r="H96" s="149"/>
      <c r="I96" s="149"/>
    </row>
    <row r="97" spans="2:9" x14ac:dyDescent="0.25">
      <c r="B97" s="153" t="s">
        <v>1762</v>
      </c>
      <c r="C97" s="153" t="s">
        <v>1763</v>
      </c>
      <c r="D97" s="153" t="s">
        <v>297</v>
      </c>
      <c r="E97" s="154">
        <v>88</v>
      </c>
      <c r="F97" s="154">
        <v>55.3</v>
      </c>
      <c r="G97" s="154">
        <v>4866.3999999999996</v>
      </c>
      <c r="H97" s="149"/>
      <c r="I97" s="149"/>
    </row>
    <row r="98" spans="2:9" x14ac:dyDescent="0.25">
      <c r="B98" s="153" t="s">
        <v>1764</v>
      </c>
      <c r="C98" s="153" t="s">
        <v>1765</v>
      </c>
      <c r="D98" s="153" t="s">
        <v>297</v>
      </c>
      <c r="E98" s="154">
        <v>2</v>
      </c>
      <c r="F98" s="154">
        <v>53.54</v>
      </c>
      <c r="G98" s="154">
        <v>107.08</v>
      </c>
      <c r="H98" s="149"/>
      <c r="I98" s="149"/>
    </row>
    <row r="99" spans="2:9" x14ac:dyDescent="0.25">
      <c r="B99" s="153" t="s">
        <v>1766</v>
      </c>
      <c r="C99" s="153" t="s">
        <v>1767</v>
      </c>
      <c r="D99" s="153" t="s">
        <v>297</v>
      </c>
      <c r="E99" s="154">
        <v>12</v>
      </c>
      <c r="F99" s="154">
        <v>55.3</v>
      </c>
      <c r="G99" s="154">
        <v>663.6</v>
      </c>
      <c r="H99" s="149"/>
      <c r="I99" s="149"/>
    </row>
    <row r="100" spans="2:9" x14ac:dyDescent="0.25">
      <c r="B100" s="153" t="s">
        <v>1768</v>
      </c>
      <c r="C100" s="153" t="s">
        <v>1769</v>
      </c>
      <c r="D100" s="153" t="s">
        <v>297</v>
      </c>
      <c r="E100" s="154">
        <v>0</v>
      </c>
      <c r="F100" s="149"/>
      <c r="G100" s="149"/>
      <c r="H100" s="149"/>
      <c r="I100" s="149"/>
    </row>
    <row r="101" spans="2:9" x14ac:dyDescent="0.25">
      <c r="B101" s="153" t="s">
        <v>1978</v>
      </c>
      <c r="C101" s="153" t="s">
        <v>1979</v>
      </c>
      <c r="D101" s="153" t="s">
        <v>297</v>
      </c>
      <c r="E101" s="154">
        <v>2</v>
      </c>
      <c r="F101" s="154">
        <v>118.94</v>
      </c>
      <c r="G101" s="154">
        <v>237.88</v>
      </c>
      <c r="H101" s="154">
        <v>0</v>
      </c>
      <c r="I101" s="154">
        <v>0</v>
      </c>
    </row>
    <row r="102" spans="2:9" x14ac:dyDescent="0.25">
      <c r="B102" s="153" t="s">
        <v>1980</v>
      </c>
      <c r="C102" s="153" t="s">
        <v>1981</v>
      </c>
      <c r="D102" s="153" t="s">
        <v>297</v>
      </c>
      <c r="E102" s="154">
        <v>572</v>
      </c>
      <c r="F102" s="154">
        <v>50.2</v>
      </c>
      <c r="G102" s="154">
        <v>28714.400000000001</v>
      </c>
      <c r="H102" s="154">
        <v>0</v>
      </c>
      <c r="I102" s="154">
        <v>0</v>
      </c>
    </row>
    <row r="103" spans="2:9" x14ac:dyDescent="0.25">
      <c r="B103" s="155" t="s">
        <v>68</v>
      </c>
      <c r="C103" s="155" t="s">
        <v>1770</v>
      </c>
      <c r="D103" s="149"/>
      <c r="E103" s="149"/>
      <c r="F103" s="149"/>
      <c r="G103" s="156">
        <v>60350</v>
      </c>
      <c r="H103" s="149"/>
      <c r="I103" s="156">
        <v>0</v>
      </c>
    </row>
    <row r="104" spans="2:9" x14ac:dyDescent="0.25">
      <c r="B104" s="153" t="s">
        <v>279</v>
      </c>
      <c r="C104" s="153" t="s">
        <v>1771</v>
      </c>
      <c r="D104" s="153" t="s">
        <v>29</v>
      </c>
      <c r="E104" s="154">
        <v>462</v>
      </c>
      <c r="F104" s="154">
        <v>44</v>
      </c>
      <c r="G104" s="154">
        <v>20328</v>
      </c>
      <c r="H104" s="149"/>
      <c r="I104" s="149"/>
    </row>
    <row r="105" spans="2:9" x14ac:dyDescent="0.25">
      <c r="B105" s="153" t="s">
        <v>467</v>
      </c>
      <c r="C105" s="153" t="s">
        <v>1772</v>
      </c>
      <c r="D105" s="153" t="s">
        <v>29</v>
      </c>
      <c r="E105" s="154">
        <v>60</v>
      </c>
      <c r="F105" s="154">
        <v>30</v>
      </c>
      <c r="G105" s="154">
        <v>1800</v>
      </c>
      <c r="H105" s="149"/>
      <c r="I105" s="149"/>
    </row>
    <row r="106" spans="2:9" x14ac:dyDescent="0.25">
      <c r="B106" s="153" t="s">
        <v>573</v>
      </c>
      <c r="C106" s="153" t="s">
        <v>1773</v>
      </c>
      <c r="D106" s="153" t="s">
        <v>29</v>
      </c>
      <c r="E106" s="154">
        <v>335</v>
      </c>
      <c r="F106" s="154">
        <v>20</v>
      </c>
      <c r="G106" s="154">
        <v>6700</v>
      </c>
      <c r="H106" s="149"/>
      <c r="I106" s="149"/>
    </row>
    <row r="107" spans="2:9" x14ac:dyDescent="0.25">
      <c r="B107" s="153" t="s">
        <v>574</v>
      </c>
      <c r="C107" s="153" t="s">
        <v>1774</v>
      </c>
      <c r="D107" s="153" t="s">
        <v>29</v>
      </c>
      <c r="E107" s="154">
        <v>20</v>
      </c>
      <c r="F107" s="154">
        <v>20</v>
      </c>
      <c r="G107" s="154">
        <v>400</v>
      </c>
      <c r="H107" s="149"/>
      <c r="I107" s="149"/>
    </row>
    <row r="108" spans="2:9" x14ac:dyDescent="0.25">
      <c r="B108" s="153" t="s">
        <v>575</v>
      </c>
      <c r="C108" s="153" t="s">
        <v>1775</v>
      </c>
      <c r="D108" s="153" t="s">
        <v>29</v>
      </c>
      <c r="E108" s="154">
        <v>448</v>
      </c>
      <c r="F108" s="154">
        <v>27</v>
      </c>
      <c r="G108" s="154">
        <v>12096</v>
      </c>
      <c r="H108" s="149"/>
      <c r="I108" s="149"/>
    </row>
    <row r="109" spans="2:9" x14ac:dyDescent="0.25">
      <c r="B109" s="153" t="s">
        <v>1776</v>
      </c>
      <c r="C109" s="153" t="s">
        <v>1777</v>
      </c>
      <c r="D109" s="153" t="s">
        <v>29</v>
      </c>
      <c r="E109" s="154">
        <v>453</v>
      </c>
      <c r="F109" s="154">
        <v>42</v>
      </c>
      <c r="G109" s="154">
        <v>19026</v>
      </c>
      <c r="H109" s="149"/>
      <c r="I109" s="149"/>
    </row>
    <row r="110" spans="2:9" x14ac:dyDescent="0.25">
      <c r="B110" s="155" t="s">
        <v>70</v>
      </c>
      <c r="C110" s="155" t="s">
        <v>1778</v>
      </c>
      <c r="D110" s="149"/>
      <c r="E110" s="149"/>
      <c r="F110" s="149"/>
      <c r="G110" s="156">
        <v>3802.68</v>
      </c>
      <c r="H110" s="149"/>
      <c r="I110" s="156">
        <v>0</v>
      </c>
    </row>
    <row r="111" spans="2:9" x14ac:dyDescent="0.25">
      <c r="B111" s="153" t="s">
        <v>394</v>
      </c>
      <c r="C111" s="153" t="s">
        <v>1779</v>
      </c>
      <c r="D111" s="153" t="s">
        <v>29</v>
      </c>
      <c r="E111" s="154">
        <v>7</v>
      </c>
      <c r="F111" s="154">
        <v>90.54</v>
      </c>
      <c r="G111" s="154">
        <v>633.78</v>
      </c>
      <c r="H111" s="149"/>
      <c r="I111" s="149"/>
    </row>
    <row r="112" spans="2:9" x14ac:dyDescent="0.25">
      <c r="B112" s="153" t="s">
        <v>395</v>
      </c>
      <c r="C112" s="153" t="s">
        <v>1780</v>
      </c>
      <c r="D112" s="153" t="s">
        <v>29</v>
      </c>
      <c r="E112" s="154">
        <v>19</v>
      </c>
      <c r="F112" s="154">
        <v>90.54</v>
      </c>
      <c r="G112" s="154">
        <v>1720.26</v>
      </c>
      <c r="H112" s="149"/>
      <c r="I112" s="149"/>
    </row>
    <row r="113" spans="2:9" x14ac:dyDescent="0.25">
      <c r="B113" s="153" t="s">
        <v>1781</v>
      </c>
      <c r="C113" s="153" t="s">
        <v>1782</v>
      </c>
      <c r="D113" s="153" t="s">
        <v>29</v>
      </c>
      <c r="E113" s="154">
        <v>16</v>
      </c>
      <c r="F113" s="154">
        <v>90.54</v>
      </c>
      <c r="G113" s="154">
        <v>1448.64</v>
      </c>
      <c r="H113" s="149"/>
      <c r="I113" s="149"/>
    </row>
    <row r="114" spans="2:9" x14ac:dyDescent="0.25">
      <c r="B114" s="155" t="s">
        <v>71</v>
      </c>
      <c r="C114" s="155" t="s">
        <v>1783</v>
      </c>
      <c r="D114" s="149"/>
      <c r="E114" s="149"/>
      <c r="F114" s="149"/>
      <c r="G114" s="156">
        <v>62268.45</v>
      </c>
      <c r="H114" s="149"/>
      <c r="I114" s="156">
        <v>0</v>
      </c>
    </row>
    <row r="115" spans="2:9" x14ac:dyDescent="0.25">
      <c r="B115" s="153" t="s">
        <v>396</v>
      </c>
      <c r="C115" s="153" t="s">
        <v>1784</v>
      </c>
      <c r="D115" s="153" t="s">
        <v>29</v>
      </c>
      <c r="E115" s="154">
        <v>12</v>
      </c>
      <c r="F115" s="154">
        <v>20</v>
      </c>
      <c r="G115" s="154">
        <v>240</v>
      </c>
      <c r="H115" s="149"/>
      <c r="I115" s="149"/>
    </row>
    <row r="116" spans="2:9" x14ac:dyDescent="0.25">
      <c r="B116" s="153" t="s">
        <v>397</v>
      </c>
      <c r="C116" s="153" t="s">
        <v>1785</v>
      </c>
      <c r="D116" s="153" t="s">
        <v>29</v>
      </c>
      <c r="E116" s="154">
        <v>13</v>
      </c>
      <c r="F116" s="154">
        <v>30</v>
      </c>
      <c r="G116" s="154">
        <v>390</v>
      </c>
      <c r="H116" s="149"/>
      <c r="I116" s="149"/>
    </row>
    <row r="117" spans="2:9" x14ac:dyDescent="0.25">
      <c r="B117" s="153" t="s">
        <v>398</v>
      </c>
      <c r="C117" s="153" t="s">
        <v>1786</v>
      </c>
      <c r="D117" s="153" t="s">
        <v>29</v>
      </c>
      <c r="E117" s="154">
        <v>28</v>
      </c>
      <c r="F117" s="154">
        <v>44</v>
      </c>
      <c r="G117" s="154">
        <v>1232</v>
      </c>
      <c r="H117" s="149"/>
      <c r="I117" s="149"/>
    </row>
    <row r="118" spans="2:9" x14ac:dyDescent="0.25">
      <c r="B118" s="153" t="s">
        <v>399</v>
      </c>
      <c r="C118" s="153" t="s">
        <v>1787</v>
      </c>
      <c r="D118" s="153" t="s">
        <v>29</v>
      </c>
      <c r="E118" s="154">
        <v>41</v>
      </c>
      <c r="F118" s="154">
        <v>21.3</v>
      </c>
      <c r="G118" s="154">
        <v>873.3</v>
      </c>
      <c r="H118" s="149"/>
      <c r="I118" s="149"/>
    </row>
    <row r="119" spans="2:9" x14ac:dyDescent="0.25">
      <c r="B119" s="153" t="s">
        <v>1788</v>
      </c>
      <c r="C119" s="153" t="s">
        <v>1789</v>
      </c>
      <c r="D119" s="153" t="s">
        <v>29</v>
      </c>
      <c r="E119" s="154">
        <v>115</v>
      </c>
      <c r="F119" s="154">
        <v>31.5</v>
      </c>
      <c r="G119" s="154">
        <v>3622.5</v>
      </c>
      <c r="H119" s="149"/>
      <c r="I119" s="149"/>
    </row>
    <row r="120" spans="2:9" x14ac:dyDescent="0.25">
      <c r="B120" s="153" t="s">
        <v>1790</v>
      </c>
      <c r="C120" s="153" t="s">
        <v>1791</v>
      </c>
      <c r="D120" s="153" t="s">
        <v>29</v>
      </c>
      <c r="E120" s="154">
        <v>86</v>
      </c>
      <c r="F120" s="154">
        <v>45.4</v>
      </c>
      <c r="G120" s="154">
        <v>3904.4</v>
      </c>
      <c r="H120" s="149"/>
      <c r="I120" s="149"/>
    </row>
    <row r="121" spans="2:9" x14ac:dyDescent="0.25">
      <c r="B121" s="153" t="s">
        <v>1792</v>
      </c>
      <c r="C121" s="153" t="s">
        <v>1793</v>
      </c>
      <c r="D121" s="153" t="s">
        <v>29</v>
      </c>
      <c r="E121" s="154">
        <v>25</v>
      </c>
      <c r="F121" s="154">
        <v>81.209999999999994</v>
      </c>
      <c r="G121" s="154">
        <v>2030.25</v>
      </c>
      <c r="H121" s="149"/>
      <c r="I121" s="149"/>
    </row>
    <row r="122" spans="2:9" x14ac:dyDescent="0.25">
      <c r="B122" s="153" t="s">
        <v>1794</v>
      </c>
      <c r="C122" s="153" t="s">
        <v>1795</v>
      </c>
      <c r="D122" s="153" t="s">
        <v>29</v>
      </c>
      <c r="E122" s="154">
        <v>889</v>
      </c>
      <c r="F122" s="154">
        <v>20</v>
      </c>
      <c r="G122" s="154">
        <v>17780</v>
      </c>
      <c r="H122" s="149"/>
      <c r="I122" s="149"/>
    </row>
    <row r="123" spans="2:9" x14ac:dyDescent="0.25">
      <c r="B123" s="153" t="s">
        <v>1796</v>
      </c>
      <c r="C123" s="153" t="s">
        <v>1797</v>
      </c>
      <c r="D123" s="153" t="s">
        <v>29</v>
      </c>
      <c r="E123" s="154">
        <v>414</v>
      </c>
      <c r="F123" s="154">
        <v>44</v>
      </c>
      <c r="G123" s="154">
        <v>18216</v>
      </c>
      <c r="H123" s="149"/>
      <c r="I123" s="149"/>
    </row>
    <row r="124" spans="2:9" x14ac:dyDescent="0.25">
      <c r="B124" s="153" t="s">
        <v>1798</v>
      </c>
      <c r="C124" s="153" t="s">
        <v>1799</v>
      </c>
      <c r="D124" s="153" t="s">
        <v>29</v>
      </c>
      <c r="E124" s="154">
        <v>678</v>
      </c>
      <c r="F124" s="154">
        <v>20</v>
      </c>
      <c r="G124" s="154">
        <v>13560</v>
      </c>
      <c r="H124" s="149"/>
      <c r="I124" s="149"/>
    </row>
    <row r="125" spans="2:9" x14ac:dyDescent="0.25">
      <c r="B125" s="153" t="s">
        <v>1800</v>
      </c>
      <c r="C125" s="153" t="s">
        <v>1801</v>
      </c>
      <c r="D125" s="153" t="s">
        <v>29</v>
      </c>
      <c r="E125" s="154">
        <v>14</v>
      </c>
      <c r="F125" s="154">
        <v>30</v>
      </c>
      <c r="G125" s="154">
        <v>420</v>
      </c>
      <c r="H125" s="149"/>
      <c r="I125" s="149"/>
    </row>
    <row r="126" spans="2:9" x14ac:dyDescent="0.25">
      <c r="B126" s="155" t="s">
        <v>330</v>
      </c>
      <c r="C126" s="155" t="s">
        <v>1802</v>
      </c>
      <c r="D126" s="149"/>
      <c r="E126" s="149"/>
      <c r="F126" s="149"/>
      <c r="G126" s="156">
        <v>32843.67</v>
      </c>
      <c r="H126" s="149"/>
      <c r="I126" s="156">
        <v>0</v>
      </c>
    </row>
    <row r="127" spans="2:9" x14ac:dyDescent="0.25">
      <c r="B127" s="153" t="s">
        <v>400</v>
      </c>
      <c r="C127" s="153" t="s">
        <v>1803</v>
      </c>
      <c r="D127" s="153" t="s">
        <v>53</v>
      </c>
      <c r="E127" s="154">
        <v>2</v>
      </c>
      <c r="F127" s="154">
        <v>43.34</v>
      </c>
      <c r="G127" s="154">
        <v>86.68</v>
      </c>
      <c r="H127" s="149"/>
      <c r="I127" s="149"/>
    </row>
    <row r="128" spans="2:9" x14ac:dyDescent="0.25">
      <c r="B128" s="153" t="s">
        <v>401</v>
      </c>
      <c r="C128" s="153" t="s">
        <v>1804</v>
      </c>
      <c r="D128" s="153" t="s">
        <v>53</v>
      </c>
      <c r="E128" s="154">
        <v>12</v>
      </c>
      <c r="F128" s="154">
        <v>52.21</v>
      </c>
      <c r="G128" s="154">
        <v>626.52</v>
      </c>
      <c r="H128" s="149"/>
      <c r="I128" s="149"/>
    </row>
    <row r="129" spans="2:9" x14ac:dyDescent="0.25">
      <c r="B129" s="153" t="s">
        <v>1805</v>
      </c>
      <c r="C129" s="153" t="s">
        <v>1806</v>
      </c>
      <c r="D129" s="153" t="s">
        <v>53</v>
      </c>
      <c r="E129" s="154">
        <v>304</v>
      </c>
      <c r="F129" s="154">
        <v>35.299999999999997</v>
      </c>
      <c r="G129" s="154">
        <v>10731.2</v>
      </c>
      <c r="H129" s="149"/>
      <c r="I129" s="149"/>
    </row>
    <row r="130" spans="2:9" x14ac:dyDescent="0.25">
      <c r="B130" s="153" t="s">
        <v>1807</v>
      </c>
      <c r="C130" s="153" t="s">
        <v>1808</v>
      </c>
      <c r="D130" s="153" t="s">
        <v>53</v>
      </c>
      <c r="E130" s="154">
        <v>88</v>
      </c>
      <c r="F130" s="154">
        <v>48.32</v>
      </c>
      <c r="G130" s="154">
        <v>4252.16</v>
      </c>
      <c r="H130" s="149"/>
      <c r="I130" s="149"/>
    </row>
    <row r="131" spans="2:9" x14ac:dyDescent="0.25">
      <c r="B131" s="153" t="s">
        <v>1809</v>
      </c>
      <c r="C131" s="153" t="s">
        <v>1810</v>
      </c>
      <c r="D131" s="153" t="s">
        <v>53</v>
      </c>
      <c r="E131" s="154">
        <v>452</v>
      </c>
      <c r="F131" s="154">
        <v>32.299999999999997</v>
      </c>
      <c r="G131" s="154">
        <v>14599.6</v>
      </c>
      <c r="H131" s="149"/>
      <c r="I131" s="149"/>
    </row>
    <row r="132" spans="2:9" x14ac:dyDescent="0.25">
      <c r="B132" s="153" t="s">
        <v>1811</v>
      </c>
      <c r="C132" s="153" t="s">
        <v>1812</v>
      </c>
      <c r="D132" s="153" t="s">
        <v>53</v>
      </c>
      <c r="E132" s="154">
        <v>37</v>
      </c>
      <c r="F132" s="154">
        <v>43.11</v>
      </c>
      <c r="G132" s="154">
        <v>1595.07</v>
      </c>
      <c r="H132" s="149"/>
      <c r="I132" s="149"/>
    </row>
    <row r="133" spans="2:9" x14ac:dyDescent="0.25">
      <c r="B133" s="153" t="s">
        <v>1813</v>
      </c>
      <c r="C133" s="153" t="s">
        <v>1814</v>
      </c>
      <c r="D133" s="153" t="s">
        <v>53</v>
      </c>
      <c r="E133" s="154">
        <v>7</v>
      </c>
      <c r="F133" s="154">
        <v>32</v>
      </c>
      <c r="G133" s="154">
        <v>224</v>
      </c>
      <c r="H133" s="149"/>
      <c r="I133" s="149"/>
    </row>
    <row r="134" spans="2:9" x14ac:dyDescent="0.25">
      <c r="B134" s="153" t="s">
        <v>1815</v>
      </c>
      <c r="C134" s="153" t="s">
        <v>1816</v>
      </c>
      <c r="D134" s="153" t="s">
        <v>53</v>
      </c>
      <c r="E134" s="154">
        <v>14</v>
      </c>
      <c r="F134" s="154">
        <v>33.43</v>
      </c>
      <c r="G134" s="154">
        <v>468.02</v>
      </c>
      <c r="H134" s="149"/>
      <c r="I134" s="149"/>
    </row>
    <row r="135" spans="2:9" x14ac:dyDescent="0.25">
      <c r="B135" s="153" t="s">
        <v>1982</v>
      </c>
      <c r="C135" s="153" t="s">
        <v>1983</v>
      </c>
      <c r="D135" s="153" t="s">
        <v>53</v>
      </c>
      <c r="E135" s="154">
        <v>2</v>
      </c>
      <c r="F135" s="154">
        <v>130.21</v>
      </c>
      <c r="G135" s="154">
        <v>260.42</v>
      </c>
      <c r="H135" s="154">
        <v>0</v>
      </c>
      <c r="I135" s="154">
        <v>0</v>
      </c>
    </row>
    <row r="136" spans="2:9" x14ac:dyDescent="0.25">
      <c r="B136" s="155" t="s">
        <v>331</v>
      </c>
      <c r="C136" s="155" t="s">
        <v>362</v>
      </c>
      <c r="D136" s="149"/>
      <c r="E136" s="149"/>
      <c r="F136" s="149"/>
      <c r="G136" s="156">
        <v>0</v>
      </c>
      <c r="H136" s="149"/>
      <c r="I136" s="156">
        <v>0</v>
      </c>
    </row>
    <row r="137" spans="2:9" x14ac:dyDescent="0.25">
      <c r="B137" s="153" t="s">
        <v>402</v>
      </c>
      <c r="C137" s="153" t="s">
        <v>1817</v>
      </c>
      <c r="D137" s="153" t="s">
        <v>53</v>
      </c>
      <c r="E137" s="154">
        <v>0</v>
      </c>
      <c r="F137" s="149"/>
      <c r="G137" s="149"/>
      <c r="H137" s="149"/>
      <c r="I137" s="149"/>
    </row>
    <row r="138" spans="2:9" x14ac:dyDescent="0.25">
      <c r="B138" s="155" t="s">
        <v>332</v>
      </c>
      <c r="C138" s="155" t="s">
        <v>1818</v>
      </c>
      <c r="D138" s="149"/>
      <c r="E138" s="149"/>
      <c r="F138" s="149"/>
      <c r="G138" s="156">
        <v>21606.9</v>
      </c>
      <c r="H138" s="149"/>
      <c r="I138" s="156">
        <v>0</v>
      </c>
    </row>
    <row r="139" spans="2:9" x14ac:dyDescent="0.25">
      <c r="B139" s="153" t="s">
        <v>403</v>
      </c>
      <c r="C139" s="153" t="s">
        <v>1819</v>
      </c>
      <c r="D139" s="153" t="s">
        <v>29</v>
      </c>
      <c r="E139" s="154">
        <v>5589</v>
      </c>
      <c r="F139" s="154">
        <v>2.1</v>
      </c>
      <c r="G139" s="154">
        <v>11736.9</v>
      </c>
      <c r="H139" s="149"/>
      <c r="I139" s="149"/>
    </row>
    <row r="140" spans="2:9" x14ac:dyDescent="0.25">
      <c r="B140" s="153" t="s">
        <v>1820</v>
      </c>
      <c r="C140" s="153" t="s">
        <v>1821</v>
      </c>
      <c r="D140" s="153" t="s">
        <v>53</v>
      </c>
      <c r="E140" s="154">
        <v>3</v>
      </c>
      <c r="F140" s="154">
        <v>150</v>
      </c>
      <c r="G140" s="154">
        <v>450</v>
      </c>
      <c r="H140" s="149"/>
      <c r="I140" s="149"/>
    </row>
    <row r="141" spans="2:9" x14ac:dyDescent="0.25">
      <c r="B141" s="153" t="s">
        <v>1822</v>
      </c>
      <c r="C141" s="153" t="s">
        <v>1823</v>
      </c>
      <c r="D141" s="153" t="s">
        <v>53</v>
      </c>
      <c r="E141" s="154">
        <v>6</v>
      </c>
      <c r="F141" s="154">
        <v>480</v>
      </c>
      <c r="G141" s="154">
        <v>2880</v>
      </c>
      <c r="H141" s="149"/>
      <c r="I141" s="149"/>
    </row>
    <row r="142" spans="2:9" x14ac:dyDescent="0.25">
      <c r="B142" s="153" t="s">
        <v>1824</v>
      </c>
      <c r="C142" s="153" t="s">
        <v>1825</v>
      </c>
      <c r="D142" s="153" t="s">
        <v>15</v>
      </c>
      <c r="E142" s="154">
        <v>1</v>
      </c>
      <c r="F142" s="154">
        <v>1500</v>
      </c>
      <c r="G142" s="154">
        <v>1500</v>
      </c>
      <c r="H142" s="149"/>
      <c r="I142" s="149"/>
    </row>
    <row r="143" spans="2:9" x14ac:dyDescent="0.25">
      <c r="B143" s="153" t="s">
        <v>1826</v>
      </c>
      <c r="C143" s="153" t="s">
        <v>1827</v>
      </c>
      <c r="D143" s="153" t="s">
        <v>15</v>
      </c>
      <c r="E143" s="154">
        <v>1</v>
      </c>
      <c r="F143" s="154">
        <v>5040</v>
      </c>
      <c r="G143" s="154">
        <v>5040</v>
      </c>
      <c r="H143" s="149"/>
      <c r="I143" s="149"/>
    </row>
    <row r="144" spans="2:9" x14ac:dyDescent="0.25">
      <c r="B144" s="153" t="s">
        <v>1828</v>
      </c>
      <c r="C144" s="153" t="s">
        <v>1829</v>
      </c>
      <c r="D144" s="153" t="s">
        <v>53</v>
      </c>
      <c r="E144" s="154">
        <v>0</v>
      </c>
      <c r="F144" s="149"/>
      <c r="G144" s="149"/>
      <c r="H144" s="149"/>
      <c r="I144" s="149"/>
    </row>
    <row r="145" spans="2:9" x14ac:dyDescent="0.25">
      <c r="B145" s="153" t="s">
        <v>1830</v>
      </c>
      <c r="C145" s="153" t="s">
        <v>1831</v>
      </c>
      <c r="D145" s="153" t="s">
        <v>53</v>
      </c>
      <c r="E145" s="154">
        <v>0</v>
      </c>
      <c r="F145" s="149"/>
      <c r="G145" s="149"/>
      <c r="H145" s="149"/>
      <c r="I145" s="149"/>
    </row>
    <row r="146" spans="2:9" x14ac:dyDescent="0.25">
      <c r="B146" s="153" t="s">
        <v>1832</v>
      </c>
      <c r="C146" s="153" t="s">
        <v>1833</v>
      </c>
      <c r="D146" s="153" t="s">
        <v>53</v>
      </c>
      <c r="E146" s="154">
        <v>0</v>
      </c>
      <c r="F146" s="149"/>
      <c r="G146" s="149"/>
      <c r="H146" s="149"/>
      <c r="I146" s="149"/>
    </row>
    <row r="147" spans="2:9" x14ac:dyDescent="0.25">
      <c r="B147" s="151" t="s">
        <v>73</v>
      </c>
      <c r="C147" s="151" t="s">
        <v>1834</v>
      </c>
      <c r="D147" s="149"/>
      <c r="E147" s="149"/>
      <c r="F147" s="149"/>
      <c r="G147" s="152">
        <v>0</v>
      </c>
      <c r="H147" s="149"/>
      <c r="I147" s="152">
        <v>40836.519999999997</v>
      </c>
    </row>
    <row r="148" spans="2:9" x14ac:dyDescent="0.25">
      <c r="B148" s="155" t="s">
        <v>75</v>
      </c>
      <c r="C148" s="155" t="s">
        <v>1835</v>
      </c>
      <c r="D148" s="149"/>
      <c r="E148" s="149"/>
      <c r="F148" s="149"/>
      <c r="G148" s="156">
        <v>0</v>
      </c>
      <c r="H148" s="149"/>
      <c r="I148" s="156">
        <v>38036.26</v>
      </c>
    </row>
    <row r="149" spans="2:9" x14ac:dyDescent="0.25">
      <c r="B149" s="157" t="s">
        <v>280</v>
      </c>
      <c r="C149" s="157" t="s">
        <v>1836</v>
      </c>
      <c r="D149" s="149"/>
      <c r="E149" s="149"/>
      <c r="F149" s="149"/>
      <c r="G149" s="158">
        <v>0</v>
      </c>
      <c r="H149" s="149"/>
      <c r="I149" s="158">
        <v>38036.26</v>
      </c>
    </row>
    <row r="150" spans="2:9" x14ac:dyDescent="0.25">
      <c r="B150" s="153" t="s">
        <v>1837</v>
      </c>
      <c r="C150" s="153" t="s">
        <v>1838</v>
      </c>
      <c r="D150" s="153" t="s">
        <v>294</v>
      </c>
      <c r="E150" s="154">
        <v>1</v>
      </c>
      <c r="F150" s="149"/>
      <c r="G150" s="149"/>
      <c r="H150" s="154">
        <v>38036.26</v>
      </c>
      <c r="I150" s="154">
        <v>38036.26</v>
      </c>
    </row>
    <row r="151" spans="2:9" x14ac:dyDescent="0.25">
      <c r="B151" s="155" t="s">
        <v>77</v>
      </c>
      <c r="C151" s="155" t="s">
        <v>1839</v>
      </c>
      <c r="D151" s="149"/>
      <c r="E151" s="149"/>
      <c r="F151" s="149"/>
      <c r="G151" s="156">
        <v>0</v>
      </c>
      <c r="H151" s="149"/>
      <c r="I151" s="156">
        <v>2800.26</v>
      </c>
    </row>
    <row r="152" spans="2:9" x14ac:dyDescent="0.25">
      <c r="B152" s="157" t="s">
        <v>284</v>
      </c>
      <c r="C152" s="157" t="s">
        <v>1840</v>
      </c>
      <c r="D152" s="149"/>
      <c r="E152" s="149"/>
      <c r="F152" s="149"/>
      <c r="G152" s="158">
        <v>0</v>
      </c>
      <c r="H152" s="149"/>
      <c r="I152" s="158">
        <v>2800.26</v>
      </c>
    </row>
    <row r="153" spans="2:9" x14ac:dyDescent="0.25">
      <c r="B153" s="153" t="s">
        <v>1841</v>
      </c>
      <c r="C153" s="153" t="s">
        <v>1842</v>
      </c>
      <c r="D153" s="153" t="s">
        <v>294</v>
      </c>
      <c r="E153" s="154">
        <v>1</v>
      </c>
      <c r="F153" s="149"/>
      <c r="G153" s="149"/>
      <c r="H153" s="154">
        <v>2800.26</v>
      </c>
      <c r="I153" s="154">
        <v>2800.26</v>
      </c>
    </row>
    <row r="154" spans="2:9" x14ac:dyDescent="0.25">
      <c r="B154" s="151" t="s">
        <v>79</v>
      </c>
      <c r="C154" s="151" t="s">
        <v>387</v>
      </c>
      <c r="D154" s="149"/>
      <c r="E154" s="149"/>
      <c r="F154" s="149"/>
      <c r="G154" s="152">
        <v>28175.7</v>
      </c>
      <c r="H154" s="149"/>
      <c r="I154" s="152">
        <v>0</v>
      </c>
    </row>
    <row r="155" spans="2:9" x14ac:dyDescent="0.25">
      <c r="B155" s="153" t="s">
        <v>81</v>
      </c>
      <c r="C155" s="153" t="s">
        <v>1843</v>
      </c>
      <c r="D155" s="153" t="s">
        <v>53</v>
      </c>
      <c r="E155" s="154">
        <v>2</v>
      </c>
      <c r="F155" s="154">
        <v>63.5</v>
      </c>
      <c r="G155" s="154">
        <v>127</v>
      </c>
      <c r="H155" s="149"/>
      <c r="I155" s="149"/>
    </row>
    <row r="156" spans="2:9" x14ac:dyDescent="0.25">
      <c r="B156" s="153" t="s">
        <v>83</v>
      </c>
      <c r="C156" s="153" t="s">
        <v>1844</v>
      </c>
      <c r="D156" s="153" t="s">
        <v>53</v>
      </c>
      <c r="E156" s="154">
        <v>1</v>
      </c>
      <c r="F156" s="154">
        <v>32.200000000000003</v>
      </c>
      <c r="G156" s="154">
        <v>32.200000000000003</v>
      </c>
      <c r="H156" s="149"/>
      <c r="I156" s="149"/>
    </row>
    <row r="157" spans="2:9" x14ac:dyDescent="0.25">
      <c r="B157" s="153" t="s">
        <v>85</v>
      </c>
      <c r="C157" s="153" t="s">
        <v>1845</v>
      </c>
      <c r="D157" s="153" t="s">
        <v>53</v>
      </c>
      <c r="E157" s="154">
        <v>110</v>
      </c>
      <c r="F157" s="154">
        <v>58.5</v>
      </c>
      <c r="G157" s="154">
        <v>6435</v>
      </c>
      <c r="H157" s="149"/>
      <c r="I157" s="149"/>
    </row>
    <row r="158" spans="2:9" x14ac:dyDescent="0.25">
      <c r="B158" s="153" t="s">
        <v>87</v>
      </c>
      <c r="C158" s="153" t="s">
        <v>1846</v>
      </c>
      <c r="D158" s="153" t="s">
        <v>53</v>
      </c>
      <c r="E158" s="154">
        <v>1</v>
      </c>
      <c r="F158" s="154">
        <v>1800</v>
      </c>
      <c r="G158" s="154">
        <v>1800</v>
      </c>
      <c r="H158" s="154">
        <v>0</v>
      </c>
      <c r="I158" s="154">
        <v>0</v>
      </c>
    </row>
    <row r="159" spans="2:9" x14ac:dyDescent="0.25">
      <c r="B159" s="153" t="s">
        <v>192</v>
      </c>
      <c r="C159" s="153" t="s">
        <v>1847</v>
      </c>
      <c r="D159" s="153" t="s">
        <v>53</v>
      </c>
      <c r="E159" s="154">
        <v>2</v>
      </c>
      <c r="F159" s="154">
        <v>420</v>
      </c>
      <c r="G159" s="154">
        <v>840</v>
      </c>
      <c r="H159" s="149"/>
      <c r="I159" s="149"/>
    </row>
    <row r="160" spans="2:9" x14ac:dyDescent="0.25">
      <c r="B160" s="153" t="s">
        <v>193</v>
      </c>
      <c r="C160" s="153" t="s">
        <v>1848</v>
      </c>
      <c r="D160" s="153" t="s">
        <v>53</v>
      </c>
      <c r="E160" s="154">
        <v>2</v>
      </c>
      <c r="F160" s="154">
        <v>420</v>
      </c>
      <c r="G160" s="154">
        <v>840</v>
      </c>
      <c r="H160" s="149"/>
      <c r="I160" s="149"/>
    </row>
    <row r="161" spans="2:9" x14ac:dyDescent="0.25">
      <c r="B161" s="153" t="s">
        <v>195</v>
      </c>
      <c r="C161" s="153" t="s">
        <v>1849</v>
      </c>
      <c r="D161" s="153" t="s">
        <v>53</v>
      </c>
      <c r="E161" s="154">
        <v>1</v>
      </c>
      <c r="F161" s="154">
        <v>1800</v>
      </c>
      <c r="G161" s="154">
        <v>1800</v>
      </c>
      <c r="H161" s="154">
        <v>0</v>
      </c>
      <c r="I161" s="154">
        <v>0</v>
      </c>
    </row>
    <row r="162" spans="2:9" x14ac:dyDescent="0.25">
      <c r="B162" s="153" t="s">
        <v>1494</v>
      </c>
      <c r="C162" s="153" t="s">
        <v>1850</v>
      </c>
      <c r="D162" s="153" t="s">
        <v>53</v>
      </c>
      <c r="E162" s="154">
        <v>2</v>
      </c>
      <c r="F162" s="154">
        <v>1300</v>
      </c>
      <c r="G162" s="154">
        <v>2600</v>
      </c>
      <c r="H162" s="154">
        <v>0</v>
      </c>
      <c r="I162" s="154">
        <v>0</v>
      </c>
    </row>
    <row r="163" spans="2:9" x14ac:dyDescent="0.25">
      <c r="B163" s="153" t="s">
        <v>1851</v>
      </c>
      <c r="C163" s="153" t="s">
        <v>1852</v>
      </c>
      <c r="D163" s="153" t="s">
        <v>53</v>
      </c>
      <c r="E163" s="154">
        <v>1</v>
      </c>
      <c r="F163" s="154">
        <v>720</v>
      </c>
      <c r="G163" s="154">
        <v>720</v>
      </c>
      <c r="H163" s="149"/>
      <c r="I163" s="149"/>
    </row>
    <row r="164" spans="2:9" x14ac:dyDescent="0.25">
      <c r="B164" s="153" t="s">
        <v>1853</v>
      </c>
      <c r="C164" s="153" t="s">
        <v>1854</v>
      </c>
      <c r="D164" s="153" t="s">
        <v>294</v>
      </c>
      <c r="E164" s="154">
        <v>489</v>
      </c>
      <c r="F164" s="154">
        <v>7.5</v>
      </c>
      <c r="G164" s="154">
        <v>3667.5</v>
      </c>
      <c r="H164" s="149"/>
      <c r="I164" s="149"/>
    </row>
    <row r="165" spans="2:9" x14ac:dyDescent="0.25">
      <c r="B165" s="153" t="s">
        <v>1855</v>
      </c>
      <c r="C165" s="153" t="s">
        <v>1857</v>
      </c>
      <c r="D165" s="153" t="s">
        <v>294</v>
      </c>
      <c r="E165" s="154">
        <v>1</v>
      </c>
      <c r="F165" s="154">
        <v>1200</v>
      </c>
      <c r="G165" s="154">
        <v>1200</v>
      </c>
      <c r="H165" s="149"/>
      <c r="I165" s="149"/>
    </row>
    <row r="166" spans="2:9" x14ac:dyDescent="0.25">
      <c r="B166" s="153" t="s">
        <v>1856</v>
      </c>
      <c r="C166" s="153" t="s">
        <v>1859</v>
      </c>
      <c r="D166" s="153" t="s">
        <v>294</v>
      </c>
      <c r="E166" s="154">
        <v>524</v>
      </c>
      <c r="F166" s="154">
        <v>8.5</v>
      </c>
      <c r="G166" s="154">
        <v>4454</v>
      </c>
      <c r="H166" s="149"/>
      <c r="I166" s="149"/>
    </row>
    <row r="167" spans="2:9" x14ac:dyDescent="0.25">
      <c r="B167" s="153" t="s">
        <v>1858</v>
      </c>
      <c r="C167" s="153" t="s">
        <v>1861</v>
      </c>
      <c r="D167" s="153" t="s">
        <v>294</v>
      </c>
      <c r="E167" s="154">
        <v>1</v>
      </c>
      <c r="F167" s="154">
        <v>250</v>
      </c>
      <c r="G167" s="154">
        <v>250</v>
      </c>
      <c r="H167" s="149"/>
      <c r="I167" s="149"/>
    </row>
    <row r="168" spans="2:9" x14ac:dyDescent="0.25">
      <c r="B168" s="153" t="s">
        <v>1860</v>
      </c>
      <c r="C168" s="153" t="s">
        <v>1863</v>
      </c>
      <c r="D168" s="153" t="s">
        <v>294</v>
      </c>
      <c r="E168" s="154">
        <v>3</v>
      </c>
      <c r="F168" s="154">
        <v>280</v>
      </c>
      <c r="G168" s="154">
        <v>840</v>
      </c>
      <c r="H168" s="149"/>
      <c r="I168" s="149"/>
    </row>
    <row r="169" spans="2:9" x14ac:dyDescent="0.25">
      <c r="B169" s="153" t="s">
        <v>1862</v>
      </c>
      <c r="C169" s="153" t="s">
        <v>1865</v>
      </c>
      <c r="D169" s="153" t="s">
        <v>294</v>
      </c>
      <c r="E169" s="154">
        <v>2</v>
      </c>
      <c r="F169" s="154">
        <v>270</v>
      </c>
      <c r="G169" s="154">
        <v>540</v>
      </c>
      <c r="H169" s="149"/>
      <c r="I169" s="149"/>
    </row>
    <row r="170" spans="2:9" x14ac:dyDescent="0.25">
      <c r="B170" s="153" t="s">
        <v>1864</v>
      </c>
      <c r="C170" s="153" t="s">
        <v>1866</v>
      </c>
      <c r="D170" s="153" t="s">
        <v>294</v>
      </c>
      <c r="E170" s="154">
        <v>35</v>
      </c>
      <c r="F170" s="154">
        <v>58</v>
      </c>
      <c r="G170" s="154">
        <v>2030</v>
      </c>
      <c r="H170" s="149"/>
      <c r="I170" s="149"/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DD87-20C3-4B99-A18A-CBA2AB0B8F8B}">
  <dimension ref="B1:I49"/>
  <sheetViews>
    <sheetView workbookViewId="0">
      <selection activeCell="J15" sqref="J15"/>
    </sheetView>
  </sheetViews>
  <sheetFormatPr defaultColWidth="11.42578125" defaultRowHeight="15" x14ac:dyDescent="0.25"/>
  <cols>
    <col min="3" max="3" width="34.7109375" customWidth="1"/>
    <col min="4" max="4" width="4.140625" bestFit="1" customWidth="1"/>
  </cols>
  <sheetData>
    <row r="1" spans="2:9" ht="16.5" x14ac:dyDescent="0.25">
      <c r="B1" s="190" t="s">
        <v>1868</v>
      </c>
      <c r="C1" s="191"/>
      <c r="D1" s="191"/>
      <c r="E1" s="117"/>
      <c r="F1" s="118"/>
      <c r="G1" s="119"/>
      <c r="H1" s="117"/>
      <c r="I1" s="117"/>
    </row>
    <row r="2" spans="2:9" x14ac:dyDescent="0.25">
      <c r="B2" s="120"/>
      <c r="C2" s="121"/>
      <c r="D2" s="121"/>
      <c r="E2" s="117"/>
      <c r="F2" s="118"/>
      <c r="G2" s="119"/>
      <c r="H2" s="117"/>
      <c r="I2" s="117"/>
    </row>
    <row r="3" spans="2:9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9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9" ht="16.5" x14ac:dyDescent="0.25">
      <c r="B5" s="138" t="s">
        <v>722</v>
      </c>
      <c r="C5" s="139" t="s">
        <v>723</v>
      </c>
      <c r="D5" s="140"/>
      <c r="E5" s="144"/>
      <c r="F5" s="144"/>
      <c r="G5" s="144"/>
      <c r="H5" s="145" t="s">
        <v>724</v>
      </c>
      <c r="I5" s="146" t="s">
        <v>2177</v>
      </c>
    </row>
    <row r="6" spans="2:9" x14ac:dyDescent="0.25">
      <c r="B6" s="159" t="s">
        <v>2</v>
      </c>
      <c r="C6" s="159" t="s">
        <v>3</v>
      </c>
      <c r="D6" s="159" t="s">
        <v>0</v>
      </c>
      <c r="E6" s="160" t="s">
        <v>4</v>
      </c>
      <c r="F6" s="160" t="s">
        <v>5</v>
      </c>
      <c r="G6" s="160" t="s">
        <v>6</v>
      </c>
      <c r="H6" s="160" t="s">
        <v>7</v>
      </c>
      <c r="I6" s="160" t="s">
        <v>8</v>
      </c>
    </row>
    <row r="7" spans="2:9" x14ac:dyDescent="0.25">
      <c r="B7" s="148" t="s">
        <v>9</v>
      </c>
      <c r="C7" s="148" t="s">
        <v>405</v>
      </c>
      <c r="D7" s="149"/>
      <c r="E7" s="149"/>
      <c r="F7" s="149"/>
      <c r="G7" s="150">
        <v>32583</v>
      </c>
      <c r="H7" s="149"/>
      <c r="I7" s="150">
        <v>54288.09</v>
      </c>
    </row>
    <row r="8" spans="2:9" x14ac:dyDescent="0.25">
      <c r="B8" s="151" t="s">
        <v>11</v>
      </c>
      <c r="C8" s="151" t="s">
        <v>1984</v>
      </c>
      <c r="D8" s="149"/>
      <c r="E8" s="149"/>
      <c r="F8" s="149"/>
      <c r="G8" s="152">
        <v>0</v>
      </c>
      <c r="H8" s="149"/>
      <c r="I8" s="152">
        <v>26245.5</v>
      </c>
    </row>
    <row r="9" spans="2:9" x14ac:dyDescent="0.25">
      <c r="B9" s="155" t="s">
        <v>13</v>
      </c>
      <c r="C9" s="155" t="s">
        <v>1985</v>
      </c>
      <c r="D9" s="149"/>
      <c r="E9" s="149"/>
      <c r="F9" s="149"/>
      <c r="G9" s="156">
        <v>0</v>
      </c>
      <c r="H9" s="149"/>
      <c r="I9" s="156">
        <v>19130.5</v>
      </c>
    </row>
    <row r="10" spans="2:9" x14ac:dyDescent="0.25">
      <c r="B10" s="153" t="s">
        <v>130</v>
      </c>
      <c r="C10" s="153" t="s">
        <v>1986</v>
      </c>
      <c r="D10" s="153" t="s">
        <v>53</v>
      </c>
      <c r="E10" s="154">
        <v>1</v>
      </c>
      <c r="F10" s="154">
        <v>0</v>
      </c>
      <c r="G10" s="154">
        <v>0</v>
      </c>
      <c r="H10" s="154">
        <v>2030</v>
      </c>
      <c r="I10" s="154">
        <v>2030</v>
      </c>
    </row>
    <row r="11" spans="2:9" x14ac:dyDescent="0.25">
      <c r="B11" s="153" t="s">
        <v>132</v>
      </c>
      <c r="C11" s="153" t="s">
        <v>1987</v>
      </c>
      <c r="D11" s="153" t="s">
        <v>53</v>
      </c>
      <c r="E11" s="154">
        <v>1</v>
      </c>
      <c r="F11" s="154">
        <v>0</v>
      </c>
      <c r="G11" s="154">
        <v>0</v>
      </c>
      <c r="H11" s="154">
        <v>190</v>
      </c>
      <c r="I11" s="154">
        <v>190</v>
      </c>
    </row>
    <row r="12" spans="2:9" x14ac:dyDescent="0.25">
      <c r="B12" s="153" t="s">
        <v>133</v>
      </c>
      <c r="C12" s="153" t="s">
        <v>1988</v>
      </c>
      <c r="D12" s="153" t="s">
        <v>53</v>
      </c>
      <c r="E12" s="154">
        <v>144</v>
      </c>
      <c r="F12" s="154">
        <v>0</v>
      </c>
      <c r="G12" s="154">
        <v>0</v>
      </c>
      <c r="H12" s="154">
        <v>19</v>
      </c>
      <c r="I12" s="154">
        <v>2736</v>
      </c>
    </row>
    <row r="13" spans="2:9" x14ac:dyDescent="0.25">
      <c r="B13" s="153" t="s">
        <v>135</v>
      </c>
      <c r="C13" s="153" t="s">
        <v>1989</v>
      </c>
      <c r="D13" s="153" t="s">
        <v>53</v>
      </c>
      <c r="E13" s="154">
        <v>108</v>
      </c>
      <c r="F13" s="154">
        <v>0</v>
      </c>
      <c r="G13" s="154">
        <v>0</v>
      </c>
      <c r="H13" s="154">
        <v>14</v>
      </c>
      <c r="I13" s="154">
        <v>1512</v>
      </c>
    </row>
    <row r="14" spans="2:9" x14ac:dyDescent="0.25">
      <c r="B14" s="153" t="s">
        <v>264</v>
      </c>
      <c r="C14" s="153" t="s">
        <v>1990</v>
      </c>
      <c r="D14" s="153" t="s">
        <v>53</v>
      </c>
      <c r="E14" s="154">
        <v>247</v>
      </c>
      <c r="F14" s="154">
        <v>0</v>
      </c>
      <c r="G14" s="154">
        <v>0</v>
      </c>
      <c r="H14" s="154">
        <v>19.5</v>
      </c>
      <c r="I14" s="154">
        <v>4816.5</v>
      </c>
    </row>
    <row r="15" spans="2:9" x14ac:dyDescent="0.25">
      <c r="B15" s="153" t="s">
        <v>265</v>
      </c>
      <c r="C15" s="153" t="s">
        <v>1991</v>
      </c>
      <c r="D15" s="153" t="s">
        <v>53</v>
      </c>
      <c r="E15" s="154">
        <v>43</v>
      </c>
      <c r="F15" s="154">
        <v>0</v>
      </c>
      <c r="G15" s="154">
        <v>0</v>
      </c>
      <c r="H15" s="154">
        <v>32</v>
      </c>
      <c r="I15" s="154">
        <v>1376</v>
      </c>
    </row>
    <row r="16" spans="2:9" x14ac:dyDescent="0.25">
      <c r="B16" s="153" t="s">
        <v>266</v>
      </c>
      <c r="C16" s="153" t="s">
        <v>1992</v>
      </c>
      <c r="D16" s="153" t="s">
        <v>53</v>
      </c>
      <c r="E16" s="154">
        <v>146</v>
      </c>
      <c r="F16" s="154">
        <v>0</v>
      </c>
      <c r="G16" s="154">
        <v>0</v>
      </c>
      <c r="H16" s="154">
        <v>40</v>
      </c>
      <c r="I16" s="154">
        <v>5840</v>
      </c>
    </row>
    <row r="17" spans="2:9" x14ac:dyDescent="0.25">
      <c r="B17" s="153" t="s">
        <v>267</v>
      </c>
      <c r="C17" s="153" t="s">
        <v>1993</v>
      </c>
      <c r="D17" s="153" t="s">
        <v>53</v>
      </c>
      <c r="E17" s="154">
        <v>3</v>
      </c>
      <c r="F17" s="154">
        <v>0</v>
      </c>
      <c r="G17" s="154">
        <v>0</v>
      </c>
      <c r="H17" s="154">
        <v>210</v>
      </c>
      <c r="I17" s="154">
        <v>630</v>
      </c>
    </row>
    <row r="18" spans="2:9" x14ac:dyDescent="0.25">
      <c r="B18" s="155" t="s">
        <v>16</v>
      </c>
      <c r="C18" s="155" t="s">
        <v>1994</v>
      </c>
      <c r="D18" s="149"/>
      <c r="E18" s="149"/>
      <c r="F18" s="149"/>
      <c r="G18" s="156">
        <v>0</v>
      </c>
      <c r="H18" s="149"/>
      <c r="I18" s="156">
        <v>1275</v>
      </c>
    </row>
    <row r="19" spans="2:9" x14ac:dyDescent="0.25">
      <c r="B19" s="153" t="s">
        <v>137</v>
      </c>
      <c r="C19" s="153" t="s">
        <v>1995</v>
      </c>
      <c r="D19" s="153" t="s">
        <v>15</v>
      </c>
      <c r="E19" s="154">
        <v>1</v>
      </c>
      <c r="F19" s="154">
        <v>0</v>
      </c>
      <c r="G19" s="154">
        <v>0</v>
      </c>
      <c r="H19" s="154">
        <v>315</v>
      </c>
      <c r="I19" s="154">
        <v>315</v>
      </c>
    </row>
    <row r="20" spans="2:9" x14ac:dyDescent="0.25">
      <c r="B20" s="153" t="s">
        <v>268</v>
      </c>
      <c r="C20" s="153" t="s">
        <v>1996</v>
      </c>
      <c r="D20" s="153" t="s">
        <v>15</v>
      </c>
      <c r="E20" s="154">
        <v>1</v>
      </c>
      <c r="F20" s="154">
        <v>0</v>
      </c>
      <c r="G20" s="154">
        <v>0</v>
      </c>
      <c r="H20" s="154">
        <v>540</v>
      </c>
      <c r="I20" s="154">
        <v>540</v>
      </c>
    </row>
    <row r="21" spans="2:9" x14ac:dyDescent="0.25">
      <c r="B21" s="153" t="s">
        <v>269</v>
      </c>
      <c r="C21" s="153" t="s">
        <v>1997</v>
      </c>
      <c r="D21" s="153" t="s">
        <v>15</v>
      </c>
      <c r="E21" s="154">
        <v>1</v>
      </c>
      <c r="F21" s="154">
        <v>0</v>
      </c>
      <c r="G21" s="154">
        <v>0</v>
      </c>
      <c r="H21" s="154">
        <v>420</v>
      </c>
      <c r="I21" s="154">
        <v>420</v>
      </c>
    </row>
    <row r="22" spans="2:9" x14ac:dyDescent="0.25">
      <c r="B22" s="155" t="s">
        <v>18</v>
      </c>
      <c r="C22" s="155" t="s">
        <v>293</v>
      </c>
      <c r="D22" s="149"/>
      <c r="E22" s="149"/>
      <c r="F22" s="149"/>
      <c r="G22" s="156">
        <v>0</v>
      </c>
      <c r="H22" s="149"/>
      <c r="I22" s="156">
        <v>5840</v>
      </c>
    </row>
    <row r="23" spans="2:9" x14ac:dyDescent="0.25">
      <c r="B23" s="153" t="s">
        <v>139</v>
      </c>
      <c r="C23" s="153" t="s">
        <v>1998</v>
      </c>
      <c r="D23" s="153" t="s">
        <v>53</v>
      </c>
      <c r="E23" s="154">
        <v>8</v>
      </c>
      <c r="F23" s="154">
        <v>0</v>
      </c>
      <c r="G23" s="154">
        <v>0</v>
      </c>
      <c r="H23" s="154">
        <v>60</v>
      </c>
      <c r="I23" s="154">
        <v>480</v>
      </c>
    </row>
    <row r="24" spans="2:9" x14ac:dyDescent="0.25">
      <c r="B24" s="153" t="s">
        <v>140</v>
      </c>
      <c r="C24" s="153" t="s">
        <v>1999</v>
      </c>
      <c r="D24" s="153" t="s">
        <v>53</v>
      </c>
      <c r="E24" s="154">
        <v>8</v>
      </c>
      <c r="F24" s="154">
        <v>0</v>
      </c>
      <c r="G24" s="154">
        <v>0</v>
      </c>
      <c r="H24" s="154">
        <v>35</v>
      </c>
      <c r="I24" s="154">
        <v>280</v>
      </c>
    </row>
    <row r="25" spans="2:9" x14ac:dyDescent="0.25">
      <c r="B25" s="153" t="s">
        <v>275</v>
      </c>
      <c r="C25" s="153" t="s">
        <v>2000</v>
      </c>
      <c r="D25" s="153" t="s">
        <v>15</v>
      </c>
      <c r="E25" s="154">
        <v>1</v>
      </c>
      <c r="F25" s="154">
        <v>0</v>
      </c>
      <c r="G25" s="154">
        <v>0</v>
      </c>
      <c r="H25" s="154">
        <v>2300</v>
      </c>
      <c r="I25" s="154">
        <v>2300</v>
      </c>
    </row>
    <row r="26" spans="2:9" x14ac:dyDescent="0.25">
      <c r="B26" s="153" t="s">
        <v>2001</v>
      </c>
      <c r="C26" s="153" t="s">
        <v>2002</v>
      </c>
      <c r="D26" s="153" t="s">
        <v>15</v>
      </c>
      <c r="E26" s="154">
        <v>1</v>
      </c>
      <c r="F26" s="154">
        <v>0</v>
      </c>
      <c r="G26" s="154">
        <v>0</v>
      </c>
      <c r="H26" s="154">
        <v>2780</v>
      </c>
      <c r="I26" s="154">
        <v>2780</v>
      </c>
    </row>
    <row r="27" spans="2:9" x14ac:dyDescent="0.25">
      <c r="B27" s="151" t="s">
        <v>25</v>
      </c>
      <c r="C27" s="151" t="s">
        <v>2003</v>
      </c>
      <c r="D27" s="149"/>
      <c r="E27" s="149"/>
      <c r="F27" s="149"/>
      <c r="G27" s="152">
        <v>32583</v>
      </c>
      <c r="H27" s="149"/>
      <c r="I27" s="152">
        <v>0</v>
      </c>
    </row>
    <row r="28" spans="2:9" x14ac:dyDescent="0.25">
      <c r="B28" s="153" t="s">
        <v>27</v>
      </c>
      <c r="C28" s="153" t="s">
        <v>2004</v>
      </c>
      <c r="D28" s="153" t="s">
        <v>53</v>
      </c>
      <c r="E28" s="154">
        <v>1</v>
      </c>
      <c r="F28" s="154">
        <v>4775</v>
      </c>
      <c r="G28" s="154">
        <v>4775</v>
      </c>
      <c r="H28" s="154">
        <v>0</v>
      </c>
      <c r="I28" s="154">
        <v>0</v>
      </c>
    </row>
    <row r="29" spans="2:9" x14ac:dyDescent="0.25">
      <c r="B29" s="153" t="s">
        <v>30</v>
      </c>
      <c r="C29" s="153" t="s">
        <v>2005</v>
      </c>
      <c r="D29" s="153" t="s">
        <v>53</v>
      </c>
      <c r="E29" s="154">
        <v>111</v>
      </c>
      <c r="F29" s="154">
        <v>138</v>
      </c>
      <c r="G29" s="154">
        <v>15318</v>
      </c>
      <c r="H29" s="154">
        <v>0</v>
      </c>
      <c r="I29" s="154">
        <v>0</v>
      </c>
    </row>
    <row r="30" spans="2:9" x14ac:dyDescent="0.25">
      <c r="B30" s="153" t="s">
        <v>31</v>
      </c>
      <c r="C30" s="153" t="s">
        <v>2006</v>
      </c>
      <c r="D30" s="153" t="s">
        <v>53</v>
      </c>
      <c r="E30" s="154">
        <v>1</v>
      </c>
      <c r="F30" s="154">
        <v>3800</v>
      </c>
      <c r="G30" s="154">
        <v>3800</v>
      </c>
      <c r="H30" s="154">
        <v>0</v>
      </c>
      <c r="I30" s="154">
        <v>0</v>
      </c>
    </row>
    <row r="31" spans="2:9" x14ac:dyDescent="0.25">
      <c r="B31" s="153" t="s">
        <v>33</v>
      </c>
      <c r="C31" s="153" t="s">
        <v>2007</v>
      </c>
      <c r="D31" s="153" t="s">
        <v>53</v>
      </c>
      <c r="E31" s="154">
        <v>2</v>
      </c>
      <c r="F31" s="154">
        <v>496</v>
      </c>
      <c r="G31" s="154">
        <v>992</v>
      </c>
      <c r="H31" s="154">
        <v>0</v>
      </c>
      <c r="I31" s="154">
        <v>0</v>
      </c>
    </row>
    <row r="32" spans="2:9" x14ac:dyDescent="0.25">
      <c r="B32" s="153" t="s">
        <v>35</v>
      </c>
      <c r="C32" s="153" t="s">
        <v>2008</v>
      </c>
      <c r="D32" s="153" t="s">
        <v>53</v>
      </c>
      <c r="E32" s="154">
        <v>1</v>
      </c>
      <c r="F32" s="154">
        <v>1200</v>
      </c>
      <c r="G32" s="154">
        <v>1200</v>
      </c>
      <c r="H32" s="154">
        <v>0</v>
      </c>
      <c r="I32" s="154">
        <v>0</v>
      </c>
    </row>
    <row r="33" spans="2:9" x14ac:dyDescent="0.25">
      <c r="B33" s="153" t="s">
        <v>316</v>
      </c>
      <c r="C33" s="153" t="s">
        <v>2009</v>
      </c>
      <c r="D33" s="153" t="s">
        <v>53</v>
      </c>
      <c r="E33" s="154">
        <v>28</v>
      </c>
      <c r="F33" s="154">
        <v>41</v>
      </c>
      <c r="G33" s="154">
        <v>1148</v>
      </c>
      <c r="H33" s="154">
        <v>0</v>
      </c>
      <c r="I33" s="154">
        <v>0</v>
      </c>
    </row>
    <row r="34" spans="2:9" x14ac:dyDescent="0.25">
      <c r="B34" s="153" t="s">
        <v>36</v>
      </c>
      <c r="C34" s="153" t="s">
        <v>2010</v>
      </c>
      <c r="D34" s="153" t="s">
        <v>15</v>
      </c>
      <c r="E34" s="154">
        <v>1</v>
      </c>
      <c r="F34" s="154">
        <v>188</v>
      </c>
      <c r="G34" s="154">
        <v>188</v>
      </c>
      <c r="H34" s="154">
        <v>0</v>
      </c>
      <c r="I34" s="154">
        <v>0</v>
      </c>
    </row>
    <row r="35" spans="2:9" x14ac:dyDescent="0.25">
      <c r="B35" s="153" t="s">
        <v>38</v>
      </c>
      <c r="C35" s="153" t="s">
        <v>2011</v>
      </c>
      <c r="D35" s="153" t="s">
        <v>15</v>
      </c>
      <c r="E35" s="154">
        <v>1</v>
      </c>
      <c r="F35" s="154">
        <v>262</v>
      </c>
      <c r="G35" s="154">
        <v>262</v>
      </c>
      <c r="H35" s="154">
        <v>0</v>
      </c>
      <c r="I35" s="154">
        <v>0</v>
      </c>
    </row>
    <row r="36" spans="2:9" x14ac:dyDescent="0.25">
      <c r="B36" s="153" t="s">
        <v>40</v>
      </c>
      <c r="C36" s="153" t="s">
        <v>2012</v>
      </c>
      <c r="D36" s="153" t="s">
        <v>15</v>
      </c>
      <c r="E36" s="154">
        <v>1</v>
      </c>
      <c r="F36" s="154">
        <v>2400</v>
      </c>
      <c r="G36" s="154">
        <v>2400</v>
      </c>
      <c r="H36" s="154">
        <v>0</v>
      </c>
      <c r="I36" s="154">
        <v>0</v>
      </c>
    </row>
    <row r="37" spans="2:9" x14ac:dyDescent="0.25">
      <c r="B37" s="153" t="s">
        <v>42</v>
      </c>
      <c r="C37" s="153" t="s">
        <v>2013</v>
      </c>
      <c r="D37" s="153" t="s">
        <v>15</v>
      </c>
      <c r="E37" s="154">
        <v>1</v>
      </c>
      <c r="F37" s="154">
        <v>2500</v>
      </c>
      <c r="G37" s="154">
        <v>2500</v>
      </c>
      <c r="H37" s="154">
        <v>0</v>
      </c>
      <c r="I37" s="154">
        <v>0</v>
      </c>
    </row>
    <row r="38" spans="2:9" x14ac:dyDescent="0.25">
      <c r="B38" s="151" t="s">
        <v>55</v>
      </c>
      <c r="C38" s="151" t="s">
        <v>2014</v>
      </c>
      <c r="D38" s="149"/>
      <c r="E38" s="149"/>
      <c r="F38" s="149"/>
      <c r="G38" s="152">
        <v>0</v>
      </c>
      <c r="H38" s="149"/>
      <c r="I38" s="152">
        <v>3032</v>
      </c>
    </row>
    <row r="39" spans="2:9" x14ac:dyDescent="0.25">
      <c r="B39" s="153" t="s">
        <v>57</v>
      </c>
      <c r="C39" s="153" t="s">
        <v>2015</v>
      </c>
      <c r="D39" s="153" t="s">
        <v>53</v>
      </c>
      <c r="E39" s="154">
        <v>21</v>
      </c>
      <c r="F39" s="154">
        <v>0</v>
      </c>
      <c r="G39" s="154">
        <v>0</v>
      </c>
      <c r="H39" s="154">
        <v>29</v>
      </c>
      <c r="I39" s="154">
        <v>609</v>
      </c>
    </row>
    <row r="40" spans="2:9" x14ac:dyDescent="0.25">
      <c r="B40" s="153" t="s">
        <v>60</v>
      </c>
      <c r="C40" s="153" t="s">
        <v>2016</v>
      </c>
      <c r="D40" s="153" t="s">
        <v>53</v>
      </c>
      <c r="E40" s="154">
        <v>21</v>
      </c>
      <c r="F40" s="154">
        <v>0</v>
      </c>
      <c r="G40" s="154">
        <v>0</v>
      </c>
      <c r="H40" s="154">
        <v>6</v>
      </c>
      <c r="I40" s="154">
        <v>126</v>
      </c>
    </row>
    <row r="41" spans="2:9" x14ac:dyDescent="0.25">
      <c r="B41" s="153" t="s">
        <v>326</v>
      </c>
      <c r="C41" s="153" t="s">
        <v>2017</v>
      </c>
      <c r="D41" s="153" t="s">
        <v>53</v>
      </c>
      <c r="E41" s="154">
        <v>21</v>
      </c>
      <c r="F41" s="154">
        <v>0</v>
      </c>
      <c r="G41" s="154">
        <v>0</v>
      </c>
      <c r="H41" s="154">
        <v>6</v>
      </c>
      <c r="I41" s="154">
        <v>126</v>
      </c>
    </row>
    <row r="42" spans="2:9" x14ac:dyDescent="0.25">
      <c r="B42" s="153" t="s">
        <v>382</v>
      </c>
      <c r="C42" s="153" t="s">
        <v>2018</v>
      </c>
      <c r="D42" s="153" t="s">
        <v>53</v>
      </c>
      <c r="E42" s="154">
        <v>1</v>
      </c>
      <c r="F42" s="154">
        <v>0</v>
      </c>
      <c r="G42" s="154">
        <v>0</v>
      </c>
      <c r="H42" s="154">
        <v>166</v>
      </c>
      <c r="I42" s="154">
        <v>166</v>
      </c>
    </row>
    <row r="43" spans="2:9" x14ac:dyDescent="0.25">
      <c r="B43" s="153" t="s">
        <v>385</v>
      </c>
      <c r="C43" s="153" t="s">
        <v>2019</v>
      </c>
      <c r="D43" s="153" t="s">
        <v>53</v>
      </c>
      <c r="E43" s="154">
        <v>1</v>
      </c>
      <c r="F43" s="154">
        <v>0</v>
      </c>
      <c r="G43" s="154">
        <v>0</v>
      </c>
      <c r="H43" s="154">
        <v>590</v>
      </c>
      <c r="I43" s="154">
        <v>590</v>
      </c>
    </row>
    <row r="44" spans="2:9" x14ac:dyDescent="0.25">
      <c r="B44" s="153" t="s">
        <v>565</v>
      </c>
      <c r="C44" s="153" t="s">
        <v>2020</v>
      </c>
      <c r="D44" s="153" t="s">
        <v>53</v>
      </c>
      <c r="E44" s="154">
        <v>1</v>
      </c>
      <c r="F44" s="154">
        <v>0</v>
      </c>
      <c r="G44" s="154">
        <v>0</v>
      </c>
      <c r="H44" s="154">
        <v>125</v>
      </c>
      <c r="I44" s="154">
        <v>125</v>
      </c>
    </row>
    <row r="45" spans="2:9" x14ac:dyDescent="0.25">
      <c r="B45" s="153" t="s">
        <v>566</v>
      </c>
      <c r="C45" s="153" t="s">
        <v>2013</v>
      </c>
      <c r="D45" s="153" t="s">
        <v>15</v>
      </c>
      <c r="E45" s="154">
        <v>1</v>
      </c>
      <c r="F45" s="154">
        <v>0</v>
      </c>
      <c r="G45" s="154">
        <v>0</v>
      </c>
      <c r="H45" s="154">
        <v>1290</v>
      </c>
      <c r="I45" s="154">
        <v>1290</v>
      </c>
    </row>
    <row r="46" spans="2:9" x14ac:dyDescent="0.25">
      <c r="B46" s="151" t="s">
        <v>62</v>
      </c>
      <c r="C46" s="151" t="s">
        <v>2021</v>
      </c>
      <c r="D46" s="149"/>
      <c r="E46" s="149"/>
      <c r="F46" s="149"/>
      <c r="G46" s="152">
        <v>0</v>
      </c>
      <c r="H46" s="149"/>
      <c r="I46" s="152">
        <v>9410.59</v>
      </c>
    </row>
    <row r="47" spans="2:9" x14ac:dyDescent="0.25">
      <c r="B47" s="153" t="s">
        <v>64</v>
      </c>
      <c r="C47" s="153" t="s">
        <v>2022</v>
      </c>
      <c r="D47" s="153" t="s">
        <v>15</v>
      </c>
      <c r="E47" s="154">
        <v>1</v>
      </c>
      <c r="F47" s="154">
        <v>0</v>
      </c>
      <c r="G47" s="154">
        <v>0</v>
      </c>
      <c r="H47" s="154">
        <v>7263.44</v>
      </c>
      <c r="I47" s="154">
        <v>7263.44</v>
      </c>
    </row>
    <row r="48" spans="2:9" x14ac:dyDescent="0.25">
      <c r="B48" s="153" t="s">
        <v>66</v>
      </c>
      <c r="C48" s="153" t="s">
        <v>2023</v>
      </c>
      <c r="D48" s="153" t="s">
        <v>15</v>
      </c>
      <c r="E48" s="154">
        <v>1</v>
      </c>
      <c r="F48" s="154">
        <v>0</v>
      </c>
      <c r="G48" s="154">
        <v>0</v>
      </c>
      <c r="H48" s="154">
        <v>2147.15</v>
      </c>
      <c r="I48" s="154">
        <v>2147.15</v>
      </c>
    </row>
    <row r="49" spans="2:9" x14ac:dyDescent="0.25">
      <c r="B49" s="153" t="s">
        <v>73</v>
      </c>
      <c r="C49" s="153" t="s">
        <v>1874</v>
      </c>
      <c r="D49" s="153" t="s">
        <v>15</v>
      </c>
      <c r="E49" s="154">
        <v>1</v>
      </c>
      <c r="F49" s="154">
        <v>0</v>
      </c>
      <c r="G49" s="154">
        <v>0</v>
      </c>
      <c r="H49" s="154">
        <v>15600</v>
      </c>
      <c r="I49" s="154">
        <v>15600</v>
      </c>
    </row>
  </sheetData>
  <mergeCells count="1">
    <mergeCell ref="B1:D1"/>
  </mergeCells>
  <phoneticPr fontId="3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DD97-EFF3-410D-91B9-071CB4AD9D58}">
  <dimension ref="B1:I8"/>
  <sheetViews>
    <sheetView workbookViewId="0">
      <selection activeCell="M15" sqref="M15"/>
    </sheetView>
  </sheetViews>
  <sheetFormatPr defaultColWidth="11.42578125" defaultRowHeight="15" x14ac:dyDescent="0.25"/>
  <cols>
    <col min="3" max="3" width="20.42578125" customWidth="1"/>
    <col min="4" max="4" width="4.140625" bestFit="1" customWidth="1"/>
    <col min="5" max="5" width="6.85546875" bestFit="1" customWidth="1"/>
    <col min="6" max="6" width="8.140625" bestFit="1" customWidth="1"/>
    <col min="7" max="7" width="8.5703125" bestFit="1" customWidth="1"/>
    <col min="8" max="9" width="8.7109375" bestFit="1" customWidth="1"/>
  </cols>
  <sheetData>
    <row r="1" spans="2:9" ht="16.5" x14ac:dyDescent="0.25">
      <c r="B1" s="190" t="s">
        <v>1867</v>
      </c>
      <c r="C1" s="191"/>
      <c r="D1" s="191"/>
      <c r="E1" s="117"/>
      <c r="F1" s="118"/>
      <c r="G1" s="119"/>
      <c r="H1" s="117"/>
      <c r="I1" s="117"/>
    </row>
    <row r="2" spans="2:9" x14ac:dyDescent="0.25">
      <c r="B2" s="120"/>
      <c r="C2" s="121"/>
      <c r="D2" s="121"/>
      <c r="E2" s="117"/>
      <c r="F2" s="118"/>
      <c r="G2" s="119"/>
      <c r="H2" s="117"/>
      <c r="I2" s="117"/>
    </row>
    <row r="3" spans="2:9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9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9" ht="17.25" thickBot="1" x14ac:dyDescent="0.3">
      <c r="B5" s="127" t="s">
        <v>722</v>
      </c>
      <c r="C5" s="128" t="s">
        <v>723</v>
      </c>
      <c r="D5" s="129"/>
      <c r="E5" s="130"/>
      <c r="F5" s="130"/>
      <c r="G5" s="130"/>
      <c r="H5" s="145" t="s">
        <v>724</v>
      </c>
      <c r="I5" s="146" t="s">
        <v>2177</v>
      </c>
    </row>
    <row r="6" spans="2:9" x14ac:dyDescent="0.25">
      <c r="B6" s="110" t="s">
        <v>2</v>
      </c>
      <c r="C6" s="110" t="s">
        <v>3</v>
      </c>
      <c r="D6" s="110" t="s">
        <v>0</v>
      </c>
      <c r="E6" s="111" t="s">
        <v>4</v>
      </c>
      <c r="F6" s="111" t="s">
        <v>5</v>
      </c>
      <c r="G6" s="111" t="s">
        <v>6</v>
      </c>
      <c r="H6" s="111" t="s">
        <v>7</v>
      </c>
      <c r="I6" s="111" t="s">
        <v>8</v>
      </c>
    </row>
    <row r="7" spans="2:9" x14ac:dyDescent="0.25">
      <c r="B7" s="112" t="s">
        <v>9</v>
      </c>
      <c r="C7" s="112" t="s">
        <v>408</v>
      </c>
      <c r="D7" s="113"/>
      <c r="E7" s="113"/>
      <c r="F7" s="113"/>
      <c r="G7" s="114">
        <v>0</v>
      </c>
      <c r="H7" s="113"/>
      <c r="I7" s="114">
        <v>113857.97</v>
      </c>
    </row>
    <row r="8" spans="2:9" x14ac:dyDescent="0.25">
      <c r="B8" s="115" t="s">
        <v>11</v>
      </c>
      <c r="C8" s="115" t="s">
        <v>409</v>
      </c>
      <c r="D8" s="115" t="s">
        <v>15</v>
      </c>
      <c r="E8" s="116">
        <v>1</v>
      </c>
      <c r="F8" s="116">
        <v>0</v>
      </c>
      <c r="G8" s="116">
        <v>0</v>
      </c>
      <c r="H8" s="116">
        <v>113857.97</v>
      </c>
      <c r="I8" s="116">
        <v>113857.97</v>
      </c>
    </row>
  </sheetData>
  <mergeCells count="1">
    <mergeCell ref="B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357E-85B6-4541-BC88-EBD82E8DEB70}">
  <dimension ref="B1:I85"/>
  <sheetViews>
    <sheetView workbookViewId="0">
      <selection activeCell="J15" sqref="J15"/>
    </sheetView>
  </sheetViews>
  <sheetFormatPr defaultColWidth="11.42578125" defaultRowHeight="15" x14ac:dyDescent="0.25"/>
  <cols>
    <col min="3" max="3" width="44.5703125" bestFit="1" customWidth="1"/>
    <col min="4" max="4" width="4.140625" bestFit="1" customWidth="1"/>
    <col min="5" max="5" width="6.85546875" bestFit="1" customWidth="1"/>
    <col min="6" max="6" width="8.140625" bestFit="1" customWidth="1"/>
    <col min="7" max="7" width="8.5703125" bestFit="1" customWidth="1"/>
    <col min="8" max="8" width="8.28515625" bestFit="1" customWidth="1"/>
    <col min="9" max="9" width="8.7109375" bestFit="1" customWidth="1"/>
  </cols>
  <sheetData>
    <row r="1" spans="2:9" ht="16.5" x14ac:dyDescent="0.25">
      <c r="B1" s="190" t="s">
        <v>1869</v>
      </c>
      <c r="C1" s="191"/>
      <c r="D1" s="191"/>
      <c r="E1" s="117"/>
      <c r="F1" s="118"/>
      <c r="G1" s="119"/>
      <c r="H1" s="117"/>
      <c r="I1" s="117"/>
    </row>
    <row r="2" spans="2:9" x14ac:dyDescent="0.25">
      <c r="B2" s="120"/>
      <c r="C2" s="121"/>
      <c r="D2" s="121"/>
      <c r="E2" s="117"/>
      <c r="F2" s="118"/>
      <c r="G2" s="119"/>
      <c r="H2" s="117"/>
      <c r="I2" s="117"/>
    </row>
    <row r="3" spans="2:9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9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9" ht="16.5" x14ac:dyDescent="0.25">
      <c r="B5" s="138" t="s">
        <v>722</v>
      </c>
      <c r="C5" s="139" t="s">
        <v>723</v>
      </c>
      <c r="D5" s="140"/>
      <c r="E5" s="144"/>
      <c r="F5" s="144"/>
      <c r="G5" s="144"/>
      <c r="H5" s="145" t="s">
        <v>724</v>
      </c>
      <c r="I5" s="146" t="s">
        <v>2177</v>
      </c>
    </row>
    <row r="6" spans="2:9" x14ac:dyDescent="0.25">
      <c r="B6" s="159" t="s">
        <v>2</v>
      </c>
      <c r="C6" s="159" t="s">
        <v>3</v>
      </c>
      <c r="D6" s="159" t="s">
        <v>0</v>
      </c>
      <c r="E6" s="160" t="s">
        <v>4</v>
      </c>
      <c r="F6" s="160" t="s">
        <v>5</v>
      </c>
      <c r="G6" s="160" t="s">
        <v>6</v>
      </c>
      <c r="H6" s="160" t="s">
        <v>7</v>
      </c>
      <c r="I6" s="160" t="s">
        <v>8</v>
      </c>
    </row>
    <row r="7" spans="2:9" x14ac:dyDescent="0.25">
      <c r="B7" s="148" t="s">
        <v>9</v>
      </c>
      <c r="C7" s="148" t="s">
        <v>411</v>
      </c>
      <c r="D7" s="149"/>
      <c r="E7" s="149"/>
      <c r="F7" s="149"/>
      <c r="G7" s="150">
        <v>0</v>
      </c>
      <c r="H7" s="149"/>
      <c r="I7" s="150">
        <v>51761.99</v>
      </c>
    </row>
    <row r="8" spans="2:9" x14ac:dyDescent="0.25">
      <c r="B8" s="151" t="s">
        <v>11</v>
      </c>
      <c r="C8" s="151" t="s">
        <v>2035</v>
      </c>
      <c r="D8" s="149"/>
      <c r="E8" s="149"/>
      <c r="F8" s="149"/>
      <c r="G8" s="152">
        <v>0</v>
      </c>
      <c r="H8" s="149"/>
      <c r="I8" s="152">
        <v>28469.05</v>
      </c>
    </row>
    <row r="9" spans="2:9" x14ac:dyDescent="0.25">
      <c r="B9" s="155" t="s">
        <v>13</v>
      </c>
      <c r="C9" s="155" t="s">
        <v>2036</v>
      </c>
      <c r="D9" s="149"/>
      <c r="E9" s="149"/>
      <c r="F9" s="149"/>
      <c r="G9" s="156">
        <v>0</v>
      </c>
      <c r="H9" s="149"/>
      <c r="I9" s="156">
        <v>6757.5</v>
      </c>
    </row>
    <row r="10" spans="2:9" x14ac:dyDescent="0.25">
      <c r="B10" s="153" t="s">
        <v>130</v>
      </c>
      <c r="C10" s="153" t="s">
        <v>2037</v>
      </c>
      <c r="D10" s="153" t="s">
        <v>53</v>
      </c>
      <c r="E10" s="154">
        <v>1</v>
      </c>
      <c r="F10" s="154">
        <v>0</v>
      </c>
      <c r="G10" s="154">
        <v>0</v>
      </c>
      <c r="H10" s="154">
        <v>1155</v>
      </c>
      <c r="I10" s="154">
        <v>1155</v>
      </c>
    </row>
    <row r="11" spans="2:9" x14ac:dyDescent="0.25">
      <c r="B11" s="153" t="s">
        <v>132</v>
      </c>
      <c r="C11" s="153" t="s">
        <v>2037</v>
      </c>
      <c r="D11" s="153" t="s">
        <v>53</v>
      </c>
      <c r="E11" s="154">
        <v>1</v>
      </c>
      <c r="F11" s="154">
        <v>0</v>
      </c>
      <c r="G11" s="154">
        <v>0</v>
      </c>
      <c r="H11" s="154">
        <v>1807.5</v>
      </c>
      <c r="I11" s="154">
        <v>1807.5</v>
      </c>
    </row>
    <row r="12" spans="2:9" x14ac:dyDescent="0.25">
      <c r="B12" s="153" t="s">
        <v>133</v>
      </c>
      <c r="C12" s="153" t="s">
        <v>2038</v>
      </c>
      <c r="D12" s="153" t="s">
        <v>53</v>
      </c>
      <c r="E12" s="154">
        <v>1</v>
      </c>
      <c r="F12" s="154">
        <v>0</v>
      </c>
      <c r="G12" s="154">
        <v>0</v>
      </c>
      <c r="H12" s="154">
        <v>1807.5</v>
      </c>
      <c r="I12" s="154">
        <v>1807.5</v>
      </c>
    </row>
    <row r="13" spans="2:9" x14ac:dyDescent="0.25">
      <c r="B13" s="153" t="s">
        <v>135</v>
      </c>
      <c r="C13" s="153" t="s">
        <v>2039</v>
      </c>
      <c r="D13" s="153" t="s">
        <v>53</v>
      </c>
      <c r="E13" s="154">
        <v>4</v>
      </c>
      <c r="F13" s="154">
        <v>0</v>
      </c>
      <c r="G13" s="154">
        <v>0</v>
      </c>
      <c r="H13" s="154">
        <v>187.5</v>
      </c>
      <c r="I13" s="154">
        <v>750</v>
      </c>
    </row>
    <row r="14" spans="2:9" x14ac:dyDescent="0.25">
      <c r="B14" s="153" t="s">
        <v>264</v>
      </c>
      <c r="C14" s="153" t="s">
        <v>2040</v>
      </c>
      <c r="D14" s="153" t="s">
        <v>53</v>
      </c>
      <c r="E14" s="154">
        <v>1</v>
      </c>
      <c r="F14" s="154">
        <v>0</v>
      </c>
      <c r="G14" s="154">
        <v>0</v>
      </c>
      <c r="H14" s="154">
        <v>375</v>
      </c>
      <c r="I14" s="154">
        <v>375</v>
      </c>
    </row>
    <row r="15" spans="2:9" x14ac:dyDescent="0.25">
      <c r="B15" s="153" t="s">
        <v>265</v>
      </c>
      <c r="C15" s="153" t="s">
        <v>2041</v>
      </c>
      <c r="D15" s="153" t="s">
        <v>53</v>
      </c>
      <c r="E15" s="154">
        <v>1</v>
      </c>
      <c r="F15" s="154">
        <v>0</v>
      </c>
      <c r="G15" s="154">
        <v>0</v>
      </c>
      <c r="H15" s="154">
        <v>187.5</v>
      </c>
      <c r="I15" s="154">
        <v>187.5</v>
      </c>
    </row>
    <row r="16" spans="2:9" x14ac:dyDescent="0.25">
      <c r="B16" s="153" t="s">
        <v>266</v>
      </c>
      <c r="C16" s="153" t="s">
        <v>2042</v>
      </c>
      <c r="D16" s="153" t="s">
        <v>53</v>
      </c>
      <c r="E16" s="154">
        <v>1</v>
      </c>
      <c r="F16" s="154">
        <v>0</v>
      </c>
      <c r="G16" s="154">
        <v>0</v>
      </c>
      <c r="H16" s="154">
        <v>300</v>
      </c>
      <c r="I16" s="154">
        <v>300</v>
      </c>
    </row>
    <row r="17" spans="2:9" x14ac:dyDescent="0.25">
      <c r="B17" s="153" t="s">
        <v>267</v>
      </c>
      <c r="C17" s="153" t="s">
        <v>2043</v>
      </c>
      <c r="D17" s="153" t="s">
        <v>53</v>
      </c>
      <c r="E17" s="154">
        <v>3</v>
      </c>
      <c r="F17" s="154">
        <v>0</v>
      </c>
      <c r="G17" s="154">
        <v>0</v>
      </c>
      <c r="H17" s="154">
        <v>125</v>
      </c>
      <c r="I17" s="154">
        <v>375</v>
      </c>
    </row>
    <row r="18" spans="2:9" x14ac:dyDescent="0.25">
      <c r="B18" s="155" t="s">
        <v>16</v>
      </c>
      <c r="C18" s="155" t="s">
        <v>2044</v>
      </c>
      <c r="D18" s="149"/>
      <c r="E18" s="149"/>
      <c r="F18" s="149"/>
      <c r="G18" s="156">
        <v>0</v>
      </c>
      <c r="H18" s="149"/>
      <c r="I18" s="156">
        <v>10433.120000000001</v>
      </c>
    </row>
    <row r="19" spans="2:9" x14ac:dyDescent="0.25">
      <c r="B19" s="153" t="s">
        <v>137</v>
      </c>
      <c r="C19" s="153" t="s">
        <v>2045</v>
      </c>
      <c r="D19" s="153" t="s">
        <v>53</v>
      </c>
      <c r="E19" s="154">
        <v>1</v>
      </c>
      <c r="F19" s="154">
        <v>0</v>
      </c>
      <c r="G19" s="154">
        <v>0</v>
      </c>
      <c r="H19" s="154">
        <v>134.88</v>
      </c>
      <c r="I19" s="154">
        <v>134.88</v>
      </c>
    </row>
    <row r="20" spans="2:9" x14ac:dyDescent="0.25">
      <c r="B20" s="153" t="s">
        <v>268</v>
      </c>
      <c r="C20" s="153" t="s">
        <v>2045</v>
      </c>
      <c r="D20" s="153" t="s">
        <v>53</v>
      </c>
      <c r="E20" s="154">
        <v>1</v>
      </c>
      <c r="F20" s="154">
        <v>0</v>
      </c>
      <c r="G20" s="154">
        <v>0</v>
      </c>
      <c r="H20" s="154">
        <v>176.74</v>
      </c>
      <c r="I20" s="154">
        <v>176.74</v>
      </c>
    </row>
    <row r="21" spans="2:9" x14ac:dyDescent="0.25">
      <c r="B21" s="153" t="s">
        <v>269</v>
      </c>
      <c r="C21" s="153" t="s">
        <v>2045</v>
      </c>
      <c r="D21" s="153" t="s">
        <v>53</v>
      </c>
      <c r="E21" s="154">
        <v>3</v>
      </c>
      <c r="F21" s="154">
        <v>0</v>
      </c>
      <c r="G21" s="154">
        <v>0</v>
      </c>
      <c r="H21" s="154">
        <v>134.88</v>
      </c>
      <c r="I21" s="154">
        <v>404.64</v>
      </c>
    </row>
    <row r="22" spans="2:9" x14ac:dyDescent="0.25">
      <c r="B22" s="153" t="s">
        <v>270</v>
      </c>
      <c r="C22" s="153" t="s">
        <v>2046</v>
      </c>
      <c r="D22" s="153" t="s">
        <v>53</v>
      </c>
      <c r="E22" s="154">
        <v>1</v>
      </c>
      <c r="F22" s="154">
        <v>0</v>
      </c>
      <c r="G22" s="154">
        <v>0</v>
      </c>
      <c r="H22" s="154">
        <v>134.88</v>
      </c>
      <c r="I22" s="154">
        <v>134.88</v>
      </c>
    </row>
    <row r="23" spans="2:9" x14ac:dyDescent="0.25">
      <c r="B23" s="153" t="s">
        <v>271</v>
      </c>
      <c r="C23" s="153" t="s">
        <v>2046</v>
      </c>
      <c r="D23" s="153" t="s">
        <v>53</v>
      </c>
      <c r="E23" s="154">
        <v>3</v>
      </c>
      <c r="F23" s="154">
        <v>0</v>
      </c>
      <c r="G23" s="154">
        <v>0</v>
      </c>
      <c r="H23" s="154">
        <v>176.74</v>
      </c>
      <c r="I23" s="154">
        <v>530.22</v>
      </c>
    </row>
    <row r="24" spans="2:9" x14ac:dyDescent="0.25">
      <c r="B24" s="153" t="s">
        <v>272</v>
      </c>
      <c r="C24" s="153" t="s">
        <v>2046</v>
      </c>
      <c r="D24" s="153" t="s">
        <v>53</v>
      </c>
      <c r="E24" s="154">
        <v>1</v>
      </c>
      <c r="F24" s="154">
        <v>0</v>
      </c>
      <c r="G24" s="154">
        <v>0</v>
      </c>
      <c r="H24" s="154">
        <v>255.81</v>
      </c>
      <c r="I24" s="154">
        <v>255.81</v>
      </c>
    </row>
    <row r="25" spans="2:9" x14ac:dyDescent="0.25">
      <c r="B25" s="153" t="s">
        <v>273</v>
      </c>
      <c r="C25" s="153" t="s">
        <v>2047</v>
      </c>
      <c r="D25" s="153" t="s">
        <v>53</v>
      </c>
      <c r="E25" s="154">
        <v>5</v>
      </c>
      <c r="F25" s="154">
        <v>0</v>
      </c>
      <c r="G25" s="154">
        <v>0</v>
      </c>
      <c r="H25" s="154">
        <v>1144.19</v>
      </c>
      <c r="I25" s="154">
        <v>5720.95</v>
      </c>
    </row>
    <row r="26" spans="2:9" x14ac:dyDescent="0.25">
      <c r="B26" s="153" t="s">
        <v>274</v>
      </c>
      <c r="C26" s="153" t="s">
        <v>2048</v>
      </c>
      <c r="D26" s="153" t="s">
        <v>53</v>
      </c>
      <c r="E26" s="154">
        <v>9</v>
      </c>
      <c r="F26" s="154">
        <v>0</v>
      </c>
      <c r="G26" s="154">
        <v>0</v>
      </c>
      <c r="H26" s="154">
        <v>175</v>
      </c>
      <c r="I26" s="154">
        <v>1575</v>
      </c>
    </row>
    <row r="27" spans="2:9" x14ac:dyDescent="0.25">
      <c r="B27" s="153" t="s">
        <v>2049</v>
      </c>
      <c r="C27" s="153" t="s">
        <v>2050</v>
      </c>
      <c r="D27" s="153" t="s">
        <v>53</v>
      </c>
      <c r="E27" s="154">
        <v>10</v>
      </c>
      <c r="F27" s="154">
        <v>0</v>
      </c>
      <c r="G27" s="154">
        <v>0</v>
      </c>
      <c r="H27" s="154">
        <v>150</v>
      </c>
      <c r="I27" s="154">
        <v>1500</v>
      </c>
    </row>
    <row r="28" spans="2:9" x14ac:dyDescent="0.25">
      <c r="B28" s="155" t="s">
        <v>18</v>
      </c>
      <c r="C28" s="155" t="s">
        <v>2051</v>
      </c>
      <c r="D28" s="149"/>
      <c r="E28" s="149"/>
      <c r="F28" s="149"/>
      <c r="G28" s="156">
        <v>0</v>
      </c>
      <c r="H28" s="149"/>
      <c r="I28" s="156">
        <v>1170.93</v>
      </c>
    </row>
    <row r="29" spans="2:9" x14ac:dyDescent="0.25">
      <c r="B29" s="153" t="s">
        <v>139</v>
      </c>
      <c r="C29" s="153" t="s">
        <v>2052</v>
      </c>
      <c r="D29" s="153" t="s">
        <v>53</v>
      </c>
      <c r="E29" s="154">
        <v>1</v>
      </c>
      <c r="F29" s="154">
        <v>0</v>
      </c>
      <c r="G29" s="154">
        <v>0</v>
      </c>
      <c r="H29" s="154">
        <v>591.86</v>
      </c>
      <c r="I29" s="154">
        <v>591.86</v>
      </c>
    </row>
    <row r="30" spans="2:9" x14ac:dyDescent="0.25">
      <c r="B30" s="153" t="s">
        <v>140</v>
      </c>
      <c r="C30" s="153" t="s">
        <v>2053</v>
      </c>
      <c r="D30" s="153" t="s">
        <v>53</v>
      </c>
      <c r="E30" s="154">
        <v>1</v>
      </c>
      <c r="F30" s="154">
        <v>0</v>
      </c>
      <c r="G30" s="154">
        <v>0</v>
      </c>
      <c r="H30" s="154">
        <v>579.07000000000005</v>
      </c>
      <c r="I30" s="154">
        <v>579.07000000000005</v>
      </c>
    </row>
    <row r="31" spans="2:9" x14ac:dyDescent="0.25">
      <c r="B31" s="155" t="s">
        <v>21</v>
      </c>
      <c r="C31" s="155" t="s">
        <v>2054</v>
      </c>
      <c r="D31" s="149"/>
      <c r="E31" s="149"/>
      <c r="F31" s="149"/>
      <c r="G31" s="156">
        <v>0</v>
      </c>
      <c r="H31" s="149"/>
      <c r="I31" s="156">
        <v>163.75</v>
      </c>
    </row>
    <row r="32" spans="2:9" x14ac:dyDescent="0.25">
      <c r="B32" s="153" t="s">
        <v>2055</v>
      </c>
      <c r="C32" s="153" t="s">
        <v>2046</v>
      </c>
      <c r="D32" s="153" t="s">
        <v>53</v>
      </c>
      <c r="E32" s="154">
        <v>1</v>
      </c>
      <c r="F32" s="154">
        <v>0</v>
      </c>
      <c r="G32" s="154">
        <v>0</v>
      </c>
      <c r="H32" s="154">
        <v>63.75</v>
      </c>
      <c r="I32" s="154">
        <v>63.75</v>
      </c>
    </row>
    <row r="33" spans="2:9" x14ac:dyDescent="0.25">
      <c r="B33" s="153" t="s">
        <v>2056</v>
      </c>
      <c r="C33" s="153" t="s">
        <v>2057</v>
      </c>
      <c r="D33" s="153" t="s">
        <v>53</v>
      </c>
      <c r="E33" s="154">
        <v>1</v>
      </c>
      <c r="F33" s="154">
        <v>0</v>
      </c>
      <c r="G33" s="154">
        <v>0</v>
      </c>
      <c r="H33" s="154">
        <v>100</v>
      </c>
      <c r="I33" s="154">
        <v>100</v>
      </c>
    </row>
    <row r="34" spans="2:9" x14ac:dyDescent="0.25">
      <c r="B34" s="155" t="s">
        <v>23</v>
      </c>
      <c r="C34" s="155" t="s">
        <v>2058</v>
      </c>
      <c r="D34" s="149"/>
      <c r="E34" s="149"/>
      <c r="F34" s="149"/>
      <c r="G34" s="156">
        <v>0</v>
      </c>
      <c r="H34" s="149"/>
      <c r="I34" s="156">
        <v>2511.25</v>
      </c>
    </row>
    <row r="35" spans="2:9" x14ac:dyDescent="0.25">
      <c r="B35" s="153" t="s">
        <v>2059</v>
      </c>
      <c r="C35" s="153" t="s">
        <v>2037</v>
      </c>
      <c r="D35" s="153" t="s">
        <v>53</v>
      </c>
      <c r="E35" s="154">
        <v>1</v>
      </c>
      <c r="F35" s="154">
        <v>0</v>
      </c>
      <c r="G35" s="154">
        <v>0</v>
      </c>
      <c r="H35" s="154">
        <v>1155</v>
      </c>
      <c r="I35" s="154">
        <v>1155</v>
      </c>
    </row>
    <row r="36" spans="2:9" x14ac:dyDescent="0.25">
      <c r="B36" s="153" t="s">
        <v>2060</v>
      </c>
      <c r="C36" s="153" t="s">
        <v>2038</v>
      </c>
      <c r="D36" s="153" t="s">
        <v>53</v>
      </c>
      <c r="E36" s="154">
        <v>1</v>
      </c>
      <c r="F36" s="154">
        <v>0</v>
      </c>
      <c r="G36" s="154">
        <v>0</v>
      </c>
      <c r="H36" s="154">
        <v>1168.75</v>
      </c>
      <c r="I36" s="154">
        <v>1168.75</v>
      </c>
    </row>
    <row r="37" spans="2:9" x14ac:dyDescent="0.25">
      <c r="B37" s="153" t="s">
        <v>2061</v>
      </c>
      <c r="C37" s="153" t="s">
        <v>2062</v>
      </c>
      <c r="D37" s="153" t="s">
        <v>53</v>
      </c>
      <c r="E37" s="154">
        <v>1</v>
      </c>
      <c r="F37" s="154">
        <v>0</v>
      </c>
      <c r="G37" s="154">
        <v>0</v>
      </c>
      <c r="H37" s="154">
        <v>187.5</v>
      </c>
      <c r="I37" s="154">
        <v>187.5</v>
      </c>
    </row>
    <row r="38" spans="2:9" x14ac:dyDescent="0.25">
      <c r="B38" s="155" t="s">
        <v>355</v>
      </c>
      <c r="C38" s="155" t="s">
        <v>2063</v>
      </c>
      <c r="D38" s="149"/>
      <c r="E38" s="149"/>
      <c r="F38" s="149"/>
      <c r="G38" s="156">
        <v>0</v>
      </c>
      <c r="H38" s="149"/>
      <c r="I38" s="156">
        <v>7432.5</v>
      </c>
    </row>
    <row r="39" spans="2:9" x14ac:dyDescent="0.25">
      <c r="B39" s="153" t="s">
        <v>2064</v>
      </c>
      <c r="C39" s="153" t="s">
        <v>2065</v>
      </c>
      <c r="D39" s="153" t="s">
        <v>53</v>
      </c>
      <c r="E39" s="154">
        <v>2</v>
      </c>
      <c r="F39" s="154">
        <v>0</v>
      </c>
      <c r="G39" s="154">
        <v>0</v>
      </c>
      <c r="H39" s="154">
        <v>15</v>
      </c>
      <c r="I39" s="154">
        <v>30</v>
      </c>
    </row>
    <row r="40" spans="2:9" x14ac:dyDescent="0.25">
      <c r="B40" s="153" t="s">
        <v>2066</v>
      </c>
      <c r="C40" s="153" t="s">
        <v>2065</v>
      </c>
      <c r="D40" s="153" t="s">
        <v>53</v>
      </c>
      <c r="E40" s="154">
        <v>64</v>
      </c>
      <c r="F40" s="154">
        <v>0</v>
      </c>
      <c r="G40" s="154">
        <v>0</v>
      </c>
      <c r="H40" s="154">
        <v>15</v>
      </c>
      <c r="I40" s="154">
        <v>960</v>
      </c>
    </row>
    <row r="41" spans="2:9" x14ac:dyDescent="0.25">
      <c r="B41" s="153" t="s">
        <v>2067</v>
      </c>
      <c r="C41" s="153" t="s">
        <v>2065</v>
      </c>
      <c r="D41" s="153" t="s">
        <v>53</v>
      </c>
      <c r="E41" s="154">
        <v>87</v>
      </c>
      <c r="F41" s="154">
        <v>0</v>
      </c>
      <c r="G41" s="154">
        <v>0</v>
      </c>
      <c r="H41" s="154">
        <v>15</v>
      </c>
      <c r="I41" s="154">
        <v>1305</v>
      </c>
    </row>
    <row r="42" spans="2:9" x14ac:dyDescent="0.25">
      <c r="B42" s="153" t="s">
        <v>2068</v>
      </c>
      <c r="C42" s="153" t="s">
        <v>2069</v>
      </c>
      <c r="D42" s="153" t="s">
        <v>53</v>
      </c>
      <c r="E42" s="154">
        <v>7</v>
      </c>
      <c r="F42" s="154">
        <v>0</v>
      </c>
      <c r="G42" s="154">
        <v>0</v>
      </c>
      <c r="H42" s="154">
        <v>350</v>
      </c>
      <c r="I42" s="154">
        <v>2450</v>
      </c>
    </row>
    <row r="43" spans="2:9" x14ac:dyDescent="0.25">
      <c r="B43" s="153" t="s">
        <v>2070</v>
      </c>
      <c r="C43" s="153" t="s">
        <v>2071</v>
      </c>
      <c r="D43" s="153" t="s">
        <v>53</v>
      </c>
      <c r="E43" s="154">
        <v>86</v>
      </c>
      <c r="F43" s="154">
        <v>0</v>
      </c>
      <c r="G43" s="154">
        <v>0</v>
      </c>
      <c r="H43" s="154">
        <v>31.25</v>
      </c>
      <c r="I43" s="154">
        <v>2687.5</v>
      </c>
    </row>
    <row r="44" spans="2:9" x14ac:dyDescent="0.25">
      <c r="B44" s="151" t="s">
        <v>25</v>
      </c>
      <c r="C44" s="151" t="s">
        <v>2072</v>
      </c>
      <c r="D44" s="149"/>
      <c r="E44" s="149"/>
      <c r="F44" s="149"/>
      <c r="G44" s="152">
        <v>0</v>
      </c>
      <c r="H44" s="149"/>
      <c r="I44" s="152">
        <v>23292.94</v>
      </c>
    </row>
    <row r="45" spans="2:9" x14ac:dyDescent="0.25">
      <c r="B45" s="155" t="s">
        <v>27</v>
      </c>
      <c r="C45" s="155" t="s">
        <v>2036</v>
      </c>
      <c r="D45" s="149"/>
      <c r="E45" s="149"/>
      <c r="F45" s="149"/>
      <c r="G45" s="156">
        <v>0</v>
      </c>
      <c r="H45" s="149"/>
      <c r="I45" s="156">
        <v>709.8</v>
      </c>
    </row>
    <row r="46" spans="2:9" x14ac:dyDescent="0.25">
      <c r="B46" s="153" t="s">
        <v>146</v>
      </c>
      <c r="C46" s="153" t="s">
        <v>2073</v>
      </c>
      <c r="D46" s="153" t="s">
        <v>150</v>
      </c>
      <c r="E46" s="154">
        <v>210</v>
      </c>
      <c r="F46" s="154">
        <v>0</v>
      </c>
      <c r="G46" s="154">
        <v>0</v>
      </c>
      <c r="H46" s="154">
        <v>3.38</v>
      </c>
      <c r="I46" s="154">
        <v>709.8</v>
      </c>
    </row>
    <row r="47" spans="2:9" x14ac:dyDescent="0.25">
      <c r="B47" s="155" t="s">
        <v>30</v>
      </c>
      <c r="C47" s="155" t="s">
        <v>2074</v>
      </c>
      <c r="D47" s="149"/>
      <c r="E47" s="149"/>
      <c r="F47" s="149"/>
      <c r="G47" s="156">
        <v>0</v>
      </c>
      <c r="H47" s="149"/>
      <c r="I47" s="156">
        <v>2367.85</v>
      </c>
    </row>
    <row r="48" spans="2:9" x14ac:dyDescent="0.25">
      <c r="B48" s="153" t="s">
        <v>154</v>
      </c>
      <c r="C48" s="153" t="s">
        <v>2075</v>
      </c>
      <c r="D48" s="153" t="s">
        <v>2076</v>
      </c>
      <c r="E48" s="154">
        <v>4760</v>
      </c>
      <c r="F48" s="154">
        <v>0</v>
      </c>
      <c r="G48" s="154">
        <v>0</v>
      </c>
      <c r="H48" s="154">
        <v>0.16</v>
      </c>
      <c r="I48" s="154">
        <v>761.6</v>
      </c>
    </row>
    <row r="49" spans="2:9" x14ac:dyDescent="0.25">
      <c r="B49" s="153" t="s">
        <v>155</v>
      </c>
      <c r="C49" s="153" t="s">
        <v>2077</v>
      </c>
      <c r="D49" s="153" t="s">
        <v>53</v>
      </c>
      <c r="E49" s="154">
        <v>3</v>
      </c>
      <c r="F49" s="154">
        <v>0</v>
      </c>
      <c r="G49" s="154">
        <v>0</v>
      </c>
      <c r="H49" s="154">
        <v>118.75</v>
      </c>
      <c r="I49" s="154">
        <v>356.25</v>
      </c>
    </row>
    <row r="50" spans="2:9" x14ac:dyDescent="0.25">
      <c r="B50" s="153" t="s">
        <v>156</v>
      </c>
      <c r="C50" s="153" t="s">
        <v>2078</v>
      </c>
      <c r="D50" s="153" t="s">
        <v>15</v>
      </c>
      <c r="E50" s="154">
        <v>1</v>
      </c>
      <c r="F50" s="154">
        <v>0</v>
      </c>
      <c r="G50" s="154">
        <v>0</v>
      </c>
      <c r="H50" s="154">
        <v>1000</v>
      </c>
      <c r="I50" s="154">
        <v>1000</v>
      </c>
    </row>
    <row r="51" spans="2:9" x14ac:dyDescent="0.25">
      <c r="B51" s="153" t="s">
        <v>158</v>
      </c>
      <c r="C51" s="153" t="s">
        <v>2079</v>
      </c>
      <c r="D51" s="153" t="s">
        <v>53</v>
      </c>
      <c r="E51" s="154">
        <v>4</v>
      </c>
      <c r="F51" s="154">
        <v>0</v>
      </c>
      <c r="G51" s="154">
        <v>0</v>
      </c>
      <c r="H51" s="154">
        <v>62.5</v>
      </c>
      <c r="I51" s="154">
        <v>250</v>
      </c>
    </row>
    <row r="52" spans="2:9" x14ac:dyDescent="0.25">
      <c r="B52" s="155" t="s">
        <v>31</v>
      </c>
      <c r="C52" s="155" t="s">
        <v>2044</v>
      </c>
      <c r="D52" s="149"/>
      <c r="E52" s="149"/>
      <c r="F52" s="149"/>
      <c r="G52" s="156">
        <v>0</v>
      </c>
      <c r="H52" s="149"/>
      <c r="I52" s="156">
        <v>1690</v>
      </c>
    </row>
    <row r="53" spans="2:9" x14ac:dyDescent="0.25">
      <c r="B53" s="153" t="s">
        <v>164</v>
      </c>
      <c r="C53" s="153" t="s">
        <v>2073</v>
      </c>
      <c r="D53" s="153" t="s">
        <v>150</v>
      </c>
      <c r="E53" s="154">
        <v>500</v>
      </c>
      <c r="F53" s="154">
        <v>0</v>
      </c>
      <c r="G53" s="154">
        <v>0</v>
      </c>
      <c r="H53" s="154">
        <v>3.38</v>
      </c>
      <c r="I53" s="154">
        <v>1690</v>
      </c>
    </row>
    <row r="54" spans="2:9" x14ac:dyDescent="0.25">
      <c r="B54" s="155" t="s">
        <v>33</v>
      </c>
      <c r="C54" s="155" t="s">
        <v>2074</v>
      </c>
      <c r="D54" s="149"/>
      <c r="E54" s="149"/>
      <c r="F54" s="149"/>
      <c r="G54" s="156">
        <v>0</v>
      </c>
      <c r="H54" s="149"/>
      <c r="I54" s="156">
        <v>7289.2</v>
      </c>
    </row>
    <row r="55" spans="2:9" x14ac:dyDescent="0.25">
      <c r="B55" s="153" t="s">
        <v>370</v>
      </c>
      <c r="C55" s="153" t="s">
        <v>2075</v>
      </c>
      <c r="D55" s="153" t="s">
        <v>2076</v>
      </c>
      <c r="E55" s="154">
        <v>9620</v>
      </c>
      <c r="F55" s="154">
        <v>0</v>
      </c>
      <c r="G55" s="154">
        <v>0</v>
      </c>
      <c r="H55" s="154">
        <v>0.16</v>
      </c>
      <c r="I55" s="154">
        <v>1539.2</v>
      </c>
    </row>
    <row r="56" spans="2:9" x14ac:dyDescent="0.25">
      <c r="B56" s="153" t="s">
        <v>371</v>
      </c>
      <c r="C56" s="153" t="s">
        <v>2080</v>
      </c>
      <c r="D56" s="153" t="s">
        <v>53</v>
      </c>
      <c r="E56" s="154">
        <v>5</v>
      </c>
      <c r="F56" s="154">
        <v>0</v>
      </c>
      <c r="G56" s="154">
        <v>0</v>
      </c>
      <c r="H56" s="154">
        <v>50</v>
      </c>
      <c r="I56" s="154">
        <v>250</v>
      </c>
    </row>
    <row r="57" spans="2:9" x14ac:dyDescent="0.25">
      <c r="B57" s="153" t="s">
        <v>372</v>
      </c>
      <c r="C57" s="153" t="s">
        <v>2081</v>
      </c>
      <c r="D57" s="153" t="s">
        <v>53</v>
      </c>
      <c r="E57" s="154">
        <v>5</v>
      </c>
      <c r="F57" s="154">
        <v>0</v>
      </c>
      <c r="G57" s="154">
        <v>0</v>
      </c>
      <c r="H57" s="154">
        <v>50</v>
      </c>
      <c r="I57" s="154">
        <v>250</v>
      </c>
    </row>
    <row r="58" spans="2:9" x14ac:dyDescent="0.25">
      <c r="B58" s="153" t="s">
        <v>373</v>
      </c>
      <c r="C58" s="153" t="s">
        <v>2082</v>
      </c>
      <c r="D58" s="153" t="s">
        <v>53</v>
      </c>
      <c r="E58" s="154">
        <v>5</v>
      </c>
      <c r="F58" s="154">
        <v>0</v>
      </c>
      <c r="G58" s="154">
        <v>0</v>
      </c>
      <c r="H58" s="154">
        <v>62.5</v>
      </c>
      <c r="I58" s="154">
        <v>312.5</v>
      </c>
    </row>
    <row r="59" spans="2:9" x14ac:dyDescent="0.25">
      <c r="B59" s="153" t="s">
        <v>1977</v>
      </c>
      <c r="C59" s="153" t="s">
        <v>2083</v>
      </c>
      <c r="D59" s="153" t="s">
        <v>15</v>
      </c>
      <c r="E59" s="154">
        <v>1</v>
      </c>
      <c r="F59" s="154">
        <v>0</v>
      </c>
      <c r="G59" s="154">
        <v>0</v>
      </c>
      <c r="H59" s="154">
        <v>4375</v>
      </c>
      <c r="I59" s="154">
        <v>4375</v>
      </c>
    </row>
    <row r="60" spans="2:9" x14ac:dyDescent="0.25">
      <c r="B60" s="153" t="s">
        <v>2084</v>
      </c>
      <c r="C60" s="153" t="s">
        <v>2085</v>
      </c>
      <c r="D60" s="153" t="s">
        <v>53</v>
      </c>
      <c r="E60" s="154">
        <v>9</v>
      </c>
      <c r="F60" s="154">
        <v>0</v>
      </c>
      <c r="G60" s="154">
        <v>0</v>
      </c>
      <c r="H60" s="154">
        <v>62.5</v>
      </c>
      <c r="I60" s="154">
        <v>562.5</v>
      </c>
    </row>
    <row r="61" spans="2:9" x14ac:dyDescent="0.25">
      <c r="B61" s="155" t="s">
        <v>35</v>
      </c>
      <c r="C61" s="155" t="s">
        <v>2051</v>
      </c>
      <c r="D61" s="149"/>
      <c r="E61" s="149"/>
      <c r="F61" s="149"/>
      <c r="G61" s="156">
        <v>0</v>
      </c>
      <c r="H61" s="149"/>
      <c r="I61" s="156">
        <v>1791.4</v>
      </c>
    </row>
    <row r="62" spans="2:9" x14ac:dyDescent="0.25">
      <c r="B62" s="153" t="s">
        <v>375</v>
      </c>
      <c r="C62" s="153" t="s">
        <v>2086</v>
      </c>
      <c r="D62" s="153" t="s">
        <v>150</v>
      </c>
      <c r="E62" s="154">
        <v>530</v>
      </c>
      <c r="F62" s="154">
        <v>0</v>
      </c>
      <c r="G62" s="154">
        <v>0</v>
      </c>
      <c r="H62" s="154">
        <v>3.38</v>
      </c>
      <c r="I62" s="154">
        <v>1791.4</v>
      </c>
    </row>
    <row r="63" spans="2:9" x14ac:dyDescent="0.25">
      <c r="B63" s="155" t="s">
        <v>316</v>
      </c>
      <c r="C63" s="155" t="s">
        <v>2074</v>
      </c>
      <c r="D63" s="149"/>
      <c r="E63" s="149"/>
      <c r="F63" s="149"/>
      <c r="G63" s="156">
        <v>0</v>
      </c>
      <c r="H63" s="149"/>
      <c r="I63" s="156">
        <v>955.02</v>
      </c>
    </row>
    <row r="64" spans="2:9" x14ac:dyDescent="0.25">
      <c r="B64" s="153" t="s">
        <v>377</v>
      </c>
      <c r="C64" s="153" t="s">
        <v>2075</v>
      </c>
      <c r="D64" s="153" t="s">
        <v>2076</v>
      </c>
      <c r="E64" s="154">
        <v>1672</v>
      </c>
      <c r="F64" s="154">
        <v>0</v>
      </c>
      <c r="G64" s="154">
        <v>0</v>
      </c>
      <c r="H64" s="154">
        <v>0.16</v>
      </c>
      <c r="I64" s="154">
        <v>267.52</v>
      </c>
    </row>
    <row r="65" spans="2:9" x14ac:dyDescent="0.25">
      <c r="B65" s="153" t="s">
        <v>378</v>
      </c>
      <c r="C65" s="153" t="s">
        <v>2077</v>
      </c>
      <c r="D65" s="153" t="s">
        <v>53</v>
      </c>
      <c r="E65" s="154">
        <v>2</v>
      </c>
      <c r="F65" s="154">
        <v>0</v>
      </c>
      <c r="G65" s="154">
        <v>0</v>
      </c>
      <c r="H65" s="154">
        <v>62.5</v>
      </c>
      <c r="I65" s="154">
        <v>125</v>
      </c>
    </row>
    <row r="66" spans="2:9" x14ac:dyDescent="0.25">
      <c r="B66" s="153" t="s">
        <v>379</v>
      </c>
      <c r="C66" s="153" t="s">
        <v>2087</v>
      </c>
      <c r="D66" s="153" t="s">
        <v>53</v>
      </c>
      <c r="E66" s="154">
        <v>1</v>
      </c>
      <c r="F66" s="154">
        <v>0</v>
      </c>
      <c r="G66" s="154">
        <v>0</v>
      </c>
      <c r="H66" s="154">
        <v>562.5</v>
      </c>
      <c r="I66" s="154">
        <v>562.5</v>
      </c>
    </row>
    <row r="67" spans="2:9" x14ac:dyDescent="0.25">
      <c r="B67" s="155" t="s">
        <v>36</v>
      </c>
      <c r="C67" s="155" t="s">
        <v>2054</v>
      </c>
      <c r="D67" s="149"/>
      <c r="E67" s="149"/>
      <c r="F67" s="149"/>
      <c r="G67" s="156">
        <v>0</v>
      </c>
      <c r="H67" s="149"/>
      <c r="I67" s="156">
        <v>270.39999999999998</v>
      </c>
    </row>
    <row r="68" spans="2:9" x14ac:dyDescent="0.25">
      <c r="B68" s="153" t="s">
        <v>2088</v>
      </c>
      <c r="C68" s="153" t="s">
        <v>2086</v>
      </c>
      <c r="D68" s="153" t="s">
        <v>150</v>
      </c>
      <c r="E68" s="154">
        <v>80</v>
      </c>
      <c r="F68" s="154">
        <v>0</v>
      </c>
      <c r="G68" s="154">
        <v>0</v>
      </c>
      <c r="H68" s="154">
        <v>3.38</v>
      </c>
      <c r="I68" s="154">
        <v>270.39999999999998</v>
      </c>
    </row>
    <row r="69" spans="2:9" x14ac:dyDescent="0.25">
      <c r="B69" s="155" t="s">
        <v>38</v>
      </c>
      <c r="C69" s="155" t="s">
        <v>2074</v>
      </c>
      <c r="D69" s="149"/>
      <c r="E69" s="149"/>
      <c r="F69" s="149"/>
      <c r="G69" s="156">
        <v>0</v>
      </c>
      <c r="H69" s="149"/>
      <c r="I69" s="156">
        <v>384.5</v>
      </c>
    </row>
    <row r="70" spans="2:9" x14ac:dyDescent="0.25">
      <c r="B70" s="153" t="s">
        <v>2089</v>
      </c>
      <c r="C70" s="153" t="s">
        <v>2075</v>
      </c>
      <c r="D70" s="153" t="s">
        <v>2076</v>
      </c>
      <c r="E70" s="154">
        <v>450</v>
      </c>
      <c r="F70" s="154">
        <v>0</v>
      </c>
      <c r="G70" s="154">
        <v>0</v>
      </c>
      <c r="H70" s="154">
        <v>0.16</v>
      </c>
      <c r="I70" s="154">
        <v>72</v>
      </c>
    </row>
    <row r="71" spans="2:9" x14ac:dyDescent="0.25">
      <c r="B71" s="153" t="s">
        <v>2090</v>
      </c>
      <c r="C71" s="153" t="s">
        <v>2091</v>
      </c>
      <c r="D71" s="153" t="s">
        <v>53</v>
      </c>
      <c r="E71" s="154">
        <v>1</v>
      </c>
      <c r="F71" s="154">
        <v>0</v>
      </c>
      <c r="G71" s="154">
        <v>0</v>
      </c>
      <c r="H71" s="154">
        <v>25</v>
      </c>
      <c r="I71" s="154">
        <v>25</v>
      </c>
    </row>
    <row r="72" spans="2:9" x14ac:dyDescent="0.25">
      <c r="B72" s="153" t="s">
        <v>2092</v>
      </c>
      <c r="C72" s="153" t="s">
        <v>2093</v>
      </c>
      <c r="D72" s="153" t="s">
        <v>53</v>
      </c>
      <c r="E72" s="154">
        <v>1</v>
      </c>
      <c r="F72" s="154">
        <v>0</v>
      </c>
      <c r="G72" s="154">
        <v>0</v>
      </c>
      <c r="H72" s="154">
        <v>12.5</v>
      </c>
      <c r="I72" s="154">
        <v>12.5</v>
      </c>
    </row>
    <row r="73" spans="2:9" x14ac:dyDescent="0.25">
      <c r="B73" s="153" t="s">
        <v>2094</v>
      </c>
      <c r="C73" s="153" t="s">
        <v>2095</v>
      </c>
      <c r="D73" s="153" t="s">
        <v>53</v>
      </c>
      <c r="E73" s="154">
        <v>1</v>
      </c>
      <c r="F73" s="154">
        <v>0</v>
      </c>
      <c r="G73" s="154">
        <v>0</v>
      </c>
      <c r="H73" s="154">
        <v>275</v>
      </c>
      <c r="I73" s="154">
        <v>275</v>
      </c>
    </row>
    <row r="74" spans="2:9" x14ac:dyDescent="0.25">
      <c r="B74" s="155" t="s">
        <v>40</v>
      </c>
      <c r="C74" s="155" t="s">
        <v>2058</v>
      </c>
      <c r="D74" s="149"/>
      <c r="E74" s="149"/>
      <c r="F74" s="149"/>
      <c r="G74" s="156">
        <v>0</v>
      </c>
      <c r="H74" s="149"/>
      <c r="I74" s="156">
        <v>304.2</v>
      </c>
    </row>
    <row r="75" spans="2:9" x14ac:dyDescent="0.25">
      <c r="B75" s="153" t="s">
        <v>2096</v>
      </c>
      <c r="C75" s="153" t="s">
        <v>2086</v>
      </c>
      <c r="D75" s="153" t="s">
        <v>150</v>
      </c>
      <c r="E75" s="154">
        <v>90</v>
      </c>
      <c r="F75" s="154">
        <v>0</v>
      </c>
      <c r="G75" s="154">
        <v>0</v>
      </c>
      <c r="H75" s="154">
        <v>3.38</v>
      </c>
      <c r="I75" s="154">
        <v>304.2</v>
      </c>
    </row>
    <row r="76" spans="2:9" x14ac:dyDescent="0.25">
      <c r="B76" s="155" t="s">
        <v>42</v>
      </c>
      <c r="C76" s="155" t="s">
        <v>2074</v>
      </c>
      <c r="D76" s="149"/>
      <c r="E76" s="149"/>
      <c r="F76" s="149"/>
      <c r="G76" s="156">
        <v>0</v>
      </c>
      <c r="H76" s="149"/>
      <c r="I76" s="156">
        <v>1131.81</v>
      </c>
    </row>
    <row r="77" spans="2:9" x14ac:dyDescent="0.25">
      <c r="B77" s="153" t="s">
        <v>2097</v>
      </c>
      <c r="C77" s="153" t="s">
        <v>2075</v>
      </c>
      <c r="D77" s="153" t="s">
        <v>2076</v>
      </c>
      <c r="E77" s="154">
        <v>2816</v>
      </c>
      <c r="F77" s="154">
        <v>0</v>
      </c>
      <c r="G77" s="154">
        <v>0</v>
      </c>
      <c r="H77" s="154">
        <v>0.16</v>
      </c>
      <c r="I77" s="154">
        <v>450.56</v>
      </c>
    </row>
    <row r="78" spans="2:9" x14ac:dyDescent="0.25">
      <c r="B78" s="153" t="s">
        <v>2098</v>
      </c>
      <c r="C78" s="153" t="s">
        <v>2077</v>
      </c>
      <c r="D78" s="153" t="s">
        <v>53</v>
      </c>
      <c r="E78" s="154">
        <v>1</v>
      </c>
      <c r="F78" s="154">
        <v>0</v>
      </c>
      <c r="G78" s="154">
        <v>0</v>
      </c>
      <c r="H78" s="154">
        <v>106.25</v>
      </c>
      <c r="I78" s="154">
        <v>106.25</v>
      </c>
    </row>
    <row r="79" spans="2:9" x14ac:dyDescent="0.25">
      <c r="B79" s="153" t="s">
        <v>2099</v>
      </c>
      <c r="C79" s="153" t="s">
        <v>2087</v>
      </c>
      <c r="D79" s="153" t="s">
        <v>53</v>
      </c>
      <c r="E79" s="154">
        <v>1</v>
      </c>
      <c r="F79" s="154">
        <v>0</v>
      </c>
      <c r="G79" s="154">
        <v>0</v>
      </c>
      <c r="H79" s="154">
        <v>575</v>
      </c>
      <c r="I79" s="154">
        <v>575</v>
      </c>
    </row>
    <row r="80" spans="2:9" x14ac:dyDescent="0.25">
      <c r="B80" s="155" t="s">
        <v>44</v>
      </c>
      <c r="C80" s="155" t="s">
        <v>2063</v>
      </c>
      <c r="D80" s="149"/>
      <c r="E80" s="149"/>
      <c r="F80" s="149"/>
      <c r="G80" s="156">
        <v>0</v>
      </c>
      <c r="H80" s="149"/>
      <c r="I80" s="156">
        <v>3998.76</v>
      </c>
    </row>
    <row r="81" spans="2:9" x14ac:dyDescent="0.25">
      <c r="B81" s="153" t="s">
        <v>2100</v>
      </c>
      <c r="C81" s="153" t="s">
        <v>2073</v>
      </c>
      <c r="D81" s="153" t="s">
        <v>150</v>
      </c>
      <c r="E81" s="154">
        <v>100</v>
      </c>
      <c r="F81" s="154">
        <v>0</v>
      </c>
      <c r="G81" s="154">
        <v>0</v>
      </c>
      <c r="H81" s="154">
        <v>3.38</v>
      </c>
      <c r="I81" s="154">
        <v>338</v>
      </c>
    </row>
    <row r="82" spans="2:9" x14ac:dyDescent="0.25">
      <c r="B82" s="153" t="s">
        <v>2101</v>
      </c>
      <c r="C82" s="153" t="s">
        <v>2102</v>
      </c>
      <c r="D82" s="153" t="s">
        <v>53</v>
      </c>
      <c r="E82" s="154">
        <v>153</v>
      </c>
      <c r="F82" s="154">
        <v>0</v>
      </c>
      <c r="G82" s="154">
        <v>0</v>
      </c>
      <c r="H82" s="154">
        <v>7.5</v>
      </c>
      <c r="I82" s="154">
        <v>1147.5</v>
      </c>
    </row>
    <row r="83" spans="2:9" x14ac:dyDescent="0.25">
      <c r="B83" s="153" t="s">
        <v>2103</v>
      </c>
      <c r="C83" s="153" t="s">
        <v>2104</v>
      </c>
      <c r="D83" s="153" t="s">
        <v>53</v>
      </c>
      <c r="E83" s="154">
        <v>86</v>
      </c>
      <c r="F83" s="154">
        <v>0</v>
      </c>
      <c r="G83" s="154">
        <v>0</v>
      </c>
      <c r="H83" s="154">
        <v>10</v>
      </c>
      <c r="I83" s="154">
        <v>860</v>
      </c>
    </row>
    <row r="84" spans="2:9" x14ac:dyDescent="0.25">
      <c r="B84" s="153" t="s">
        <v>2105</v>
      </c>
      <c r="C84" s="153" t="s">
        <v>2106</v>
      </c>
      <c r="D84" s="153" t="s">
        <v>15</v>
      </c>
      <c r="E84" s="154">
        <v>1</v>
      </c>
      <c r="F84" s="154">
        <v>0</v>
      </c>
      <c r="G84" s="154">
        <v>0</v>
      </c>
      <c r="H84" s="154">
        <v>1653.26</v>
      </c>
      <c r="I84" s="154">
        <v>1653.26</v>
      </c>
    </row>
    <row r="85" spans="2:9" x14ac:dyDescent="0.25">
      <c r="B85" s="153" t="s">
        <v>46</v>
      </c>
      <c r="C85" s="153" t="s">
        <v>2107</v>
      </c>
      <c r="D85" s="153" t="s">
        <v>15</v>
      </c>
      <c r="E85" s="154">
        <v>1</v>
      </c>
      <c r="F85" s="154">
        <v>0</v>
      </c>
      <c r="G85" s="154">
        <v>0</v>
      </c>
      <c r="H85" s="154">
        <v>2400</v>
      </c>
      <c r="I85" s="154">
        <v>2400</v>
      </c>
    </row>
  </sheetData>
  <mergeCells count="1">
    <mergeCell ref="B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644B-0071-4F92-AD79-CE9EF520AC1D}">
  <dimension ref="B1:I18"/>
  <sheetViews>
    <sheetView workbookViewId="0">
      <selection activeCell="K14" sqref="K14"/>
    </sheetView>
  </sheetViews>
  <sheetFormatPr defaultColWidth="11.42578125" defaultRowHeight="15" x14ac:dyDescent="0.25"/>
  <cols>
    <col min="3" max="3" width="44.5703125" bestFit="1" customWidth="1"/>
    <col min="4" max="4" width="4.140625" bestFit="1" customWidth="1"/>
    <col min="5" max="5" width="6.85546875" bestFit="1" customWidth="1"/>
    <col min="6" max="7" width="8.7109375" bestFit="1" customWidth="1"/>
    <col min="8" max="8" width="8.28515625" bestFit="1" customWidth="1"/>
    <col min="9" max="9" width="8.7109375" bestFit="1" customWidth="1"/>
  </cols>
  <sheetData>
    <row r="1" spans="2:9" ht="16.5" x14ac:dyDescent="0.25">
      <c r="B1" s="190" t="s">
        <v>1870</v>
      </c>
      <c r="C1" s="191"/>
      <c r="D1" s="191"/>
      <c r="E1" s="117"/>
      <c r="F1" s="118"/>
      <c r="G1" s="119"/>
      <c r="H1" s="117"/>
      <c r="I1" s="117"/>
    </row>
    <row r="2" spans="2:9" x14ac:dyDescent="0.25">
      <c r="B2" s="120"/>
      <c r="C2" s="121"/>
      <c r="D2" s="121"/>
      <c r="E2" s="117"/>
      <c r="F2" s="118"/>
      <c r="G2" s="119"/>
      <c r="H2" s="117"/>
      <c r="I2" s="117"/>
    </row>
    <row r="3" spans="2:9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9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9" ht="16.5" x14ac:dyDescent="0.25">
      <c r="B5" s="138" t="s">
        <v>722</v>
      </c>
      <c r="C5" s="139" t="s">
        <v>723</v>
      </c>
      <c r="D5" s="140"/>
      <c r="E5" s="144"/>
      <c r="F5" s="144"/>
      <c r="G5" s="144"/>
      <c r="H5" s="145" t="s">
        <v>724</v>
      </c>
      <c r="I5" s="146" t="s">
        <v>2177</v>
      </c>
    </row>
    <row r="6" spans="2:9" x14ac:dyDescent="0.25">
      <c r="B6" s="159" t="s">
        <v>2</v>
      </c>
      <c r="C6" s="159" t="s">
        <v>3</v>
      </c>
      <c r="D6" s="159" t="s">
        <v>0</v>
      </c>
      <c r="E6" s="160" t="s">
        <v>4</v>
      </c>
      <c r="F6" s="160" t="s">
        <v>5</v>
      </c>
      <c r="G6" s="160" t="s">
        <v>6</v>
      </c>
      <c r="H6" s="160" t="s">
        <v>7</v>
      </c>
      <c r="I6" s="160" t="s">
        <v>8</v>
      </c>
    </row>
    <row r="7" spans="2:9" x14ac:dyDescent="0.25">
      <c r="B7" s="148" t="s">
        <v>9</v>
      </c>
      <c r="C7" s="165" t="s">
        <v>410</v>
      </c>
      <c r="D7" s="166"/>
      <c r="E7" s="166"/>
      <c r="F7" s="166"/>
      <c r="G7" s="167">
        <v>142521.79</v>
      </c>
      <c r="H7" s="166"/>
      <c r="I7" s="167">
        <v>0</v>
      </c>
    </row>
    <row r="8" spans="2:9" x14ac:dyDescent="0.25">
      <c r="B8" s="153" t="s">
        <v>11</v>
      </c>
      <c r="C8" s="168" t="s">
        <v>2024</v>
      </c>
      <c r="D8" s="168" t="s">
        <v>53</v>
      </c>
      <c r="E8" s="169">
        <v>88</v>
      </c>
      <c r="F8" s="169">
        <v>552.6</v>
      </c>
      <c r="G8" s="169">
        <v>48628.800000000003</v>
      </c>
      <c r="H8" s="169">
        <v>0</v>
      </c>
      <c r="I8" s="169">
        <v>0</v>
      </c>
    </row>
    <row r="9" spans="2:9" x14ac:dyDescent="0.25">
      <c r="B9" s="153" t="s">
        <v>25</v>
      </c>
      <c r="C9" s="168" t="s">
        <v>2025</v>
      </c>
      <c r="D9" s="168" t="s">
        <v>53</v>
      </c>
      <c r="E9" s="169">
        <v>88</v>
      </c>
      <c r="F9" s="169">
        <v>383</v>
      </c>
      <c r="G9" s="169">
        <v>33704</v>
      </c>
      <c r="H9" s="169">
        <v>0</v>
      </c>
      <c r="I9" s="169">
        <v>0</v>
      </c>
    </row>
    <row r="10" spans="2:9" x14ac:dyDescent="0.25">
      <c r="B10" s="153" t="s">
        <v>55</v>
      </c>
      <c r="C10" s="168" t="s">
        <v>2026</v>
      </c>
      <c r="D10" s="168" t="s">
        <v>53</v>
      </c>
      <c r="E10" s="169">
        <v>88</v>
      </c>
      <c r="F10" s="169">
        <v>48</v>
      </c>
      <c r="G10" s="169">
        <v>4224</v>
      </c>
      <c r="H10" s="169">
        <v>0</v>
      </c>
      <c r="I10" s="169">
        <v>0</v>
      </c>
    </row>
    <row r="11" spans="2:9" x14ac:dyDescent="0.25">
      <c r="B11" s="153" t="s">
        <v>62</v>
      </c>
      <c r="C11" s="168" t="s">
        <v>2027</v>
      </c>
      <c r="D11" s="168" t="s">
        <v>53</v>
      </c>
      <c r="E11" s="169">
        <v>174</v>
      </c>
      <c r="F11" s="169">
        <v>40</v>
      </c>
      <c r="G11" s="169">
        <v>6960</v>
      </c>
      <c r="H11" s="169">
        <v>0</v>
      </c>
      <c r="I11" s="169">
        <v>0</v>
      </c>
    </row>
    <row r="12" spans="2:9" x14ac:dyDescent="0.25">
      <c r="B12" s="153" t="s">
        <v>73</v>
      </c>
      <c r="C12" s="168" t="s">
        <v>2028</v>
      </c>
      <c r="D12" s="168" t="s">
        <v>53</v>
      </c>
      <c r="E12" s="169">
        <v>88</v>
      </c>
      <c r="F12" s="169">
        <v>100</v>
      </c>
      <c r="G12" s="169">
        <v>8800</v>
      </c>
      <c r="H12" s="169">
        <v>0</v>
      </c>
      <c r="I12" s="169">
        <v>0</v>
      </c>
    </row>
    <row r="13" spans="2:9" x14ac:dyDescent="0.25">
      <c r="B13" s="153" t="s">
        <v>79</v>
      </c>
      <c r="C13" s="168" t="s">
        <v>2029</v>
      </c>
      <c r="D13" s="168" t="s">
        <v>53</v>
      </c>
      <c r="E13" s="169">
        <v>1</v>
      </c>
      <c r="F13" s="169">
        <v>24315.7</v>
      </c>
      <c r="G13" s="169">
        <v>24315.7</v>
      </c>
      <c r="H13" s="169">
        <v>0</v>
      </c>
      <c r="I13" s="169">
        <v>0</v>
      </c>
    </row>
    <row r="14" spans="2:9" x14ac:dyDescent="0.25">
      <c r="B14" s="153" t="s">
        <v>88</v>
      </c>
      <c r="C14" s="168" t="s">
        <v>2030</v>
      </c>
      <c r="D14" s="168" t="s">
        <v>53</v>
      </c>
      <c r="E14" s="169">
        <v>1</v>
      </c>
      <c r="F14" s="169">
        <v>2929.29</v>
      </c>
      <c r="G14" s="169">
        <v>2929.29</v>
      </c>
      <c r="H14" s="169">
        <v>0</v>
      </c>
      <c r="I14" s="169">
        <v>0</v>
      </c>
    </row>
    <row r="15" spans="2:9" x14ac:dyDescent="0.25">
      <c r="B15" s="153" t="s">
        <v>96</v>
      </c>
      <c r="C15" s="168" t="s">
        <v>2031</v>
      </c>
      <c r="D15" s="168" t="s">
        <v>53</v>
      </c>
      <c r="E15" s="169">
        <v>2</v>
      </c>
      <c r="F15" s="169">
        <v>320</v>
      </c>
      <c r="G15" s="169">
        <v>640</v>
      </c>
      <c r="H15" s="169">
        <v>0</v>
      </c>
      <c r="I15" s="169">
        <v>0</v>
      </c>
    </row>
    <row r="16" spans="2:9" x14ac:dyDescent="0.25">
      <c r="B16" s="153" t="s">
        <v>100</v>
      </c>
      <c r="C16" s="168" t="s">
        <v>2032</v>
      </c>
      <c r="D16" s="168" t="s">
        <v>53</v>
      </c>
      <c r="E16" s="169">
        <v>261</v>
      </c>
      <c r="F16" s="169">
        <v>40</v>
      </c>
      <c r="G16" s="169">
        <v>10440</v>
      </c>
      <c r="H16" s="169">
        <v>0</v>
      </c>
      <c r="I16" s="169">
        <v>0</v>
      </c>
    </row>
    <row r="17" spans="2:9" x14ac:dyDescent="0.25">
      <c r="B17" s="153" t="s">
        <v>243</v>
      </c>
      <c r="C17" s="168" t="s">
        <v>2033</v>
      </c>
      <c r="D17" s="168" t="s">
        <v>53</v>
      </c>
      <c r="E17" s="169">
        <v>1</v>
      </c>
      <c r="F17" s="169">
        <v>1000</v>
      </c>
      <c r="G17" s="169">
        <v>1000</v>
      </c>
      <c r="H17" s="169">
        <v>0</v>
      </c>
      <c r="I17" s="169">
        <v>0</v>
      </c>
    </row>
    <row r="18" spans="2:9" x14ac:dyDescent="0.25">
      <c r="B18" s="153" t="s">
        <v>469</v>
      </c>
      <c r="C18" s="168" t="s">
        <v>2034</v>
      </c>
      <c r="D18" s="168" t="s">
        <v>53</v>
      </c>
      <c r="E18" s="169">
        <v>88</v>
      </c>
      <c r="F18" s="169">
        <v>10</v>
      </c>
      <c r="G18" s="169">
        <v>880</v>
      </c>
      <c r="H18" s="169">
        <v>0</v>
      </c>
      <c r="I18" s="169">
        <v>0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CE26-7C2A-49F8-9652-7E4E4087E4BC}">
  <dimension ref="B1:I8"/>
  <sheetViews>
    <sheetView workbookViewId="0">
      <selection activeCell="J17" sqref="J17"/>
    </sheetView>
  </sheetViews>
  <sheetFormatPr defaultColWidth="11.42578125" defaultRowHeight="15" x14ac:dyDescent="0.25"/>
  <cols>
    <col min="3" max="3" width="44.5703125" bestFit="1" customWidth="1"/>
    <col min="4" max="4" width="4.140625" bestFit="1" customWidth="1"/>
    <col min="5" max="5" width="6.85546875" bestFit="1" customWidth="1"/>
    <col min="6" max="6" width="8.140625" bestFit="1" customWidth="1"/>
    <col min="7" max="7" width="8.5703125" bestFit="1" customWidth="1"/>
    <col min="8" max="9" width="8.7109375" bestFit="1" customWidth="1"/>
  </cols>
  <sheetData>
    <row r="1" spans="2:9" ht="16.5" x14ac:dyDescent="0.25">
      <c r="B1" s="190" t="s">
        <v>1871</v>
      </c>
      <c r="C1" s="191"/>
      <c r="D1" s="191"/>
      <c r="E1" s="117"/>
      <c r="F1" s="118"/>
      <c r="G1" s="119"/>
      <c r="H1" s="117"/>
      <c r="I1" s="117"/>
    </row>
    <row r="2" spans="2:9" x14ac:dyDescent="0.25">
      <c r="B2" s="120"/>
      <c r="C2" s="121"/>
      <c r="D2" s="121"/>
      <c r="E2" s="117"/>
      <c r="F2" s="118"/>
      <c r="G2" s="119"/>
      <c r="H2" s="117"/>
      <c r="I2" s="117"/>
    </row>
    <row r="3" spans="2:9" x14ac:dyDescent="0.25">
      <c r="B3" s="122" t="s">
        <v>718</v>
      </c>
      <c r="C3" s="123" t="s">
        <v>719</v>
      </c>
      <c r="D3" s="124"/>
      <c r="E3" s="124"/>
      <c r="F3" s="125"/>
      <c r="G3" s="119"/>
      <c r="H3" s="124"/>
      <c r="I3" s="124"/>
    </row>
    <row r="4" spans="2:9" x14ac:dyDescent="0.25">
      <c r="B4" s="122" t="s">
        <v>720</v>
      </c>
      <c r="C4" s="123" t="s">
        <v>721</v>
      </c>
      <c r="D4" s="126"/>
      <c r="E4" s="124"/>
      <c r="F4" s="125"/>
      <c r="G4" s="119"/>
      <c r="H4" s="124"/>
      <c r="I4" s="124"/>
    </row>
    <row r="5" spans="2:9" ht="17.25" thickBot="1" x14ac:dyDescent="0.3">
      <c r="B5" s="127" t="s">
        <v>722</v>
      </c>
      <c r="C5" s="128" t="s">
        <v>723</v>
      </c>
      <c r="D5" s="129"/>
      <c r="E5" s="130"/>
      <c r="F5" s="130"/>
      <c r="G5" s="130"/>
      <c r="H5" s="145" t="s">
        <v>724</v>
      </c>
      <c r="I5" s="146" t="s">
        <v>2177</v>
      </c>
    </row>
    <row r="6" spans="2:9" x14ac:dyDescent="0.25">
      <c r="B6" s="110" t="s">
        <v>2</v>
      </c>
      <c r="C6" s="110" t="s">
        <v>3</v>
      </c>
      <c r="D6" s="110" t="s">
        <v>0</v>
      </c>
      <c r="E6" s="111" t="s">
        <v>4</v>
      </c>
      <c r="F6" s="111" t="s">
        <v>5</v>
      </c>
      <c r="G6" s="111" t="s">
        <v>6</v>
      </c>
      <c r="H6" s="111" t="s">
        <v>7</v>
      </c>
      <c r="I6" s="111" t="s">
        <v>8</v>
      </c>
    </row>
    <row r="7" spans="2:9" x14ac:dyDescent="0.25">
      <c r="B7" s="112" t="s">
        <v>9</v>
      </c>
      <c r="C7" s="112" t="s">
        <v>406</v>
      </c>
      <c r="D7" s="113"/>
      <c r="E7" s="113"/>
      <c r="F7" s="113"/>
      <c r="G7" s="114">
        <f>G8</f>
        <v>0</v>
      </c>
      <c r="H7" s="113"/>
      <c r="I7" s="114">
        <f>I8</f>
        <v>116684.32</v>
      </c>
    </row>
    <row r="8" spans="2:9" x14ac:dyDescent="0.25">
      <c r="B8" s="115" t="s">
        <v>11</v>
      </c>
      <c r="C8" s="115" t="s">
        <v>407</v>
      </c>
      <c r="D8" s="115" t="s">
        <v>15</v>
      </c>
      <c r="E8" s="116">
        <v>1</v>
      </c>
      <c r="F8" s="116">
        <v>0</v>
      </c>
      <c r="G8" s="116">
        <v>0</v>
      </c>
      <c r="H8" s="116">
        <v>116684.32</v>
      </c>
      <c r="I8" s="116">
        <v>116684.32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47EE-4D81-45F0-8289-2383901FD1B2}">
  <dimension ref="B2:I9"/>
  <sheetViews>
    <sheetView workbookViewId="0">
      <selection activeCell="K17" sqref="K17"/>
    </sheetView>
  </sheetViews>
  <sheetFormatPr defaultColWidth="11.42578125" defaultRowHeight="15" x14ac:dyDescent="0.25"/>
  <sheetData>
    <row r="2" spans="2:9" ht="16.5" x14ac:dyDescent="0.25">
      <c r="B2" s="190" t="s">
        <v>2118</v>
      </c>
      <c r="C2" s="191"/>
      <c r="D2" s="191"/>
      <c r="E2" s="117"/>
      <c r="F2" s="118"/>
      <c r="G2" s="119"/>
      <c r="H2" s="117"/>
      <c r="I2" s="117"/>
    </row>
    <row r="3" spans="2:9" x14ac:dyDescent="0.25">
      <c r="B3" s="120"/>
      <c r="C3" s="121"/>
      <c r="D3" s="121"/>
      <c r="E3" s="117"/>
      <c r="F3" s="118"/>
      <c r="G3" s="119"/>
      <c r="H3" s="117"/>
      <c r="I3" s="117"/>
    </row>
    <row r="4" spans="2:9" x14ac:dyDescent="0.25">
      <c r="B4" s="122" t="s">
        <v>718</v>
      </c>
      <c r="C4" s="123" t="s">
        <v>719</v>
      </c>
      <c r="D4" s="124"/>
      <c r="E4" s="124"/>
      <c r="F4" s="125"/>
      <c r="G4" s="119"/>
      <c r="H4" s="124"/>
      <c r="I4" s="124"/>
    </row>
    <row r="5" spans="2:9" x14ac:dyDescent="0.25">
      <c r="B5" s="122" t="s">
        <v>720</v>
      </c>
      <c r="C5" s="123" t="s">
        <v>721</v>
      </c>
      <c r="D5" s="126"/>
      <c r="E5" s="124"/>
      <c r="F5" s="125"/>
      <c r="G5" s="119"/>
      <c r="H5" s="124"/>
      <c r="I5" s="124"/>
    </row>
    <row r="6" spans="2:9" ht="17.25" thickBot="1" x14ac:dyDescent="0.3">
      <c r="B6" s="127" t="s">
        <v>722</v>
      </c>
      <c r="C6" s="128" t="s">
        <v>723</v>
      </c>
      <c r="D6" s="129"/>
      <c r="E6" s="130"/>
      <c r="F6" s="130"/>
      <c r="G6" s="130"/>
      <c r="H6" s="145" t="s">
        <v>724</v>
      </c>
      <c r="I6" s="146" t="s">
        <v>2177</v>
      </c>
    </row>
    <row r="7" spans="2:9" x14ac:dyDescent="0.25">
      <c r="B7" s="110" t="s">
        <v>2</v>
      </c>
      <c r="C7" s="110" t="s">
        <v>3</v>
      </c>
      <c r="D7" s="110" t="s">
        <v>0</v>
      </c>
      <c r="E7" s="111" t="s">
        <v>4</v>
      </c>
      <c r="F7" s="111" t="s">
        <v>5</v>
      </c>
      <c r="G7" s="111" t="s">
        <v>6</v>
      </c>
      <c r="H7" s="111" t="s">
        <v>7</v>
      </c>
      <c r="I7" s="111" t="s">
        <v>8</v>
      </c>
    </row>
    <row r="8" spans="2:9" x14ac:dyDescent="0.25">
      <c r="B8" s="148" t="s">
        <v>9</v>
      </c>
      <c r="C8" s="148" t="s">
        <v>2119</v>
      </c>
      <c r="D8" s="149"/>
      <c r="E8" s="149"/>
      <c r="F8" s="149"/>
      <c r="G8" s="150">
        <v>279180</v>
      </c>
      <c r="H8" s="149"/>
      <c r="I8" s="150">
        <v>0</v>
      </c>
    </row>
    <row r="9" spans="2:9" x14ac:dyDescent="0.25">
      <c r="B9" s="153" t="s">
        <v>11</v>
      </c>
      <c r="C9" s="153" t="s">
        <v>2120</v>
      </c>
      <c r="D9" s="153" t="s">
        <v>53</v>
      </c>
      <c r="E9" s="154">
        <v>108</v>
      </c>
      <c r="F9" s="154">
        <v>2585</v>
      </c>
      <c r="G9" s="154">
        <v>279180</v>
      </c>
      <c r="H9" s="154">
        <v>0</v>
      </c>
      <c r="I9" s="154">
        <v>0</v>
      </c>
    </row>
  </sheetData>
  <mergeCells count="1">
    <mergeCell ref="B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1A80-1124-4CFD-8898-71FA4EE2086E}">
  <dimension ref="A1:AC992"/>
  <sheetViews>
    <sheetView topLeftCell="A34" zoomScale="90" zoomScaleNormal="90" workbookViewId="0">
      <selection activeCell="B79" sqref="B79"/>
    </sheetView>
  </sheetViews>
  <sheetFormatPr defaultColWidth="14.42578125" defaultRowHeight="15" x14ac:dyDescent="0.25"/>
  <cols>
    <col min="1" max="1" width="2.42578125" customWidth="1"/>
    <col min="2" max="2" width="52.85546875" style="6" customWidth="1"/>
    <col min="3" max="3" width="17.140625" style="6" customWidth="1"/>
    <col min="4" max="4" width="15.42578125" style="6" customWidth="1"/>
    <col min="5" max="5" width="6.42578125" style="6" bestFit="1" customWidth="1"/>
    <col min="6" max="6" width="16.7109375" style="6" customWidth="1"/>
    <col min="7" max="7" width="14.28515625" style="6" bestFit="1" customWidth="1"/>
    <col min="8" max="8" width="12.140625" style="6" customWidth="1"/>
    <col min="9" max="9" width="8.28515625" style="6" customWidth="1"/>
    <col min="10" max="10" width="9" style="6" customWidth="1"/>
    <col min="11" max="11" width="8.5703125" style="7" customWidth="1"/>
    <col min="12" max="28" width="5.5703125" style="7" customWidth="1"/>
  </cols>
  <sheetData>
    <row r="1" spans="1:28" ht="12.75" customHeight="1" x14ac:dyDescent="0.25">
      <c r="A1" s="2"/>
      <c r="B1" s="3"/>
      <c r="C1" s="3"/>
      <c r="D1" s="3"/>
      <c r="E1" s="4"/>
      <c r="F1" s="3"/>
      <c r="G1" s="4"/>
      <c r="H1" s="4"/>
      <c r="I1" s="5"/>
    </row>
    <row r="2" spans="1:28" ht="12.75" customHeight="1" x14ac:dyDescent="0.25">
      <c r="A2" s="8"/>
      <c r="B2" s="3"/>
      <c r="C2" s="3"/>
      <c r="D2" s="3"/>
      <c r="E2" s="3"/>
      <c r="F2" s="3"/>
      <c r="G2" s="3"/>
      <c r="H2" s="3"/>
      <c r="I2" s="3"/>
    </row>
    <row r="3" spans="1:28" ht="12.75" customHeight="1" x14ac:dyDescent="0.25">
      <c r="A3" s="8"/>
      <c r="B3" s="3" t="s">
        <v>412</v>
      </c>
      <c r="C3" s="3"/>
      <c r="D3" s="4"/>
      <c r="E3" s="3"/>
      <c r="F3" s="4"/>
      <c r="G3" s="3"/>
      <c r="H3" s="3"/>
      <c r="I3" s="3"/>
    </row>
    <row r="4" spans="1:28" ht="12.75" customHeight="1" x14ac:dyDescent="0.25">
      <c r="A4" s="8"/>
      <c r="B4" s="3" t="s">
        <v>413</v>
      </c>
      <c r="C4" s="3"/>
      <c r="D4" s="3"/>
      <c r="E4" s="3"/>
      <c r="F4" s="3"/>
      <c r="G4" s="3"/>
      <c r="H4" s="3"/>
      <c r="I4" s="3"/>
    </row>
    <row r="5" spans="1:28" ht="12.75" customHeight="1" x14ac:dyDescent="0.25">
      <c r="A5" s="8"/>
      <c r="B5" s="3" t="s">
        <v>414</v>
      </c>
      <c r="C5" s="3"/>
      <c r="D5" s="3"/>
      <c r="E5" s="3"/>
      <c r="F5" s="4"/>
      <c r="G5" s="4"/>
      <c r="H5" s="3"/>
      <c r="I5" s="3"/>
    </row>
    <row r="6" spans="1:28" ht="12.75" customHeight="1" x14ac:dyDescent="0.25">
      <c r="A6" s="8"/>
      <c r="B6" s="3"/>
      <c r="C6" s="9"/>
      <c r="D6" s="3"/>
      <c r="E6" s="4"/>
      <c r="F6" s="10"/>
      <c r="G6" s="3"/>
      <c r="H6" s="5"/>
      <c r="I6" s="5"/>
    </row>
    <row r="7" spans="1:28" x14ac:dyDescent="0.25">
      <c r="A7" s="8"/>
      <c r="B7" s="192" t="s">
        <v>415</v>
      </c>
      <c r="C7" s="193"/>
      <c r="D7" s="193"/>
      <c r="E7" s="193"/>
      <c r="F7" s="193"/>
      <c r="G7" s="193"/>
      <c r="H7" s="194"/>
      <c r="I7" s="3"/>
    </row>
    <row r="8" spans="1:28" s="18" customFormat="1" ht="26.25" customHeight="1" x14ac:dyDescent="0.25">
      <c r="A8" s="11"/>
      <c r="B8" s="12" t="s">
        <v>3</v>
      </c>
      <c r="C8" s="13" t="s">
        <v>416</v>
      </c>
      <c r="D8" s="14" t="s">
        <v>417</v>
      </c>
      <c r="E8" s="13" t="s">
        <v>418</v>
      </c>
      <c r="F8" s="13" t="s">
        <v>419</v>
      </c>
      <c r="G8" s="13" t="s">
        <v>420</v>
      </c>
      <c r="H8" s="15" t="s">
        <v>421</v>
      </c>
      <c r="I8" s="16"/>
      <c r="J8" s="17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6"/>
    </row>
    <row r="9" spans="1:28" ht="12.75" customHeight="1" x14ac:dyDescent="0.25">
      <c r="A9" s="8"/>
      <c r="B9" s="19" t="s">
        <v>422</v>
      </c>
      <c r="C9" s="20"/>
      <c r="D9" s="21"/>
      <c r="E9" s="20"/>
      <c r="F9" s="21"/>
      <c r="G9" s="21"/>
      <c r="H9" s="22"/>
      <c r="I9" s="23"/>
      <c r="J9" s="23"/>
      <c r="K9" s="24">
        <v>1</v>
      </c>
      <c r="L9" s="24">
        <v>2</v>
      </c>
      <c r="M9" s="24">
        <v>3</v>
      </c>
      <c r="N9" s="24">
        <v>4</v>
      </c>
      <c r="O9" s="24">
        <v>5</v>
      </c>
      <c r="P9" s="24">
        <v>6</v>
      </c>
      <c r="Q9" s="24">
        <v>7</v>
      </c>
      <c r="R9" s="24">
        <v>8</v>
      </c>
      <c r="S9" s="24">
        <v>9</v>
      </c>
      <c r="T9" s="24">
        <v>10</v>
      </c>
      <c r="U9" s="24">
        <v>11</v>
      </c>
      <c r="V9" s="108">
        <v>12</v>
      </c>
      <c r="W9" s="108">
        <v>13</v>
      </c>
      <c r="X9" s="131">
        <v>14</v>
      </c>
      <c r="Y9" s="131">
        <v>15</v>
      </c>
      <c r="Z9" s="131">
        <v>16</v>
      </c>
      <c r="AA9" s="131">
        <v>17</v>
      </c>
      <c r="AB9" s="131">
        <v>18</v>
      </c>
    </row>
    <row r="10" spans="1:28" ht="12.75" customHeight="1" x14ac:dyDescent="0.25">
      <c r="A10" s="8"/>
      <c r="B10" s="25" t="s">
        <v>423</v>
      </c>
      <c r="C10" s="26"/>
      <c r="D10" s="27"/>
      <c r="E10" s="26"/>
      <c r="F10" s="28"/>
      <c r="G10" s="28"/>
      <c r="H10" s="29"/>
      <c r="I10" s="4"/>
      <c r="J10" s="4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8" ht="12.75" customHeight="1" x14ac:dyDescent="0.25">
      <c r="A11" s="8"/>
      <c r="B11" s="31" t="s">
        <v>424</v>
      </c>
      <c r="C11" s="32">
        <f t="shared" ref="C11:C27" si="0">SUM(K11:AB11)</f>
        <v>17.5</v>
      </c>
      <c r="D11" s="33">
        <v>0.2</v>
      </c>
      <c r="E11" s="34" t="s">
        <v>425</v>
      </c>
      <c r="F11" s="35">
        <v>80000</v>
      </c>
      <c r="G11" s="36">
        <f>+C11*D11*F11</f>
        <v>280000</v>
      </c>
      <c r="H11" s="37">
        <f t="shared" ref="H11:H28" si="1">+G11/G$59</f>
        <v>0.12392643195885643</v>
      </c>
      <c r="I11" s="4"/>
      <c r="J11" s="4"/>
      <c r="K11" s="38">
        <v>1</v>
      </c>
      <c r="L11" s="38">
        <v>1</v>
      </c>
      <c r="M11" s="38">
        <v>1</v>
      </c>
      <c r="N11" s="38">
        <v>1</v>
      </c>
      <c r="O11" s="38">
        <v>1</v>
      </c>
      <c r="P11" s="38">
        <v>1</v>
      </c>
      <c r="Q11" s="38">
        <v>1</v>
      </c>
      <c r="R11" s="38">
        <v>1</v>
      </c>
      <c r="S11" s="38">
        <v>1</v>
      </c>
      <c r="T11" s="38">
        <v>1</v>
      </c>
      <c r="U11" s="38">
        <v>1</v>
      </c>
      <c r="V11" s="38">
        <v>1</v>
      </c>
      <c r="W11" s="38">
        <v>1</v>
      </c>
      <c r="X11" s="38">
        <v>1</v>
      </c>
      <c r="Y11" s="38">
        <v>1</v>
      </c>
      <c r="Z11" s="38">
        <v>1</v>
      </c>
      <c r="AA11" s="38">
        <v>1</v>
      </c>
      <c r="AB11" s="38">
        <v>0.5</v>
      </c>
    </row>
    <row r="12" spans="1:28" ht="12.75" customHeight="1" x14ac:dyDescent="0.25">
      <c r="A12" s="8"/>
      <c r="B12" s="31" t="s">
        <v>426</v>
      </c>
      <c r="C12" s="32">
        <f t="shared" si="0"/>
        <v>17.5</v>
      </c>
      <c r="D12" s="39">
        <v>0.2</v>
      </c>
      <c r="E12" s="34" t="s">
        <v>425</v>
      </c>
      <c r="F12" s="35">
        <v>19500</v>
      </c>
      <c r="G12" s="36">
        <f t="shared" ref="G12:G25" si="2">+C12*D12*F12</f>
        <v>68250</v>
      </c>
      <c r="H12" s="37">
        <f t="shared" si="1"/>
        <v>3.0207067789971252E-2</v>
      </c>
      <c r="I12" s="4"/>
      <c r="J12" s="4"/>
      <c r="K12" s="38">
        <v>1</v>
      </c>
      <c r="L12" s="38">
        <v>1</v>
      </c>
      <c r="M12" s="38">
        <v>1</v>
      </c>
      <c r="N12" s="38">
        <v>1</v>
      </c>
      <c r="O12" s="38">
        <v>1</v>
      </c>
      <c r="P12" s="38">
        <v>1</v>
      </c>
      <c r="Q12" s="38">
        <v>1</v>
      </c>
      <c r="R12" s="38">
        <v>1</v>
      </c>
      <c r="S12" s="38">
        <v>1</v>
      </c>
      <c r="T12" s="38">
        <v>1</v>
      </c>
      <c r="U12" s="38">
        <v>1</v>
      </c>
      <c r="V12" s="38">
        <v>1</v>
      </c>
      <c r="W12" s="38">
        <v>1</v>
      </c>
      <c r="X12" s="38">
        <v>1</v>
      </c>
      <c r="Y12" s="38">
        <v>1</v>
      </c>
      <c r="Z12" s="38">
        <v>1</v>
      </c>
      <c r="AA12" s="38">
        <v>1</v>
      </c>
      <c r="AB12" s="38">
        <v>0.5</v>
      </c>
    </row>
    <row r="13" spans="1:28" ht="12.75" customHeight="1" x14ac:dyDescent="0.25">
      <c r="A13" s="8"/>
      <c r="B13" s="31" t="s">
        <v>427</v>
      </c>
      <c r="C13" s="32">
        <f t="shared" si="0"/>
        <v>17.5</v>
      </c>
      <c r="D13" s="39">
        <v>1</v>
      </c>
      <c r="E13" s="34" t="s">
        <v>425</v>
      </c>
      <c r="F13" s="35">
        <v>18750</v>
      </c>
      <c r="G13" s="36">
        <f t="shared" si="2"/>
        <v>328125</v>
      </c>
      <c r="H13" s="37">
        <f t="shared" si="1"/>
        <v>0.14522628745178487</v>
      </c>
      <c r="I13" s="4"/>
      <c r="J13" s="4"/>
      <c r="K13" s="38">
        <v>1</v>
      </c>
      <c r="L13" s="38">
        <v>1</v>
      </c>
      <c r="M13" s="38">
        <v>1</v>
      </c>
      <c r="N13" s="38">
        <v>1</v>
      </c>
      <c r="O13" s="38">
        <v>1</v>
      </c>
      <c r="P13" s="38">
        <v>1</v>
      </c>
      <c r="Q13" s="38">
        <v>1</v>
      </c>
      <c r="R13" s="38">
        <v>1</v>
      </c>
      <c r="S13" s="38">
        <v>1</v>
      </c>
      <c r="T13" s="38">
        <v>1</v>
      </c>
      <c r="U13" s="38">
        <v>1</v>
      </c>
      <c r="V13" s="38">
        <v>1</v>
      </c>
      <c r="W13" s="38">
        <v>1</v>
      </c>
      <c r="X13" s="38">
        <v>1</v>
      </c>
      <c r="Y13" s="38">
        <v>1</v>
      </c>
      <c r="Z13" s="38">
        <v>1</v>
      </c>
      <c r="AA13" s="38">
        <v>1</v>
      </c>
      <c r="AB13" s="38">
        <v>0.5</v>
      </c>
    </row>
    <row r="14" spans="1:28" ht="12.75" customHeight="1" x14ac:dyDescent="0.25">
      <c r="A14" s="8"/>
      <c r="B14" s="31" t="s">
        <v>428</v>
      </c>
      <c r="C14" s="32">
        <f t="shared" si="0"/>
        <v>17.5</v>
      </c>
      <c r="D14" s="39">
        <v>1</v>
      </c>
      <c r="E14" s="34" t="s">
        <v>425</v>
      </c>
      <c r="F14" s="35">
        <v>9750</v>
      </c>
      <c r="G14" s="36">
        <f t="shared" si="2"/>
        <v>170625</v>
      </c>
      <c r="H14" s="37">
        <f t="shared" si="1"/>
        <v>7.5517669474928134E-2</v>
      </c>
      <c r="I14" s="4"/>
      <c r="J14" s="4"/>
      <c r="K14" s="38">
        <v>1</v>
      </c>
      <c r="L14" s="38">
        <v>1</v>
      </c>
      <c r="M14" s="38">
        <v>1</v>
      </c>
      <c r="N14" s="38">
        <v>1</v>
      </c>
      <c r="O14" s="38">
        <v>1</v>
      </c>
      <c r="P14" s="38">
        <v>1</v>
      </c>
      <c r="Q14" s="38">
        <v>1</v>
      </c>
      <c r="R14" s="38">
        <v>1</v>
      </c>
      <c r="S14" s="38">
        <v>1</v>
      </c>
      <c r="T14" s="38">
        <v>1</v>
      </c>
      <c r="U14" s="38">
        <v>1</v>
      </c>
      <c r="V14" s="38">
        <v>1</v>
      </c>
      <c r="W14" s="38">
        <v>1</v>
      </c>
      <c r="X14" s="38">
        <v>1</v>
      </c>
      <c r="Y14" s="38">
        <v>1</v>
      </c>
      <c r="Z14" s="38">
        <v>1</v>
      </c>
      <c r="AA14" s="38">
        <v>1</v>
      </c>
      <c r="AB14" s="38">
        <v>0.5</v>
      </c>
    </row>
    <row r="15" spans="1:28" ht="12.75" customHeight="1" x14ac:dyDescent="0.25">
      <c r="A15" s="8"/>
      <c r="B15" s="31" t="s">
        <v>429</v>
      </c>
      <c r="C15" s="32">
        <f t="shared" si="0"/>
        <v>8</v>
      </c>
      <c r="D15" s="39">
        <v>1</v>
      </c>
      <c r="E15" s="34" t="s">
        <v>425</v>
      </c>
      <c r="F15" s="35">
        <v>3900</v>
      </c>
      <c r="G15" s="36">
        <f t="shared" si="2"/>
        <v>31200</v>
      </c>
      <c r="H15" s="37">
        <f t="shared" si="1"/>
        <v>1.380894527541543E-2</v>
      </c>
      <c r="I15" s="4"/>
      <c r="J15" s="4"/>
      <c r="K15" s="4"/>
      <c r="L15" s="4"/>
      <c r="M15" s="4"/>
      <c r="N15" s="4"/>
      <c r="O15" s="4"/>
      <c r="P15" s="38">
        <v>1</v>
      </c>
      <c r="Q15" s="38">
        <v>1</v>
      </c>
      <c r="R15" s="38">
        <v>1</v>
      </c>
      <c r="S15" s="38">
        <v>1</v>
      </c>
      <c r="T15" s="38">
        <v>1</v>
      </c>
      <c r="U15" s="38">
        <v>1</v>
      </c>
      <c r="V15" s="38">
        <v>1</v>
      </c>
      <c r="W15" s="38">
        <v>1</v>
      </c>
      <c r="X15"/>
      <c r="Y15"/>
      <c r="Z15"/>
      <c r="AA15"/>
      <c r="AB15"/>
    </row>
    <row r="16" spans="1:28" ht="12.75" customHeight="1" x14ac:dyDescent="0.25">
      <c r="A16" s="8"/>
      <c r="B16" s="31" t="s">
        <v>430</v>
      </c>
      <c r="C16" s="32">
        <f t="shared" si="0"/>
        <v>0</v>
      </c>
      <c r="D16" s="39">
        <v>0.2</v>
      </c>
      <c r="E16" s="34" t="s">
        <v>425</v>
      </c>
      <c r="F16" s="35">
        <v>9750</v>
      </c>
      <c r="G16" s="36">
        <f t="shared" si="2"/>
        <v>0</v>
      </c>
      <c r="H16" s="37">
        <f t="shared" si="1"/>
        <v>0</v>
      </c>
      <c r="I16" s="4"/>
      <c r="J16" s="4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spans="1:29" ht="12.75" customHeight="1" x14ac:dyDescent="0.25">
      <c r="A17" s="8"/>
      <c r="B17" s="31" t="s">
        <v>431</v>
      </c>
      <c r="C17" s="32">
        <f t="shared" si="0"/>
        <v>10.5</v>
      </c>
      <c r="D17" s="39">
        <v>1</v>
      </c>
      <c r="E17" s="34" t="s">
        <v>425</v>
      </c>
      <c r="F17" s="35">
        <v>9750</v>
      </c>
      <c r="G17" s="36">
        <f t="shared" si="2"/>
        <v>102375</v>
      </c>
      <c r="H17" s="37">
        <f t="shared" si="1"/>
        <v>4.5310601684956882E-2</v>
      </c>
      <c r="I17" s="4"/>
      <c r="J17" s="4"/>
      <c r="K17" s="30"/>
      <c r="L17" s="30"/>
      <c r="M17" s="30"/>
      <c r="N17" s="30"/>
      <c r="O17" s="30"/>
      <c r="P17" s="30"/>
      <c r="Q17" s="30"/>
      <c r="R17" s="41">
        <v>1</v>
      </c>
      <c r="S17" s="41">
        <v>1</v>
      </c>
      <c r="T17" s="41">
        <v>1</v>
      </c>
      <c r="U17" s="41">
        <v>1</v>
      </c>
      <c r="V17" s="41">
        <v>1</v>
      </c>
      <c r="W17" s="41">
        <v>1</v>
      </c>
      <c r="X17" s="41">
        <v>1</v>
      </c>
      <c r="Y17" s="41">
        <v>1</v>
      </c>
      <c r="Z17" s="41">
        <v>1</v>
      </c>
      <c r="AA17" s="41">
        <v>1</v>
      </c>
      <c r="AB17" s="38">
        <v>0.5</v>
      </c>
    </row>
    <row r="18" spans="1:29" ht="12.75" customHeight="1" x14ac:dyDescent="0.25">
      <c r="A18" s="8"/>
      <c r="B18" s="31" t="s">
        <v>459</v>
      </c>
      <c r="C18" s="32">
        <f t="shared" si="0"/>
        <v>8.5</v>
      </c>
      <c r="D18" s="39">
        <v>1</v>
      </c>
      <c r="E18" s="34" t="s">
        <v>425</v>
      </c>
      <c r="F18" s="35">
        <v>3900</v>
      </c>
      <c r="G18" s="36">
        <f t="shared" si="2"/>
        <v>33150</v>
      </c>
      <c r="H18" s="37">
        <f t="shared" si="1"/>
        <v>1.4672004355128894E-2</v>
      </c>
      <c r="I18" s="4"/>
      <c r="J18" s="4"/>
      <c r="K18" s="42"/>
      <c r="L18" s="42"/>
      <c r="M18" s="42"/>
      <c r="N18" s="42"/>
      <c r="O18" s="42"/>
      <c r="P18" s="42"/>
      <c r="Q18" s="42"/>
      <c r="R18" s="42"/>
      <c r="S18" s="42"/>
      <c r="T18" s="43">
        <v>1</v>
      </c>
      <c r="U18" s="43">
        <v>1</v>
      </c>
      <c r="V18" s="43">
        <v>1</v>
      </c>
      <c r="W18" s="43">
        <v>1</v>
      </c>
      <c r="X18" s="43">
        <v>1</v>
      </c>
      <c r="Y18" s="43">
        <v>1</v>
      </c>
      <c r="Z18" s="43">
        <v>1</v>
      </c>
      <c r="AA18" s="43">
        <v>1</v>
      </c>
      <c r="AB18" s="38">
        <v>0.5</v>
      </c>
    </row>
    <row r="19" spans="1:29" ht="12.75" customHeight="1" x14ac:dyDescent="0.25">
      <c r="A19" s="8"/>
      <c r="B19" s="31" t="s">
        <v>460</v>
      </c>
      <c r="C19" s="32">
        <f t="shared" ref="C19" si="3">SUM(K19:AB19)</f>
        <v>4.5</v>
      </c>
      <c r="D19" s="39">
        <v>1</v>
      </c>
      <c r="E19" s="34" t="s">
        <v>425</v>
      </c>
      <c r="F19" s="35">
        <v>3900</v>
      </c>
      <c r="G19" s="36">
        <f t="shared" ref="G19" si="4">+C19*D19*F19</f>
        <v>17550</v>
      </c>
      <c r="H19" s="37">
        <f t="shared" si="1"/>
        <v>7.7675317174211791E-3</v>
      </c>
      <c r="I19" s="4"/>
      <c r="J19" s="4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3">
        <v>1</v>
      </c>
      <c r="Y19" s="43">
        <v>1</v>
      </c>
      <c r="Z19" s="43">
        <v>1</v>
      </c>
      <c r="AA19" s="43">
        <v>1</v>
      </c>
      <c r="AB19" s="38">
        <v>0.5</v>
      </c>
    </row>
    <row r="20" spans="1:29" ht="12.75" customHeight="1" x14ac:dyDescent="0.25">
      <c r="A20" s="8"/>
      <c r="B20" s="31" t="s">
        <v>432</v>
      </c>
      <c r="C20" s="32">
        <f t="shared" si="0"/>
        <v>12.5</v>
      </c>
      <c r="D20" s="39">
        <v>1</v>
      </c>
      <c r="E20" s="34" t="s">
        <v>425</v>
      </c>
      <c r="F20" s="35">
        <v>4500</v>
      </c>
      <c r="G20" s="36">
        <f t="shared" si="2"/>
        <v>56250</v>
      </c>
      <c r="H20" s="37">
        <f t="shared" si="1"/>
        <v>2.489593499173455E-2</v>
      </c>
      <c r="I20" s="4"/>
      <c r="J20" s="4"/>
      <c r="K20" s="42"/>
      <c r="L20" s="42"/>
      <c r="M20" s="42"/>
      <c r="N20" s="42"/>
      <c r="O20" s="42"/>
      <c r="P20" s="38">
        <v>1</v>
      </c>
      <c r="Q20" s="38">
        <v>1</v>
      </c>
      <c r="R20" s="38">
        <v>1</v>
      </c>
      <c r="S20" s="38">
        <v>1</v>
      </c>
      <c r="T20" s="38">
        <v>1</v>
      </c>
      <c r="U20" s="38">
        <v>1</v>
      </c>
      <c r="V20" s="38">
        <v>1</v>
      </c>
      <c r="W20" s="38">
        <v>1</v>
      </c>
      <c r="X20" s="38">
        <v>1</v>
      </c>
      <c r="Y20" s="38">
        <v>1</v>
      </c>
      <c r="Z20" s="38">
        <v>1</v>
      </c>
      <c r="AA20" s="38">
        <v>1</v>
      </c>
      <c r="AB20" s="38">
        <v>0.5</v>
      </c>
    </row>
    <row r="21" spans="1:29" ht="12.75" customHeight="1" x14ac:dyDescent="0.25">
      <c r="A21" s="8"/>
      <c r="B21" s="31" t="s">
        <v>433</v>
      </c>
      <c r="C21" s="32">
        <f t="shared" si="0"/>
        <v>17.5</v>
      </c>
      <c r="D21" s="39">
        <v>1</v>
      </c>
      <c r="E21" s="34" t="s">
        <v>425</v>
      </c>
      <c r="F21" s="35">
        <v>9750</v>
      </c>
      <c r="G21" s="36">
        <f t="shared" si="2"/>
        <v>170625</v>
      </c>
      <c r="H21" s="37">
        <f t="shared" si="1"/>
        <v>7.5517669474928134E-2</v>
      </c>
      <c r="I21" s="4"/>
      <c r="J21" s="4"/>
      <c r="K21" s="38">
        <v>1</v>
      </c>
      <c r="L21" s="38">
        <v>1</v>
      </c>
      <c r="M21" s="38">
        <v>1</v>
      </c>
      <c r="N21" s="38">
        <v>1</v>
      </c>
      <c r="O21" s="38">
        <v>1</v>
      </c>
      <c r="P21" s="38">
        <v>1</v>
      </c>
      <c r="Q21" s="38">
        <v>1</v>
      </c>
      <c r="R21" s="38">
        <v>1</v>
      </c>
      <c r="S21" s="38">
        <v>1</v>
      </c>
      <c r="T21" s="38">
        <v>1</v>
      </c>
      <c r="U21" s="38">
        <v>1</v>
      </c>
      <c r="V21" s="38">
        <v>1</v>
      </c>
      <c r="W21" s="38">
        <v>1</v>
      </c>
      <c r="X21" s="38">
        <v>1</v>
      </c>
      <c r="Y21" s="38">
        <v>1</v>
      </c>
      <c r="Z21" s="38">
        <v>1</v>
      </c>
      <c r="AA21" s="38">
        <v>1</v>
      </c>
      <c r="AB21" s="38">
        <v>0.5</v>
      </c>
    </row>
    <row r="22" spans="1:29" ht="12.75" customHeight="1" x14ac:dyDescent="0.25">
      <c r="A22" s="8"/>
      <c r="B22" s="31" t="s">
        <v>434</v>
      </c>
      <c r="C22" s="32">
        <f t="shared" si="0"/>
        <v>12.5</v>
      </c>
      <c r="D22" s="39">
        <v>1</v>
      </c>
      <c r="E22" s="34" t="s">
        <v>425</v>
      </c>
      <c r="F22" s="35">
        <v>3900</v>
      </c>
      <c r="G22" s="36">
        <f t="shared" si="2"/>
        <v>48750</v>
      </c>
      <c r="H22" s="37">
        <f t="shared" si="1"/>
        <v>2.1576476992836609E-2</v>
      </c>
      <c r="I22" s="4"/>
      <c r="J22" s="4"/>
      <c r="K22" s="40"/>
      <c r="L22" s="40"/>
      <c r="M22" s="40"/>
      <c r="N22" s="40"/>
      <c r="O22" s="40"/>
      <c r="P22" s="38">
        <v>1</v>
      </c>
      <c r="Q22" s="38">
        <v>1</v>
      </c>
      <c r="R22" s="38">
        <v>1</v>
      </c>
      <c r="S22" s="38">
        <v>1</v>
      </c>
      <c r="T22" s="38">
        <v>1</v>
      </c>
      <c r="U22" s="38">
        <v>1</v>
      </c>
      <c r="V22" s="38">
        <v>1</v>
      </c>
      <c r="W22" s="38">
        <v>1</v>
      </c>
      <c r="X22" s="38">
        <v>1</v>
      </c>
      <c r="Y22" s="38">
        <v>1</v>
      </c>
      <c r="Z22" s="38">
        <v>1</v>
      </c>
      <c r="AA22" s="38">
        <v>1</v>
      </c>
      <c r="AB22" s="38">
        <v>0.5</v>
      </c>
    </row>
    <row r="23" spans="1:29" ht="12.75" customHeight="1" x14ac:dyDescent="0.25">
      <c r="A23" s="8"/>
      <c r="B23" s="31" t="s">
        <v>435</v>
      </c>
      <c r="C23" s="32">
        <f t="shared" si="0"/>
        <v>3</v>
      </c>
      <c r="D23" s="39">
        <v>1</v>
      </c>
      <c r="E23" s="34" t="s">
        <v>425</v>
      </c>
      <c r="F23" s="35">
        <v>9000</v>
      </c>
      <c r="G23" s="36">
        <f t="shared" si="2"/>
        <v>27000</v>
      </c>
      <c r="H23" s="37">
        <f t="shared" si="1"/>
        <v>1.1950048796032583E-2</v>
      </c>
      <c r="I23" s="4"/>
      <c r="J23" s="4"/>
      <c r="K23" s="38">
        <v>1</v>
      </c>
      <c r="L23" s="38">
        <v>1</v>
      </c>
      <c r="M23" s="38">
        <v>1</v>
      </c>
    </row>
    <row r="24" spans="1:29" ht="12.75" customHeight="1" x14ac:dyDescent="0.25">
      <c r="A24" s="8"/>
      <c r="B24" s="31" t="s">
        <v>436</v>
      </c>
      <c r="C24" s="32">
        <f t="shared" si="0"/>
        <v>12.5</v>
      </c>
      <c r="D24" s="39">
        <v>1</v>
      </c>
      <c r="E24" s="34" t="s">
        <v>425</v>
      </c>
      <c r="F24" s="35">
        <v>9000</v>
      </c>
      <c r="G24" s="36">
        <f t="shared" si="2"/>
        <v>112500</v>
      </c>
      <c r="H24" s="37">
        <f t="shared" si="1"/>
        <v>4.97918699834691E-2</v>
      </c>
      <c r="I24" s="4"/>
      <c r="J24" s="4"/>
      <c r="K24" s="4"/>
      <c r="L24" s="4"/>
      <c r="M24" s="4"/>
      <c r="N24" s="4"/>
      <c r="O24" s="4"/>
      <c r="P24" s="38">
        <v>1</v>
      </c>
      <c r="Q24" s="38">
        <v>1</v>
      </c>
      <c r="R24" s="38">
        <v>1</v>
      </c>
      <c r="S24" s="38">
        <v>1</v>
      </c>
      <c r="T24" s="38">
        <v>1</v>
      </c>
      <c r="U24" s="38">
        <v>1</v>
      </c>
      <c r="V24" s="38">
        <v>1</v>
      </c>
      <c r="W24" s="38">
        <v>1</v>
      </c>
      <c r="X24" s="38">
        <v>1</v>
      </c>
      <c r="Y24" s="38">
        <v>1</v>
      </c>
      <c r="Z24" s="38">
        <v>1</v>
      </c>
      <c r="AA24" s="38">
        <v>1</v>
      </c>
      <c r="AB24" s="38">
        <v>0.5</v>
      </c>
    </row>
    <row r="25" spans="1:29" ht="12.75" customHeight="1" x14ac:dyDescent="0.25">
      <c r="A25" s="8"/>
      <c r="B25" s="31" t="s">
        <v>437</v>
      </c>
      <c r="C25" s="32">
        <f t="shared" si="0"/>
        <v>17.5</v>
      </c>
      <c r="D25" s="39">
        <v>1</v>
      </c>
      <c r="E25" s="34" t="s">
        <v>425</v>
      </c>
      <c r="F25" s="35">
        <v>5700</v>
      </c>
      <c r="G25" s="36">
        <f t="shared" si="2"/>
        <v>99750</v>
      </c>
      <c r="H25" s="37">
        <f t="shared" si="1"/>
        <v>4.4148791385342598E-2</v>
      </c>
      <c r="I25" s="4"/>
      <c r="J25" s="4"/>
      <c r="K25" s="38">
        <v>1</v>
      </c>
      <c r="L25" s="38">
        <v>1</v>
      </c>
      <c r="M25" s="38">
        <v>1</v>
      </c>
      <c r="N25" s="38">
        <v>1</v>
      </c>
      <c r="O25" s="38">
        <v>1</v>
      </c>
      <c r="P25" s="38">
        <v>1</v>
      </c>
      <c r="Q25" s="38">
        <v>1</v>
      </c>
      <c r="R25" s="38">
        <v>1</v>
      </c>
      <c r="S25" s="38">
        <v>1</v>
      </c>
      <c r="T25" s="38">
        <v>1</v>
      </c>
      <c r="U25" s="38">
        <v>1</v>
      </c>
      <c r="V25" s="38">
        <v>1</v>
      </c>
      <c r="W25" s="38">
        <v>1</v>
      </c>
      <c r="X25" s="38">
        <v>1</v>
      </c>
      <c r="Y25" s="38">
        <v>1</v>
      </c>
      <c r="Z25" s="38">
        <v>1</v>
      </c>
      <c r="AA25" s="38">
        <v>1</v>
      </c>
      <c r="AB25" s="38">
        <v>0.5</v>
      </c>
    </row>
    <row r="26" spans="1:29" ht="12.75" customHeight="1" x14ac:dyDescent="0.25">
      <c r="A26" s="8"/>
      <c r="B26" s="31" t="s">
        <v>438</v>
      </c>
      <c r="C26" s="32">
        <f t="shared" si="0"/>
        <v>17.5</v>
      </c>
      <c r="D26" s="39">
        <v>1</v>
      </c>
      <c r="E26" s="34" t="s">
        <v>425</v>
      </c>
      <c r="F26" s="35">
        <v>4500</v>
      </c>
      <c r="G26" s="36">
        <f>+C26*D26*F26</f>
        <v>78750</v>
      </c>
      <c r="H26" s="37">
        <f t="shared" si="1"/>
        <v>3.4854308988428367E-2</v>
      </c>
      <c r="I26" s="4"/>
      <c r="J26" s="4"/>
      <c r="K26" s="38">
        <v>1</v>
      </c>
      <c r="L26" s="38">
        <v>1</v>
      </c>
      <c r="M26" s="38">
        <v>1</v>
      </c>
      <c r="N26" s="38">
        <v>1</v>
      </c>
      <c r="O26" s="38">
        <v>1</v>
      </c>
      <c r="P26" s="38">
        <v>1</v>
      </c>
      <c r="Q26" s="38">
        <v>1</v>
      </c>
      <c r="R26" s="38">
        <v>1</v>
      </c>
      <c r="S26" s="38">
        <v>1</v>
      </c>
      <c r="T26" s="38">
        <v>1</v>
      </c>
      <c r="U26" s="38">
        <v>1</v>
      </c>
      <c r="V26" s="38">
        <v>1</v>
      </c>
      <c r="W26" s="38">
        <v>1</v>
      </c>
      <c r="X26" s="38">
        <v>1</v>
      </c>
      <c r="Y26" s="38">
        <v>1</v>
      </c>
      <c r="Z26" s="38">
        <v>1</v>
      </c>
      <c r="AA26" s="38">
        <v>1</v>
      </c>
      <c r="AB26" s="38">
        <v>0.5</v>
      </c>
    </row>
    <row r="27" spans="1:29" ht="12.75" customHeight="1" x14ac:dyDescent="0.25">
      <c r="A27" s="8"/>
      <c r="B27" s="162" t="s">
        <v>2121</v>
      </c>
      <c r="C27" s="32">
        <f t="shared" si="0"/>
        <v>12.5</v>
      </c>
      <c r="D27" s="39">
        <v>1</v>
      </c>
      <c r="E27" s="34" t="s">
        <v>425</v>
      </c>
      <c r="F27" s="35">
        <v>1500</v>
      </c>
      <c r="G27" s="36">
        <f>+C27*D27*F27</f>
        <v>18750</v>
      </c>
      <c r="H27" s="37">
        <f t="shared" si="1"/>
        <v>8.2986449972448501E-3</v>
      </c>
      <c r="I27" s="4"/>
      <c r="J27" s="4"/>
      <c r="K27" s="40"/>
      <c r="L27" s="40"/>
      <c r="M27" s="40"/>
      <c r="N27" s="40"/>
      <c r="O27" s="40"/>
      <c r="P27" s="38">
        <v>1</v>
      </c>
      <c r="Q27" s="38">
        <v>1</v>
      </c>
      <c r="R27" s="38">
        <v>1</v>
      </c>
      <c r="S27" s="38">
        <v>1</v>
      </c>
      <c r="T27" s="38">
        <v>1</v>
      </c>
      <c r="U27" s="38">
        <v>1</v>
      </c>
      <c r="V27" s="38">
        <v>1</v>
      </c>
      <c r="W27" s="38">
        <v>1</v>
      </c>
      <c r="X27" s="38">
        <v>1</v>
      </c>
      <c r="Y27" s="38">
        <v>1</v>
      </c>
      <c r="Z27" s="38">
        <v>1</v>
      </c>
      <c r="AA27" s="38">
        <v>1</v>
      </c>
      <c r="AB27" s="38">
        <v>0.5</v>
      </c>
    </row>
    <row r="28" spans="1:29" ht="12.75" customHeight="1" x14ac:dyDescent="0.25">
      <c r="A28" s="8"/>
      <c r="B28" s="45" t="s">
        <v>439</v>
      </c>
      <c r="C28" s="20"/>
      <c r="D28" s="21"/>
      <c r="E28" s="20"/>
      <c r="F28" s="46"/>
      <c r="G28" s="47">
        <f>SUM(G11:G27)</f>
        <v>1643650</v>
      </c>
      <c r="H28" s="48">
        <f t="shared" si="1"/>
        <v>0.7274702853184799</v>
      </c>
      <c r="I28" s="4"/>
      <c r="J28" s="4"/>
      <c r="AC28" s="49"/>
    </row>
    <row r="29" spans="1:29" ht="12.75" customHeight="1" x14ac:dyDescent="0.25">
      <c r="A29" s="8"/>
      <c r="B29" s="3"/>
      <c r="C29" s="3"/>
      <c r="D29" s="4"/>
      <c r="E29" s="3"/>
      <c r="F29" s="50"/>
      <c r="G29" s="4"/>
      <c r="H29" s="5"/>
      <c r="I29" s="4"/>
      <c r="J29" s="4"/>
      <c r="AC29" s="49"/>
    </row>
    <row r="30" spans="1:29" ht="12.75" customHeight="1" x14ac:dyDescent="0.25">
      <c r="A30" s="8"/>
      <c r="B30" s="19" t="s">
        <v>440</v>
      </c>
      <c r="C30" s="20"/>
      <c r="D30" s="21"/>
      <c r="E30" s="20"/>
      <c r="F30" s="51"/>
      <c r="G30" s="21"/>
      <c r="H30" s="22"/>
      <c r="I30" s="3"/>
      <c r="J30" s="4"/>
    </row>
    <row r="31" spans="1:29" ht="12.75" customHeight="1" x14ac:dyDescent="0.25">
      <c r="A31" s="8"/>
      <c r="B31" s="52" t="s">
        <v>441</v>
      </c>
      <c r="C31" s="53">
        <f>$C$11</f>
        <v>17.5</v>
      </c>
      <c r="D31" s="54">
        <v>1</v>
      </c>
      <c r="E31" s="26" t="s">
        <v>20</v>
      </c>
      <c r="F31" s="35">
        <v>400</v>
      </c>
      <c r="G31" s="36">
        <f>+C31*D31*F31</f>
        <v>7000</v>
      </c>
      <c r="H31" s="37">
        <f t="shared" ref="H31:H36" si="5">+G31/G$59</f>
        <v>3.0981607989714107E-3</v>
      </c>
      <c r="I31" s="3"/>
      <c r="J31" s="4"/>
      <c r="N31" s="55"/>
      <c r="O31" s="55"/>
      <c r="P31" s="55"/>
      <c r="Q31" s="55"/>
      <c r="R31" s="55"/>
      <c r="S31" s="55"/>
      <c r="AC31" s="56"/>
    </row>
    <row r="32" spans="1:29" ht="12.75" customHeight="1" x14ac:dyDescent="0.25">
      <c r="A32" s="8"/>
      <c r="B32" s="31" t="s">
        <v>442</v>
      </c>
      <c r="C32" s="53">
        <f>$C$11</f>
        <v>17.5</v>
      </c>
      <c r="D32" s="57">
        <v>12</v>
      </c>
      <c r="E32" s="58" t="s">
        <v>20</v>
      </c>
      <c r="F32" s="35">
        <v>80</v>
      </c>
      <c r="G32" s="36">
        <f>+C32*D32*F32</f>
        <v>16800</v>
      </c>
      <c r="H32" s="37">
        <f t="shared" si="5"/>
        <v>7.4355859175313857E-3</v>
      </c>
      <c r="I32" s="3"/>
      <c r="J32" s="4"/>
      <c r="S32" s="55"/>
      <c r="T32" s="55"/>
      <c r="U32" s="55"/>
    </row>
    <row r="33" spans="1:27" ht="12.75" customHeight="1" x14ac:dyDescent="0.25">
      <c r="A33" s="8"/>
      <c r="B33" s="31" t="s">
        <v>443</v>
      </c>
      <c r="C33" s="53">
        <f>$C$11</f>
        <v>17.5</v>
      </c>
      <c r="D33" s="57">
        <v>1</v>
      </c>
      <c r="E33" s="58" t="s">
        <v>20</v>
      </c>
      <c r="F33" s="35">
        <v>450</v>
      </c>
      <c r="G33" s="36">
        <f>+C33*D33*F33</f>
        <v>7875</v>
      </c>
      <c r="H33" s="37">
        <f t="shared" si="5"/>
        <v>3.4854308988428368E-3</v>
      </c>
      <c r="I33" s="3"/>
      <c r="J33" s="4"/>
      <c r="N33" s="55"/>
      <c r="O33" s="55"/>
      <c r="P33" s="55"/>
      <c r="Q33" s="55"/>
      <c r="R33" s="55"/>
      <c r="U33" s="55"/>
      <c r="V33" s="55"/>
      <c r="W33" s="55"/>
    </row>
    <row r="34" spans="1:27" ht="12.75" customHeight="1" x14ac:dyDescent="0.25">
      <c r="A34" s="8"/>
      <c r="B34" s="31" t="s">
        <v>444</v>
      </c>
      <c r="C34" s="53">
        <f>$C$11</f>
        <v>17.5</v>
      </c>
      <c r="D34" s="57">
        <v>1</v>
      </c>
      <c r="E34" s="58" t="s">
        <v>20</v>
      </c>
      <c r="F34" s="35">
        <v>300</v>
      </c>
      <c r="G34" s="36">
        <f>+C34*D34*F34</f>
        <v>5250</v>
      </c>
      <c r="H34" s="37">
        <f t="shared" si="5"/>
        <v>2.323620599228558E-3</v>
      </c>
      <c r="I34" s="3"/>
      <c r="J34" s="4"/>
      <c r="S34" s="55"/>
      <c r="T34" s="55"/>
      <c r="U34" s="55"/>
      <c r="W34" s="55"/>
      <c r="X34" s="55"/>
      <c r="Y34" s="55"/>
      <c r="Z34" s="55"/>
      <c r="AA34" s="55"/>
    </row>
    <row r="35" spans="1:27" ht="12.75" customHeight="1" x14ac:dyDescent="0.25">
      <c r="A35" s="8"/>
      <c r="B35" s="59" t="s">
        <v>445</v>
      </c>
      <c r="C35" s="53">
        <f>$C$11</f>
        <v>17.5</v>
      </c>
      <c r="D35" s="60">
        <v>1</v>
      </c>
      <c r="E35" s="61" t="s">
        <v>20</v>
      </c>
      <c r="F35" s="35">
        <v>500</v>
      </c>
      <c r="G35" s="36">
        <f>+C35*D35*F35</f>
        <v>8750</v>
      </c>
      <c r="H35" s="37">
        <f t="shared" si="5"/>
        <v>3.8727009987142634E-3</v>
      </c>
      <c r="I35" s="3"/>
      <c r="J35" s="4"/>
      <c r="V35" s="55"/>
      <c r="W35" s="55"/>
      <c r="X35" s="55"/>
      <c r="Y35" s="55"/>
      <c r="Z35" s="55"/>
      <c r="AA35" s="55"/>
    </row>
    <row r="36" spans="1:27" ht="12.75" customHeight="1" x14ac:dyDescent="0.25">
      <c r="A36" s="8"/>
      <c r="B36" s="45" t="s">
        <v>439</v>
      </c>
      <c r="C36" s="20"/>
      <c r="D36" s="21"/>
      <c r="E36" s="20"/>
      <c r="F36" s="46"/>
      <c r="G36" s="47">
        <f>SUM(G31:G35)</f>
        <v>45675</v>
      </c>
      <c r="H36" s="48">
        <f t="shared" si="5"/>
        <v>2.0215499213288454E-2</v>
      </c>
      <c r="I36" s="3"/>
      <c r="J36" s="4"/>
      <c r="X36" s="55"/>
      <c r="Y36" s="55"/>
      <c r="Z36" s="55"/>
      <c r="AA36" s="55"/>
    </row>
    <row r="37" spans="1:27" ht="12.75" customHeight="1" x14ac:dyDescent="0.25">
      <c r="A37" s="8"/>
      <c r="B37" s="3"/>
      <c r="C37" s="3"/>
      <c r="D37" s="4"/>
      <c r="E37" s="3"/>
      <c r="F37" s="50"/>
      <c r="G37" s="4"/>
      <c r="H37" s="5"/>
      <c r="I37" s="3"/>
      <c r="J37" s="4"/>
    </row>
    <row r="38" spans="1:27" ht="12.75" customHeight="1" x14ac:dyDescent="0.25">
      <c r="A38" s="8"/>
      <c r="B38" s="19" t="s">
        <v>446</v>
      </c>
      <c r="C38" s="20"/>
      <c r="D38" s="21"/>
      <c r="E38" s="20"/>
      <c r="F38" s="51"/>
      <c r="G38" s="21"/>
      <c r="H38" s="22"/>
      <c r="I38" s="3"/>
      <c r="J38" s="4"/>
    </row>
    <row r="39" spans="1:27" ht="12.75" customHeight="1" x14ac:dyDescent="0.25">
      <c r="A39" s="8"/>
      <c r="B39" s="62" t="s">
        <v>447</v>
      </c>
      <c r="C39" s="63">
        <f>$C$11</f>
        <v>17.5</v>
      </c>
      <c r="D39" s="64">
        <v>12</v>
      </c>
      <c r="E39" s="65" t="s">
        <v>20</v>
      </c>
      <c r="F39" s="35">
        <v>170</v>
      </c>
      <c r="G39" s="36">
        <f>+C39*D39*F39</f>
        <v>35700</v>
      </c>
      <c r="H39" s="37">
        <f>+G39/G$59</f>
        <v>1.5800620074754194E-2</v>
      </c>
      <c r="I39" s="3"/>
    </row>
    <row r="40" spans="1:27" ht="12.75" customHeight="1" x14ac:dyDescent="0.25">
      <c r="A40" s="8"/>
      <c r="B40" s="44" t="s">
        <v>448</v>
      </c>
      <c r="C40" s="63">
        <f>$C$11</f>
        <v>17.5</v>
      </c>
      <c r="D40" s="66">
        <v>1</v>
      </c>
      <c r="E40" s="67" t="s">
        <v>20</v>
      </c>
      <c r="F40" s="68">
        <v>800</v>
      </c>
      <c r="G40" s="36">
        <f>+C40*D40*F40</f>
        <v>14000</v>
      </c>
      <c r="H40" s="37">
        <f>+G40/G$59</f>
        <v>6.1963215979428214E-3</v>
      </c>
      <c r="I40" s="3"/>
    </row>
    <row r="41" spans="1:27" ht="12.75" customHeight="1" x14ac:dyDescent="0.25">
      <c r="A41" s="8"/>
      <c r="B41" s="45" t="s">
        <v>439</v>
      </c>
      <c r="C41" s="20"/>
      <c r="D41" s="21"/>
      <c r="E41" s="20"/>
      <c r="F41" s="46"/>
      <c r="G41" s="47">
        <f>SUM(G39:G40)</f>
        <v>49700</v>
      </c>
      <c r="H41" s="48">
        <f>SUM(H39:H40)</f>
        <v>2.1996941672697015E-2</v>
      </c>
      <c r="I41" s="3"/>
    </row>
    <row r="42" spans="1:27" ht="12.75" customHeight="1" x14ac:dyDescent="0.25">
      <c r="A42" s="8"/>
      <c r="B42" s="69"/>
      <c r="C42" s="3"/>
      <c r="D42" s="4"/>
      <c r="E42" s="3"/>
      <c r="F42" s="70"/>
      <c r="G42" s="71"/>
      <c r="H42" s="5"/>
      <c r="I42" s="3"/>
    </row>
    <row r="43" spans="1:27" ht="12.75" customHeight="1" x14ac:dyDescent="0.25">
      <c r="A43" s="8"/>
      <c r="B43" s="19" t="s">
        <v>449</v>
      </c>
      <c r="C43" s="72"/>
      <c r="D43" s="73"/>
      <c r="E43" s="72"/>
      <c r="F43" s="74"/>
      <c r="G43" s="73"/>
      <c r="H43" s="22"/>
      <c r="I43" s="3"/>
    </row>
    <row r="44" spans="1:27" ht="12.75" customHeight="1" x14ac:dyDescent="0.25">
      <c r="A44" s="8"/>
      <c r="B44" s="31" t="s">
        <v>450</v>
      </c>
      <c r="C44" s="58">
        <v>1</v>
      </c>
      <c r="D44" s="57">
        <v>208000</v>
      </c>
      <c r="E44" s="58" t="s">
        <v>15</v>
      </c>
      <c r="F44" s="35">
        <v>1</v>
      </c>
      <c r="G44" s="36">
        <f>+C44*D44*F44</f>
        <v>208000</v>
      </c>
      <c r="H44" s="37">
        <f>+G44/G$59</f>
        <v>9.2059635169436202E-2</v>
      </c>
      <c r="I44" s="183"/>
    </row>
    <row r="45" spans="1:27" ht="12.75" customHeight="1" x14ac:dyDescent="0.25">
      <c r="A45" s="8"/>
      <c r="B45" s="31" t="s">
        <v>461</v>
      </c>
      <c r="C45" s="53">
        <f>$C$11</f>
        <v>17.5</v>
      </c>
      <c r="D45" s="57">
        <v>12</v>
      </c>
      <c r="E45" s="58" t="s">
        <v>451</v>
      </c>
      <c r="F45" s="35">
        <v>50</v>
      </c>
      <c r="G45" s="36">
        <f>+C45*D45*F45</f>
        <v>10500</v>
      </c>
      <c r="H45" s="37">
        <f>+G45/G$59</f>
        <v>4.6472411984571161E-3</v>
      </c>
      <c r="I45" s="3"/>
    </row>
    <row r="46" spans="1:27" ht="12.75" customHeight="1" x14ac:dyDescent="0.25">
      <c r="A46" s="8"/>
      <c r="B46" s="31" t="s">
        <v>462</v>
      </c>
      <c r="C46" s="75">
        <v>2</v>
      </c>
      <c r="D46" s="57">
        <v>12</v>
      </c>
      <c r="E46" s="58" t="s">
        <v>451</v>
      </c>
      <c r="F46" s="35">
        <v>120</v>
      </c>
      <c r="G46" s="36">
        <f>+C46*D46*F46</f>
        <v>2880</v>
      </c>
      <c r="H46" s="37">
        <f>+G46/G$59</f>
        <v>1.274671871576809E-3</v>
      </c>
      <c r="I46" s="3"/>
    </row>
    <row r="47" spans="1:27" ht="12.75" customHeight="1" x14ac:dyDescent="0.25">
      <c r="A47" s="8"/>
      <c r="B47" s="45" t="s">
        <v>439</v>
      </c>
      <c r="C47" s="72"/>
      <c r="D47" s="73"/>
      <c r="E47" s="72"/>
      <c r="F47" s="46"/>
      <c r="G47" s="47">
        <f>SUM(G44:G46)</f>
        <v>221380</v>
      </c>
      <c r="H47" s="48">
        <f>SUM(H44:H46)</f>
        <v>9.798154823947014E-2</v>
      </c>
      <c r="I47" s="3"/>
    </row>
    <row r="48" spans="1:27" ht="12.75" customHeight="1" x14ac:dyDescent="0.25">
      <c r="A48" s="8"/>
      <c r="B48" s="3"/>
      <c r="C48" s="3"/>
      <c r="D48" s="4"/>
      <c r="E48" s="3"/>
      <c r="F48" s="50"/>
      <c r="G48" s="4"/>
      <c r="H48" s="5"/>
      <c r="I48" s="3"/>
    </row>
    <row r="49" spans="1:9" ht="12.75" customHeight="1" x14ac:dyDescent="0.25">
      <c r="A49" s="8"/>
      <c r="B49" s="76" t="s">
        <v>452</v>
      </c>
      <c r="C49" s="77"/>
      <c r="D49" s="78"/>
      <c r="E49" s="77"/>
      <c r="F49" s="79"/>
      <c r="G49" s="78"/>
      <c r="H49" s="80"/>
      <c r="I49" s="3"/>
    </row>
    <row r="50" spans="1:9" ht="12.75" customHeight="1" x14ac:dyDescent="0.25">
      <c r="A50" s="8"/>
      <c r="B50" s="81" t="s">
        <v>1872</v>
      </c>
      <c r="C50" s="82">
        <v>0.05</v>
      </c>
      <c r="D50" s="83">
        <v>2.5000000000000001E-2</v>
      </c>
      <c r="E50" s="84" t="s">
        <v>15</v>
      </c>
      <c r="F50" s="132" t="e">
        <f>C50*D50*($C$11)/12*#REF!+C50*D50*($C$11-4)/12*#REF!</f>
        <v>#REF!</v>
      </c>
      <c r="G50" s="36">
        <v>82000</v>
      </c>
      <c r="H50" s="85">
        <f t="shared" ref="H50:H55" si="6">+G50/G$59</f>
        <v>3.6292740787950813E-2</v>
      </c>
      <c r="I50" s="164" t="s">
        <v>2178</v>
      </c>
    </row>
    <row r="51" spans="1:9" ht="12.75" customHeight="1" x14ac:dyDescent="0.25">
      <c r="A51" s="8"/>
      <c r="B51" s="86" t="s">
        <v>1888</v>
      </c>
      <c r="C51" s="87">
        <v>0.1</v>
      </c>
      <c r="D51" s="88">
        <v>2.5000000000000001E-2</v>
      </c>
      <c r="E51" s="89" t="s">
        <v>15</v>
      </c>
      <c r="F51" s="132" t="e">
        <f>C51*D51*($C$11+4)/12*#REF!</f>
        <v>#REF!</v>
      </c>
      <c r="G51" s="35">
        <v>114000</v>
      </c>
      <c r="H51" s="85">
        <f t="shared" si="6"/>
        <v>5.0455761583248687E-2</v>
      </c>
      <c r="I51" s="3"/>
    </row>
    <row r="52" spans="1:9" ht="12.75" customHeight="1" x14ac:dyDescent="0.25">
      <c r="A52" s="8"/>
      <c r="B52" s="86" t="s">
        <v>453</v>
      </c>
      <c r="C52" s="88">
        <v>0</v>
      </c>
      <c r="D52" s="88">
        <v>2.5000000000000001E-2</v>
      </c>
      <c r="E52" s="89" t="s">
        <v>15</v>
      </c>
      <c r="F52" s="35" t="e">
        <f>C52*D52*(12)/12*#REF!</f>
        <v>#REF!</v>
      </c>
      <c r="G52" s="35">
        <v>0</v>
      </c>
      <c r="H52" s="85">
        <f t="shared" si="6"/>
        <v>0</v>
      </c>
      <c r="I52" s="3"/>
    </row>
    <row r="53" spans="1:9" ht="12.75" customHeight="1" x14ac:dyDescent="0.25">
      <c r="A53" s="8"/>
      <c r="B53" s="90" t="s">
        <v>454</v>
      </c>
      <c r="C53" s="58">
        <v>1.6000000000000001E-3</v>
      </c>
      <c r="D53" s="91">
        <v>1</v>
      </c>
      <c r="E53" s="92" t="s">
        <v>15</v>
      </c>
      <c r="F53" s="35" t="e">
        <f>C53*D53*#REF!</f>
        <v>#REF!</v>
      </c>
      <c r="G53" s="35">
        <v>10000</v>
      </c>
      <c r="H53" s="186">
        <f t="shared" si="6"/>
        <v>4.4259439985305862E-3</v>
      </c>
      <c r="I53" s="187" t="s">
        <v>2179</v>
      </c>
    </row>
    <row r="54" spans="1:9" ht="12.75" customHeight="1" x14ac:dyDescent="0.25">
      <c r="A54" s="8"/>
      <c r="B54" s="90" t="s">
        <v>455</v>
      </c>
      <c r="C54" s="58">
        <v>2E-3</v>
      </c>
      <c r="D54" s="91">
        <v>1</v>
      </c>
      <c r="E54" s="92" t="s">
        <v>15</v>
      </c>
      <c r="F54" s="35" t="e">
        <f>C54*D54*#REF!</f>
        <v>#REF!</v>
      </c>
      <c r="G54" s="36">
        <v>51000</v>
      </c>
      <c r="H54" s="85">
        <f t="shared" si="6"/>
        <v>2.2572314392505993E-2</v>
      </c>
      <c r="I54" s="3"/>
    </row>
    <row r="55" spans="1:9" ht="12.75" customHeight="1" x14ac:dyDescent="0.25">
      <c r="A55" s="8"/>
      <c r="B55" s="90" t="s">
        <v>456</v>
      </c>
      <c r="C55" s="53">
        <f>$C$11</f>
        <v>17.5</v>
      </c>
      <c r="D55" s="91">
        <v>1</v>
      </c>
      <c r="E55" s="92" t="s">
        <v>15</v>
      </c>
      <c r="F55" s="35">
        <v>2400</v>
      </c>
      <c r="G55" s="36">
        <f>+C55*D55*F55</f>
        <v>42000</v>
      </c>
      <c r="H55" s="85">
        <f t="shared" si="6"/>
        <v>1.8588964793828464E-2</v>
      </c>
      <c r="I55" s="3"/>
    </row>
    <row r="56" spans="1:9" ht="12.75" customHeight="1" x14ac:dyDescent="0.25">
      <c r="A56" s="8"/>
      <c r="B56" s="93" t="s">
        <v>439</v>
      </c>
      <c r="C56" s="94"/>
      <c r="D56" s="95"/>
      <c r="E56" s="94"/>
      <c r="F56" s="96"/>
      <c r="G56" s="97">
        <f>SUM(G50:G55)</f>
        <v>299000</v>
      </c>
      <c r="H56" s="98">
        <f>SUM(H50:H55)</f>
        <v>0.13233572555606454</v>
      </c>
      <c r="I56" s="3"/>
    </row>
    <row r="57" spans="1:9" ht="12.75" customHeight="1" x14ac:dyDescent="0.25">
      <c r="A57" s="8"/>
      <c r="B57" s="69"/>
      <c r="C57" s="3"/>
      <c r="D57" s="4"/>
      <c r="E57" s="3"/>
      <c r="F57" s="70"/>
      <c r="G57" s="71"/>
      <c r="H57" s="5"/>
      <c r="I57" s="3"/>
    </row>
    <row r="58" spans="1:9" ht="12.75" customHeight="1" x14ac:dyDescent="0.25">
      <c r="A58" s="8"/>
      <c r="B58" s="3"/>
      <c r="C58" s="3"/>
      <c r="D58" s="4"/>
      <c r="E58" s="3"/>
      <c r="F58" s="50"/>
      <c r="G58" s="4"/>
      <c r="H58" s="5"/>
      <c r="I58" s="3"/>
    </row>
    <row r="59" spans="1:9" ht="12.75" customHeight="1" x14ac:dyDescent="0.25">
      <c r="A59" s="8"/>
      <c r="B59" s="45" t="s">
        <v>457</v>
      </c>
      <c r="C59" s="99"/>
      <c r="D59" s="47"/>
      <c r="E59" s="99"/>
      <c r="F59" s="46"/>
      <c r="G59" s="100">
        <f>G56+G47+G41+G36+G28</f>
        <v>2259405</v>
      </c>
      <c r="H59" s="48">
        <f>H56+H47+H41+H36+H28</f>
        <v>1</v>
      </c>
      <c r="I59" s="3"/>
    </row>
    <row r="60" spans="1:9" ht="12.75" customHeight="1" x14ac:dyDescent="0.25">
      <c r="A60" s="8"/>
      <c r="B60" s="69"/>
      <c r="C60" s="69"/>
      <c r="D60" s="71"/>
      <c r="E60" s="69"/>
      <c r="F60" s="101"/>
      <c r="G60" s="102"/>
      <c r="H60" s="102"/>
      <c r="I60" s="3"/>
    </row>
    <row r="61" spans="1:9" ht="12.75" customHeight="1" x14ac:dyDescent="0.25">
      <c r="A61" s="8"/>
      <c r="B61" s="103"/>
      <c r="C61" s="3"/>
      <c r="D61" s="4"/>
      <c r="E61" s="3"/>
      <c r="F61" s="4"/>
      <c r="G61" s="4"/>
      <c r="H61" s="5"/>
      <c r="I61" s="3"/>
    </row>
    <row r="62" spans="1:9" ht="12.75" customHeight="1" x14ac:dyDescent="0.25">
      <c r="A62" s="8"/>
      <c r="B62" s="3"/>
      <c r="C62" s="3"/>
      <c r="D62" s="4"/>
      <c r="E62" s="3"/>
      <c r="F62" s="4"/>
      <c r="G62" s="4"/>
      <c r="H62" s="5"/>
      <c r="I62" s="3"/>
    </row>
    <row r="63" spans="1:9" ht="12.75" customHeight="1" x14ac:dyDescent="0.25">
      <c r="A63" s="8"/>
      <c r="B63" s="3"/>
      <c r="C63" s="3"/>
      <c r="D63" s="4"/>
      <c r="E63" s="3"/>
      <c r="F63" s="4"/>
      <c r="G63" s="104"/>
      <c r="H63" s="104"/>
      <c r="I63" s="3"/>
    </row>
    <row r="64" spans="1:9" ht="12.75" customHeight="1" x14ac:dyDescent="0.25">
      <c r="A64" s="8"/>
      <c r="B64" s="3"/>
      <c r="C64" s="3"/>
      <c r="D64" s="4"/>
      <c r="E64" s="3"/>
      <c r="F64" s="4"/>
      <c r="G64" s="104"/>
      <c r="H64" s="5"/>
      <c r="I64" s="3"/>
    </row>
    <row r="65" spans="1:9" ht="12.75" customHeight="1" x14ac:dyDescent="0.25">
      <c r="A65" s="8"/>
      <c r="B65" s="3"/>
      <c r="C65" s="3"/>
      <c r="D65" s="4"/>
      <c r="E65" s="3"/>
      <c r="F65" s="4"/>
      <c r="G65" s="105"/>
      <c r="H65" s="5"/>
      <c r="I65" s="3"/>
    </row>
    <row r="66" spans="1:9" ht="12.75" customHeight="1" x14ac:dyDescent="0.25">
      <c r="A66" s="8"/>
      <c r="B66" s="3"/>
      <c r="C66" s="3"/>
      <c r="D66" s="4"/>
      <c r="E66" s="3"/>
      <c r="F66" s="4"/>
      <c r="G66" s="106"/>
      <c r="H66" s="5"/>
      <c r="I66" s="3"/>
    </row>
    <row r="67" spans="1:9" ht="12.75" customHeight="1" x14ac:dyDescent="0.25">
      <c r="A67" s="8"/>
      <c r="B67" s="3"/>
      <c r="C67" s="3"/>
      <c r="D67" s="4"/>
      <c r="E67" s="3"/>
      <c r="F67" s="4"/>
      <c r="G67" s="4"/>
      <c r="H67" s="5"/>
      <c r="I67" s="3"/>
    </row>
    <row r="68" spans="1:9" ht="12.75" customHeight="1" x14ac:dyDescent="0.25">
      <c r="A68" s="8"/>
      <c r="B68" s="3"/>
      <c r="C68" s="3"/>
      <c r="D68" s="4"/>
      <c r="E68" s="3"/>
      <c r="F68" s="4"/>
      <c r="G68" s="4"/>
      <c r="H68" s="5"/>
      <c r="I68" s="3"/>
    </row>
    <row r="69" spans="1:9" ht="12.75" customHeight="1" x14ac:dyDescent="0.25">
      <c r="A69" s="8"/>
      <c r="B69" s="3"/>
      <c r="C69" s="3"/>
      <c r="D69" s="4"/>
      <c r="E69" s="3"/>
      <c r="F69" s="4"/>
      <c r="G69" s="4"/>
      <c r="H69" s="5"/>
      <c r="I69" s="3"/>
    </row>
    <row r="70" spans="1:9" ht="12.75" customHeight="1" x14ac:dyDescent="0.25">
      <c r="A70" s="8"/>
      <c r="B70" s="3"/>
      <c r="C70" s="3"/>
      <c r="D70" s="4"/>
      <c r="E70" s="3"/>
      <c r="F70" s="4"/>
      <c r="G70" s="4"/>
      <c r="H70" s="5"/>
      <c r="I70" s="3"/>
    </row>
    <row r="71" spans="1:9" ht="12.75" customHeight="1" x14ac:dyDescent="0.25">
      <c r="A71" s="8"/>
      <c r="B71" s="3"/>
      <c r="C71" s="3"/>
      <c r="D71" s="4"/>
      <c r="E71" s="3"/>
      <c r="F71" s="4"/>
      <c r="G71" s="4"/>
      <c r="H71" s="5"/>
      <c r="I71" s="3"/>
    </row>
    <row r="72" spans="1:9" ht="12.75" customHeight="1" x14ac:dyDescent="0.25">
      <c r="A72" s="8"/>
      <c r="B72" s="3"/>
      <c r="C72" s="3"/>
      <c r="D72" s="4"/>
      <c r="E72" s="3"/>
      <c r="F72" s="4"/>
      <c r="G72" s="4"/>
      <c r="H72" s="5"/>
      <c r="I72" s="3"/>
    </row>
    <row r="73" spans="1:9" ht="12.75" customHeight="1" x14ac:dyDescent="0.25">
      <c r="A73" s="8"/>
      <c r="B73" s="3"/>
      <c r="C73" s="3"/>
      <c r="D73" s="4"/>
      <c r="E73" s="3"/>
      <c r="F73" s="4"/>
      <c r="G73" s="4"/>
      <c r="H73" s="5"/>
      <c r="I73" s="3"/>
    </row>
    <row r="74" spans="1:9" ht="12.75" customHeight="1" x14ac:dyDescent="0.25">
      <c r="A74" s="8"/>
      <c r="B74" s="3"/>
      <c r="C74" s="3"/>
      <c r="D74" s="4"/>
      <c r="E74" s="3"/>
      <c r="F74" s="4"/>
      <c r="G74" s="4"/>
      <c r="H74" s="5"/>
      <c r="I74" s="3"/>
    </row>
    <row r="75" spans="1:9" ht="12.75" customHeight="1" x14ac:dyDescent="0.25">
      <c r="A75" s="8"/>
      <c r="B75" s="3"/>
      <c r="C75" s="3"/>
      <c r="D75" s="4"/>
      <c r="E75" s="3"/>
      <c r="F75" s="4"/>
      <c r="G75" s="4"/>
      <c r="H75" s="5"/>
      <c r="I75" s="3"/>
    </row>
    <row r="76" spans="1:9" ht="12.75" customHeight="1" x14ac:dyDescent="0.25">
      <c r="A76" s="8"/>
      <c r="B76" s="3"/>
      <c r="C76" s="3"/>
      <c r="D76" s="4"/>
      <c r="E76" s="3"/>
      <c r="F76" s="4"/>
      <c r="G76" s="4"/>
      <c r="H76" s="5"/>
      <c r="I76" s="3"/>
    </row>
    <row r="77" spans="1:9" ht="12.75" customHeight="1" x14ac:dyDescent="0.25">
      <c r="A77" s="8"/>
      <c r="B77" s="3"/>
      <c r="C77" s="3"/>
      <c r="D77" s="4"/>
      <c r="E77" s="3"/>
      <c r="F77" s="4"/>
      <c r="G77" s="4"/>
      <c r="H77" s="5"/>
      <c r="I77" s="3"/>
    </row>
    <row r="78" spans="1:9" ht="12.75" customHeight="1" x14ac:dyDescent="0.25">
      <c r="A78" s="8"/>
      <c r="B78" s="3"/>
      <c r="C78" s="3"/>
      <c r="D78" s="4"/>
      <c r="E78" s="3"/>
      <c r="F78" s="4"/>
      <c r="G78" s="4"/>
      <c r="H78" s="5"/>
      <c r="I78" s="3"/>
    </row>
    <row r="79" spans="1:9" ht="12.75" customHeight="1" x14ac:dyDescent="0.25">
      <c r="A79" s="8"/>
      <c r="B79" s="3"/>
      <c r="C79" s="3"/>
      <c r="D79" s="4"/>
      <c r="E79" s="3"/>
      <c r="F79" s="4"/>
      <c r="G79" s="4"/>
      <c r="H79" s="5"/>
      <c r="I79" s="3"/>
    </row>
    <row r="80" spans="1:9" ht="12.75" customHeight="1" x14ac:dyDescent="0.25">
      <c r="A80" s="8"/>
      <c r="B80" s="3"/>
      <c r="C80" s="3"/>
      <c r="D80" s="4"/>
      <c r="E80" s="3"/>
      <c r="F80" s="4"/>
      <c r="G80" s="4"/>
      <c r="H80" s="5"/>
      <c r="I80" s="3"/>
    </row>
    <row r="81" spans="1:9" ht="12.75" customHeight="1" x14ac:dyDescent="0.25">
      <c r="A81" s="8"/>
      <c r="B81" s="3"/>
      <c r="C81" s="3"/>
      <c r="D81" s="4"/>
      <c r="E81" s="3"/>
      <c r="F81" s="4"/>
      <c r="G81" s="4"/>
      <c r="H81" s="5"/>
      <c r="I81" s="3"/>
    </row>
    <row r="82" spans="1:9" ht="12.75" customHeight="1" x14ac:dyDescent="0.25">
      <c r="A82" s="8"/>
      <c r="B82" s="3"/>
      <c r="C82" s="3"/>
      <c r="D82" s="4"/>
      <c r="E82" s="3"/>
      <c r="F82" s="4"/>
      <c r="G82" s="4"/>
      <c r="H82" s="5"/>
      <c r="I82" s="3"/>
    </row>
    <row r="83" spans="1:9" ht="12.75" customHeight="1" x14ac:dyDescent="0.25">
      <c r="A83" s="8"/>
      <c r="B83" s="3"/>
      <c r="C83" s="3"/>
      <c r="D83" s="4"/>
      <c r="E83" s="3"/>
      <c r="F83" s="4"/>
      <c r="G83" s="4"/>
      <c r="H83" s="5"/>
      <c r="I83" s="3"/>
    </row>
    <row r="84" spans="1:9" ht="12.75" customHeight="1" x14ac:dyDescent="0.25">
      <c r="A84" s="8"/>
      <c r="B84" s="3"/>
      <c r="C84" s="3"/>
      <c r="D84" s="4"/>
      <c r="E84" s="3"/>
      <c r="F84" s="4"/>
      <c r="G84" s="4"/>
      <c r="H84" s="5"/>
      <c r="I84" s="3"/>
    </row>
    <row r="85" spans="1:9" ht="12.75" customHeight="1" x14ac:dyDescent="0.25">
      <c r="A85" s="8"/>
      <c r="B85" s="3"/>
      <c r="C85" s="3"/>
      <c r="D85" s="4"/>
      <c r="E85" s="3"/>
      <c r="F85" s="4"/>
      <c r="G85" s="4"/>
      <c r="H85" s="5"/>
      <c r="I85" s="3"/>
    </row>
    <row r="86" spans="1:9" ht="12.75" customHeight="1" x14ac:dyDescent="0.25">
      <c r="A86" s="8"/>
      <c r="B86" s="3"/>
      <c r="C86" s="3"/>
      <c r="D86" s="4"/>
      <c r="E86" s="3"/>
      <c r="F86" s="4"/>
      <c r="G86" s="4"/>
      <c r="H86" s="5"/>
      <c r="I86" s="3"/>
    </row>
    <row r="87" spans="1:9" ht="12.75" customHeight="1" x14ac:dyDescent="0.25">
      <c r="A87" s="8"/>
      <c r="B87" s="3"/>
      <c r="C87" s="3"/>
      <c r="D87" s="4"/>
      <c r="E87" s="3"/>
      <c r="F87" s="4"/>
      <c r="G87" s="4"/>
      <c r="H87" s="5"/>
      <c r="I87" s="3"/>
    </row>
    <row r="88" spans="1:9" ht="12.75" customHeight="1" x14ac:dyDescent="0.25">
      <c r="A88" s="8"/>
      <c r="B88" s="3"/>
      <c r="C88" s="3"/>
      <c r="D88" s="4"/>
      <c r="E88" s="3"/>
      <c r="F88" s="4"/>
      <c r="G88" s="4"/>
      <c r="H88" s="5"/>
      <c r="I88" s="3"/>
    </row>
    <row r="89" spans="1:9" ht="12.75" customHeight="1" x14ac:dyDescent="0.25">
      <c r="A89" s="8"/>
      <c r="B89" s="3"/>
      <c r="C89" s="3"/>
      <c r="D89" s="4"/>
      <c r="E89" s="3"/>
      <c r="F89" s="4"/>
      <c r="G89" s="4"/>
      <c r="H89" s="5"/>
      <c r="I89" s="3"/>
    </row>
    <row r="90" spans="1:9" ht="12.75" customHeight="1" x14ac:dyDescent="0.25">
      <c r="A90" s="8"/>
      <c r="B90" s="3"/>
      <c r="C90" s="3"/>
      <c r="D90" s="4"/>
      <c r="E90" s="3"/>
      <c r="F90" s="4"/>
      <c r="G90" s="4"/>
      <c r="H90" s="5"/>
      <c r="I90" s="3"/>
    </row>
    <row r="91" spans="1:9" ht="12.75" customHeight="1" x14ac:dyDescent="0.25">
      <c r="A91" s="8"/>
      <c r="B91" s="3"/>
      <c r="C91" s="3"/>
      <c r="D91" s="4"/>
      <c r="E91" s="3"/>
      <c r="F91" s="4"/>
      <c r="G91" s="4"/>
      <c r="H91" s="5"/>
      <c r="I91" s="3"/>
    </row>
    <row r="92" spans="1:9" ht="12.75" customHeight="1" x14ac:dyDescent="0.25">
      <c r="A92" s="8"/>
      <c r="B92" s="3"/>
      <c r="C92" s="3"/>
      <c r="D92" s="4"/>
      <c r="E92" s="3"/>
      <c r="F92" s="4"/>
      <c r="G92" s="4"/>
      <c r="H92" s="5"/>
      <c r="I92" s="3"/>
    </row>
    <row r="93" spans="1:9" ht="12.75" customHeight="1" x14ac:dyDescent="0.25">
      <c r="A93" s="8"/>
      <c r="B93" s="3"/>
      <c r="C93" s="3"/>
      <c r="D93" s="4"/>
      <c r="E93" s="3"/>
      <c r="F93" s="4"/>
      <c r="G93" s="4"/>
      <c r="H93" s="5"/>
      <c r="I93" s="3"/>
    </row>
    <row r="94" spans="1:9" ht="12.75" customHeight="1" x14ac:dyDescent="0.25">
      <c r="A94" s="8"/>
      <c r="B94" s="3"/>
      <c r="C94" s="3"/>
      <c r="D94" s="4"/>
      <c r="E94" s="3"/>
      <c r="F94" s="4"/>
      <c r="G94" s="4"/>
      <c r="H94" s="5"/>
      <c r="I94" s="3"/>
    </row>
    <row r="95" spans="1:9" ht="12.75" customHeight="1" x14ac:dyDescent="0.25">
      <c r="A95" s="8"/>
      <c r="B95" s="3"/>
      <c r="C95" s="3"/>
      <c r="D95" s="4"/>
      <c r="E95" s="3"/>
      <c r="F95" s="4"/>
      <c r="G95" s="4"/>
      <c r="H95" s="5"/>
      <c r="I95" s="3"/>
    </row>
    <row r="96" spans="1:9" ht="12.75" customHeight="1" x14ac:dyDescent="0.25">
      <c r="A96" s="8"/>
      <c r="B96" s="3"/>
      <c r="C96" s="3"/>
      <c r="D96" s="4"/>
      <c r="E96" s="3"/>
      <c r="F96" s="4"/>
      <c r="G96" s="4"/>
      <c r="H96" s="5"/>
      <c r="I96" s="3"/>
    </row>
    <row r="97" spans="1:9" ht="12.75" customHeight="1" x14ac:dyDescent="0.25">
      <c r="A97" s="8"/>
      <c r="B97" s="3"/>
      <c r="C97" s="3"/>
      <c r="D97" s="4"/>
      <c r="E97" s="3"/>
      <c r="F97" s="4"/>
      <c r="G97" s="4"/>
      <c r="H97" s="5"/>
      <c r="I97" s="3"/>
    </row>
    <row r="98" spans="1:9" ht="12.75" customHeight="1" x14ac:dyDescent="0.25">
      <c r="A98" s="8"/>
      <c r="B98" s="3"/>
      <c r="C98" s="3"/>
      <c r="D98" s="4"/>
      <c r="E98" s="3"/>
      <c r="F98" s="4"/>
      <c r="G98" s="4"/>
      <c r="H98" s="5"/>
      <c r="I98" s="3"/>
    </row>
    <row r="99" spans="1:9" ht="12.75" customHeight="1" x14ac:dyDescent="0.25">
      <c r="A99" s="8"/>
      <c r="B99" s="3"/>
      <c r="C99" s="3"/>
      <c r="D99" s="4"/>
      <c r="E99" s="3"/>
      <c r="F99" s="4"/>
      <c r="G99" s="4"/>
      <c r="H99" s="5"/>
      <c r="I99" s="3"/>
    </row>
    <row r="100" spans="1:9" ht="12.75" customHeight="1" x14ac:dyDescent="0.25">
      <c r="A100" s="8"/>
      <c r="B100" s="3"/>
      <c r="C100" s="3"/>
      <c r="D100" s="4"/>
      <c r="E100" s="3"/>
      <c r="F100" s="4"/>
      <c r="G100" s="4"/>
      <c r="H100" s="5"/>
      <c r="I100" s="3"/>
    </row>
    <row r="101" spans="1:9" ht="12.75" customHeight="1" x14ac:dyDescent="0.25">
      <c r="A101" s="8"/>
      <c r="B101" s="3"/>
      <c r="C101" s="3"/>
      <c r="D101" s="4"/>
      <c r="E101" s="3"/>
      <c r="F101" s="4"/>
      <c r="G101" s="4"/>
      <c r="H101" s="5"/>
      <c r="I101" s="3"/>
    </row>
    <row r="102" spans="1:9" ht="12.75" customHeight="1" x14ac:dyDescent="0.25">
      <c r="A102" s="8"/>
      <c r="B102" s="3"/>
      <c r="C102" s="3"/>
      <c r="D102" s="4"/>
      <c r="E102" s="3"/>
      <c r="F102" s="4"/>
      <c r="G102" s="4"/>
      <c r="H102" s="5"/>
      <c r="I102" s="3"/>
    </row>
    <row r="103" spans="1:9" ht="12.75" customHeight="1" x14ac:dyDescent="0.25">
      <c r="A103" s="8"/>
      <c r="B103" s="3"/>
      <c r="C103" s="3"/>
      <c r="D103" s="4"/>
      <c r="E103" s="3"/>
      <c r="F103" s="4"/>
      <c r="G103" s="4"/>
      <c r="H103" s="5"/>
      <c r="I103" s="3"/>
    </row>
    <row r="104" spans="1:9" ht="12.75" customHeight="1" x14ac:dyDescent="0.25">
      <c r="A104" s="8"/>
      <c r="B104" s="3"/>
      <c r="C104" s="3"/>
      <c r="D104" s="4"/>
      <c r="E104" s="3"/>
      <c r="F104" s="4"/>
      <c r="G104" s="4"/>
      <c r="H104" s="5"/>
      <c r="I104" s="3"/>
    </row>
    <row r="105" spans="1:9" ht="12.75" customHeight="1" x14ac:dyDescent="0.25">
      <c r="A105" s="8"/>
      <c r="B105" s="3"/>
      <c r="C105" s="3"/>
      <c r="D105" s="4"/>
      <c r="E105" s="3"/>
      <c r="F105" s="4"/>
      <c r="G105" s="4"/>
      <c r="H105" s="5"/>
      <c r="I105" s="3"/>
    </row>
    <row r="106" spans="1:9" ht="12.75" customHeight="1" x14ac:dyDescent="0.25">
      <c r="A106" s="8"/>
      <c r="B106" s="3"/>
      <c r="C106" s="3"/>
      <c r="D106" s="4"/>
      <c r="E106" s="3"/>
      <c r="F106" s="4"/>
      <c r="G106" s="4"/>
      <c r="H106" s="5"/>
      <c r="I106" s="3"/>
    </row>
    <row r="107" spans="1:9" ht="12.75" customHeight="1" x14ac:dyDescent="0.25">
      <c r="A107" s="8"/>
      <c r="B107" s="3"/>
      <c r="C107" s="3"/>
      <c r="D107" s="4"/>
      <c r="E107" s="3"/>
      <c r="F107" s="4"/>
      <c r="G107" s="4"/>
      <c r="H107" s="5"/>
      <c r="I107" s="3"/>
    </row>
    <row r="108" spans="1:9" ht="12.75" customHeight="1" x14ac:dyDescent="0.25">
      <c r="A108" s="8"/>
      <c r="B108" s="3"/>
      <c r="C108" s="3"/>
      <c r="D108" s="4"/>
      <c r="E108" s="3"/>
      <c r="F108" s="4"/>
      <c r="G108" s="4"/>
      <c r="H108" s="5"/>
      <c r="I108" s="3"/>
    </row>
    <row r="109" spans="1:9" ht="12.75" customHeight="1" x14ac:dyDescent="0.25">
      <c r="A109" s="8"/>
      <c r="B109" s="3"/>
      <c r="C109" s="3"/>
      <c r="D109" s="4"/>
      <c r="E109" s="3"/>
      <c r="F109" s="4"/>
      <c r="G109" s="4"/>
      <c r="H109" s="5"/>
      <c r="I109" s="3"/>
    </row>
    <row r="110" spans="1:9" ht="12.75" customHeight="1" x14ac:dyDescent="0.25">
      <c r="A110" s="8"/>
      <c r="B110" s="3"/>
      <c r="C110" s="3"/>
      <c r="D110" s="4"/>
      <c r="E110" s="3"/>
      <c r="F110" s="4"/>
      <c r="G110" s="4"/>
      <c r="H110" s="5"/>
      <c r="I110" s="3"/>
    </row>
    <row r="111" spans="1:9" ht="12.75" customHeight="1" x14ac:dyDescent="0.25">
      <c r="A111" s="8"/>
      <c r="B111" s="3"/>
      <c r="C111" s="3"/>
      <c r="D111" s="4"/>
      <c r="E111" s="3"/>
      <c r="F111" s="4"/>
      <c r="G111" s="4"/>
      <c r="H111" s="5"/>
      <c r="I111" s="3"/>
    </row>
    <row r="112" spans="1:9" ht="12.75" customHeight="1" x14ac:dyDescent="0.25">
      <c r="A112" s="8"/>
      <c r="B112" s="3"/>
      <c r="C112" s="3"/>
      <c r="D112" s="4"/>
      <c r="E112" s="3"/>
      <c r="F112" s="4"/>
      <c r="G112" s="4"/>
      <c r="H112" s="5"/>
      <c r="I112" s="3"/>
    </row>
    <row r="113" spans="1:9" ht="12.75" customHeight="1" x14ac:dyDescent="0.25">
      <c r="A113" s="8"/>
      <c r="B113" s="3"/>
      <c r="C113" s="3"/>
      <c r="D113" s="4"/>
      <c r="E113" s="3"/>
      <c r="F113" s="4"/>
      <c r="G113" s="4"/>
      <c r="H113" s="5"/>
      <c r="I113" s="3"/>
    </row>
    <row r="114" spans="1:9" ht="12.75" customHeight="1" x14ac:dyDescent="0.25">
      <c r="A114" s="8"/>
      <c r="B114" s="3"/>
      <c r="C114" s="3"/>
      <c r="D114" s="4"/>
      <c r="E114" s="3"/>
      <c r="F114" s="4"/>
      <c r="G114" s="4"/>
      <c r="H114" s="5"/>
      <c r="I114" s="3"/>
    </row>
    <row r="115" spans="1:9" ht="12.75" customHeight="1" x14ac:dyDescent="0.25">
      <c r="A115" s="8"/>
      <c r="B115" s="3"/>
      <c r="C115" s="3"/>
      <c r="D115" s="4"/>
      <c r="E115" s="3"/>
      <c r="F115" s="4"/>
      <c r="G115" s="4"/>
      <c r="H115" s="5"/>
      <c r="I115" s="3"/>
    </row>
    <row r="116" spans="1:9" ht="12.75" customHeight="1" x14ac:dyDescent="0.25">
      <c r="A116" s="8"/>
      <c r="B116" s="3"/>
      <c r="C116" s="3"/>
      <c r="D116" s="4"/>
      <c r="E116" s="3"/>
      <c r="F116" s="4"/>
      <c r="G116" s="4"/>
      <c r="H116" s="5"/>
      <c r="I116" s="3"/>
    </row>
    <row r="117" spans="1:9" ht="12.75" customHeight="1" x14ac:dyDescent="0.25">
      <c r="A117" s="8"/>
      <c r="B117" s="3"/>
      <c r="C117" s="3"/>
      <c r="D117" s="4"/>
      <c r="E117" s="3"/>
      <c r="F117" s="4"/>
      <c r="G117" s="4"/>
      <c r="H117" s="5"/>
      <c r="I117" s="3"/>
    </row>
    <row r="118" spans="1:9" ht="12.75" customHeight="1" x14ac:dyDescent="0.25">
      <c r="A118" s="8"/>
      <c r="B118" s="3"/>
      <c r="C118" s="3"/>
      <c r="D118" s="4"/>
      <c r="E118" s="3"/>
      <c r="F118" s="4"/>
      <c r="G118" s="4"/>
      <c r="H118" s="5"/>
      <c r="I118" s="3"/>
    </row>
    <row r="119" spans="1:9" ht="12.75" customHeight="1" x14ac:dyDescent="0.25">
      <c r="A119" s="8"/>
      <c r="B119" s="3"/>
      <c r="C119" s="3"/>
      <c r="D119" s="4"/>
      <c r="E119" s="3"/>
      <c r="F119" s="4"/>
      <c r="G119" s="4"/>
      <c r="H119" s="5"/>
      <c r="I119" s="3"/>
    </row>
    <row r="120" spans="1:9" ht="12.75" customHeight="1" x14ac:dyDescent="0.25">
      <c r="A120" s="8"/>
      <c r="B120" s="3"/>
      <c r="C120" s="3"/>
      <c r="D120" s="4"/>
      <c r="E120" s="3"/>
      <c r="F120" s="4"/>
      <c r="G120" s="4"/>
      <c r="H120" s="5"/>
      <c r="I120" s="3"/>
    </row>
    <row r="121" spans="1:9" ht="12.75" customHeight="1" x14ac:dyDescent="0.25">
      <c r="A121" s="8"/>
      <c r="B121" s="3"/>
      <c r="C121" s="3"/>
      <c r="D121" s="4"/>
      <c r="E121" s="3"/>
      <c r="F121" s="4"/>
      <c r="G121" s="4"/>
      <c r="H121" s="5"/>
      <c r="I121" s="3"/>
    </row>
    <row r="122" spans="1:9" ht="12.75" customHeight="1" x14ac:dyDescent="0.25">
      <c r="A122" s="8"/>
      <c r="B122" s="3"/>
      <c r="C122" s="3"/>
      <c r="D122" s="4"/>
      <c r="E122" s="3"/>
      <c r="F122" s="4"/>
      <c r="G122" s="4"/>
      <c r="H122" s="5"/>
      <c r="I122" s="3"/>
    </row>
    <row r="123" spans="1:9" ht="12.75" customHeight="1" x14ac:dyDescent="0.25">
      <c r="A123" s="8"/>
      <c r="B123" s="3"/>
      <c r="C123" s="3"/>
      <c r="D123" s="4"/>
      <c r="E123" s="3"/>
      <c r="F123" s="4"/>
      <c r="G123" s="4"/>
      <c r="H123" s="5"/>
      <c r="I123" s="3"/>
    </row>
    <row r="124" spans="1:9" ht="12.75" customHeight="1" x14ac:dyDescent="0.25">
      <c r="A124" s="8"/>
      <c r="B124" s="3"/>
      <c r="C124" s="3"/>
      <c r="D124" s="4"/>
      <c r="E124" s="3"/>
      <c r="F124" s="4"/>
      <c r="G124" s="4"/>
      <c r="H124" s="5"/>
      <c r="I124" s="3"/>
    </row>
    <row r="125" spans="1:9" ht="12.75" customHeight="1" x14ac:dyDescent="0.25">
      <c r="A125" s="8"/>
      <c r="B125" s="3"/>
      <c r="C125" s="3"/>
      <c r="D125" s="4"/>
      <c r="E125" s="3"/>
      <c r="F125" s="4"/>
      <c r="G125" s="4"/>
      <c r="H125" s="5"/>
      <c r="I125" s="3"/>
    </row>
    <row r="126" spans="1:9" ht="12.75" customHeight="1" x14ac:dyDescent="0.25">
      <c r="A126" s="8"/>
      <c r="B126" s="3"/>
      <c r="C126" s="3"/>
      <c r="D126" s="4"/>
      <c r="E126" s="3"/>
      <c r="F126" s="4"/>
      <c r="G126" s="4"/>
      <c r="H126" s="5"/>
      <c r="I126" s="3"/>
    </row>
    <row r="127" spans="1:9" ht="12.75" customHeight="1" x14ac:dyDescent="0.25">
      <c r="A127" s="8"/>
      <c r="B127" s="3"/>
      <c r="C127" s="3"/>
      <c r="D127" s="4"/>
      <c r="E127" s="3"/>
      <c r="F127" s="4"/>
      <c r="G127" s="4"/>
      <c r="H127" s="5"/>
      <c r="I127" s="3"/>
    </row>
    <row r="128" spans="1:9" ht="12.75" customHeight="1" x14ac:dyDescent="0.25">
      <c r="A128" s="8"/>
      <c r="B128" s="3"/>
      <c r="C128" s="3"/>
      <c r="D128" s="4"/>
      <c r="E128" s="3"/>
      <c r="F128" s="4"/>
      <c r="G128" s="4"/>
      <c r="H128" s="5"/>
      <c r="I128" s="3"/>
    </row>
    <row r="129" spans="1:9" ht="12.75" customHeight="1" x14ac:dyDescent="0.25">
      <c r="A129" s="8"/>
      <c r="B129" s="3"/>
      <c r="C129" s="3"/>
      <c r="D129" s="4"/>
      <c r="E129" s="3"/>
      <c r="F129" s="4"/>
      <c r="G129" s="4"/>
      <c r="H129" s="5"/>
      <c r="I129" s="3"/>
    </row>
    <row r="130" spans="1:9" ht="12.75" customHeight="1" x14ac:dyDescent="0.25">
      <c r="A130" s="8"/>
      <c r="B130" s="3"/>
      <c r="C130" s="3"/>
      <c r="D130" s="4"/>
      <c r="E130" s="3"/>
      <c r="F130" s="4"/>
      <c r="G130" s="4"/>
      <c r="H130" s="5"/>
      <c r="I130" s="3"/>
    </row>
    <row r="131" spans="1:9" ht="12.75" customHeight="1" x14ac:dyDescent="0.25">
      <c r="A131" s="8"/>
      <c r="B131" s="3"/>
      <c r="C131" s="3"/>
      <c r="D131" s="4"/>
      <c r="E131" s="3"/>
      <c r="F131" s="4"/>
      <c r="G131" s="4"/>
      <c r="H131" s="5"/>
      <c r="I131" s="3"/>
    </row>
    <row r="132" spans="1:9" ht="12.75" customHeight="1" x14ac:dyDescent="0.25">
      <c r="A132" s="8"/>
      <c r="B132" s="3"/>
      <c r="C132" s="3"/>
      <c r="D132" s="4"/>
      <c r="E132" s="3"/>
      <c r="F132" s="4"/>
      <c r="G132" s="4"/>
      <c r="H132" s="5"/>
      <c r="I132" s="3"/>
    </row>
    <row r="133" spans="1:9" ht="12.75" customHeight="1" x14ac:dyDescent="0.25">
      <c r="A133" s="8"/>
      <c r="B133" s="3"/>
      <c r="C133" s="3"/>
      <c r="D133" s="4"/>
      <c r="E133" s="3"/>
      <c r="F133" s="4"/>
      <c r="G133" s="4"/>
      <c r="H133" s="5"/>
      <c r="I133" s="3"/>
    </row>
    <row r="134" spans="1:9" ht="12.75" customHeight="1" x14ac:dyDescent="0.25">
      <c r="A134" s="8"/>
      <c r="B134" s="3"/>
      <c r="C134" s="3"/>
      <c r="D134" s="4"/>
      <c r="E134" s="3"/>
      <c r="F134" s="4"/>
      <c r="G134" s="4"/>
      <c r="H134" s="5"/>
      <c r="I134" s="3"/>
    </row>
    <row r="135" spans="1:9" ht="12.75" customHeight="1" x14ac:dyDescent="0.25">
      <c r="A135" s="8"/>
      <c r="B135" s="3"/>
      <c r="C135" s="3"/>
      <c r="D135" s="4"/>
      <c r="E135" s="3"/>
      <c r="F135" s="4"/>
      <c r="G135" s="4"/>
      <c r="H135" s="5"/>
      <c r="I135" s="3"/>
    </row>
    <row r="136" spans="1:9" ht="12.75" customHeight="1" x14ac:dyDescent="0.25">
      <c r="A136" s="8"/>
      <c r="B136" s="3"/>
      <c r="C136" s="3"/>
      <c r="D136" s="4"/>
      <c r="E136" s="3"/>
      <c r="F136" s="4"/>
      <c r="G136" s="4"/>
      <c r="H136" s="5"/>
      <c r="I136" s="3"/>
    </row>
    <row r="137" spans="1:9" ht="12.75" customHeight="1" x14ac:dyDescent="0.25">
      <c r="A137" s="8"/>
      <c r="B137" s="3"/>
      <c r="C137" s="3"/>
      <c r="D137" s="4"/>
      <c r="E137" s="3"/>
      <c r="F137" s="4"/>
      <c r="G137" s="4"/>
      <c r="H137" s="5"/>
      <c r="I137" s="3"/>
    </row>
    <row r="138" spans="1:9" ht="12.75" customHeight="1" x14ac:dyDescent="0.25">
      <c r="A138" s="8"/>
      <c r="B138" s="3"/>
      <c r="C138" s="3"/>
      <c r="D138" s="4"/>
      <c r="E138" s="3"/>
      <c r="F138" s="4"/>
      <c r="G138" s="4"/>
      <c r="H138" s="5"/>
      <c r="I138" s="3"/>
    </row>
    <row r="139" spans="1:9" ht="12.75" customHeight="1" x14ac:dyDescent="0.25">
      <c r="A139" s="8"/>
      <c r="B139" s="3"/>
      <c r="C139" s="3"/>
      <c r="D139" s="4"/>
      <c r="E139" s="3"/>
      <c r="F139" s="4"/>
      <c r="G139" s="4"/>
      <c r="H139" s="5"/>
      <c r="I139" s="3"/>
    </row>
    <row r="140" spans="1:9" ht="12.75" customHeight="1" x14ac:dyDescent="0.25">
      <c r="A140" s="8"/>
      <c r="B140" s="3"/>
      <c r="C140" s="3"/>
      <c r="D140" s="4"/>
      <c r="E140" s="3"/>
      <c r="F140" s="4"/>
      <c r="G140" s="4"/>
      <c r="H140" s="5"/>
      <c r="I140" s="3"/>
    </row>
    <row r="141" spans="1:9" ht="12.75" customHeight="1" x14ac:dyDescent="0.25">
      <c r="A141" s="8"/>
      <c r="B141" s="3"/>
      <c r="C141" s="3"/>
      <c r="D141" s="4"/>
      <c r="E141" s="3"/>
      <c r="F141" s="4"/>
      <c r="G141" s="4"/>
      <c r="H141" s="5"/>
      <c r="I141" s="3"/>
    </row>
    <row r="142" spans="1:9" ht="12.75" customHeight="1" x14ac:dyDescent="0.25">
      <c r="A142" s="8"/>
      <c r="B142" s="3"/>
      <c r="C142" s="3"/>
      <c r="D142" s="4"/>
      <c r="E142" s="3"/>
      <c r="F142" s="4"/>
      <c r="G142" s="4"/>
      <c r="H142" s="5"/>
      <c r="I142" s="3"/>
    </row>
    <row r="143" spans="1:9" ht="12.75" customHeight="1" x14ac:dyDescent="0.25">
      <c r="A143" s="8"/>
      <c r="B143" s="3"/>
      <c r="C143" s="3"/>
      <c r="D143" s="4"/>
      <c r="E143" s="3"/>
      <c r="F143" s="4"/>
      <c r="G143" s="4"/>
      <c r="H143" s="5"/>
      <c r="I143" s="3"/>
    </row>
    <row r="144" spans="1:9" ht="12.75" customHeight="1" x14ac:dyDescent="0.25">
      <c r="A144" s="8"/>
      <c r="B144" s="3"/>
      <c r="C144" s="3"/>
      <c r="D144" s="4"/>
      <c r="E144" s="3"/>
      <c r="F144" s="4"/>
      <c r="G144" s="4"/>
      <c r="H144" s="5"/>
      <c r="I144" s="3"/>
    </row>
    <row r="145" spans="1:9" ht="12.75" customHeight="1" x14ac:dyDescent="0.25">
      <c r="A145" s="8"/>
      <c r="B145" s="3"/>
      <c r="C145" s="3"/>
      <c r="D145" s="4"/>
      <c r="E145" s="3"/>
      <c r="F145" s="4"/>
      <c r="G145" s="4"/>
      <c r="H145" s="5"/>
      <c r="I145" s="3"/>
    </row>
    <row r="146" spans="1:9" ht="12.75" customHeight="1" x14ac:dyDescent="0.25">
      <c r="A146" s="8"/>
      <c r="B146" s="3"/>
      <c r="C146" s="3"/>
      <c r="D146" s="4"/>
      <c r="E146" s="3"/>
      <c r="F146" s="4"/>
      <c r="G146" s="4"/>
      <c r="H146" s="5"/>
      <c r="I146" s="3"/>
    </row>
    <row r="147" spans="1:9" ht="12.75" customHeight="1" x14ac:dyDescent="0.25">
      <c r="A147" s="8"/>
      <c r="B147" s="3"/>
      <c r="C147" s="3"/>
      <c r="D147" s="4"/>
      <c r="E147" s="3"/>
      <c r="F147" s="4"/>
      <c r="G147" s="4"/>
      <c r="H147" s="5"/>
      <c r="I147" s="3"/>
    </row>
    <row r="148" spans="1:9" ht="12.75" customHeight="1" x14ac:dyDescent="0.25">
      <c r="A148" s="8"/>
      <c r="B148" s="3"/>
      <c r="C148" s="3"/>
      <c r="D148" s="4"/>
      <c r="E148" s="3"/>
      <c r="F148" s="4"/>
      <c r="G148" s="4"/>
      <c r="H148" s="5"/>
      <c r="I148" s="3"/>
    </row>
    <row r="149" spans="1:9" ht="12.75" customHeight="1" x14ac:dyDescent="0.25">
      <c r="A149" s="8"/>
      <c r="B149" s="3"/>
      <c r="C149" s="3"/>
      <c r="D149" s="4"/>
      <c r="E149" s="3"/>
      <c r="F149" s="4"/>
      <c r="G149" s="4"/>
      <c r="H149" s="5"/>
      <c r="I149" s="3"/>
    </row>
    <row r="150" spans="1:9" ht="12.75" customHeight="1" x14ac:dyDescent="0.25">
      <c r="A150" s="8"/>
      <c r="B150" s="3"/>
      <c r="C150" s="3"/>
      <c r="D150" s="4"/>
      <c r="E150" s="3"/>
      <c r="F150" s="4"/>
      <c r="G150" s="4"/>
      <c r="H150" s="5"/>
      <c r="I150" s="3"/>
    </row>
    <row r="151" spans="1:9" ht="12.75" customHeight="1" x14ac:dyDescent="0.25">
      <c r="A151" s="8"/>
      <c r="B151" s="3"/>
      <c r="C151" s="3"/>
      <c r="D151" s="4"/>
      <c r="E151" s="3"/>
      <c r="F151" s="4"/>
      <c r="G151" s="4"/>
      <c r="H151" s="5"/>
      <c r="I151" s="3"/>
    </row>
    <row r="152" spans="1:9" ht="12.75" customHeight="1" x14ac:dyDescent="0.25">
      <c r="A152" s="8"/>
      <c r="B152" s="3"/>
      <c r="C152" s="3"/>
      <c r="D152" s="4"/>
      <c r="E152" s="3"/>
      <c r="F152" s="4"/>
      <c r="G152" s="4"/>
      <c r="H152" s="5"/>
      <c r="I152" s="3"/>
    </row>
    <row r="153" spans="1:9" ht="12.75" customHeight="1" x14ac:dyDescent="0.25">
      <c r="A153" s="8"/>
      <c r="B153" s="3"/>
      <c r="C153" s="3"/>
      <c r="D153" s="4"/>
      <c r="E153" s="3"/>
      <c r="F153" s="4"/>
      <c r="G153" s="4"/>
      <c r="H153" s="5"/>
      <c r="I153" s="3"/>
    </row>
    <row r="154" spans="1:9" ht="12.75" customHeight="1" x14ac:dyDescent="0.25">
      <c r="A154" s="8"/>
      <c r="B154" s="3"/>
      <c r="C154" s="3"/>
      <c r="D154" s="4"/>
      <c r="E154" s="3"/>
      <c r="F154" s="4"/>
      <c r="G154" s="4"/>
      <c r="H154" s="5"/>
      <c r="I154" s="3"/>
    </row>
    <row r="155" spans="1:9" ht="12.75" customHeight="1" x14ac:dyDescent="0.25">
      <c r="A155" s="8"/>
      <c r="B155" s="3"/>
      <c r="C155" s="3"/>
      <c r="D155" s="4"/>
      <c r="E155" s="3"/>
      <c r="F155" s="4"/>
      <c r="G155" s="4"/>
      <c r="H155" s="5"/>
      <c r="I155" s="3"/>
    </row>
    <row r="156" spans="1:9" ht="12.75" customHeight="1" x14ac:dyDescent="0.25">
      <c r="A156" s="8"/>
      <c r="B156" s="3"/>
      <c r="C156" s="3"/>
      <c r="D156" s="4"/>
      <c r="E156" s="3"/>
      <c r="F156" s="4"/>
      <c r="G156" s="4"/>
      <c r="H156" s="5"/>
      <c r="I156" s="3"/>
    </row>
    <row r="157" spans="1:9" ht="12.75" customHeight="1" x14ac:dyDescent="0.25">
      <c r="A157" s="8"/>
      <c r="B157" s="3"/>
      <c r="C157" s="3"/>
      <c r="D157" s="4"/>
      <c r="E157" s="3"/>
      <c r="F157" s="4"/>
      <c r="G157" s="4"/>
      <c r="H157" s="5"/>
      <c r="I157" s="3"/>
    </row>
    <row r="158" spans="1:9" ht="12.75" customHeight="1" x14ac:dyDescent="0.25">
      <c r="A158" s="8"/>
      <c r="B158" s="3"/>
      <c r="C158" s="3"/>
      <c r="D158" s="4"/>
      <c r="E158" s="3"/>
      <c r="F158" s="4"/>
      <c r="G158" s="4"/>
      <c r="H158" s="5"/>
      <c r="I158" s="3"/>
    </row>
    <row r="159" spans="1:9" ht="12.75" customHeight="1" x14ac:dyDescent="0.25">
      <c r="A159" s="8"/>
      <c r="B159" s="3"/>
      <c r="C159" s="3"/>
      <c r="D159" s="4"/>
      <c r="E159" s="3"/>
      <c r="F159" s="4"/>
      <c r="G159" s="4"/>
      <c r="H159" s="5"/>
      <c r="I159" s="3"/>
    </row>
    <row r="160" spans="1:9" ht="12.75" customHeight="1" x14ac:dyDescent="0.25">
      <c r="A160" s="8"/>
      <c r="B160" s="3"/>
      <c r="C160" s="3"/>
      <c r="D160" s="4"/>
      <c r="E160" s="3"/>
      <c r="F160" s="4"/>
      <c r="G160" s="4"/>
      <c r="H160" s="5"/>
      <c r="I160" s="3"/>
    </row>
    <row r="161" spans="1:9" ht="12.75" customHeight="1" x14ac:dyDescent="0.25">
      <c r="A161" s="8"/>
      <c r="B161" s="3"/>
      <c r="C161" s="3"/>
      <c r="D161" s="4"/>
      <c r="E161" s="3"/>
      <c r="F161" s="4"/>
      <c r="G161" s="4"/>
      <c r="H161" s="5"/>
      <c r="I161" s="3"/>
    </row>
    <row r="162" spans="1:9" ht="12.75" customHeight="1" x14ac:dyDescent="0.25">
      <c r="A162" s="8"/>
      <c r="B162" s="3"/>
      <c r="C162" s="3"/>
      <c r="D162" s="4"/>
      <c r="E162" s="3"/>
      <c r="F162" s="4"/>
      <c r="G162" s="4"/>
      <c r="H162" s="5"/>
      <c r="I162" s="3"/>
    </row>
    <row r="163" spans="1:9" ht="12.75" customHeight="1" x14ac:dyDescent="0.25">
      <c r="A163" s="8"/>
      <c r="B163" s="3"/>
      <c r="C163" s="3"/>
      <c r="D163" s="4"/>
      <c r="E163" s="3"/>
      <c r="F163" s="4"/>
      <c r="G163" s="4"/>
      <c r="H163" s="5"/>
      <c r="I163" s="3"/>
    </row>
    <row r="164" spans="1:9" ht="12.75" customHeight="1" x14ac:dyDescent="0.25">
      <c r="A164" s="8"/>
      <c r="B164" s="3"/>
      <c r="C164" s="3"/>
      <c r="D164" s="4"/>
      <c r="E164" s="3"/>
      <c r="F164" s="4"/>
      <c r="G164" s="4"/>
      <c r="H164" s="5"/>
      <c r="I164" s="3"/>
    </row>
    <row r="165" spans="1:9" ht="12.75" customHeight="1" x14ac:dyDescent="0.25">
      <c r="A165" s="8"/>
      <c r="B165" s="3"/>
      <c r="C165" s="3"/>
      <c r="D165" s="4"/>
      <c r="E165" s="3"/>
      <c r="F165" s="4"/>
      <c r="G165" s="4"/>
      <c r="H165" s="5"/>
      <c r="I165" s="3"/>
    </row>
    <row r="166" spans="1:9" ht="12.75" customHeight="1" x14ac:dyDescent="0.25">
      <c r="A166" s="8"/>
      <c r="B166" s="3"/>
      <c r="C166" s="3"/>
      <c r="D166" s="4"/>
      <c r="E166" s="3"/>
      <c r="F166" s="4"/>
      <c r="G166" s="4"/>
      <c r="H166" s="5"/>
      <c r="I166" s="3"/>
    </row>
    <row r="167" spans="1:9" ht="12.75" customHeight="1" x14ac:dyDescent="0.25">
      <c r="A167" s="8"/>
      <c r="B167" s="3"/>
      <c r="C167" s="3"/>
      <c r="D167" s="4"/>
      <c r="E167" s="3"/>
      <c r="F167" s="4"/>
      <c r="G167" s="4"/>
      <c r="H167" s="5"/>
      <c r="I167" s="3"/>
    </row>
    <row r="168" spans="1:9" ht="12.75" customHeight="1" x14ac:dyDescent="0.25">
      <c r="A168" s="8"/>
      <c r="B168" s="3"/>
      <c r="C168" s="3"/>
      <c r="D168" s="4"/>
      <c r="E168" s="3"/>
      <c r="F168" s="4"/>
      <c r="G168" s="4"/>
      <c r="H168" s="5"/>
      <c r="I168" s="3"/>
    </row>
    <row r="169" spans="1:9" ht="12.75" customHeight="1" x14ac:dyDescent="0.25">
      <c r="A169" s="8"/>
      <c r="B169" s="3"/>
      <c r="C169" s="3"/>
      <c r="D169" s="4"/>
      <c r="E169" s="3"/>
      <c r="F169" s="4"/>
      <c r="G169" s="4"/>
      <c r="H169" s="5"/>
      <c r="I169" s="3"/>
    </row>
    <row r="170" spans="1:9" ht="12.75" customHeight="1" x14ac:dyDescent="0.25">
      <c r="A170" s="8"/>
      <c r="B170" s="3"/>
      <c r="C170" s="3"/>
      <c r="D170" s="4"/>
      <c r="E170" s="3"/>
      <c r="F170" s="4"/>
      <c r="G170" s="4"/>
      <c r="H170" s="5"/>
      <c r="I170" s="3"/>
    </row>
    <row r="171" spans="1:9" ht="12.75" customHeight="1" x14ac:dyDescent="0.25">
      <c r="A171" s="8"/>
      <c r="B171" s="3"/>
      <c r="C171" s="3"/>
      <c r="D171" s="4"/>
      <c r="E171" s="3"/>
      <c r="F171" s="4"/>
      <c r="G171" s="4"/>
      <c r="H171" s="5"/>
      <c r="I171" s="3"/>
    </row>
    <row r="172" spans="1:9" ht="12.75" customHeight="1" x14ac:dyDescent="0.25">
      <c r="A172" s="8"/>
      <c r="B172" s="3"/>
      <c r="C172" s="3"/>
      <c r="D172" s="4"/>
      <c r="E172" s="3"/>
      <c r="F172" s="4"/>
      <c r="G172" s="4"/>
      <c r="H172" s="5"/>
      <c r="I172" s="3"/>
    </row>
    <row r="173" spans="1:9" ht="12.75" customHeight="1" x14ac:dyDescent="0.25">
      <c r="A173" s="8"/>
      <c r="B173" s="3"/>
      <c r="C173" s="3"/>
      <c r="D173" s="4"/>
      <c r="E173" s="3"/>
      <c r="F173" s="4"/>
      <c r="G173" s="4"/>
      <c r="H173" s="5"/>
      <c r="I173" s="3"/>
    </row>
    <row r="174" spans="1:9" ht="12.75" customHeight="1" x14ac:dyDescent="0.25">
      <c r="A174" s="8"/>
      <c r="B174" s="3"/>
      <c r="C174" s="3"/>
      <c r="D174" s="4"/>
      <c r="E174" s="3"/>
      <c r="F174" s="4"/>
      <c r="G174" s="4"/>
      <c r="H174" s="5"/>
      <c r="I174" s="3"/>
    </row>
    <row r="175" spans="1:9" ht="12.75" customHeight="1" x14ac:dyDescent="0.25">
      <c r="A175" s="8"/>
      <c r="B175" s="3"/>
      <c r="C175" s="3"/>
      <c r="D175" s="4"/>
      <c r="E175" s="3"/>
      <c r="F175" s="4"/>
      <c r="G175" s="4"/>
      <c r="H175" s="5"/>
      <c r="I175" s="3"/>
    </row>
    <row r="176" spans="1:9" ht="12.75" customHeight="1" x14ac:dyDescent="0.25">
      <c r="A176" s="8"/>
      <c r="B176" s="3"/>
      <c r="C176" s="3"/>
      <c r="D176" s="4"/>
      <c r="E176" s="3"/>
      <c r="F176" s="4"/>
      <c r="G176" s="4"/>
      <c r="H176" s="5"/>
      <c r="I176" s="3"/>
    </row>
    <row r="177" spans="1:9" ht="12.75" customHeight="1" x14ac:dyDescent="0.25">
      <c r="A177" s="8"/>
      <c r="B177" s="3"/>
      <c r="C177" s="3"/>
      <c r="D177" s="4"/>
      <c r="E177" s="3"/>
      <c r="F177" s="4"/>
      <c r="G177" s="4"/>
      <c r="H177" s="5"/>
      <c r="I177" s="3"/>
    </row>
    <row r="178" spans="1:9" ht="12.75" customHeight="1" x14ac:dyDescent="0.25">
      <c r="A178" s="8"/>
      <c r="B178" s="3"/>
      <c r="C178" s="3"/>
      <c r="D178" s="4"/>
      <c r="E178" s="3"/>
      <c r="F178" s="4"/>
      <c r="G178" s="4"/>
      <c r="H178" s="5"/>
      <c r="I178" s="3"/>
    </row>
    <row r="179" spans="1:9" ht="12.75" customHeight="1" x14ac:dyDescent="0.25">
      <c r="A179" s="8"/>
      <c r="B179" s="3"/>
      <c r="C179" s="3"/>
      <c r="D179" s="4"/>
      <c r="E179" s="3"/>
      <c r="F179" s="4"/>
      <c r="G179" s="4"/>
      <c r="H179" s="5"/>
      <c r="I179" s="3"/>
    </row>
    <row r="180" spans="1:9" ht="12.75" customHeight="1" x14ac:dyDescent="0.25">
      <c r="A180" s="8"/>
      <c r="B180" s="3"/>
      <c r="C180" s="3"/>
      <c r="D180" s="4"/>
      <c r="E180" s="3"/>
      <c r="F180" s="4"/>
      <c r="G180" s="4"/>
      <c r="H180" s="5"/>
      <c r="I180" s="3"/>
    </row>
    <row r="181" spans="1:9" ht="12.75" customHeight="1" x14ac:dyDescent="0.25">
      <c r="A181" s="8"/>
      <c r="B181" s="3"/>
      <c r="C181" s="3"/>
      <c r="D181" s="4"/>
      <c r="E181" s="3"/>
      <c r="F181" s="4"/>
      <c r="G181" s="4"/>
      <c r="H181" s="5"/>
      <c r="I181" s="3"/>
    </row>
    <row r="182" spans="1:9" ht="12.75" customHeight="1" x14ac:dyDescent="0.25">
      <c r="A182" s="8"/>
      <c r="B182" s="3"/>
      <c r="C182" s="3"/>
      <c r="D182" s="4"/>
      <c r="E182" s="3"/>
      <c r="F182" s="4"/>
      <c r="G182" s="4"/>
      <c r="H182" s="5"/>
      <c r="I182" s="3"/>
    </row>
    <row r="183" spans="1:9" ht="12.75" customHeight="1" x14ac:dyDescent="0.25">
      <c r="A183" s="8"/>
      <c r="B183" s="3"/>
      <c r="C183" s="3"/>
      <c r="D183" s="4"/>
      <c r="E183" s="3"/>
      <c r="F183" s="4"/>
      <c r="G183" s="4"/>
      <c r="H183" s="5"/>
      <c r="I183" s="3"/>
    </row>
    <row r="184" spans="1:9" ht="12.75" customHeight="1" x14ac:dyDescent="0.25">
      <c r="A184" s="8"/>
      <c r="B184" s="3"/>
      <c r="C184" s="3"/>
      <c r="D184" s="4"/>
      <c r="E184" s="3"/>
      <c r="F184" s="4"/>
      <c r="G184" s="4"/>
      <c r="H184" s="5"/>
      <c r="I184" s="3"/>
    </row>
    <row r="185" spans="1:9" ht="12.75" customHeight="1" x14ac:dyDescent="0.25">
      <c r="A185" s="8"/>
      <c r="B185" s="3"/>
      <c r="C185" s="3"/>
      <c r="D185" s="4"/>
      <c r="E185" s="3"/>
      <c r="F185" s="4"/>
      <c r="G185" s="4"/>
      <c r="H185" s="5"/>
      <c r="I185" s="3"/>
    </row>
    <row r="186" spans="1:9" ht="12.75" customHeight="1" x14ac:dyDescent="0.25">
      <c r="A186" s="8"/>
      <c r="B186" s="3"/>
      <c r="C186" s="3"/>
      <c r="D186" s="4"/>
      <c r="E186" s="3"/>
      <c r="F186" s="4"/>
      <c r="G186" s="4"/>
      <c r="H186" s="5"/>
      <c r="I186" s="3"/>
    </row>
    <row r="187" spans="1:9" ht="12.75" customHeight="1" x14ac:dyDescent="0.25">
      <c r="A187" s="8"/>
      <c r="B187" s="3"/>
      <c r="C187" s="3"/>
      <c r="D187" s="4"/>
      <c r="E187" s="3"/>
      <c r="F187" s="4"/>
      <c r="G187" s="4"/>
      <c r="H187" s="5"/>
      <c r="I187" s="3"/>
    </row>
    <row r="188" spans="1:9" ht="12.75" customHeight="1" x14ac:dyDescent="0.25">
      <c r="A188" s="8"/>
      <c r="B188" s="3"/>
      <c r="C188" s="3"/>
      <c r="D188" s="4"/>
      <c r="E188" s="3"/>
      <c r="F188" s="4"/>
      <c r="G188" s="4"/>
      <c r="H188" s="5"/>
      <c r="I188" s="3"/>
    </row>
    <row r="189" spans="1:9" ht="12.75" customHeight="1" x14ac:dyDescent="0.25">
      <c r="A189" s="8"/>
      <c r="B189" s="3"/>
      <c r="C189" s="3"/>
      <c r="D189" s="4"/>
      <c r="E189" s="3"/>
      <c r="F189" s="4"/>
      <c r="G189" s="4"/>
      <c r="H189" s="5"/>
      <c r="I189" s="3"/>
    </row>
    <row r="190" spans="1:9" ht="12.75" customHeight="1" x14ac:dyDescent="0.25">
      <c r="A190" s="8"/>
      <c r="B190" s="3"/>
      <c r="C190" s="3"/>
      <c r="D190" s="4"/>
      <c r="E190" s="3"/>
      <c r="F190" s="4"/>
      <c r="G190" s="4"/>
      <c r="H190" s="5"/>
      <c r="I190" s="3"/>
    </row>
    <row r="191" spans="1:9" ht="12.75" customHeight="1" x14ac:dyDescent="0.25">
      <c r="A191" s="8"/>
      <c r="B191" s="3"/>
      <c r="C191" s="3"/>
      <c r="D191" s="4"/>
      <c r="E191" s="3"/>
      <c r="F191" s="4"/>
      <c r="G191" s="4"/>
      <c r="H191" s="5"/>
      <c r="I191" s="3"/>
    </row>
    <row r="192" spans="1:9" ht="12.75" customHeight="1" x14ac:dyDescent="0.25">
      <c r="A192" s="8"/>
      <c r="B192" s="3"/>
      <c r="C192" s="3"/>
      <c r="D192" s="4"/>
      <c r="E192" s="3"/>
      <c r="F192" s="4"/>
      <c r="G192" s="4"/>
      <c r="H192" s="5"/>
      <c r="I192" s="3"/>
    </row>
    <row r="193" spans="1:9" ht="12.75" customHeight="1" x14ac:dyDescent="0.25">
      <c r="A193" s="8"/>
      <c r="B193" s="3"/>
      <c r="C193" s="3"/>
      <c r="D193" s="4"/>
      <c r="E193" s="3"/>
      <c r="F193" s="4"/>
      <c r="G193" s="4"/>
      <c r="H193" s="5"/>
      <c r="I193" s="3"/>
    </row>
    <row r="194" spans="1:9" ht="12.75" customHeight="1" x14ac:dyDescent="0.25">
      <c r="A194" s="8"/>
      <c r="B194" s="3"/>
      <c r="C194" s="3"/>
      <c r="D194" s="4"/>
      <c r="E194" s="3"/>
      <c r="F194" s="4"/>
      <c r="G194" s="4"/>
      <c r="H194" s="5"/>
      <c r="I194" s="3"/>
    </row>
    <row r="195" spans="1:9" ht="12.75" customHeight="1" x14ac:dyDescent="0.25">
      <c r="A195" s="8"/>
      <c r="B195" s="3"/>
      <c r="C195" s="3"/>
      <c r="D195" s="4"/>
      <c r="E195" s="3"/>
      <c r="F195" s="4"/>
      <c r="G195" s="4"/>
      <c r="H195" s="5"/>
      <c r="I195" s="3"/>
    </row>
    <row r="196" spans="1:9" ht="12.75" customHeight="1" x14ac:dyDescent="0.25">
      <c r="A196" s="8"/>
      <c r="B196" s="3"/>
      <c r="C196" s="3"/>
      <c r="D196" s="4"/>
      <c r="E196" s="3"/>
      <c r="F196" s="4"/>
      <c r="G196" s="4"/>
      <c r="H196" s="5"/>
      <c r="I196" s="3"/>
    </row>
    <row r="197" spans="1:9" ht="12.75" customHeight="1" x14ac:dyDescent="0.25">
      <c r="A197" s="8"/>
      <c r="B197" s="3"/>
      <c r="C197" s="3"/>
      <c r="D197" s="4"/>
      <c r="E197" s="3"/>
      <c r="F197" s="4"/>
      <c r="G197" s="4"/>
      <c r="H197" s="5"/>
      <c r="I197" s="3"/>
    </row>
    <row r="198" spans="1:9" ht="12.75" customHeight="1" x14ac:dyDescent="0.25">
      <c r="A198" s="8"/>
      <c r="B198" s="3"/>
      <c r="C198" s="3"/>
      <c r="D198" s="4"/>
      <c r="E198" s="3"/>
      <c r="F198" s="4"/>
      <c r="G198" s="4"/>
      <c r="H198" s="5"/>
      <c r="I198" s="3"/>
    </row>
    <row r="199" spans="1:9" ht="12.75" customHeight="1" x14ac:dyDescent="0.25">
      <c r="A199" s="8"/>
      <c r="B199" s="3"/>
      <c r="C199" s="3"/>
      <c r="D199" s="4"/>
      <c r="E199" s="3"/>
      <c r="F199" s="4"/>
      <c r="G199" s="4"/>
      <c r="H199" s="5"/>
      <c r="I199" s="3"/>
    </row>
    <row r="200" spans="1:9" ht="12.75" customHeight="1" x14ac:dyDescent="0.25">
      <c r="A200" s="8"/>
      <c r="B200" s="3"/>
      <c r="C200" s="3"/>
      <c r="D200" s="4"/>
      <c r="E200" s="3"/>
      <c r="F200" s="4"/>
      <c r="G200" s="4"/>
      <c r="H200" s="5"/>
      <c r="I200" s="3"/>
    </row>
    <row r="201" spans="1:9" ht="12.75" customHeight="1" x14ac:dyDescent="0.25">
      <c r="A201" s="8"/>
      <c r="B201" s="3"/>
      <c r="C201" s="3"/>
      <c r="D201" s="4"/>
      <c r="E201" s="3"/>
      <c r="F201" s="4"/>
      <c r="G201" s="4"/>
      <c r="H201" s="5"/>
      <c r="I201" s="3"/>
    </row>
    <row r="202" spans="1:9" ht="12.75" customHeight="1" x14ac:dyDescent="0.25">
      <c r="A202" s="8"/>
      <c r="B202" s="3"/>
      <c r="C202" s="3"/>
      <c r="D202" s="4"/>
      <c r="E202" s="3"/>
      <c r="F202" s="4"/>
      <c r="G202" s="4"/>
      <c r="H202" s="5"/>
      <c r="I202" s="3"/>
    </row>
    <row r="203" spans="1:9" ht="12.75" customHeight="1" x14ac:dyDescent="0.25">
      <c r="A203" s="8"/>
      <c r="B203" s="3"/>
      <c r="C203" s="3"/>
      <c r="D203" s="4"/>
      <c r="E203" s="3"/>
      <c r="F203" s="4"/>
      <c r="G203" s="4"/>
      <c r="H203" s="5"/>
      <c r="I203" s="3"/>
    </row>
    <row r="204" spans="1:9" ht="12.75" customHeight="1" x14ac:dyDescent="0.25">
      <c r="A204" s="8"/>
      <c r="B204" s="3"/>
      <c r="C204" s="3"/>
      <c r="D204" s="4"/>
      <c r="E204" s="3"/>
      <c r="F204" s="4"/>
      <c r="G204" s="4"/>
      <c r="H204" s="5"/>
      <c r="I204" s="3"/>
    </row>
    <row r="205" spans="1:9" ht="12.75" customHeight="1" x14ac:dyDescent="0.25">
      <c r="A205" s="8"/>
      <c r="B205" s="3"/>
      <c r="C205" s="3"/>
      <c r="D205" s="4"/>
      <c r="E205" s="3"/>
      <c r="F205" s="4"/>
      <c r="G205" s="4"/>
      <c r="H205" s="5"/>
      <c r="I205" s="3"/>
    </row>
    <row r="206" spans="1:9" ht="12.75" customHeight="1" x14ac:dyDescent="0.25">
      <c r="A206" s="8"/>
      <c r="B206" s="3"/>
      <c r="C206" s="3"/>
      <c r="D206" s="4"/>
      <c r="E206" s="3"/>
      <c r="F206" s="4"/>
      <c r="G206" s="4"/>
      <c r="H206" s="5"/>
      <c r="I206" s="3"/>
    </row>
    <row r="207" spans="1:9" ht="12.75" customHeight="1" x14ac:dyDescent="0.25">
      <c r="A207" s="8"/>
      <c r="B207" s="3"/>
      <c r="C207" s="3"/>
      <c r="D207" s="4"/>
      <c r="E207" s="3"/>
      <c r="F207" s="4"/>
      <c r="G207" s="4"/>
      <c r="H207" s="5"/>
      <c r="I207" s="3"/>
    </row>
    <row r="208" spans="1:9" ht="12.75" customHeight="1" x14ac:dyDescent="0.25">
      <c r="A208" s="8"/>
      <c r="B208" s="3"/>
      <c r="C208" s="3"/>
      <c r="D208" s="4"/>
      <c r="E208" s="3"/>
      <c r="F208" s="4"/>
      <c r="G208" s="4"/>
      <c r="H208" s="5"/>
      <c r="I208" s="3"/>
    </row>
    <row r="209" spans="1:9" ht="12.75" customHeight="1" x14ac:dyDescent="0.25">
      <c r="A209" s="8"/>
      <c r="B209" s="3"/>
      <c r="C209" s="3"/>
      <c r="D209" s="4"/>
      <c r="E209" s="3"/>
      <c r="F209" s="4"/>
      <c r="G209" s="4"/>
      <c r="H209" s="5"/>
      <c r="I209" s="3"/>
    </row>
    <row r="210" spans="1:9" ht="12.75" customHeight="1" x14ac:dyDescent="0.25">
      <c r="A210" s="8"/>
      <c r="B210" s="3"/>
      <c r="C210" s="3"/>
      <c r="D210" s="4"/>
      <c r="E210" s="3"/>
      <c r="F210" s="4"/>
      <c r="G210" s="4"/>
      <c r="H210" s="5"/>
      <c r="I210" s="3"/>
    </row>
    <row r="211" spans="1:9" ht="12.75" customHeight="1" x14ac:dyDescent="0.25">
      <c r="A211" s="8"/>
      <c r="B211" s="3"/>
      <c r="C211" s="3"/>
      <c r="D211" s="4"/>
      <c r="E211" s="3"/>
      <c r="F211" s="4"/>
      <c r="G211" s="4"/>
      <c r="H211" s="5"/>
      <c r="I211" s="3"/>
    </row>
    <row r="212" spans="1:9" ht="12.75" customHeight="1" x14ac:dyDescent="0.25">
      <c r="A212" s="8"/>
      <c r="B212" s="3"/>
      <c r="C212" s="3"/>
      <c r="D212" s="4"/>
      <c r="E212" s="3"/>
      <c r="F212" s="4"/>
      <c r="G212" s="4"/>
      <c r="H212" s="5"/>
      <c r="I212" s="3"/>
    </row>
    <row r="213" spans="1:9" ht="12.75" customHeight="1" x14ac:dyDescent="0.25">
      <c r="A213" s="8"/>
      <c r="B213" s="3"/>
      <c r="C213" s="3"/>
      <c r="D213" s="4"/>
      <c r="E213" s="3"/>
      <c r="F213" s="4"/>
      <c r="G213" s="4"/>
      <c r="H213" s="5"/>
      <c r="I213" s="3"/>
    </row>
    <row r="214" spans="1:9" ht="12.75" customHeight="1" x14ac:dyDescent="0.25">
      <c r="A214" s="8"/>
      <c r="B214" s="3"/>
      <c r="C214" s="3"/>
      <c r="D214" s="4"/>
      <c r="E214" s="3"/>
      <c r="F214" s="4"/>
      <c r="G214" s="4"/>
      <c r="H214" s="5"/>
      <c r="I214" s="3"/>
    </row>
    <row r="215" spans="1:9" ht="12.75" customHeight="1" x14ac:dyDescent="0.25">
      <c r="A215" s="8"/>
      <c r="B215" s="3"/>
      <c r="C215" s="3"/>
      <c r="D215" s="4"/>
      <c r="E215" s="3"/>
      <c r="F215" s="4"/>
      <c r="G215" s="4"/>
      <c r="H215" s="5"/>
      <c r="I215" s="3"/>
    </row>
    <row r="216" spans="1:9" ht="12.75" customHeight="1" x14ac:dyDescent="0.25">
      <c r="A216" s="8"/>
      <c r="B216" s="3"/>
      <c r="C216" s="3"/>
      <c r="D216" s="4"/>
      <c r="E216" s="3"/>
      <c r="F216" s="4"/>
      <c r="G216" s="4"/>
      <c r="H216" s="5"/>
      <c r="I216" s="3"/>
    </row>
    <row r="217" spans="1:9" ht="12.75" customHeight="1" x14ac:dyDescent="0.25">
      <c r="A217" s="8"/>
      <c r="B217" s="3"/>
      <c r="C217" s="3"/>
      <c r="D217" s="4"/>
      <c r="E217" s="3"/>
      <c r="F217" s="4"/>
      <c r="G217" s="4"/>
      <c r="H217" s="5"/>
      <c r="I217" s="3"/>
    </row>
    <row r="218" spans="1:9" ht="12.75" customHeight="1" x14ac:dyDescent="0.25">
      <c r="A218" s="8"/>
      <c r="B218" s="3"/>
      <c r="C218" s="3"/>
      <c r="D218" s="4"/>
      <c r="E218" s="3"/>
      <c r="F218" s="4"/>
      <c r="G218" s="4"/>
      <c r="H218" s="5"/>
      <c r="I218" s="3"/>
    </row>
    <row r="219" spans="1:9" ht="12.75" customHeight="1" x14ac:dyDescent="0.25">
      <c r="A219" s="8"/>
      <c r="B219" s="3"/>
      <c r="C219" s="3"/>
      <c r="D219" s="4"/>
      <c r="E219" s="3"/>
      <c r="F219" s="4"/>
      <c r="G219" s="4"/>
      <c r="H219" s="5"/>
      <c r="I219" s="3"/>
    </row>
    <row r="220" spans="1:9" ht="12.75" customHeight="1" x14ac:dyDescent="0.25">
      <c r="A220" s="8"/>
      <c r="B220" s="3"/>
      <c r="C220" s="3"/>
      <c r="D220" s="4"/>
      <c r="E220" s="3"/>
      <c r="F220" s="4"/>
      <c r="G220" s="4"/>
      <c r="H220" s="5"/>
      <c r="I220" s="3"/>
    </row>
    <row r="221" spans="1:9" ht="12.75" customHeight="1" x14ac:dyDescent="0.25">
      <c r="A221" s="8"/>
      <c r="B221" s="3"/>
      <c r="C221" s="3"/>
      <c r="D221" s="4"/>
      <c r="E221" s="3"/>
      <c r="F221" s="4"/>
      <c r="G221" s="4"/>
      <c r="H221" s="5"/>
      <c r="I221" s="3"/>
    </row>
    <row r="222" spans="1:9" ht="12.75" customHeight="1" x14ac:dyDescent="0.25">
      <c r="A222" s="8"/>
      <c r="B222" s="3"/>
      <c r="C222" s="3"/>
      <c r="D222" s="4"/>
      <c r="E222" s="3"/>
      <c r="F222" s="4"/>
      <c r="G222" s="4"/>
      <c r="H222" s="5"/>
      <c r="I222" s="3"/>
    </row>
    <row r="223" spans="1:9" ht="12.75" customHeight="1" x14ac:dyDescent="0.25">
      <c r="A223" s="8"/>
      <c r="B223" s="3"/>
      <c r="C223" s="3"/>
      <c r="D223" s="4"/>
      <c r="E223" s="3"/>
      <c r="F223" s="4"/>
      <c r="G223" s="4"/>
      <c r="H223" s="5"/>
      <c r="I223" s="3"/>
    </row>
    <row r="224" spans="1:9" ht="12.75" customHeight="1" x14ac:dyDescent="0.25">
      <c r="A224" s="8"/>
      <c r="B224" s="3"/>
      <c r="C224" s="3"/>
      <c r="D224" s="4"/>
      <c r="E224" s="3"/>
      <c r="F224" s="4"/>
      <c r="G224" s="4"/>
      <c r="H224" s="5"/>
      <c r="I224" s="3"/>
    </row>
    <row r="225" spans="1:9" ht="12.75" customHeight="1" x14ac:dyDescent="0.25">
      <c r="A225" s="8"/>
      <c r="B225" s="3"/>
      <c r="C225" s="3"/>
      <c r="D225" s="4"/>
      <c r="E225" s="3"/>
      <c r="F225" s="4"/>
      <c r="G225" s="4"/>
      <c r="H225" s="5"/>
      <c r="I225" s="3"/>
    </row>
    <row r="226" spans="1:9" ht="12.75" customHeight="1" x14ac:dyDescent="0.25">
      <c r="A226" s="8"/>
      <c r="B226" s="3"/>
      <c r="C226" s="3"/>
      <c r="D226" s="4"/>
      <c r="E226" s="3"/>
      <c r="F226" s="4"/>
      <c r="G226" s="4"/>
      <c r="H226" s="5"/>
      <c r="I226" s="3"/>
    </row>
    <row r="227" spans="1:9" ht="12.75" customHeight="1" x14ac:dyDescent="0.25">
      <c r="A227" s="8"/>
      <c r="B227" s="3"/>
      <c r="C227" s="3"/>
      <c r="D227" s="4"/>
      <c r="E227" s="3"/>
      <c r="F227" s="4"/>
      <c r="G227" s="4"/>
      <c r="H227" s="5"/>
      <c r="I227" s="3"/>
    </row>
    <row r="228" spans="1:9" ht="12.75" customHeight="1" x14ac:dyDescent="0.25">
      <c r="A228" s="8"/>
      <c r="B228" s="3"/>
      <c r="C228" s="3"/>
      <c r="D228" s="4"/>
      <c r="E228" s="3"/>
      <c r="F228" s="4"/>
      <c r="G228" s="4"/>
      <c r="H228" s="5"/>
      <c r="I228" s="3"/>
    </row>
    <row r="229" spans="1:9" ht="12.75" customHeight="1" x14ac:dyDescent="0.25">
      <c r="A229" s="8"/>
      <c r="B229" s="3"/>
      <c r="C229" s="3"/>
      <c r="D229" s="4"/>
      <c r="E229" s="3"/>
      <c r="F229" s="4"/>
      <c r="G229" s="4"/>
      <c r="H229" s="5"/>
      <c r="I229" s="3"/>
    </row>
    <row r="230" spans="1:9" ht="12.75" customHeight="1" x14ac:dyDescent="0.25">
      <c r="A230" s="8"/>
      <c r="B230" s="3"/>
      <c r="C230" s="3"/>
      <c r="D230" s="4"/>
      <c r="E230" s="3"/>
      <c r="F230" s="4"/>
      <c r="G230" s="4"/>
      <c r="H230" s="5"/>
      <c r="I230" s="3"/>
    </row>
    <row r="231" spans="1:9" ht="12.75" customHeight="1" x14ac:dyDescent="0.25">
      <c r="A231" s="8"/>
      <c r="B231" s="3"/>
      <c r="C231" s="3"/>
      <c r="D231" s="4"/>
      <c r="E231" s="3"/>
      <c r="F231" s="4"/>
      <c r="G231" s="4"/>
      <c r="H231" s="5"/>
      <c r="I231" s="3"/>
    </row>
    <row r="232" spans="1:9" ht="12.75" customHeight="1" x14ac:dyDescent="0.25">
      <c r="A232" s="8"/>
      <c r="B232" s="3"/>
      <c r="C232" s="3"/>
      <c r="D232" s="4"/>
      <c r="E232" s="3"/>
      <c r="F232" s="4"/>
      <c r="G232" s="4"/>
      <c r="H232" s="5"/>
      <c r="I232" s="3"/>
    </row>
    <row r="233" spans="1:9" ht="12.75" customHeight="1" x14ac:dyDescent="0.25">
      <c r="A233" s="8"/>
      <c r="B233" s="3"/>
      <c r="C233" s="3"/>
      <c r="D233" s="4"/>
      <c r="E233" s="3"/>
      <c r="F233" s="4"/>
      <c r="G233" s="4"/>
      <c r="H233" s="5"/>
      <c r="I233" s="3"/>
    </row>
    <row r="234" spans="1:9" ht="12.75" customHeight="1" x14ac:dyDescent="0.25">
      <c r="A234" s="8"/>
      <c r="B234" s="3"/>
      <c r="C234" s="3"/>
      <c r="D234" s="4"/>
      <c r="E234" s="3"/>
      <c r="F234" s="4"/>
      <c r="G234" s="4"/>
      <c r="H234" s="5"/>
      <c r="I234" s="3"/>
    </row>
    <row r="235" spans="1:9" ht="12.75" customHeight="1" x14ac:dyDescent="0.25">
      <c r="A235" s="8"/>
      <c r="B235" s="3"/>
      <c r="C235" s="3"/>
      <c r="D235" s="4"/>
      <c r="E235" s="3"/>
      <c r="F235" s="4"/>
      <c r="G235" s="4"/>
      <c r="H235" s="5"/>
      <c r="I235" s="3"/>
    </row>
    <row r="236" spans="1:9" ht="12.75" customHeight="1" x14ac:dyDescent="0.25">
      <c r="A236" s="8"/>
      <c r="B236" s="3"/>
      <c r="C236" s="3"/>
      <c r="D236" s="4"/>
      <c r="E236" s="3"/>
      <c r="F236" s="4"/>
      <c r="G236" s="4"/>
      <c r="H236" s="5"/>
      <c r="I236" s="3"/>
    </row>
    <row r="237" spans="1:9" ht="12.75" customHeight="1" x14ac:dyDescent="0.25">
      <c r="A237" s="8"/>
      <c r="B237" s="3"/>
      <c r="C237" s="3"/>
      <c r="D237" s="4"/>
      <c r="E237" s="3"/>
      <c r="F237" s="4"/>
      <c r="G237" s="4"/>
      <c r="H237" s="5"/>
      <c r="I237" s="3"/>
    </row>
    <row r="238" spans="1:9" ht="12.75" customHeight="1" x14ac:dyDescent="0.25">
      <c r="A238" s="8"/>
      <c r="B238" s="3"/>
      <c r="C238" s="3"/>
      <c r="D238" s="4"/>
      <c r="E238" s="3"/>
      <c r="F238" s="4"/>
      <c r="G238" s="4"/>
      <c r="H238" s="5"/>
      <c r="I238" s="3"/>
    </row>
    <row r="239" spans="1:9" ht="12.75" customHeight="1" x14ac:dyDescent="0.25">
      <c r="A239" s="8"/>
      <c r="B239" s="3"/>
      <c r="C239" s="3"/>
      <c r="D239" s="4"/>
      <c r="E239" s="3"/>
      <c r="F239" s="4"/>
      <c r="G239" s="4"/>
      <c r="H239" s="5"/>
      <c r="I239" s="3"/>
    </row>
    <row r="240" spans="1:9" ht="12.75" customHeight="1" x14ac:dyDescent="0.25">
      <c r="A240" s="8"/>
      <c r="B240" s="3"/>
      <c r="C240" s="3"/>
      <c r="D240" s="4"/>
      <c r="E240" s="3"/>
      <c r="F240" s="4"/>
      <c r="G240" s="4"/>
      <c r="H240" s="5"/>
      <c r="I240" s="3"/>
    </row>
    <row r="241" spans="1:9" ht="12.75" customHeight="1" x14ac:dyDescent="0.25">
      <c r="A241" s="8"/>
      <c r="B241" s="3"/>
      <c r="C241" s="3"/>
      <c r="D241" s="4"/>
      <c r="E241" s="3"/>
      <c r="F241" s="4"/>
      <c r="G241" s="4"/>
      <c r="H241" s="5"/>
      <c r="I241" s="3"/>
    </row>
    <row r="242" spans="1:9" ht="12.75" customHeight="1" x14ac:dyDescent="0.25">
      <c r="A242" s="8"/>
      <c r="B242" s="3"/>
      <c r="C242" s="3"/>
      <c r="D242" s="4"/>
      <c r="E242" s="3"/>
      <c r="F242" s="4"/>
      <c r="G242" s="4"/>
      <c r="H242" s="5"/>
      <c r="I242" s="3"/>
    </row>
    <row r="243" spans="1:9" ht="12.75" customHeight="1" x14ac:dyDescent="0.25">
      <c r="A243" s="8"/>
      <c r="B243" s="3"/>
      <c r="C243" s="3"/>
      <c r="D243" s="4"/>
      <c r="E243" s="3"/>
      <c r="F243" s="4"/>
      <c r="G243" s="4"/>
      <c r="H243" s="5"/>
      <c r="I243" s="3"/>
    </row>
    <row r="244" spans="1:9" ht="12.75" customHeight="1" x14ac:dyDescent="0.25">
      <c r="A244" s="8"/>
      <c r="B244" s="3"/>
      <c r="C244" s="3"/>
      <c r="D244" s="4"/>
      <c r="E244" s="3"/>
      <c r="F244" s="4"/>
      <c r="G244" s="4"/>
      <c r="H244" s="5"/>
      <c r="I244" s="3"/>
    </row>
    <row r="245" spans="1:9" ht="12.75" customHeight="1" x14ac:dyDescent="0.25">
      <c r="A245" s="8"/>
      <c r="B245" s="3"/>
      <c r="C245" s="3"/>
      <c r="D245" s="4"/>
      <c r="E245" s="3"/>
      <c r="F245" s="4"/>
      <c r="G245" s="4"/>
      <c r="H245" s="5"/>
      <c r="I245" s="3"/>
    </row>
    <row r="246" spans="1:9" ht="12.75" customHeight="1" x14ac:dyDescent="0.25">
      <c r="A246" s="8"/>
      <c r="B246" s="3"/>
      <c r="C246" s="3"/>
      <c r="D246" s="4"/>
      <c r="E246" s="3"/>
      <c r="F246" s="4"/>
      <c r="G246" s="4"/>
      <c r="H246" s="5"/>
      <c r="I246" s="3"/>
    </row>
    <row r="247" spans="1:9" ht="12.75" customHeight="1" x14ac:dyDescent="0.25">
      <c r="A247" s="8"/>
      <c r="B247" s="3"/>
      <c r="C247" s="3"/>
      <c r="D247" s="4"/>
      <c r="E247" s="3"/>
      <c r="F247" s="4"/>
      <c r="G247" s="4"/>
      <c r="H247" s="5"/>
      <c r="I247" s="3"/>
    </row>
    <row r="248" spans="1:9" ht="12.75" customHeight="1" x14ac:dyDescent="0.25">
      <c r="A248" s="8"/>
      <c r="B248" s="3"/>
      <c r="C248" s="3"/>
      <c r="D248" s="4"/>
      <c r="E248" s="3"/>
      <c r="F248" s="4"/>
      <c r="G248" s="4"/>
      <c r="H248" s="5"/>
      <c r="I248" s="3"/>
    </row>
    <row r="249" spans="1:9" ht="12.75" customHeight="1" x14ac:dyDescent="0.25">
      <c r="A249" s="8"/>
      <c r="B249" s="3"/>
      <c r="C249" s="3"/>
      <c r="D249" s="4"/>
      <c r="E249" s="3"/>
      <c r="F249" s="4"/>
      <c r="G249" s="4"/>
      <c r="H249" s="5"/>
      <c r="I249" s="3"/>
    </row>
    <row r="250" spans="1:9" ht="12.75" customHeight="1" x14ac:dyDescent="0.25">
      <c r="A250" s="8"/>
      <c r="B250" s="3"/>
      <c r="C250" s="3"/>
      <c r="D250" s="4"/>
      <c r="E250" s="3"/>
      <c r="F250" s="4"/>
      <c r="G250" s="4"/>
      <c r="H250" s="5"/>
      <c r="I250" s="3"/>
    </row>
    <row r="251" spans="1:9" ht="12.75" customHeight="1" x14ac:dyDescent="0.25">
      <c r="A251" s="8"/>
      <c r="B251" s="3"/>
      <c r="C251" s="3"/>
      <c r="D251" s="4"/>
      <c r="E251" s="3"/>
      <c r="F251" s="4"/>
      <c r="G251" s="4"/>
      <c r="H251" s="5"/>
      <c r="I251" s="3"/>
    </row>
    <row r="252" spans="1:9" ht="12.75" customHeight="1" x14ac:dyDescent="0.25">
      <c r="A252" s="8"/>
      <c r="B252" s="3"/>
      <c r="C252" s="3"/>
      <c r="D252" s="4"/>
      <c r="E252" s="3"/>
      <c r="F252" s="4"/>
      <c r="G252" s="4"/>
      <c r="H252" s="5"/>
      <c r="I252" s="3"/>
    </row>
    <row r="253" spans="1:9" ht="12.75" customHeight="1" x14ac:dyDescent="0.25">
      <c r="A253" s="8"/>
      <c r="B253" s="3"/>
      <c r="C253" s="3"/>
      <c r="D253" s="4"/>
      <c r="E253" s="3"/>
      <c r="F253" s="4"/>
      <c r="G253" s="4"/>
      <c r="H253" s="5"/>
      <c r="I253" s="3"/>
    </row>
    <row r="254" spans="1:9" ht="12.75" customHeight="1" x14ac:dyDescent="0.25">
      <c r="A254" s="8"/>
      <c r="B254" s="3"/>
      <c r="C254" s="3"/>
      <c r="D254" s="4"/>
      <c r="E254" s="3"/>
      <c r="F254" s="4"/>
      <c r="G254" s="4"/>
      <c r="H254" s="5"/>
      <c r="I254" s="3"/>
    </row>
    <row r="255" spans="1:9" ht="12.75" customHeight="1" x14ac:dyDescent="0.25">
      <c r="A255" s="8"/>
      <c r="B255" s="3"/>
      <c r="C255" s="3"/>
      <c r="D255" s="4"/>
      <c r="E255" s="3"/>
      <c r="F255" s="4"/>
      <c r="G255" s="4"/>
      <c r="H255" s="5"/>
      <c r="I255" s="3"/>
    </row>
    <row r="256" spans="1:9" ht="12.75" customHeight="1" x14ac:dyDescent="0.25">
      <c r="A256" s="8"/>
      <c r="B256" s="3"/>
      <c r="C256" s="3"/>
      <c r="D256" s="4"/>
      <c r="E256" s="3"/>
      <c r="F256" s="4"/>
      <c r="G256" s="4"/>
      <c r="H256" s="5"/>
      <c r="I256" s="3"/>
    </row>
    <row r="257" spans="1:9" ht="12.75" customHeight="1" x14ac:dyDescent="0.25">
      <c r="A257" s="8"/>
      <c r="B257" s="3"/>
      <c r="C257" s="3"/>
      <c r="D257" s="4"/>
      <c r="E257" s="3"/>
      <c r="F257" s="4"/>
      <c r="G257" s="4"/>
      <c r="H257" s="5"/>
      <c r="I257" s="3"/>
    </row>
    <row r="258" spans="1:9" ht="12.75" customHeight="1" x14ac:dyDescent="0.25">
      <c r="A258" s="8"/>
      <c r="B258" s="3"/>
      <c r="C258" s="3"/>
      <c r="D258" s="4"/>
      <c r="E258" s="3"/>
      <c r="F258" s="4"/>
      <c r="G258" s="4"/>
      <c r="H258" s="5"/>
      <c r="I258" s="3"/>
    </row>
    <row r="259" spans="1:9" ht="12.75" customHeight="1" x14ac:dyDescent="0.25">
      <c r="A259" s="8"/>
      <c r="B259" s="3"/>
      <c r="C259" s="3"/>
      <c r="D259" s="4"/>
      <c r="E259" s="3"/>
      <c r="F259" s="4"/>
      <c r="G259" s="4"/>
      <c r="H259" s="5"/>
      <c r="I259" s="3"/>
    </row>
    <row r="260" spans="1:9" ht="12.75" customHeight="1" x14ac:dyDescent="0.25">
      <c r="A260" s="1"/>
      <c r="B260" s="107"/>
      <c r="C260" s="107"/>
      <c r="D260" s="107"/>
      <c r="E260" s="107"/>
      <c r="F260" s="107"/>
      <c r="G260" s="107"/>
      <c r="H260" s="107"/>
      <c r="I260" s="107"/>
    </row>
    <row r="261" spans="1:9" ht="12.75" customHeight="1" x14ac:dyDescent="0.25">
      <c r="A261" s="1"/>
      <c r="B261" s="107"/>
      <c r="C261" s="107"/>
      <c r="D261" s="107"/>
      <c r="E261" s="107"/>
      <c r="F261" s="107"/>
      <c r="G261" s="107"/>
      <c r="H261" s="107"/>
      <c r="I261" s="107"/>
    </row>
    <row r="262" spans="1:9" ht="12.75" customHeight="1" x14ac:dyDescent="0.25">
      <c r="A262" s="1"/>
      <c r="B262" s="107"/>
      <c r="C262" s="107"/>
      <c r="D262" s="107"/>
      <c r="E262" s="107"/>
      <c r="F262" s="107"/>
      <c r="G262" s="107"/>
      <c r="H262" s="107"/>
      <c r="I262" s="107"/>
    </row>
    <row r="263" spans="1:9" ht="12.75" customHeight="1" x14ac:dyDescent="0.25">
      <c r="A263" s="1"/>
      <c r="B263" s="107"/>
      <c r="C263" s="107"/>
      <c r="D263" s="107"/>
      <c r="E263" s="107"/>
      <c r="F263" s="107"/>
      <c r="G263" s="107"/>
      <c r="H263" s="107"/>
      <c r="I263" s="107"/>
    </row>
    <row r="264" spans="1:9" ht="12.75" customHeight="1" x14ac:dyDescent="0.25">
      <c r="A264" s="1"/>
      <c r="B264" s="107"/>
      <c r="C264" s="107"/>
      <c r="D264" s="107"/>
      <c r="E264" s="107"/>
      <c r="F264" s="107"/>
      <c r="G264" s="107"/>
      <c r="H264" s="107"/>
      <c r="I264" s="107"/>
    </row>
    <row r="265" spans="1:9" ht="12.75" customHeight="1" x14ac:dyDescent="0.25">
      <c r="A265" s="1"/>
      <c r="B265" s="107"/>
      <c r="C265" s="107"/>
      <c r="D265" s="107"/>
      <c r="E265" s="107"/>
      <c r="F265" s="107"/>
      <c r="G265" s="107"/>
      <c r="H265" s="107"/>
      <c r="I265" s="107"/>
    </row>
    <row r="266" spans="1:9" ht="12.75" customHeight="1" x14ac:dyDescent="0.25">
      <c r="A266" s="1"/>
      <c r="B266" s="107"/>
      <c r="C266" s="107"/>
      <c r="D266" s="107"/>
      <c r="E266" s="107"/>
      <c r="F266" s="107"/>
      <c r="G266" s="107"/>
      <c r="H266" s="107"/>
      <c r="I266" s="107"/>
    </row>
    <row r="267" spans="1:9" ht="12.75" customHeight="1" x14ac:dyDescent="0.25">
      <c r="A267" s="1"/>
      <c r="B267" s="107"/>
      <c r="C267" s="107"/>
      <c r="D267" s="107"/>
      <c r="E267" s="107"/>
      <c r="F267" s="107"/>
      <c r="G267" s="107"/>
      <c r="H267" s="107"/>
      <c r="I267" s="107"/>
    </row>
    <row r="268" spans="1:9" ht="12.75" customHeight="1" x14ac:dyDescent="0.25">
      <c r="A268" s="1"/>
      <c r="B268" s="107"/>
      <c r="C268" s="107"/>
      <c r="D268" s="107"/>
      <c r="E268" s="107"/>
      <c r="F268" s="107"/>
      <c r="G268" s="107"/>
      <c r="H268" s="107"/>
      <c r="I268" s="107"/>
    </row>
    <row r="269" spans="1:9" ht="12.75" customHeight="1" x14ac:dyDescent="0.25">
      <c r="A269" s="1"/>
      <c r="B269" s="107"/>
      <c r="C269" s="107"/>
      <c r="D269" s="107"/>
      <c r="E269" s="107"/>
      <c r="F269" s="107"/>
      <c r="G269" s="107"/>
      <c r="H269" s="107"/>
      <c r="I269" s="107"/>
    </row>
    <row r="270" spans="1:9" ht="12.75" customHeight="1" x14ac:dyDescent="0.25">
      <c r="A270" s="1"/>
      <c r="B270" s="107"/>
      <c r="C270" s="107"/>
      <c r="D270" s="107"/>
      <c r="E270" s="107"/>
      <c r="F270" s="107"/>
      <c r="G270" s="107"/>
      <c r="H270" s="107"/>
      <c r="I270" s="107"/>
    </row>
    <row r="271" spans="1:9" ht="12.75" customHeight="1" x14ac:dyDescent="0.25">
      <c r="A271" s="1"/>
      <c r="B271" s="107"/>
      <c r="C271" s="107"/>
      <c r="D271" s="107"/>
      <c r="E271" s="107"/>
      <c r="F271" s="107"/>
      <c r="G271" s="107"/>
      <c r="H271" s="107"/>
      <c r="I271" s="107"/>
    </row>
    <row r="272" spans="1:9" ht="12.75" customHeight="1" x14ac:dyDescent="0.25">
      <c r="A272" s="1"/>
      <c r="B272" s="107"/>
      <c r="C272" s="107"/>
      <c r="D272" s="107"/>
      <c r="E272" s="107"/>
      <c r="F272" s="107"/>
      <c r="G272" s="107"/>
      <c r="H272" s="107"/>
      <c r="I272" s="107"/>
    </row>
    <row r="273" spans="1:9" ht="12.75" customHeight="1" x14ac:dyDescent="0.25">
      <c r="A273" s="1"/>
      <c r="B273" s="107"/>
      <c r="C273" s="107"/>
      <c r="D273" s="107"/>
      <c r="E273" s="107"/>
      <c r="F273" s="107"/>
      <c r="G273" s="107"/>
      <c r="H273" s="107"/>
      <c r="I273" s="107"/>
    </row>
    <row r="274" spans="1:9" ht="12.75" customHeight="1" x14ac:dyDescent="0.25">
      <c r="A274" s="1"/>
      <c r="B274" s="107"/>
      <c r="C274" s="107"/>
      <c r="D274" s="107"/>
      <c r="E274" s="107"/>
      <c r="F274" s="107"/>
      <c r="G274" s="107"/>
      <c r="H274" s="107"/>
      <c r="I274" s="107"/>
    </row>
    <row r="275" spans="1:9" ht="12.75" customHeight="1" x14ac:dyDescent="0.25">
      <c r="A275" s="1"/>
      <c r="B275" s="107"/>
      <c r="C275" s="107"/>
      <c r="D275" s="107"/>
      <c r="E275" s="107"/>
      <c r="F275" s="107"/>
      <c r="G275" s="107"/>
      <c r="H275" s="107"/>
      <c r="I275" s="107"/>
    </row>
    <row r="276" spans="1:9" ht="12.75" customHeight="1" x14ac:dyDescent="0.25">
      <c r="A276" s="1"/>
      <c r="B276" s="107"/>
      <c r="C276" s="107"/>
      <c r="D276" s="107"/>
      <c r="E276" s="107"/>
      <c r="F276" s="107"/>
      <c r="G276" s="107"/>
      <c r="H276" s="107"/>
      <c r="I276" s="107"/>
    </row>
    <row r="277" spans="1:9" ht="12.75" customHeight="1" x14ac:dyDescent="0.25">
      <c r="A277" s="1"/>
      <c r="B277" s="107"/>
      <c r="C277" s="107"/>
      <c r="D277" s="107"/>
      <c r="E277" s="107"/>
      <c r="F277" s="107"/>
      <c r="G277" s="107"/>
      <c r="H277" s="107"/>
      <c r="I277" s="107"/>
    </row>
    <row r="278" spans="1:9" ht="12.75" customHeight="1" x14ac:dyDescent="0.25">
      <c r="A278" s="1"/>
      <c r="B278" s="107"/>
      <c r="C278" s="107"/>
      <c r="D278" s="107"/>
      <c r="E278" s="107"/>
      <c r="F278" s="107"/>
      <c r="G278" s="107"/>
      <c r="H278" s="107"/>
      <c r="I278" s="107"/>
    </row>
    <row r="279" spans="1:9" ht="12.75" customHeight="1" x14ac:dyDescent="0.25">
      <c r="A279" s="1"/>
      <c r="B279" s="107"/>
      <c r="C279" s="107"/>
      <c r="D279" s="107"/>
      <c r="E279" s="107"/>
      <c r="F279" s="107"/>
      <c r="G279" s="107"/>
      <c r="H279" s="107"/>
      <c r="I279" s="107"/>
    </row>
    <row r="280" spans="1:9" ht="12.75" customHeight="1" x14ac:dyDescent="0.25">
      <c r="A280" s="1"/>
      <c r="B280" s="107"/>
      <c r="C280" s="107"/>
      <c r="D280" s="107"/>
      <c r="E280" s="107"/>
      <c r="F280" s="107"/>
      <c r="G280" s="107"/>
      <c r="H280" s="107"/>
      <c r="I280" s="107"/>
    </row>
    <row r="281" spans="1:9" ht="12.75" customHeight="1" x14ac:dyDescent="0.25">
      <c r="A281" s="1"/>
      <c r="B281" s="107"/>
      <c r="C281" s="107"/>
      <c r="D281" s="107"/>
      <c r="E281" s="107"/>
      <c r="F281" s="107"/>
      <c r="G281" s="107"/>
      <c r="H281" s="107"/>
      <c r="I281" s="107"/>
    </row>
    <row r="282" spans="1:9" ht="12.75" customHeight="1" x14ac:dyDescent="0.25">
      <c r="A282" s="1"/>
      <c r="B282" s="107"/>
      <c r="C282" s="107"/>
      <c r="D282" s="107"/>
      <c r="E282" s="107"/>
      <c r="F282" s="107"/>
      <c r="G282" s="107"/>
      <c r="H282" s="107"/>
      <c r="I282" s="107"/>
    </row>
    <row r="283" spans="1:9" ht="12.75" customHeight="1" x14ac:dyDescent="0.25">
      <c r="A283" s="1"/>
      <c r="B283" s="107"/>
      <c r="C283" s="107"/>
      <c r="D283" s="107"/>
      <c r="E283" s="107"/>
      <c r="F283" s="107"/>
      <c r="G283" s="107"/>
      <c r="H283" s="107"/>
      <c r="I283" s="107"/>
    </row>
    <row r="284" spans="1:9" ht="12.75" customHeight="1" x14ac:dyDescent="0.25">
      <c r="A284" s="1"/>
      <c r="B284" s="107"/>
      <c r="C284" s="107"/>
      <c r="D284" s="107"/>
      <c r="E284" s="107"/>
      <c r="F284" s="107"/>
      <c r="G284" s="107"/>
      <c r="H284" s="107"/>
      <c r="I284" s="107"/>
    </row>
    <row r="285" spans="1:9" ht="12.75" customHeight="1" x14ac:dyDescent="0.25">
      <c r="A285" s="1"/>
      <c r="B285" s="107"/>
      <c r="C285" s="107"/>
      <c r="D285" s="107"/>
      <c r="E285" s="107"/>
      <c r="F285" s="107"/>
      <c r="G285" s="107"/>
      <c r="H285" s="107"/>
      <c r="I285" s="107"/>
    </row>
    <row r="286" spans="1:9" ht="12.75" customHeight="1" x14ac:dyDescent="0.25">
      <c r="A286" s="1"/>
      <c r="B286" s="107"/>
      <c r="C286" s="107"/>
      <c r="D286" s="107"/>
      <c r="E286" s="107"/>
      <c r="F286" s="107"/>
      <c r="G286" s="107"/>
      <c r="H286" s="107"/>
      <c r="I286" s="107"/>
    </row>
    <row r="287" spans="1:9" ht="12.75" customHeight="1" x14ac:dyDescent="0.25">
      <c r="A287" s="1"/>
      <c r="B287" s="107"/>
      <c r="C287" s="107"/>
      <c r="D287" s="107"/>
      <c r="E287" s="107"/>
      <c r="F287" s="107"/>
      <c r="G287" s="107"/>
      <c r="H287" s="107"/>
      <c r="I287" s="107"/>
    </row>
    <row r="288" spans="1:9" ht="12.75" customHeight="1" x14ac:dyDescent="0.25">
      <c r="A288" s="1"/>
      <c r="B288" s="107"/>
      <c r="C288" s="107"/>
      <c r="D288" s="107"/>
      <c r="E288" s="107"/>
      <c r="F288" s="107"/>
      <c r="G288" s="107"/>
      <c r="H288" s="107"/>
      <c r="I288" s="107"/>
    </row>
    <row r="289" spans="1:9" ht="12.75" customHeight="1" x14ac:dyDescent="0.25">
      <c r="A289" s="1"/>
      <c r="B289" s="107"/>
      <c r="C289" s="107"/>
      <c r="D289" s="107"/>
      <c r="E289" s="107"/>
      <c r="F289" s="107"/>
      <c r="G289" s="107"/>
      <c r="H289" s="107"/>
      <c r="I289" s="107"/>
    </row>
    <row r="290" spans="1:9" ht="12.75" customHeight="1" x14ac:dyDescent="0.25">
      <c r="A290" s="1"/>
      <c r="B290" s="107"/>
      <c r="C290" s="107"/>
      <c r="D290" s="107"/>
      <c r="E290" s="107"/>
      <c r="F290" s="107"/>
      <c r="G290" s="107"/>
      <c r="H290" s="107"/>
      <c r="I290" s="107"/>
    </row>
    <row r="291" spans="1:9" ht="12.75" customHeight="1" x14ac:dyDescent="0.25">
      <c r="A291" s="1"/>
      <c r="B291" s="107"/>
      <c r="C291" s="107"/>
      <c r="D291" s="107"/>
      <c r="E291" s="107"/>
      <c r="F291" s="107"/>
      <c r="G291" s="107"/>
      <c r="H291" s="107"/>
      <c r="I291" s="107"/>
    </row>
    <row r="292" spans="1:9" ht="12.75" customHeight="1" x14ac:dyDescent="0.25">
      <c r="A292" s="1"/>
      <c r="B292" s="107"/>
      <c r="C292" s="107"/>
      <c r="D292" s="107"/>
      <c r="E292" s="107"/>
      <c r="F292" s="107"/>
      <c r="G292" s="107"/>
      <c r="H292" s="107"/>
      <c r="I292" s="107"/>
    </row>
    <row r="293" spans="1:9" ht="12.75" customHeight="1" x14ac:dyDescent="0.25">
      <c r="A293" s="1"/>
      <c r="B293" s="107"/>
      <c r="C293" s="107"/>
      <c r="D293" s="107"/>
      <c r="E293" s="107"/>
      <c r="F293" s="107"/>
      <c r="G293" s="107"/>
      <c r="H293" s="107"/>
      <c r="I293" s="107"/>
    </row>
    <row r="294" spans="1:9" ht="12.75" customHeight="1" x14ac:dyDescent="0.25">
      <c r="A294" s="1"/>
      <c r="B294" s="107"/>
      <c r="C294" s="107"/>
      <c r="D294" s="107"/>
      <c r="E294" s="107"/>
      <c r="F294" s="107"/>
      <c r="G294" s="107"/>
      <c r="H294" s="107"/>
      <c r="I294" s="107"/>
    </row>
    <row r="295" spans="1:9" ht="12.75" customHeight="1" x14ac:dyDescent="0.25">
      <c r="A295" s="1"/>
      <c r="B295" s="107"/>
      <c r="C295" s="107"/>
      <c r="D295" s="107"/>
      <c r="E295" s="107"/>
      <c r="F295" s="107"/>
      <c r="G295" s="107"/>
      <c r="H295" s="107"/>
      <c r="I295" s="107"/>
    </row>
    <row r="296" spans="1:9" ht="12.75" customHeight="1" x14ac:dyDescent="0.25">
      <c r="A296" s="1"/>
      <c r="B296" s="107"/>
      <c r="C296" s="107"/>
      <c r="D296" s="107"/>
      <c r="E296" s="107"/>
      <c r="F296" s="107"/>
      <c r="G296" s="107"/>
      <c r="H296" s="107"/>
      <c r="I296" s="107"/>
    </row>
    <row r="297" spans="1:9" ht="12.75" customHeight="1" x14ac:dyDescent="0.25">
      <c r="A297" s="1"/>
      <c r="B297" s="107"/>
      <c r="C297" s="107"/>
      <c r="D297" s="107"/>
      <c r="E297" s="107"/>
      <c r="F297" s="107"/>
      <c r="G297" s="107"/>
      <c r="H297" s="107"/>
      <c r="I297" s="107"/>
    </row>
    <row r="298" spans="1:9" ht="12.75" customHeight="1" x14ac:dyDescent="0.25">
      <c r="A298" s="1"/>
      <c r="B298" s="107"/>
      <c r="C298" s="107"/>
      <c r="D298" s="107"/>
      <c r="E298" s="107"/>
      <c r="F298" s="107"/>
      <c r="G298" s="107"/>
      <c r="H298" s="107"/>
      <c r="I298" s="107"/>
    </row>
    <row r="299" spans="1:9" ht="12.75" customHeight="1" x14ac:dyDescent="0.25">
      <c r="A299" s="1"/>
      <c r="B299" s="107"/>
      <c r="C299" s="107"/>
      <c r="D299" s="107"/>
      <c r="E299" s="107"/>
      <c r="F299" s="107"/>
      <c r="G299" s="107"/>
      <c r="H299" s="107"/>
      <c r="I299" s="107"/>
    </row>
    <row r="300" spans="1:9" ht="12.75" customHeight="1" x14ac:dyDescent="0.25">
      <c r="A300" s="1"/>
      <c r="B300" s="107"/>
      <c r="C300" s="107"/>
      <c r="D300" s="107"/>
      <c r="E300" s="107"/>
      <c r="F300" s="107"/>
      <c r="G300" s="107"/>
      <c r="H300" s="107"/>
      <c r="I300" s="107"/>
    </row>
    <row r="301" spans="1:9" ht="12.75" customHeight="1" x14ac:dyDescent="0.25">
      <c r="A301" s="1"/>
      <c r="B301" s="107"/>
      <c r="C301" s="107"/>
      <c r="D301" s="107"/>
      <c r="E301" s="107"/>
      <c r="F301" s="107"/>
      <c r="G301" s="107"/>
      <c r="H301" s="107"/>
      <c r="I301" s="107"/>
    </row>
    <row r="302" spans="1:9" ht="12.75" customHeight="1" x14ac:dyDescent="0.25">
      <c r="A302" s="1"/>
      <c r="B302" s="107"/>
      <c r="C302" s="107"/>
      <c r="D302" s="107"/>
      <c r="E302" s="107"/>
      <c r="F302" s="107"/>
      <c r="G302" s="107"/>
      <c r="H302" s="107"/>
      <c r="I302" s="107"/>
    </row>
    <row r="303" spans="1:9" ht="12.75" customHeight="1" x14ac:dyDescent="0.25">
      <c r="A303" s="1"/>
      <c r="B303" s="107"/>
      <c r="C303" s="107"/>
      <c r="D303" s="107"/>
      <c r="E303" s="107"/>
      <c r="F303" s="107"/>
      <c r="G303" s="107"/>
      <c r="H303" s="107"/>
      <c r="I303" s="107"/>
    </row>
    <row r="304" spans="1:9" ht="12.75" customHeight="1" x14ac:dyDescent="0.25">
      <c r="A304" s="1"/>
      <c r="B304" s="107"/>
      <c r="C304" s="107"/>
      <c r="D304" s="107"/>
      <c r="E304" s="107"/>
      <c r="F304" s="107"/>
      <c r="G304" s="107"/>
      <c r="H304" s="107"/>
      <c r="I304" s="107"/>
    </row>
    <row r="305" spans="1:9" ht="12.75" customHeight="1" x14ac:dyDescent="0.25">
      <c r="A305" s="1"/>
      <c r="B305" s="107"/>
      <c r="C305" s="107"/>
      <c r="D305" s="107"/>
      <c r="E305" s="107"/>
      <c r="F305" s="107"/>
      <c r="G305" s="107"/>
      <c r="H305" s="107"/>
      <c r="I305" s="107"/>
    </row>
    <row r="306" spans="1:9" ht="12.75" customHeight="1" x14ac:dyDescent="0.25">
      <c r="A306" s="1"/>
      <c r="B306" s="107"/>
      <c r="C306" s="107"/>
      <c r="D306" s="107"/>
      <c r="E306" s="107"/>
      <c r="F306" s="107"/>
      <c r="G306" s="107"/>
      <c r="H306" s="107"/>
      <c r="I306" s="107"/>
    </row>
    <row r="307" spans="1:9" ht="12.75" customHeight="1" x14ac:dyDescent="0.25">
      <c r="A307" s="1"/>
      <c r="B307" s="107"/>
      <c r="C307" s="107"/>
      <c r="D307" s="107"/>
      <c r="E307" s="107"/>
      <c r="F307" s="107"/>
      <c r="G307" s="107"/>
      <c r="H307" s="107"/>
      <c r="I307" s="107"/>
    </row>
    <row r="308" spans="1:9" ht="12.75" customHeight="1" x14ac:dyDescent="0.25">
      <c r="A308" s="1"/>
      <c r="B308" s="107"/>
      <c r="C308" s="107"/>
      <c r="D308" s="107"/>
      <c r="E308" s="107"/>
      <c r="F308" s="107"/>
      <c r="G308" s="107"/>
      <c r="H308" s="107"/>
      <c r="I308" s="107"/>
    </row>
    <row r="309" spans="1:9" ht="12.75" customHeight="1" x14ac:dyDescent="0.25">
      <c r="A309" s="1"/>
      <c r="B309" s="107"/>
      <c r="C309" s="107"/>
      <c r="D309" s="107"/>
      <c r="E309" s="107"/>
      <c r="F309" s="107"/>
      <c r="G309" s="107"/>
      <c r="H309" s="107"/>
      <c r="I309" s="107"/>
    </row>
    <row r="310" spans="1:9" ht="12.75" customHeight="1" x14ac:dyDescent="0.25">
      <c r="A310" s="1"/>
      <c r="B310" s="107"/>
      <c r="C310" s="107"/>
      <c r="D310" s="107"/>
      <c r="E310" s="107"/>
      <c r="F310" s="107"/>
      <c r="G310" s="107"/>
      <c r="H310" s="107"/>
      <c r="I310" s="107"/>
    </row>
    <row r="311" spans="1:9" ht="12.75" customHeight="1" x14ac:dyDescent="0.25">
      <c r="A311" s="1"/>
      <c r="B311" s="107"/>
      <c r="C311" s="107"/>
      <c r="D311" s="107"/>
      <c r="E311" s="107"/>
      <c r="F311" s="107"/>
      <c r="G311" s="107"/>
      <c r="H311" s="107"/>
      <c r="I311" s="107"/>
    </row>
    <row r="312" spans="1:9" ht="12.75" customHeight="1" x14ac:dyDescent="0.25">
      <c r="A312" s="1"/>
      <c r="B312" s="107"/>
      <c r="C312" s="107"/>
      <c r="D312" s="107"/>
      <c r="E312" s="107"/>
      <c r="F312" s="107"/>
      <c r="G312" s="107"/>
      <c r="H312" s="107"/>
      <c r="I312" s="107"/>
    </row>
    <row r="313" spans="1:9" ht="12.75" customHeight="1" x14ac:dyDescent="0.25">
      <c r="A313" s="1"/>
      <c r="B313" s="107"/>
      <c r="C313" s="107"/>
      <c r="D313" s="107"/>
      <c r="E313" s="107"/>
      <c r="F313" s="107"/>
      <c r="G313" s="107"/>
      <c r="H313" s="107"/>
      <c r="I313" s="107"/>
    </row>
    <row r="314" spans="1:9" ht="12.75" customHeight="1" x14ac:dyDescent="0.25">
      <c r="A314" s="1"/>
      <c r="B314" s="107"/>
      <c r="C314" s="107"/>
      <c r="D314" s="107"/>
      <c r="E314" s="107"/>
      <c r="F314" s="107"/>
      <c r="G314" s="107"/>
      <c r="H314" s="107"/>
      <c r="I314" s="107"/>
    </row>
    <row r="315" spans="1:9" ht="12.75" customHeight="1" x14ac:dyDescent="0.25">
      <c r="A315" s="1"/>
      <c r="B315" s="107"/>
      <c r="C315" s="107"/>
      <c r="D315" s="107"/>
      <c r="E315" s="107"/>
      <c r="F315" s="107"/>
      <c r="G315" s="107"/>
      <c r="H315" s="107"/>
      <c r="I315" s="107"/>
    </row>
    <row r="316" spans="1:9" ht="12.75" customHeight="1" x14ac:dyDescent="0.25">
      <c r="A316" s="1"/>
      <c r="B316" s="107"/>
      <c r="C316" s="107"/>
      <c r="D316" s="107"/>
      <c r="E316" s="107"/>
      <c r="F316" s="107"/>
      <c r="G316" s="107"/>
      <c r="H316" s="107"/>
      <c r="I316" s="107"/>
    </row>
    <row r="317" spans="1:9" ht="12.75" customHeight="1" x14ac:dyDescent="0.25">
      <c r="A317" s="1"/>
      <c r="B317" s="107"/>
      <c r="C317" s="107"/>
      <c r="D317" s="107"/>
      <c r="E317" s="107"/>
      <c r="F317" s="107"/>
      <c r="G317" s="107"/>
      <c r="H317" s="107"/>
      <c r="I317" s="107"/>
    </row>
    <row r="318" spans="1:9" ht="12.75" customHeight="1" x14ac:dyDescent="0.25">
      <c r="A318" s="1"/>
      <c r="B318" s="107"/>
      <c r="C318" s="107"/>
      <c r="D318" s="107"/>
      <c r="E318" s="107"/>
      <c r="F318" s="107"/>
      <c r="G318" s="107"/>
      <c r="H318" s="107"/>
      <c r="I318" s="107"/>
    </row>
    <row r="319" spans="1:9" ht="12.75" customHeight="1" x14ac:dyDescent="0.25">
      <c r="A319" s="1"/>
      <c r="B319" s="107"/>
      <c r="C319" s="107"/>
      <c r="D319" s="107"/>
      <c r="E319" s="107"/>
      <c r="F319" s="107"/>
      <c r="G319" s="107"/>
      <c r="H319" s="107"/>
      <c r="I319" s="107"/>
    </row>
    <row r="320" spans="1:9" ht="12.75" customHeight="1" x14ac:dyDescent="0.25">
      <c r="A320" s="1"/>
      <c r="B320" s="107"/>
      <c r="C320" s="107"/>
      <c r="D320" s="107"/>
      <c r="E320" s="107"/>
      <c r="F320" s="107"/>
      <c r="G320" s="107"/>
      <c r="H320" s="107"/>
      <c r="I320" s="107"/>
    </row>
    <row r="321" spans="1:9" ht="12.75" customHeight="1" x14ac:dyDescent="0.25">
      <c r="A321" s="1"/>
      <c r="B321" s="107"/>
      <c r="C321" s="107"/>
      <c r="D321" s="107"/>
      <c r="E321" s="107"/>
      <c r="F321" s="107"/>
      <c r="G321" s="107"/>
      <c r="H321" s="107"/>
      <c r="I321" s="107"/>
    </row>
    <row r="322" spans="1:9" ht="12.75" customHeight="1" x14ac:dyDescent="0.25">
      <c r="A322" s="1"/>
      <c r="B322" s="107"/>
      <c r="C322" s="107"/>
      <c r="D322" s="107"/>
      <c r="E322" s="107"/>
      <c r="F322" s="107"/>
      <c r="G322" s="107"/>
      <c r="H322" s="107"/>
      <c r="I322" s="107"/>
    </row>
    <row r="323" spans="1:9" ht="12.75" customHeight="1" x14ac:dyDescent="0.25">
      <c r="A323" s="1"/>
      <c r="B323" s="107"/>
      <c r="C323" s="107"/>
      <c r="D323" s="107"/>
      <c r="E323" s="107"/>
      <c r="F323" s="107"/>
      <c r="G323" s="107"/>
      <c r="H323" s="107"/>
      <c r="I323" s="107"/>
    </row>
    <row r="324" spans="1:9" ht="12.75" customHeight="1" x14ac:dyDescent="0.25">
      <c r="A324" s="1"/>
      <c r="B324" s="107"/>
      <c r="C324" s="107"/>
      <c r="D324" s="107"/>
      <c r="E324" s="107"/>
      <c r="F324" s="107"/>
      <c r="G324" s="107"/>
      <c r="H324" s="107"/>
      <c r="I324" s="107"/>
    </row>
    <row r="325" spans="1:9" ht="12.75" customHeight="1" x14ac:dyDescent="0.25">
      <c r="A325" s="1"/>
      <c r="B325" s="107"/>
      <c r="C325" s="107"/>
      <c r="D325" s="107"/>
      <c r="E325" s="107"/>
      <c r="F325" s="107"/>
      <c r="G325" s="107"/>
      <c r="H325" s="107"/>
      <c r="I325" s="107"/>
    </row>
    <row r="326" spans="1:9" ht="12.75" customHeight="1" x14ac:dyDescent="0.25">
      <c r="A326" s="1"/>
      <c r="B326" s="107"/>
      <c r="C326" s="107"/>
      <c r="D326" s="107"/>
      <c r="E326" s="107"/>
      <c r="F326" s="107"/>
      <c r="G326" s="107"/>
      <c r="H326" s="107"/>
      <c r="I326" s="107"/>
    </row>
    <row r="327" spans="1:9" ht="12.75" customHeight="1" x14ac:dyDescent="0.25">
      <c r="A327" s="1"/>
      <c r="B327" s="107"/>
      <c r="C327" s="107"/>
      <c r="D327" s="107"/>
      <c r="E327" s="107"/>
      <c r="F327" s="107"/>
      <c r="G327" s="107"/>
      <c r="H327" s="107"/>
      <c r="I327" s="107"/>
    </row>
    <row r="328" spans="1:9" ht="12.75" customHeight="1" x14ac:dyDescent="0.25">
      <c r="A328" s="1"/>
      <c r="B328" s="107"/>
      <c r="C328" s="107"/>
      <c r="D328" s="107"/>
      <c r="E328" s="107"/>
      <c r="F328" s="107"/>
      <c r="G328" s="107"/>
      <c r="H328" s="107"/>
      <c r="I328" s="107"/>
    </row>
    <row r="329" spans="1:9" ht="12.75" customHeight="1" x14ac:dyDescent="0.25">
      <c r="A329" s="1"/>
      <c r="B329" s="107"/>
      <c r="C329" s="107"/>
      <c r="D329" s="107"/>
      <c r="E329" s="107"/>
      <c r="F329" s="107"/>
      <c r="G329" s="107"/>
      <c r="H329" s="107"/>
      <c r="I329" s="107"/>
    </row>
    <row r="330" spans="1:9" ht="12.75" customHeight="1" x14ac:dyDescent="0.25">
      <c r="A330" s="1"/>
      <c r="B330" s="107"/>
      <c r="C330" s="107"/>
      <c r="D330" s="107"/>
      <c r="E330" s="107"/>
      <c r="F330" s="107"/>
      <c r="G330" s="107"/>
      <c r="H330" s="107"/>
      <c r="I330" s="107"/>
    </row>
    <row r="331" spans="1:9" ht="12.75" customHeight="1" x14ac:dyDescent="0.25">
      <c r="A331" s="1"/>
      <c r="B331" s="107"/>
      <c r="C331" s="107"/>
      <c r="D331" s="107"/>
      <c r="E331" s="107"/>
      <c r="F331" s="107"/>
      <c r="G331" s="107"/>
      <c r="H331" s="107"/>
      <c r="I331" s="107"/>
    </row>
    <row r="332" spans="1:9" ht="12.75" customHeight="1" x14ac:dyDescent="0.25">
      <c r="A332" s="1"/>
      <c r="B332" s="107"/>
      <c r="C332" s="107"/>
      <c r="D332" s="107"/>
      <c r="E332" s="107"/>
      <c r="F332" s="107"/>
      <c r="G332" s="107"/>
      <c r="H332" s="107"/>
      <c r="I332" s="107"/>
    </row>
    <row r="333" spans="1:9" ht="12.75" customHeight="1" x14ac:dyDescent="0.25">
      <c r="A333" s="1"/>
      <c r="B333" s="107"/>
      <c r="C333" s="107"/>
      <c r="D333" s="107"/>
      <c r="E333" s="107"/>
      <c r="F333" s="107"/>
      <c r="G333" s="107"/>
      <c r="H333" s="107"/>
      <c r="I333" s="107"/>
    </row>
    <row r="334" spans="1:9" ht="12.75" customHeight="1" x14ac:dyDescent="0.25">
      <c r="A334" s="1"/>
      <c r="B334" s="107"/>
      <c r="C334" s="107"/>
      <c r="D334" s="107"/>
      <c r="E334" s="107"/>
      <c r="F334" s="107"/>
      <c r="G334" s="107"/>
      <c r="H334" s="107"/>
      <c r="I334" s="107"/>
    </row>
    <row r="335" spans="1:9" ht="12.75" customHeight="1" x14ac:dyDescent="0.25">
      <c r="A335" s="1"/>
      <c r="B335" s="107"/>
      <c r="C335" s="107"/>
      <c r="D335" s="107"/>
      <c r="E335" s="107"/>
      <c r="F335" s="107"/>
      <c r="G335" s="107"/>
      <c r="H335" s="107"/>
      <c r="I335" s="107"/>
    </row>
    <row r="336" spans="1:9" ht="12.75" customHeight="1" x14ac:dyDescent="0.25">
      <c r="A336" s="1"/>
      <c r="B336" s="107"/>
      <c r="C336" s="107"/>
      <c r="D336" s="107"/>
      <c r="E336" s="107"/>
      <c r="F336" s="107"/>
      <c r="G336" s="107"/>
      <c r="H336" s="107"/>
      <c r="I336" s="107"/>
    </row>
    <row r="337" spans="1:9" ht="12.75" customHeight="1" x14ac:dyDescent="0.25">
      <c r="A337" s="1"/>
      <c r="B337" s="107"/>
      <c r="C337" s="107"/>
      <c r="D337" s="107"/>
      <c r="E337" s="107"/>
      <c r="F337" s="107"/>
      <c r="G337" s="107"/>
      <c r="H337" s="107"/>
      <c r="I337" s="107"/>
    </row>
    <row r="338" spans="1:9" ht="12.75" customHeight="1" x14ac:dyDescent="0.25">
      <c r="A338" s="1"/>
      <c r="B338" s="107"/>
      <c r="C338" s="107"/>
      <c r="D338" s="107"/>
      <c r="E338" s="107"/>
      <c r="F338" s="107"/>
      <c r="G338" s="107"/>
      <c r="H338" s="107"/>
      <c r="I338" s="107"/>
    </row>
    <row r="339" spans="1:9" ht="12.75" customHeight="1" x14ac:dyDescent="0.25">
      <c r="A339" s="1"/>
      <c r="B339" s="107"/>
      <c r="C339" s="107"/>
      <c r="D339" s="107"/>
      <c r="E339" s="107"/>
      <c r="F339" s="107"/>
      <c r="G339" s="107"/>
      <c r="H339" s="107"/>
      <c r="I339" s="107"/>
    </row>
    <row r="340" spans="1:9" ht="12.75" customHeight="1" x14ac:dyDescent="0.25">
      <c r="A340" s="1"/>
      <c r="B340" s="107"/>
      <c r="C340" s="107"/>
      <c r="D340" s="107"/>
      <c r="E340" s="107"/>
      <c r="F340" s="107"/>
      <c r="G340" s="107"/>
      <c r="H340" s="107"/>
      <c r="I340" s="107"/>
    </row>
    <row r="341" spans="1:9" ht="12.75" customHeight="1" x14ac:dyDescent="0.25">
      <c r="A341" s="1"/>
      <c r="B341" s="107"/>
      <c r="C341" s="107"/>
      <c r="D341" s="107"/>
      <c r="E341" s="107"/>
      <c r="F341" s="107"/>
      <c r="G341" s="107"/>
      <c r="H341" s="107"/>
      <c r="I341" s="107"/>
    </row>
    <row r="342" spans="1:9" ht="12.75" customHeight="1" x14ac:dyDescent="0.25">
      <c r="A342" s="1"/>
      <c r="B342" s="107"/>
      <c r="C342" s="107"/>
      <c r="D342" s="107"/>
      <c r="E342" s="107"/>
      <c r="F342" s="107"/>
      <c r="G342" s="107"/>
      <c r="H342" s="107"/>
      <c r="I342" s="107"/>
    </row>
    <row r="343" spans="1:9" ht="12.75" customHeight="1" x14ac:dyDescent="0.25">
      <c r="A343" s="1"/>
      <c r="B343" s="107"/>
      <c r="C343" s="107"/>
      <c r="D343" s="107"/>
      <c r="E343" s="107"/>
      <c r="F343" s="107"/>
      <c r="G343" s="107"/>
      <c r="H343" s="107"/>
      <c r="I343" s="107"/>
    </row>
    <row r="344" spans="1:9" ht="12.75" customHeight="1" x14ac:dyDescent="0.25">
      <c r="A344" s="1"/>
      <c r="B344" s="107"/>
      <c r="C344" s="107"/>
      <c r="D344" s="107"/>
      <c r="E344" s="107"/>
      <c r="F344" s="107"/>
      <c r="G344" s="107"/>
      <c r="H344" s="107"/>
      <c r="I344" s="107"/>
    </row>
    <row r="345" spans="1:9" ht="12.75" customHeight="1" x14ac:dyDescent="0.25">
      <c r="A345" s="1"/>
      <c r="B345" s="107"/>
      <c r="C345" s="107"/>
      <c r="D345" s="107"/>
      <c r="E345" s="107"/>
      <c r="F345" s="107"/>
      <c r="G345" s="107"/>
      <c r="H345" s="107"/>
      <c r="I345" s="107"/>
    </row>
    <row r="346" spans="1:9" ht="12.75" customHeight="1" x14ac:dyDescent="0.25">
      <c r="A346" s="1"/>
      <c r="B346" s="107"/>
      <c r="C346" s="107"/>
      <c r="D346" s="107"/>
      <c r="E346" s="107"/>
      <c r="F346" s="107"/>
      <c r="G346" s="107"/>
      <c r="H346" s="107"/>
      <c r="I346" s="107"/>
    </row>
    <row r="347" spans="1:9" ht="12.75" customHeight="1" x14ac:dyDescent="0.25">
      <c r="A347" s="1"/>
      <c r="B347" s="107"/>
      <c r="C347" s="107"/>
      <c r="D347" s="107"/>
      <c r="E347" s="107"/>
      <c r="F347" s="107"/>
      <c r="G347" s="107"/>
      <c r="H347" s="107"/>
      <c r="I347" s="107"/>
    </row>
    <row r="348" spans="1:9" ht="12.75" customHeight="1" x14ac:dyDescent="0.25">
      <c r="A348" s="1"/>
      <c r="B348" s="107"/>
      <c r="C348" s="107"/>
      <c r="D348" s="107"/>
      <c r="E348" s="107"/>
      <c r="F348" s="107"/>
      <c r="G348" s="107"/>
      <c r="H348" s="107"/>
      <c r="I348" s="107"/>
    </row>
    <row r="349" spans="1:9" ht="12.75" customHeight="1" x14ac:dyDescent="0.25">
      <c r="A349" s="1"/>
      <c r="B349" s="107"/>
      <c r="C349" s="107"/>
      <c r="D349" s="107"/>
      <c r="E349" s="107"/>
      <c r="F349" s="107"/>
      <c r="G349" s="107"/>
      <c r="H349" s="107"/>
      <c r="I349" s="107"/>
    </row>
    <row r="350" spans="1:9" ht="12.75" customHeight="1" x14ac:dyDescent="0.25">
      <c r="A350" s="1"/>
      <c r="B350" s="107"/>
      <c r="C350" s="107"/>
      <c r="D350" s="107"/>
      <c r="E350" s="107"/>
      <c r="F350" s="107"/>
      <c r="G350" s="107"/>
      <c r="H350" s="107"/>
      <c r="I350" s="107"/>
    </row>
    <row r="351" spans="1:9" ht="12.75" customHeight="1" x14ac:dyDescent="0.25">
      <c r="A351" s="1"/>
      <c r="B351" s="107"/>
      <c r="C351" s="107"/>
      <c r="D351" s="107"/>
      <c r="E351" s="107"/>
      <c r="F351" s="107"/>
      <c r="G351" s="107"/>
      <c r="H351" s="107"/>
      <c r="I351" s="107"/>
    </row>
    <row r="352" spans="1:9" ht="12.75" customHeight="1" x14ac:dyDescent="0.25">
      <c r="A352" s="1"/>
      <c r="B352" s="107"/>
      <c r="C352" s="107"/>
      <c r="D352" s="107"/>
      <c r="E352" s="107"/>
      <c r="F352" s="107"/>
      <c r="G352" s="107"/>
      <c r="H352" s="107"/>
      <c r="I352" s="107"/>
    </row>
    <row r="353" spans="1:9" ht="12.75" customHeight="1" x14ac:dyDescent="0.25">
      <c r="A353" s="1"/>
      <c r="B353" s="107"/>
      <c r="C353" s="107"/>
      <c r="D353" s="107"/>
      <c r="E353" s="107"/>
      <c r="F353" s="107"/>
      <c r="G353" s="107"/>
      <c r="H353" s="107"/>
      <c r="I353" s="107"/>
    </row>
    <row r="354" spans="1:9" ht="12.75" customHeight="1" x14ac:dyDescent="0.25">
      <c r="A354" s="1"/>
      <c r="B354" s="107"/>
      <c r="C354" s="107"/>
      <c r="D354" s="107"/>
      <c r="E354" s="107"/>
      <c r="F354" s="107"/>
      <c r="G354" s="107"/>
      <c r="H354" s="107"/>
      <c r="I354" s="107"/>
    </row>
    <row r="355" spans="1:9" ht="12.75" customHeight="1" x14ac:dyDescent="0.25">
      <c r="A355" s="1"/>
      <c r="B355" s="107"/>
      <c r="C355" s="107"/>
      <c r="D355" s="107"/>
      <c r="E355" s="107"/>
      <c r="F355" s="107"/>
      <c r="G355" s="107"/>
      <c r="H355" s="107"/>
      <c r="I355" s="107"/>
    </row>
    <row r="356" spans="1:9" ht="12.75" customHeight="1" x14ac:dyDescent="0.25">
      <c r="A356" s="1"/>
      <c r="B356" s="107"/>
      <c r="C356" s="107"/>
      <c r="D356" s="107"/>
      <c r="E356" s="107"/>
      <c r="F356" s="107"/>
      <c r="G356" s="107"/>
      <c r="H356" s="107"/>
      <c r="I356" s="107"/>
    </row>
    <row r="357" spans="1:9" ht="12.75" customHeight="1" x14ac:dyDescent="0.25">
      <c r="A357" s="1"/>
      <c r="B357" s="107"/>
      <c r="C357" s="107"/>
      <c r="D357" s="107"/>
      <c r="E357" s="107"/>
      <c r="F357" s="107"/>
      <c r="G357" s="107"/>
      <c r="H357" s="107"/>
      <c r="I357" s="107"/>
    </row>
    <row r="358" spans="1:9" ht="12.75" customHeight="1" x14ac:dyDescent="0.25">
      <c r="A358" s="1"/>
      <c r="B358" s="107"/>
      <c r="C358" s="107"/>
      <c r="D358" s="107"/>
      <c r="E358" s="107"/>
      <c r="F358" s="107"/>
      <c r="G358" s="107"/>
      <c r="H358" s="107"/>
      <c r="I358" s="107"/>
    </row>
    <row r="359" spans="1:9" ht="12.75" customHeight="1" x14ac:dyDescent="0.25">
      <c r="A359" s="1"/>
      <c r="B359" s="107"/>
      <c r="C359" s="107"/>
      <c r="D359" s="107"/>
      <c r="E359" s="107"/>
      <c r="F359" s="107"/>
      <c r="G359" s="107"/>
      <c r="H359" s="107"/>
      <c r="I359" s="107"/>
    </row>
    <row r="360" spans="1:9" ht="12.75" customHeight="1" x14ac:dyDescent="0.25">
      <c r="A360" s="1"/>
      <c r="B360" s="107"/>
      <c r="C360" s="107"/>
      <c r="D360" s="107"/>
      <c r="E360" s="107"/>
      <c r="F360" s="107"/>
      <c r="G360" s="107"/>
      <c r="H360" s="107"/>
      <c r="I360" s="107"/>
    </row>
    <row r="361" spans="1:9" ht="12.75" customHeight="1" x14ac:dyDescent="0.25">
      <c r="A361" s="1"/>
      <c r="B361" s="107"/>
      <c r="C361" s="107"/>
      <c r="D361" s="107"/>
      <c r="E361" s="107"/>
      <c r="F361" s="107"/>
      <c r="G361" s="107"/>
      <c r="H361" s="107"/>
      <c r="I361" s="107"/>
    </row>
    <row r="362" spans="1:9" ht="12.75" customHeight="1" x14ac:dyDescent="0.25">
      <c r="A362" s="1"/>
      <c r="B362" s="107"/>
      <c r="C362" s="107"/>
      <c r="D362" s="107"/>
      <c r="E362" s="107"/>
      <c r="F362" s="107"/>
      <c r="G362" s="107"/>
      <c r="H362" s="107"/>
      <c r="I362" s="107"/>
    </row>
    <row r="363" spans="1:9" ht="12.75" customHeight="1" x14ac:dyDescent="0.25">
      <c r="A363" s="1"/>
      <c r="B363" s="107"/>
      <c r="C363" s="107"/>
      <c r="D363" s="107"/>
      <c r="E363" s="107"/>
      <c r="F363" s="107"/>
      <c r="G363" s="107"/>
      <c r="H363" s="107"/>
      <c r="I363" s="107"/>
    </row>
    <row r="364" spans="1:9" ht="12.75" customHeight="1" x14ac:dyDescent="0.25">
      <c r="A364" s="1"/>
      <c r="B364" s="107"/>
      <c r="C364" s="107"/>
      <c r="D364" s="107"/>
      <c r="E364" s="107"/>
      <c r="F364" s="107"/>
      <c r="G364" s="107"/>
      <c r="H364" s="107"/>
      <c r="I364" s="107"/>
    </row>
    <row r="365" spans="1:9" ht="12.75" customHeight="1" x14ac:dyDescent="0.25">
      <c r="A365" s="1"/>
      <c r="B365" s="107"/>
      <c r="C365" s="107"/>
      <c r="D365" s="107"/>
      <c r="E365" s="107"/>
      <c r="F365" s="107"/>
      <c r="G365" s="107"/>
      <c r="H365" s="107"/>
      <c r="I365" s="107"/>
    </row>
    <row r="366" spans="1:9" ht="12.75" customHeight="1" x14ac:dyDescent="0.25">
      <c r="A366" s="1"/>
      <c r="B366" s="107"/>
      <c r="C366" s="107"/>
      <c r="D366" s="107"/>
      <c r="E366" s="107"/>
      <c r="F366" s="107"/>
      <c r="G366" s="107"/>
      <c r="H366" s="107"/>
      <c r="I366" s="107"/>
    </row>
    <row r="367" spans="1:9" ht="12.75" customHeight="1" x14ac:dyDescent="0.25">
      <c r="A367" s="1"/>
      <c r="B367" s="107"/>
      <c r="C367" s="107"/>
      <c r="D367" s="107"/>
      <c r="E367" s="107"/>
      <c r="F367" s="107"/>
      <c r="G367" s="107"/>
      <c r="H367" s="107"/>
      <c r="I367" s="107"/>
    </row>
    <row r="368" spans="1:9" ht="12.75" customHeight="1" x14ac:dyDescent="0.25">
      <c r="A368" s="1"/>
      <c r="B368" s="107"/>
      <c r="C368" s="107"/>
      <c r="D368" s="107"/>
      <c r="E368" s="107"/>
      <c r="F368" s="107"/>
      <c r="G368" s="107"/>
      <c r="H368" s="107"/>
      <c r="I368" s="107"/>
    </row>
    <row r="369" spans="1:9" ht="12.75" customHeight="1" x14ac:dyDescent="0.25">
      <c r="A369" s="1"/>
      <c r="B369" s="107"/>
      <c r="C369" s="107"/>
      <c r="D369" s="107"/>
      <c r="E369" s="107"/>
      <c r="F369" s="107"/>
      <c r="G369" s="107"/>
      <c r="H369" s="107"/>
      <c r="I369" s="107"/>
    </row>
    <row r="370" spans="1:9" ht="12.75" customHeight="1" x14ac:dyDescent="0.25">
      <c r="A370" s="1"/>
      <c r="B370" s="107"/>
      <c r="C370" s="107"/>
      <c r="D370" s="107"/>
      <c r="E370" s="107"/>
      <c r="F370" s="107"/>
      <c r="G370" s="107"/>
      <c r="H370" s="107"/>
      <c r="I370" s="107"/>
    </row>
    <row r="371" spans="1:9" ht="12.75" customHeight="1" x14ac:dyDescent="0.25">
      <c r="A371" s="1"/>
      <c r="B371" s="107"/>
      <c r="C371" s="107"/>
      <c r="D371" s="107"/>
      <c r="E371" s="107"/>
      <c r="F371" s="107"/>
      <c r="G371" s="107"/>
      <c r="H371" s="107"/>
      <c r="I371" s="107"/>
    </row>
    <row r="372" spans="1:9" ht="12.75" customHeight="1" x14ac:dyDescent="0.25">
      <c r="A372" s="1"/>
      <c r="B372" s="107"/>
      <c r="C372" s="107"/>
      <c r="D372" s="107"/>
      <c r="E372" s="107"/>
      <c r="F372" s="107"/>
      <c r="G372" s="107"/>
      <c r="H372" s="107"/>
      <c r="I372" s="107"/>
    </row>
    <row r="373" spans="1:9" ht="12.75" customHeight="1" x14ac:dyDescent="0.25">
      <c r="A373" s="1"/>
      <c r="B373" s="107"/>
      <c r="C373" s="107"/>
      <c r="D373" s="107"/>
      <c r="E373" s="107"/>
      <c r="F373" s="107"/>
      <c r="G373" s="107"/>
      <c r="H373" s="107"/>
      <c r="I373" s="107"/>
    </row>
    <row r="374" spans="1:9" ht="12.75" customHeight="1" x14ac:dyDescent="0.25">
      <c r="A374" s="1"/>
      <c r="B374" s="107"/>
      <c r="C374" s="107"/>
      <c r="D374" s="107"/>
      <c r="E374" s="107"/>
      <c r="F374" s="107"/>
      <c r="G374" s="107"/>
      <c r="H374" s="107"/>
      <c r="I374" s="107"/>
    </row>
    <row r="375" spans="1:9" ht="12.75" customHeight="1" x14ac:dyDescent="0.25">
      <c r="A375" s="1"/>
      <c r="B375" s="107"/>
      <c r="C375" s="107"/>
      <c r="D375" s="107"/>
      <c r="E375" s="107"/>
      <c r="F375" s="107"/>
      <c r="G375" s="107"/>
      <c r="H375" s="107"/>
      <c r="I375" s="107"/>
    </row>
    <row r="376" spans="1:9" ht="12.75" customHeight="1" x14ac:dyDescent="0.25">
      <c r="A376" s="1"/>
      <c r="B376" s="107"/>
      <c r="C376" s="107"/>
      <c r="D376" s="107"/>
      <c r="E376" s="107"/>
      <c r="F376" s="107"/>
      <c r="G376" s="107"/>
      <c r="H376" s="107"/>
      <c r="I376" s="107"/>
    </row>
    <row r="377" spans="1:9" ht="12.75" customHeight="1" x14ac:dyDescent="0.25">
      <c r="A377" s="1"/>
      <c r="B377" s="107"/>
      <c r="C377" s="107"/>
      <c r="D377" s="107"/>
      <c r="E377" s="107"/>
      <c r="F377" s="107"/>
      <c r="G377" s="107"/>
      <c r="H377" s="107"/>
      <c r="I377" s="107"/>
    </row>
    <row r="378" spans="1:9" ht="12.75" customHeight="1" x14ac:dyDescent="0.25">
      <c r="A378" s="1"/>
      <c r="B378" s="107"/>
      <c r="C378" s="107"/>
      <c r="D378" s="107"/>
      <c r="E378" s="107"/>
      <c r="F378" s="107"/>
      <c r="G378" s="107"/>
      <c r="H378" s="107"/>
      <c r="I378" s="107"/>
    </row>
    <row r="379" spans="1:9" ht="12.75" customHeight="1" x14ac:dyDescent="0.25">
      <c r="A379" s="1"/>
      <c r="B379" s="107"/>
      <c r="C379" s="107"/>
      <c r="D379" s="107"/>
      <c r="E379" s="107"/>
      <c r="F379" s="107"/>
      <c r="G379" s="107"/>
      <c r="H379" s="107"/>
      <c r="I379" s="107"/>
    </row>
    <row r="380" spans="1:9" ht="12.75" customHeight="1" x14ac:dyDescent="0.25">
      <c r="A380" s="1"/>
      <c r="B380" s="107"/>
      <c r="C380" s="107"/>
      <c r="D380" s="107"/>
      <c r="E380" s="107"/>
      <c r="F380" s="107"/>
      <c r="G380" s="107"/>
      <c r="H380" s="107"/>
      <c r="I380" s="107"/>
    </row>
    <row r="381" spans="1:9" ht="12.75" customHeight="1" x14ac:dyDescent="0.25">
      <c r="A381" s="1"/>
      <c r="B381" s="107"/>
      <c r="C381" s="107"/>
      <c r="D381" s="107"/>
      <c r="E381" s="107"/>
      <c r="F381" s="107"/>
      <c r="G381" s="107"/>
      <c r="H381" s="107"/>
      <c r="I381" s="107"/>
    </row>
    <row r="382" spans="1:9" ht="12.75" customHeight="1" x14ac:dyDescent="0.25">
      <c r="A382" s="1"/>
      <c r="B382" s="107"/>
      <c r="C382" s="107"/>
      <c r="D382" s="107"/>
      <c r="E382" s="107"/>
      <c r="F382" s="107"/>
      <c r="G382" s="107"/>
      <c r="H382" s="107"/>
      <c r="I382" s="107"/>
    </row>
    <row r="383" spans="1:9" ht="12.75" customHeight="1" x14ac:dyDescent="0.25">
      <c r="A383" s="1"/>
      <c r="B383" s="107"/>
      <c r="C383" s="107"/>
      <c r="D383" s="107"/>
      <c r="E383" s="107"/>
      <c r="F383" s="107"/>
      <c r="G383" s="107"/>
      <c r="H383" s="107"/>
      <c r="I383" s="107"/>
    </row>
    <row r="384" spans="1:9" ht="12.75" customHeight="1" x14ac:dyDescent="0.25">
      <c r="A384" s="1"/>
      <c r="B384" s="107"/>
      <c r="C384" s="107"/>
      <c r="D384" s="107"/>
      <c r="E384" s="107"/>
      <c r="F384" s="107"/>
      <c r="G384" s="107"/>
      <c r="H384" s="107"/>
      <c r="I384" s="107"/>
    </row>
    <row r="385" spans="1:9" ht="12.75" customHeight="1" x14ac:dyDescent="0.25">
      <c r="A385" s="1"/>
      <c r="B385" s="107"/>
      <c r="C385" s="107"/>
      <c r="D385" s="107"/>
      <c r="E385" s="107"/>
      <c r="F385" s="107"/>
      <c r="G385" s="107"/>
      <c r="H385" s="107"/>
      <c r="I385" s="107"/>
    </row>
    <row r="386" spans="1:9" ht="12.75" customHeight="1" x14ac:dyDescent="0.25">
      <c r="A386" s="1"/>
      <c r="B386" s="107"/>
      <c r="C386" s="107"/>
      <c r="D386" s="107"/>
      <c r="E386" s="107"/>
      <c r="F386" s="107"/>
      <c r="G386" s="107"/>
      <c r="H386" s="107"/>
      <c r="I386" s="107"/>
    </row>
    <row r="387" spans="1:9" ht="12.75" customHeight="1" x14ac:dyDescent="0.25">
      <c r="A387" s="1"/>
      <c r="B387" s="107"/>
      <c r="C387" s="107"/>
      <c r="D387" s="107"/>
      <c r="E387" s="107"/>
      <c r="F387" s="107"/>
      <c r="G387" s="107"/>
      <c r="H387" s="107"/>
      <c r="I387" s="107"/>
    </row>
    <row r="388" spans="1:9" ht="12.75" customHeight="1" x14ac:dyDescent="0.25">
      <c r="A388" s="1"/>
      <c r="B388" s="107"/>
      <c r="C388" s="107"/>
      <c r="D388" s="107"/>
      <c r="E388" s="107"/>
      <c r="F388" s="107"/>
      <c r="G388" s="107"/>
      <c r="H388" s="107"/>
      <c r="I388" s="107"/>
    </row>
    <row r="389" spans="1:9" ht="12.75" customHeight="1" x14ac:dyDescent="0.25">
      <c r="A389" s="1"/>
      <c r="B389" s="107"/>
      <c r="C389" s="107"/>
      <c r="D389" s="107"/>
      <c r="E389" s="107"/>
      <c r="F389" s="107"/>
      <c r="G389" s="107"/>
      <c r="H389" s="107"/>
      <c r="I389" s="107"/>
    </row>
    <row r="390" spans="1:9" ht="12.75" customHeight="1" x14ac:dyDescent="0.25">
      <c r="A390" s="1"/>
      <c r="B390" s="107"/>
      <c r="C390" s="107"/>
      <c r="D390" s="107"/>
      <c r="E390" s="107"/>
      <c r="F390" s="107"/>
      <c r="G390" s="107"/>
      <c r="H390" s="107"/>
      <c r="I390" s="107"/>
    </row>
    <row r="391" spans="1:9" ht="12.75" customHeight="1" x14ac:dyDescent="0.25">
      <c r="A391" s="1"/>
      <c r="B391" s="107"/>
      <c r="C391" s="107"/>
      <c r="D391" s="107"/>
      <c r="E391" s="107"/>
      <c r="F391" s="107"/>
      <c r="G391" s="107"/>
      <c r="H391" s="107"/>
      <c r="I391" s="107"/>
    </row>
    <row r="392" spans="1:9" ht="12.75" customHeight="1" x14ac:dyDescent="0.25">
      <c r="A392" s="1"/>
      <c r="B392" s="107"/>
      <c r="C392" s="107"/>
      <c r="D392" s="107"/>
      <c r="E392" s="107"/>
      <c r="F392" s="107"/>
      <c r="G392" s="107"/>
      <c r="H392" s="107"/>
      <c r="I392" s="107"/>
    </row>
    <row r="393" spans="1:9" ht="12.75" customHeight="1" x14ac:dyDescent="0.25">
      <c r="A393" s="1"/>
      <c r="B393" s="107"/>
      <c r="C393" s="107"/>
      <c r="D393" s="107"/>
      <c r="E393" s="107"/>
      <c r="F393" s="107"/>
      <c r="G393" s="107"/>
      <c r="H393" s="107"/>
      <c r="I393" s="107"/>
    </row>
    <row r="394" spans="1:9" ht="12.75" customHeight="1" x14ac:dyDescent="0.25">
      <c r="A394" s="1"/>
      <c r="B394" s="107"/>
      <c r="C394" s="107"/>
      <c r="D394" s="107"/>
      <c r="E394" s="107"/>
      <c r="F394" s="107"/>
      <c r="G394" s="107"/>
      <c r="H394" s="107"/>
      <c r="I394" s="107"/>
    </row>
    <row r="395" spans="1:9" ht="12.75" customHeight="1" x14ac:dyDescent="0.25">
      <c r="A395" s="1"/>
      <c r="B395" s="107"/>
      <c r="C395" s="107"/>
      <c r="D395" s="107"/>
      <c r="E395" s="107"/>
      <c r="F395" s="107"/>
      <c r="G395" s="107"/>
      <c r="H395" s="107"/>
      <c r="I395" s="107"/>
    </row>
    <row r="396" spans="1:9" ht="12.75" customHeight="1" x14ac:dyDescent="0.25">
      <c r="A396" s="1"/>
      <c r="B396" s="107"/>
      <c r="C396" s="107"/>
      <c r="D396" s="107"/>
      <c r="E396" s="107"/>
      <c r="F396" s="107"/>
      <c r="G396" s="107"/>
      <c r="H396" s="107"/>
      <c r="I396" s="107"/>
    </row>
    <row r="397" spans="1:9" ht="12.75" customHeight="1" x14ac:dyDescent="0.25">
      <c r="A397" s="1"/>
      <c r="B397" s="107"/>
      <c r="C397" s="107"/>
      <c r="D397" s="107"/>
      <c r="E397" s="107"/>
      <c r="F397" s="107"/>
      <c r="G397" s="107"/>
      <c r="H397" s="107"/>
      <c r="I397" s="107"/>
    </row>
    <row r="398" spans="1:9" ht="12.75" customHeight="1" x14ac:dyDescent="0.25">
      <c r="A398" s="1"/>
      <c r="B398" s="107"/>
      <c r="C398" s="107"/>
      <c r="D398" s="107"/>
      <c r="E398" s="107"/>
      <c r="F398" s="107"/>
      <c r="G398" s="107"/>
      <c r="H398" s="107"/>
      <c r="I398" s="107"/>
    </row>
    <row r="399" spans="1:9" ht="12.75" customHeight="1" x14ac:dyDescent="0.25">
      <c r="A399" s="1"/>
      <c r="B399" s="107"/>
      <c r="C399" s="107"/>
      <c r="D399" s="107"/>
      <c r="E399" s="107"/>
      <c r="F399" s="107"/>
      <c r="G399" s="107"/>
      <c r="H399" s="107"/>
      <c r="I399" s="107"/>
    </row>
    <row r="400" spans="1:9" ht="12.75" customHeight="1" x14ac:dyDescent="0.25">
      <c r="A400" s="1"/>
      <c r="B400" s="107"/>
      <c r="C400" s="107"/>
      <c r="D400" s="107"/>
      <c r="E400" s="107"/>
      <c r="F400" s="107"/>
      <c r="G400" s="107"/>
      <c r="H400" s="107"/>
      <c r="I400" s="107"/>
    </row>
    <row r="401" spans="1:9" ht="12.75" customHeight="1" x14ac:dyDescent="0.25">
      <c r="A401" s="1"/>
      <c r="B401" s="107"/>
      <c r="C401" s="107"/>
      <c r="D401" s="107"/>
      <c r="E401" s="107"/>
      <c r="F401" s="107"/>
      <c r="G401" s="107"/>
      <c r="H401" s="107"/>
      <c r="I401" s="107"/>
    </row>
    <row r="402" spans="1:9" ht="12.75" customHeight="1" x14ac:dyDescent="0.25">
      <c r="A402" s="1"/>
      <c r="B402" s="107"/>
      <c r="C402" s="107"/>
      <c r="D402" s="107"/>
      <c r="E402" s="107"/>
      <c r="F402" s="107"/>
      <c r="G402" s="107"/>
      <c r="H402" s="107"/>
      <c r="I402" s="107"/>
    </row>
    <row r="403" spans="1:9" ht="12.75" customHeight="1" x14ac:dyDescent="0.25">
      <c r="A403" s="1"/>
      <c r="B403" s="107"/>
      <c r="C403" s="107"/>
      <c r="D403" s="107"/>
      <c r="E403" s="107"/>
      <c r="F403" s="107"/>
      <c r="G403" s="107"/>
      <c r="H403" s="107"/>
      <c r="I403" s="107"/>
    </row>
    <row r="404" spans="1:9" ht="12.75" customHeight="1" x14ac:dyDescent="0.25">
      <c r="A404" s="1"/>
      <c r="B404" s="107"/>
      <c r="C404" s="107"/>
      <c r="D404" s="107"/>
      <c r="E404" s="107"/>
      <c r="F404" s="107"/>
      <c r="G404" s="107"/>
      <c r="H404" s="107"/>
      <c r="I404" s="107"/>
    </row>
    <row r="405" spans="1:9" ht="12.75" customHeight="1" x14ac:dyDescent="0.25">
      <c r="A405" s="1"/>
      <c r="B405" s="107"/>
      <c r="C405" s="107"/>
      <c r="D405" s="107"/>
      <c r="E405" s="107"/>
      <c r="F405" s="107"/>
      <c r="G405" s="107"/>
      <c r="H405" s="107"/>
      <c r="I405" s="107"/>
    </row>
    <row r="406" spans="1:9" ht="12.75" customHeight="1" x14ac:dyDescent="0.25">
      <c r="A406" s="1"/>
      <c r="B406" s="107"/>
      <c r="C406" s="107"/>
      <c r="D406" s="107"/>
      <c r="E406" s="107"/>
      <c r="F406" s="107"/>
      <c r="G406" s="107"/>
      <c r="H406" s="107"/>
      <c r="I406" s="107"/>
    </row>
    <row r="407" spans="1:9" ht="12.75" customHeight="1" x14ac:dyDescent="0.25">
      <c r="A407" s="1"/>
      <c r="B407" s="107"/>
      <c r="C407" s="107"/>
      <c r="D407" s="107"/>
      <c r="E407" s="107"/>
      <c r="F407" s="107"/>
      <c r="G407" s="107"/>
      <c r="H407" s="107"/>
      <c r="I407" s="107"/>
    </row>
    <row r="408" spans="1:9" ht="12.75" customHeight="1" x14ac:dyDescent="0.25">
      <c r="A408" s="1"/>
      <c r="B408" s="107"/>
      <c r="C408" s="107"/>
      <c r="D408" s="107"/>
      <c r="E408" s="107"/>
      <c r="F408" s="107"/>
      <c r="G408" s="107"/>
      <c r="H408" s="107"/>
      <c r="I408" s="107"/>
    </row>
    <row r="409" spans="1:9" ht="12.75" customHeight="1" x14ac:dyDescent="0.25">
      <c r="A409" s="1"/>
      <c r="B409" s="107"/>
      <c r="C409" s="107"/>
      <c r="D409" s="107"/>
      <c r="E409" s="107"/>
      <c r="F409" s="107"/>
      <c r="G409" s="107"/>
      <c r="H409" s="107"/>
      <c r="I409" s="107"/>
    </row>
    <row r="410" spans="1:9" ht="12.75" customHeight="1" x14ac:dyDescent="0.25">
      <c r="A410" s="1"/>
      <c r="B410" s="107"/>
      <c r="C410" s="107"/>
      <c r="D410" s="107"/>
      <c r="E410" s="107"/>
      <c r="F410" s="107"/>
      <c r="G410" s="107"/>
      <c r="H410" s="107"/>
      <c r="I410" s="107"/>
    </row>
    <row r="411" spans="1:9" ht="12.75" customHeight="1" x14ac:dyDescent="0.25">
      <c r="A411" s="1"/>
      <c r="B411" s="107"/>
      <c r="C411" s="107"/>
      <c r="D411" s="107"/>
      <c r="E411" s="107"/>
      <c r="F411" s="107"/>
      <c r="G411" s="107"/>
      <c r="H411" s="107"/>
      <c r="I411" s="107"/>
    </row>
    <row r="412" spans="1:9" ht="12.75" customHeight="1" x14ac:dyDescent="0.25">
      <c r="A412" s="1"/>
      <c r="B412" s="107"/>
      <c r="C412" s="107"/>
      <c r="D412" s="107"/>
      <c r="E412" s="107"/>
      <c r="F412" s="107"/>
      <c r="G412" s="107"/>
      <c r="H412" s="107"/>
      <c r="I412" s="107"/>
    </row>
    <row r="413" spans="1:9" ht="12.75" customHeight="1" x14ac:dyDescent="0.25">
      <c r="A413" s="1"/>
      <c r="B413" s="107"/>
      <c r="C413" s="107"/>
      <c r="D413" s="107"/>
      <c r="E413" s="107"/>
      <c r="F413" s="107"/>
      <c r="G413" s="107"/>
      <c r="H413" s="107"/>
      <c r="I413" s="107"/>
    </row>
    <row r="414" spans="1:9" ht="12.75" customHeight="1" x14ac:dyDescent="0.25">
      <c r="A414" s="1"/>
      <c r="B414" s="107"/>
      <c r="C414" s="107"/>
      <c r="D414" s="107"/>
      <c r="E414" s="107"/>
      <c r="F414" s="107"/>
      <c r="G414" s="107"/>
      <c r="H414" s="107"/>
      <c r="I414" s="107"/>
    </row>
    <row r="415" spans="1:9" ht="12.75" customHeight="1" x14ac:dyDescent="0.25">
      <c r="A415" s="1"/>
      <c r="B415" s="107"/>
      <c r="C415" s="107"/>
      <c r="D415" s="107"/>
      <c r="E415" s="107"/>
      <c r="F415" s="107"/>
      <c r="G415" s="107"/>
      <c r="H415" s="107"/>
      <c r="I415" s="107"/>
    </row>
    <row r="416" spans="1:9" ht="12.75" customHeight="1" x14ac:dyDescent="0.25">
      <c r="A416" s="1"/>
      <c r="B416" s="107"/>
      <c r="C416" s="107"/>
      <c r="D416" s="107"/>
      <c r="E416" s="107"/>
      <c r="F416" s="107"/>
      <c r="G416" s="107"/>
      <c r="H416" s="107"/>
      <c r="I416" s="107"/>
    </row>
    <row r="417" spans="1:9" ht="12.75" customHeight="1" x14ac:dyDescent="0.25">
      <c r="A417" s="1"/>
      <c r="B417" s="107"/>
      <c r="C417" s="107"/>
      <c r="D417" s="107"/>
      <c r="E417" s="107"/>
      <c r="F417" s="107"/>
      <c r="G417" s="107"/>
      <c r="H417" s="107"/>
      <c r="I417" s="107"/>
    </row>
    <row r="418" spans="1:9" ht="12.75" customHeight="1" x14ac:dyDescent="0.25">
      <c r="A418" s="1"/>
      <c r="B418" s="107"/>
      <c r="C418" s="107"/>
      <c r="D418" s="107"/>
      <c r="E418" s="107"/>
      <c r="F418" s="107"/>
      <c r="G418" s="107"/>
      <c r="H418" s="107"/>
      <c r="I418" s="107"/>
    </row>
    <row r="419" spans="1:9" ht="12.75" customHeight="1" x14ac:dyDescent="0.25">
      <c r="A419" s="1"/>
      <c r="B419" s="107"/>
      <c r="C419" s="107"/>
      <c r="D419" s="107"/>
      <c r="E419" s="107"/>
      <c r="F419" s="107"/>
      <c r="G419" s="107"/>
      <c r="H419" s="107"/>
      <c r="I419" s="107"/>
    </row>
    <row r="420" spans="1:9" ht="12.75" customHeight="1" x14ac:dyDescent="0.25">
      <c r="A420" s="1"/>
      <c r="B420" s="107"/>
      <c r="C420" s="107"/>
      <c r="D420" s="107"/>
      <c r="E420" s="107"/>
      <c r="F420" s="107"/>
      <c r="G420" s="107"/>
      <c r="H420" s="107"/>
      <c r="I420" s="107"/>
    </row>
    <row r="421" spans="1:9" ht="12.75" customHeight="1" x14ac:dyDescent="0.25">
      <c r="A421" s="1"/>
      <c r="B421" s="107"/>
      <c r="C421" s="107"/>
      <c r="D421" s="107"/>
      <c r="E421" s="107"/>
      <c r="F421" s="107"/>
      <c r="G421" s="107"/>
      <c r="H421" s="107"/>
      <c r="I421" s="107"/>
    </row>
    <row r="422" spans="1:9" ht="12.75" customHeight="1" x14ac:dyDescent="0.25">
      <c r="A422" s="1"/>
      <c r="B422" s="107"/>
      <c r="C422" s="107"/>
      <c r="D422" s="107"/>
      <c r="E422" s="107"/>
      <c r="F422" s="107"/>
      <c r="G422" s="107"/>
      <c r="H422" s="107"/>
      <c r="I422" s="107"/>
    </row>
    <row r="423" spans="1:9" ht="12.75" customHeight="1" x14ac:dyDescent="0.25">
      <c r="A423" s="1"/>
      <c r="B423" s="107"/>
      <c r="C423" s="107"/>
      <c r="D423" s="107"/>
      <c r="E423" s="107"/>
      <c r="F423" s="107"/>
      <c r="G423" s="107"/>
      <c r="H423" s="107"/>
      <c r="I423" s="107"/>
    </row>
    <row r="424" spans="1:9" ht="12.75" customHeight="1" x14ac:dyDescent="0.25">
      <c r="A424" s="1"/>
      <c r="B424" s="107"/>
      <c r="C424" s="107"/>
      <c r="D424" s="107"/>
      <c r="E424" s="107"/>
      <c r="F424" s="107"/>
      <c r="G424" s="107"/>
      <c r="H424" s="107"/>
      <c r="I424" s="107"/>
    </row>
    <row r="425" spans="1:9" ht="12.75" customHeight="1" x14ac:dyDescent="0.25">
      <c r="A425" s="1"/>
      <c r="B425" s="107"/>
      <c r="C425" s="107"/>
      <c r="D425" s="107"/>
      <c r="E425" s="107"/>
      <c r="F425" s="107"/>
      <c r="G425" s="107"/>
      <c r="H425" s="107"/>
      <c r="I425" s="107"/>
    </row>
    <row r="426" spans="1:9" ht="12.75" customHeight="1" x14ac:dyDescent="0.25">
      <c r="A426" s="1"/>
      <c r="B426" s="107"/>
      <c r="C426" s="107"/>
      <c r="D426" s="107"/>
      <c r="E426" s="107"/>
      <c r="F426" s="107"/>
      <c r="G426" s="107"/>
      <c r="H426" s="107"/>
      <c r="I426" s="107"/>
    </row>
    <row r="427" spans="1:9" ht="12.75" customHeight="1" x14ac:dyDescent="0.25">
      <c r="A427" s="1"/>
      <c r="B427" s="107"/>
      <c r="C427" s="107"/>
      <c r="D427" s="107"/>
      <c r="E427" s="107"/>
      <c r="F427" s="107"/>
      <c r="G427" s="107"/>
      <c r="H427" s="107"/>
      <c r="I427" s="107"/>
    </row>
    <row r="428" spans="1:9" ht="12.75" customHeight="1" x14ac:dyDescent="0.25">
      <c r="A428" s="1"/>
      <c r="B428" s="107"/>
      <c r="C428" s="107"/>
      <c r="D428" s="107"/>
      <c r="E428" s="107"/>
      <c r="F428" s="107"/>
      <c r="G428" s="107"/>
      <c r="H428" s="107"/>
      <c r="I428" s="107"/>
    </row>
    <row r="429" spans="1:9" ht="12.75" customHeight="1" x14ac:dyDescent="0.25">
      <c r="A429" s="1"/>
      <c r="B429" s="107"/>
      <c r="C429" s="107"/>
      <c r="D429" s="107"/>
      <c r="E429" s="107"/>
      <c r="F429" s="107"/>
      <c r="G429" s="107"/>
      <c r="H429" s="107"/>
      <c r="I429" s="107"/>
    </row>
    <row r="430" spans="1:9" ht="12.75" customHeight="1" x14ac:dyDescent="0.25">
      <c r="A430" s="1"/>
      <c r="B430" s="107"/>
      <c r="C430" s="107"/>
      <c r="D430" s="107"/>
      <c r="E430" s="107"/>
      <c r="F430" s="107"/>
      <c r="G430" s="107"/>
      <c r="H430" s="107"/>
      <c r="I430" s="107"/>
    </row>
    <row r="431" spans="1:9" ht="12.75" customHeight="1" x14ac:dyDescent="0.25">
      <c r="A431" s="1"/>
      <c r="B431" s="107"/>
      <c r="C431" s="107"/>
      <c r="D431" s="107"/>
      <c r="E431" s="107"/>
      <c r="F431" s="107"/>
      <c r="G431" s="107"/>
      <c r="H431" s="107"/>
      <c r="I431" s="107"/>
    </row>
    <row r="432" spans="1:9" ht="12.75" customHeight="1" x14ac:dyDescent="0.25">
      <c r="A432" s="1"/>
      <c r="B432" s="107"/>
      <c r="C432" s="107"/>
      <c r="D432" s="107"/>
      <c r="E432" s="107"/>
      <c r="F432" s="107"/>
      <c r="G432" s="107"/>
      <c r="H432" s="107"/>
      <c r="I432" s="107"/>
    </row>
    <row r="433" spans="1:9" ht="12.75" customHeight="1" x14ac:dyDescent="0.25">
      <c r="A433" s="1"/>
      <c r="B433" s="107"/>
      <c r="C433" s="107"/>
      <c r="D433" s="107"/>
      <c r="E433" s="107"/>
      <c r="F433" s="107"/>
      <c r="G433" s="107"/>
      <c r="H433" s="107"/>
      <c r="I433" s="107"/>
    </row>
    <row r="434" spans="1:9" ht="12.75" customHeight="1" x14ac:dyDescent="0.25">
      <c r="A434" s="1"/>
      <c r="B434" s="107"/>
      <c r="C434" s="107"/>
      <c r="D434" s="107"/>
      <c r="E434" s="107"/>
      <c r="F434" s="107"/>
      <c r="G434" s="107"/>
      <c r="H434" s="107"/>
      <c r="I434" s="107"/>
    </row>
    <row r="435" spans="1:9" ht="12.75" customHeight="1" x14ac:dyDescent="0.25">
      <c r="A435" s="1"/>
      <c r="B435" s="107"/>
      <c r="C435" s="107"/>
      <c r="D435" s="107"/>
      <c r="E435" s="107"/>
      <c r="F435" s="107"/>
      <c r="G435" s="107"/>
      <c r="H435" s="107"/>
      <c r="I435" s="107"/>
    </row>
    <row r="436" spans="1:9" ht="12.75" customHeight="1" x14ac:dyDescent="0.25">
      <c r="A436" s="1"/>
      <c r="B436" s="107"/>
      <c r="C436" s="107"/>
      <c r="D436" s="107"/>
      <c r="E436" s="107"/>
      <c r="F436" s="107"/>
      <c r="G436" s="107"/>
      <c r="H436" s="107"/>
      <c r="I436" s="107"/>
    </row>
    <row r="437" spans="1:9" ht="12.75" customHeight="1" x14ac:dyDescent="0.25">
      <c r="A437" s="1"/>
      <c r="B437" s="107"/>
      <c r="C437" s="107"/>
      <c r="D437" s="107"/>
      <c r="E437" s="107"/>
      <c r="F437" s="107"/>
      <c r="G437" s="107"/>
      <c r="H437" s="107"/>
      <c r="I437" s="107"/>
    </row>
    <row r="438" spans="1:9" ht="12.75" customHeight="1" x14ac:dyDescent="0.25">
      <c r="A438" s="1"/>
      <c r="B438" s="107"/>
      <c r="C438" s="107"/>
      <c r="D438" s="107"/>
      <c r="E438" s="107"/>
      <c r="F438" s="107"/>
      <c r="G438" s="107"/>
      <c r="H438" s="107"/>
      <c r="I438" s="107"/>
    </row>
    <row r="439" spans="1:9" ht="12.75" customHeight="1" x14ac:dyDescent="0.25">
      <c r="A439" s="1"/>
      <c r="B439" s="107"/>
      <c r="C439" s="107"/>
      <c r="D439" s="107"/>
      <c r="E439" s="107"/>
      <c r="F439" s="107"/>
      <c r="G439" s="107"/>
      <c r="H439" s="107"/>
      <c r="I439" s="107"/>
    </row>
    <row r="440" spans="1:9" ht="12.75" customHeight="1" x14ac:dyDescent="0.25">
      <c r="A440" s="1"/>
      <c r="B440" s="107"/>
      <c r="C440" s="107"/>
      <c r="D440" s="107"/>
      <c r="E440" s="107"/>
      <c r="F440" s="107"/>
      <c r="G440" s="107"/>
      <c r="H440" s="107"/>
      <c r="I440" s="107"/>
    </row>
    <row r="441" spans="1:9" ht="12.75" customHeight="1" x14ac:dyDescent="0.25">
      <c r="A441" s="1"/>
      <c r="B441" s="107"/>
      <c r="C441" s="107"/>
      <c r="D441" s="107"/>
      <c r="E441" s="107"/>
      <c r="F441" s="107"/>
      <c r="G441" s="107"/>
      <c r="H441" s="107"/>
      <c r="I441" s="107"/>
    </row>
    <row r="442" spans="1:9" ht="12.75" customHeight="1" x14ac:dyDescent="0.25">
      <c r="A442" s="1"/>
      <c r="B442" s="107"/>
      <c r="C442" s="107"/>
      <c r="D442" s="107"/>
      <c r="E442" s="107"/>
      <c r="F442" s="107"/>
      <c r="G442" s="107"/>
      <c r="H442" s="107"/>
      <c r="I442" s="107"/>
    </row>
    <row r="443" spans="1:9" ht="12.75" customHeight="1" x14ac:dyDescent="0.25">
      <c r="A443" s="1"/>
      <c r="B443" s="107"/>
      <c r="C443" s="107"/>
      <c r="D443" s="107"/>
      <c r="E443" s="107"/>
      <c r="F443" s="107"/>
      <c r="G443" s="107"/>
      <c r="H443" s="107"/>
      <c r="I443" s="107"/>
    </row>
    <row r="444" spans="1:9" ht="12.75" customHeight="1" x14ac:dyDescent="0.25">
      <c r="A444" s="1"/>
      <c r="B444" s="107"/>
      <c r="C444" s="107"/>
      <c r="D444" s="107"/>
      <c r="E444" s="107"/>
      <c r="F444" s="107"/>
      <c r="G444" s="107"/>
      <c r="H444" s="107"/>
      <c r="I444" s="107"/>
    </row>
    <row r="445" spans="1:9" ht="12.75" customHeight="1" x14ac:dyDescent="0.25">
      <c r="A445" s="1"/>
      <c r="B445" s="107"/>
      <c r="C445" s="107"/>
      <c r="D445" s="107"/>
      <c r="E445" s="107"/>
      <c r="F445" s="107"/>
      <c r="G445" s="107"/>
      <c r="H445" s="107"/>
      <c r="I445" s="107"/>
    </row>
    <row r="446" spans="1:9" ht="12.75" customHeight="1" x14ac:dyDescent="0.25">
      <c r="A446" s="1"/>
      <c r="B446" s="107"/>
      <c r="C446" s="107"/>
      <c r="D446" s="107"/>
      <c r="E446" s="107"/>
      <c r="F446" s="107"/>
      <c r="G446" s="107"/>
      <c r="H446" s="107"/>
      <c r="I446" s="107"/>
    </row>
    <row r="447" spans="1:9" ht="12.75" customHeight="1" x14ac:dyDescent="0.25">
      <c r="A447" s="1"/>
      <c r="B447" s="107"/>
      <c r="C447" s="107"/>
      <c r="D447" s="107"/>
      <c r="E447" s="107"/>
      <c r="F447" s="107"/>
      <c r="G447" s="107"/>
      <c r="H447" s="107"/>
      <c r="I447" s="107"/>
    </row>
    <row r="448" spans="1:9" ht="12.75" customHeight="1" x14ac:dyDescent="0.25">
      <c r="A448" s="1"/>
      <c r="B448" s="107"/>
      <c r="C448" s="107"/>
      <c r="D448" s="107"/>
      <c r="E448" s="107"/>
      <c r="F448" s="107"/>
      <c r="G448" s="107"/>
      <c r="H448" s="107"/>
      <c r="I448" s="107"/>
    </row>
    <row r="449" spans="1:9" ht="12.75" customHeight="1" x14ac:dyDescent="0.25">
      <c r="A449" s="1"/>
      <c r="B449" s="107"/>
      <c r="C449" s="107"/>
      <c r="D449" s="107"/>
      <c r="E449" s="107"/>
      <c r="F449" s="107"/>
      <c r="G449" s="107"/>
      <c r="H449" s="107"/>
      <c r="I449" s="107"/>
    </row>
    <row r="450" spans="1:9" ht="12.75" customHeight="1" x14ac:dyDescent="0.25">
      <c r="A450" s="1"/>
      <c r="B450" s="107"/>
      <c r="C450" s="107"/>
      <c r="D450" s="107"/>
      <c r="E450" s="107"/>
      <c r="F450" s="107"/>
      <c r="G450" s="107"/>
      <c r="H450" s="107"/>
      <c r="I450" s="107"/>
    </row>
    <row r="451" spans="1:9" ht="12.75" customHeight="1" x14ac:dyDescent="0.25">
      <c r="A451" s="1"/>
      <c r="B451" s="107"/>
      <c r="C451" s="107"/>
      <c r="D451" s="107"/>
      <c r="E451" s="107"/>
      <c r="F451" s="107"/>
      <c r="G451" s="107"/>
      <c r="H451" s="107"/>
      <c r="I451" s="107"/>
    </row>
    <row r="452" spans="1:9" ht="12.75" customHeight="1" x14ac:dyDescent="0.25">
      <c r="A452" s="1"/>
      <c r="B452" s="107"/>
      <c r="C452" s="107"/>
      <c r="D452" s="107"/>
      <c r="E452" s="107"/>
      <c r="F452" s="107"/>
      <c r="G452" s="107"/>
      <c r="H452" s="107"/>
      <c r="I452" s="107"/>
    </row>
    <row r="453" spans="1:9" ht="12.75" customHeight="1" x14ac:dyDescent="0.25">
      <c r="A453" s="1"/>
      <c r="B453" s="107"/>
      <c r="C453" s="107"/>
      <c r="D453" s="107"/>
      <c r="E453" s="107"/>
      <c r="F453" s="107"/>
      <c r="G453" s="107"/>
      <c r="H453" s="107"/>
      <c r="I453" s="107"/>
    </row>
    <row r="454" spans="1:9" ht="12.75" customHeight="1" x14ac:dyDescent="0.25">
      <c r="A454" s="1"/>
      <c r="B454" s="107"/>
      <c r="C454" s="107"/>
      <c r="D454" s="107"/>
      <c r="E454" s="107"/>
      <c r="F454" s="107"/>
      <c r="G454" s="107"/>
      <c r="H454" s="107"/>
      <c r="I454" s="107"/>
    </row>
    <row r="455" spans="1:9" ht="12.75" customHeight="1" x14ac:dyDescent="0.25">
      <c r="A455" s="1"/>
      <c r="B455" s="107"/>
      <c r="C455" s="107"/>
      <c r="D455" s="107"/>
      <c r="E455" s="107"/>
      <c r="F455" s="107"/>
      <c r="G455" s="107"/>
      <c r="H455" s="107"/>
      <c r="I455" s="107"/>
    </row>
    <row r="456" spans="1:9" ht="12.75" customHeight="1" x14ac:dyDescent="0.25">
      <c r="A456" s="1"/>
      <c r="B456" s="107"/>
      <c r="C456" s="107"/>
      <c r="D456" s="107"/>
      <c r="E456" s="107"/>
      <c r="F456" s="107"/>
      <c r="G456" s="107"/>
      <c r="H456" s="107"/>
      <c r="I456" s="107"/>
    </row>
    <row r="457" spans="1:9" ht="12.75" customHeight="1" x14ac:dyDescent="0.25">
      <c r="A457" s="1"/>
      <c r="B457" s="107"/>
      <c r="C457" s="107"/>
      <c r="D457" s="107"/>
      <c r="E457" s="107"/>
      <c r="F457" s="107"/>
      <c r="G457" s="107"/>
      <c r="H457" s="107"/>
      <c r="I457" s="107"/>
    </row>
    <row r="458" spans="1:9" ht="12.75" customHeight="1" x14ac:dyDescent="0.25">
      <c r="A458" s="1"/>
      <c r="B458" s="107"/>
      <c r="C458" s="107"/>
      <c r="D458" s="107"/>
      <c r="E458" s="107"/>
      <c r="F458" s="107"/>
      <c r="G458" s="107"/>
      <c r="H458" s="107"/>
      <c r="I458" s="107"/>
    </row>
    <row r="459" spans="1:9" ht="12.75" customHeight="1" x14ac:dyDescent="0.25">
      <c r="A459" s="1"/>
      <c r="B459" s="107"/>
      <c r="C459" s="107"/>
      <c r="D459" s="107"/>
      <c r="E459" s="107"/>
      <c r="F459" s="107"/>
      <c r="G459" s="107"/>
      <c r="H459" s="107"/>
      <c r="I459" s="107"/>
    </row>
    <row r="460" spans="1:9" ht="12.75" customHeight="1" x14ac:dyDescent="0.25">
      <c r="A460" s="1"/>
      <c r="B460" s="107"/>
      <c r="C460" s="107"/>
      <c r="D460" s="107"/>
      <c r="E460" s="107"/>
      <c r="F460" s="107"/>
      <c r="G460" s="107"/>
      <c r="H460" s="107"/>
      <c r="I460" s="107"/>
    </row>
    <row r="461" spans="1:9" ht="12.75" customHeight="1" x14ac:dyDescent="0.25">
      <c r="A461" s="1"/>
      <c r="B461" s="107"/>
      <c r="C461" s="107"/>
      <c r="D461" s="107"/>
      <c r="E461" s="107"/>
      <c r="F461" s="107"/>
      <c r="G461" s="107"/>
      <c r="H461" s="107"/>
      <c r="I461" s="107"/>
    </row>
    <row r="462" spans="1:9" ht="12.75" customHeight="1" x14ac:dyDescent="0.25">
      <c r="A462" s="1"/>
      <c r="B462" s="107"/>
      <c r="C462" s="107"/>
      <c r="D462" s="107"/>
      <c r="E462" s="107"/>
      <c r="F462" s="107"/>
      <c r="G462" s="107"/>
      <c r="H462" s="107"/>
      <c r="I462" s="107"/>
    </row>
    <row r="463" spans="1:9" ht="12.75" customHeight="1" x14ac:dyDescent="0.25">
      <c r="A463" s="1"/>
      <c r="B463" s="107"/>
      <c r="C463" s="107"/>
      <c r="D463" s="107"/>
      <c r="E463" s="107"/>
      <c r="F463" s="107"/>
      <c r="G463" s="107"/>
      <c r="H463" s="107"/>
      <c r="I463" s="107"/>
    </row>
    <row r="464" spans="1:9" ht="12.75" customHeight="1" x14ac:dyDescent="0.25">
      <c r="A464" s="1"/>
      <c r="B464" s="107"/>
      <c r="C464" s="107"/>
      <c r="D464" s="107"/>
      <c r="E464" s="107"/>
      <c r="F464" s="107"/>
      <c r="G464" s="107"/>
      <c r="H464" s="107"/>
      <c r="I464" s="107"/>
    </row>
    <row r="465" spans="1:9" ht="12.75" customHeight="1" x14ac:dyDescent="0.25">
      <c r="A465" s="1"/>
      <c r="B465" s="107"/>
      <c r="C465" s="107"/>
      <c r="D465" s="107"/>
      <c r="E465" s="107"/>
      <c r="F465" s="107"/>
      <c r="G465" s="107"/>
      <c r="H465" s="107"/>
      <c r="I465" s="107"/>
    </row>
    <row r="466" spans="1:9" ht="12.75" customHeight="1" x14ac:dyDescent="0.25">
      <c r="A466" s="1"/>
      <c r="B466" s="107"/>
      <c r="C466" s="107"/>
      <c r="D466" s="107"/>
      <c r="E466" s="107"/>
      <c r="F466" s="107"/>
      <c r="G466" s="107"/>
      <c r="H466" s="107"/>
      <c r="I466" s="107"/>
    </row>
    <row r="467" spans="1:9" ht="12.75" customHeight="1" x14ac:dyDescent="0.25">
      <c r="A467" s="1"/>
      <c r="B467" s="107"/>
      <c r="C467" s="107"/>
      <c r="D467" s="107"/>
      <c r="E467" s="107"/>
      <c r="F467" s="107"/>
      <c r="G467" s="107"/>
      <c r="H467" s="107"/>
      <c r="I467" s="107"/>
    </row>
    <row r="468" spans="1:9" ht="12.75" customHeight="1" x14ac:dyDescent="0.25">
      <c r="A468" s="1"/>
      <c r="B468" s="107"/>
      <c r="C468" s="107"/>
      <c r="D468" s="107"/>
      <c r="E468" s="107"/>
      <c r="F468" s="107"/>
      <c r="G468" s="107"/>
      <c r="H468" s="107"/>
      <c r="I468" s="107"/>
    </row>
    <row r="469" spans="1:9" ht="12.75" customHeight="1" x14ac:dyDescent="0.25">
      <c r="A469" s="1"/>
      <c r="B469" s="107"/>
      <c r="C469" s="107"/>
      <c r="D469" s="107"/>
      <c r="E469" s="107"/>
      <c r="F469" s="107"/>
      <c r="G469" s="107"/>
      <c r="H469" s="107"/>
      <c r="I469" s="107"/>
    </row>
    <row r="470" spans="1:9" ht="12.75" customHeight="1" x14ac:dyDescent="0.25">
      <c r="A470" s="1"/>
      <c r="B470" s="107"/>
      <c r="C470" s="107"/>
      <c r="D470" s="107"/>
      <c r="E470" s="107"/>
      <c r="F470" s="107"/>
      <c r="G470" s="107"/>
      <c r="H470" s="107"/>
      <c r="I470" s="107"/>
    </row>
    <row r="471" spans="1:9" ht="12.75" customHeight="1" x14ac:dyDescent="0.25">
      <c r="A471" s="1"/>
      <c r="B471" s="107"/>
      <c r="C471" s="107"/>
      <c r="D471" s="107"/>
      <c r="E471" s="107"/>
      <c r="F471" s="107"/>
      <c r="G471" s="107"/>
      <c r="H471" s="107"/>
      <c r="I471" s="107"/>
    </row>
    <row r="472" spans="1:9" ht="12.75" customHeight="1" x14ac:dyDescent="0.25">
      <c r="A472" s="1"/>
      <c r="B472" s="107"/>
      <c r="C472" s="107"/>
      <c r="D472" s="107"/>
      <c r="E472" s="107"/>
      <c r="F472" s="107"/>
      <c r="G472" s="107"/>
      <c r="H472" s="107"/>
      <c r="I472" s="107"/>
    </row>
    <row r="473" spans="1:9" ht="12.75" customHeight="1" x14ac:dyDescent="0.25">
      <c r="A473" s="1"/>
      <c r="B473" s="107"/>
      <c r="C473" s="107"/>
      <c r="D473" s="107"/>
      <c r="E473" s="107"/>
      <c r="F473" s="107"/>
      <c r="G473" s="107"/>
      <c r="H473" s="107"/>
      <c r="I473" s="107"/>
    </row>
    <row r="474" spans="1:9" ht="12.75" customHeight="1" x14ac:dyDescent="0.25">
      <c r="A474" s="1"/>
      <c r="B474" s="107"/>
      <c r="C474" s="107"/>
      <c r="D474" s="107"/>
      <c r="E474" s="107"/>
      <c r="F474" s="107"/>
      <c r="G474" s="107"/>
      <c r="H474" s="107"/>
      <c r="I474" s="107"/>
    </row>
    <row r="475" spans="1:9" ht="12.75" customHeight="1" x14ac:dyDescent="0.25">
      <c r="A475" s="1"/>
      <c r="B475" s="107"/>
      <c r="C475" s="107"/>
      <c r="D475" s="107"/>
      <c r="E475" s="107"/>
      <c r="F475" s="107"/>
      <c r="G475" s="107"/>
      <c r="H475" s="107"/>
      <c r="I475" s="107"/>
    </row>
    <row r="476" spans="1:9" ht="12.75" customHeight="1" x14ac:dyDescent="0.25">
      <c r="A476" s="1"/>
      <c r="B476" s="107"/>
      <c r="C476" s="107"/>
      <c r="D476" s="107"/>
      <c r="E476" s="107"/>
      <c r="F476" s="107"/>
      <c r="G476" s="107"/>
      <c r="H476" s="107"/>
      <c r="I476" s="107"/>
    </row>
    <row r="477" spans="1:9" ht="12.75" customHeight="1" x14ac:dyDescent="0.25">
      <c r="A477" s="1"/>
      <c r="B477" s="107"/>
      <c r="C477" s="107"/>
      <c r="D477" s="107"/>
      <c r="E477" s="107"/>
      <c r="F477" s="107"/>
      <c r="G477" s="107"/>
      <c r="H477" s="107"/>
      <c r="I477" s="107"/>
    </row>
    <row r="478" spans="1:9" ht="12.75" customHeight="1" x14ac:dyDescent="0.25">
      <c r="A478" s="1"/>
      <c r="B478" s="107"/>
      <c r="C478" s="107"/>
      <c r="D478" s="107"/>
      <c r="E478" s="107"/>
      <c r="F478" s="107"/>
      <c r="G478" s="107"/>
      <c r="H478" s="107"/>
      <c r="I478" s="107"/>
    </row>
    <row r="479" spans="1:9" ht="12.75" customHeight="1" x14ac:dyDescent="0.25">
      <c r="A479" s="1"/>
      <c r="B479" s="107"/>
      <c r="C479" s="107"/>
      <c r="D479" s="107"/>
      <c r="E479" s="107"/>
      <c r="F479" s="107"/>
      <c r="G479" s="107"/>
      <c r="H479" s="107"/>
      <c r="I479" s="107"/>
    </row>
    <row r="480" spans="1:9" ht="12.75" customHeight="1" x14ac:dyDescent="0.25">
      <c r="A480" s="1"/>
      <c r="B480" s="107"/>
      <c r="C480" s="107"/>
      <c r="D480" s="107"/>
      <c r="E480" s="107"/>
      <c r="F480" s="107"/>
      <c r="G480" s="107"/>
      <c r="H480" s="107"/>
      <c r="I480" s="107"/>
    </row>
    <row r="481" spans="1:9" ht="12.75" customHeight="1" x14ac:dyDescent="0.25">
      <c r="A481" s="1"/>
      <c r="B481" s="107"/>
      <c r="C481" s="107"/>
      <c r="D481" s="107"/>
      <c r="E481" s="107"/>
      <c r="F481" s="107"/>
      <c r="G481" s="107"/>
      <c r="H481" s="107"/>
      <c r="I481" s="107"/>
    </row>
    <row r="482" spans="1:9" ht="12.75" customHeight="1" x14ac:dyDescent="0.25">
      <c r="A482" s="1"/>
      <c r="B482" s="107"/>
      <c r="C482" s="107"/>
      <c r="D482" s="107"/>
      <c r="E482" s="107"/>
      <c r="F482" s="107"/>
      <c r="G482" s="107"/>
      <c r="H482" s="107"/>
      <c r="I482" s="107"/>
    </row>
    <row r="483" spans="1:9" ht="12.75" customHeight="1" x14ac:dyDescent="0.25">
      <c r="A483" s="1"/>
      <c r="B483" s="107"/>
      <c r="C483" s="107"/>
      <c r="D483" s="107"/>
      <c r="E483" s="107"/>
      <c r="F483" s="107"/>
      <c r="G483" s="107"/>
      <c r="H483" s="107"/>
      <c r="I483" s="107"/>
    </row>
    <row r="484" spans="1:9" ht="12.75" customHeight="1" x14ac:dyDescent="0.25">
      <c r="A484" s="1"/>
      <c r="B484" s="107"/>
      <c r="C484" s="107"/>
      <c r="D484" s="107"/>
      <c r="E484" s="107"/>
      <c r="F484" s="107"/>
      <c r="G484" s="107"/>
      <c r="H484" s="107"/>
      <c r="I484" s="107"/>
    </row>
    <row r="485" spans="1:9" ht="12.75" customHeight="1" x14ac:dyDescent="0.25">
      <c r="A485" s="1"/>
      <c r="B485" s="107"/>
      <c r="C485" s="107"/>
      <c r="D485" s="107"/>
      <c r="E485" s="107"/>
      <c r="F485" s="107"/>
      <c r="G485" s="107"/>
      <c r="H485" s="107"/>
      <c r="I485" s="107"/>
    </row>
    <row r="486" spans="1:9" ht="12.75" customHeight="1" x14ac:dyDescent="0.25">
      <c r="A486" s="1"/>
      <c r="B486" s="107"/>
      <c r="C486" s="107"/>
      <c r="D486" s="107"/>
      <c r="E486" s="107"/>
      <c r="F486" s="107"/>
      <c r="G486" s="107"/>
      <c r="H486" s="107"/>
      <c r="I486" s="107"/>
    </row>
    <row r="487" spans="1:9" ht="12.75" customHeight="1" x14ac:dyDescent="0.25">
      <c r="A487" s="1"/>
      <c r="B487" s="107"/>
      <c r="C487" s="107"/>
      <c r="D487" s="107"/>
      <c r="E487" s="107"/>
      <c r="F487" s="107"/>
      <c r="G487" s="107"/>
      <c r="H487" s="107"/>
      <c r="I487" s="107"/>
    </row>
    <row r="488" spans="1:9" ht="12.75" customHeight="1" x14ac:dyDescent="0.25">
      <c r="A488" s="1"/>
      <c r="B488" s="107"/>
      <c r="C488" s="107"/>
      <c r="D488" s="107"/>
      <c r="E488" s="107"/>
      <c r="F488" s="107"/>
      <c r="G488" s="107"/>
      <c r="H488" s="107"/>
      <c r="I488" s="107"/>
    </row>
    <row r="489" spans="1:9" ht="12.75" customHeight="1" x14ac:dyDescent="0.25">
      <c r="A489" s="1"/>
      <c r="B489" s="107"/>
      <c r="C489" s="107"/>
      <c r="D489" s="107"/>
      <c r="E489" s="107"/>
      <c r="F489" s="107"/>
      <c r="G489" s="107"/>
      <c r="H489" s="107"/>
      <c r="I489" s="107"/>
    </row>
    <row r="490" spans="1:9" ht="12.75" customHeight="1" x14ac:dyDescent="0.25">
      <c r="A490" s="1"/>
      <c r="B490" s="107"/>
      <c r="C490" s="107"/>
      <c r="D490" s="107"/>
      <c r="E490" s="107"/>
      <c r="F490" s="107"/>
      <c r="G490" s="107"/>
      <c r="H490" s="107"/>
      <c r="I490" s="107"/>
    </row>
    <row r="491" spans="1:9" ht="12.75" customHeight="1" x14ac:dyDescent="0.25">
      <c r="A491" s="1"/>
      <c r="B491" s="107"/>
      <c r="C491" s="107"/>
      <c r="D491" s="107"/>
      <c r="E491" s="107"/>
      <c r="F491" s="107"/>
      <c r="G491" s="107"/>
      <c r="H491" s="107"/>
      <c r="I491" s="107"/>
    </row>
    <row r="492" spans="1:9" ht="12.75" customHeight="1" x14ac:dyDescent="0.25">
      <c r="A492" s="1"/>
      <c r="B492" s="107"/>
      <c r="C492" s="107"/>
      <c r="D492" s="107"/>
      <c r="E492" s="107"/>
      <c r="F492" s="107"/>
      <c r="G492" s="107"/>
      <c r="H492" s="107"/>
      <c r="I492" s="107"/>
    </row>
    <row r="493" spans="1:9" ht="12.75" customHeight="1" x14ac:dyDescent="0.25">
      <c r="A493" s="1"/>
      <c r="B493" s="107"/>
      <c r="C493" s="107"/>
      <c r="D493" s="107"/>
      <c r="E493" s="107"/>
      <c r="F493" s="107"/>
      <c r="G493" s="107"/>
      <c r="H493" s="107"/>
      <c r="I493" s="107"/>
    </row>
    <row r="494" spans="1:9" ht="12.75" customHeight="1" x14ac:dyDescent="0.25">
      <c r="A494" s="1"/>
      <c r="B494" s="107"/>
      <c r="C494" s="107"/>
      <c r="D494" s="107"/>
      <c r="E494" s="107"/>
      <c r="F494" s="107"/>
      <c r="G494" s="107"/>
      <c r="H494" s="107"/>
      <c r="I494" s="107"/>
    </row>
    <row r="495" spans="1:9" ht="12.75" customHeight="1" x14ac:dyDescent="0.25">
      <c r="A495" s="1"/>
      <c r="B495" s="107"/>
      <c r="C495" s="107"/>
      <c r="D495" s="107"/>
      <c r="E495" s="107"/>
      <c r="F495" s="107"/>
      <c r="G495" s="107"/>
      <c r="H495" s="107"/>
      <c r="I495" s="107"/>
    </row>
    <row r="496" spans="1:9" ht="12.75" customHeight="1" x14ac:dyDescent="0.25">
      <c r="A496" s="1"/>
      <c r="B496" s="107"/>
      <c r="C496" s="107"/>
      <c r="D496" s="107"/>
      <c r="E496" s="107"/>
      <c r="F496" s="107"/>
      <c r="G496" s="107"/>
      <c r="H496" s="107"/>
      <c r="I496" s="107"/>
    </row>
    <row r="497" spans="1:9" ht="12.75" customHeight="1" x14ac:dyDescent="0.25">
      <c r="A497" s="1"/>
      <c r="B497" s="107"/>
      <c r="C497" s="107"/>
      <c r="D497" s="107"/>
      <c r="E497" s="107"/>
      <c r="F497" s="107"/>
      <c r="G497" s="107"/>
      <c r="H497" s="107"/>
      <c r="I497" s="107"/>
    </row>
    <row r="498" spans="1:9" ht="12.75" customHeight="1" x14ac:dyDescent="0.25">
      <c r="A498" s="1"/>
      <c r="B498" s="107"/>
      <c r="C498" s="107"/>
      <c r="D498" s="107"/>
      <c r="E498" s="107"/>
      <c r="F498" s="107"/>
      <c r="G498" s="107"/>
      <c r="H498" s="107"/>
      <c r="I498" s="107"/>
    </row>
    <row r="499" spans="1:9" ht="12.75" customHeight="1" x14ac:dyDescent="0.25">
      <c r="A499" s="1"/>
      <c r="B499" s="107"/>
      <c r="C499" s="107"/>
      <c r="D499" s="107"/>
      <c r="E499" s="107"/>
      <c r="F499" s="107"/>
      <c r="G499" s="107"/>
      <c r="H499" s="107"/>
      <c r="I499" s="107"/>
    </row>
    <row r="500" spans="1:9" ht="12.75" customHeight="1" x14ac:dyDescent="0.25">
      <c r="A500" s="1"/>
      <c r="B500" s="107"/>
      <c r="C500" s="107"/>
      <c r="D500" s="107"/>
      <c r="E500" s="107"/>
      <c r="F500" s="107"/>
      <c r="G500" s="107"/>
      <c r="H500" s="107"/>
      <c r="I500" s="107"/>
    </row>
    <row r="501" spans="1:9" ht="12.75" customHeight="1" x14ac:dyDescent="0.25">
      <c r="A501" s="1"/>
      <c r="B501" s="107"/>
      <c r="C501" s="107"/>
      <c r="D501" s="107"/>
      <c r="E501" s="107"/>
      <c r="F501" s="107"/>
      <c r="G501" s="107"/>
      <c r="H501" s="107"/>
      <c r="I501" s="107"/>
    </row>
    <row r="502" spans="1:9" ht="12.75" customHeight="1" x14ac:dyDescent="0.25">
      <c r="A502" s="1"/>
      <c r="B502" s="107"/>
      <c r="C502" s="107"/>
      <c r="D502" s="107"/>
      <c r="E502" s="107"/>
      <c r="F502" s="107"/>
      <c r="G502" s="107"/>
      <c r="H502" s="107"/>
      <c r="I502" s="107"/>
    </row>
    <row r="503" spans="1:9" ht="12.75" customHeight="1" x14ac:dyDescent="0.25">
      <c r="A503" s="1"/>
      <c r="B503" s="107"/>
      <c r="C503" s="107"/>
      <c r="D503" s="107"/>
      <c r="E503" s="107"/>
      <c r="F503" s="107"/>
      <c r="G503" s="107"/>
      <c r="H503" s="107"/>
      <c r="I503" s="107"/>
    </row>
    <row r="504" spans="1:9" ht="12.75" customHeight="1" x14ac:dyDescent="0.25">
      <c r="A504" s="1"/>
      <c r="B504" s="107"/>
      <c r="C504" s="107"/>
      <c r="D504" s="107"/>
      <c r="E504" s="107"/>
      <c r="F504" s="107"/>
      <c r="G504" s="107"/>
      <c r="H504" s="107"/>
      <c r="I504" s="107"/>
    </row>
    <row r="505" spans="1:9" ht="12.75" customHeight="1" x14ac:dyDescent="0.25">
      <c r="A505" s="1"/>
      <c r="B505" s="107"/>
      <c r="C505" s="107"/>
      <c r="D505" s="107"/>
      <c r="E505" s="107"/>
      <c r="F505" s="107"/>
      <c r="G505" s="107"/>
      <c r="H505" s="107"/>
      <c r="I505" s="107"/>
    </row>
    <row r="506" spans="1:9" ht="12.75" customHeight="1" x14ac:dyDescent="0.25">
      <c r="A506" s="1"/>
      <c r="B506" s="107"/>
      <c r="C506" s="107"/>
      <c r="D506" s="107"/>
      <c r="E506" s="107"/>
      <c r="F506" s="107"/>
      <c r="G506" s="107"/>
      <c r="H506" s="107"/>
      <c r="I506" s="107"/>
    </row>
    <row r="507" spans="1:9" ht="12.75" customHeight="1" x14ac:dyDescent="0.25">
      <c r="A507" s="1"/>
      <c r="B507" s="107"/>
      <c r="C507" s="107"/>
      <c r="D507" s="107"/>
      <c r="E507" s="107"/>
      <c r="F507" s="107"/>
      <c r="G507" s="107"/>
      <c r="H507" s="107"/>
      <c r="I507" s="107"/>
    </row>
    <row r="508" spans="1:9" ht="12.75" customHeight="1" x14ac:dyDescent="0.25">
      <c r="A508" s="1"/>
      <c r="B508" s="107"/>
      <c r="C508" s="107"/>
      <c r="D508" s="107"/>
      <c r="E508" s="107"/>
      <c r="F508" s="107"/>
      <c r="G508" s="107"/>
      <c r="H508" s="107"/>
      <c r="I508" s="107"/>
    </row>
    <row r="509" spans="1:9" ht="12.75" customHeight="1" x14ac:dyDescent="0.25">
      <c r="A509" s="1"/>
      <c r="B509" s="107"/>
      <c r="C509" s="107"/>
      <c r="D509" s="107"/>
      <c r="E509" s="107"/>
      <c r="F509" s="107"/>
      <c r="G509" s="107"/>
      <c r="H509" s="107"/>
      <c r="I509" s="107"/>
    </row>
    <row r="510" spans="1:9" ht="12.75" customHeight="1" x14ac:dyDescent="0.25">
      <c r="A510" s="1"/>
      <c r="B510" s="107"/>
      <c r="C510" s="107"/>
      <c r="D510" s="107"/>
      <c r="E510" s="107"/>
      <c r="F510" s="107"/>
      <c r="G510" s="107"/>
      <c r="H510" s="107"/>
      <c r="I510" s="107"/>
    </row>
    <row r="511" spans="1:9" ht="12.75" customHeight="1" x14ac:dyDescent="0.25">
      <c r="A511" s="1"/>
      <c r="B511" s="107"/>
      <c r="C511" s="107"/>
      <c r="D511" s="107"/>
      <c r="E511" s="107"/>
      <c r="F511" s="107"/>
      <c r="G511" s="107"/>
      <c r="H511" s="107"/>
      <c r="I511" s="107"/>
    </row>
    <row r="512" spans="1:9" ht="12.75" customHeight="1" x14ac:dyDescent="0.25">
      <c r="A512" s="1"/>
      <c r="B512" s="107"/>
      <c r="C512" s="107"/>
      <c r="D512" s="107"/>
      <c r="E512" s="107"/>
      <c r="F512" s="107"/>
      <c r="G512" s="107"/>
      <c r="H512" s="107"/>
      <c r="I512" s="107"/>
    </row>
    <row r="513" spans="1:9" ht="12.75" customHeight="1" x14ac:dyDescent="0.25">
      <c r="A513" s="1"/>
      <c r="B513" s="107"/>
      <c r="C513" s="107"/>
      <c r="D513" s="107"/>
      <c r="E513" s="107"/>
      <c r="F513" s="107"/>
      <c r="G513" s="107"/>
      <c r="H513" s="107"/>
      <c r="I513" s="107"/>
    </row>
    <row r="514" spans="1:9" ht="12.75" customHeight="1" x14ac:dyDescent="0.25">
      <c r="A514" s="1"/>
      <c r="B514" s="107"/>
      <c r="C514" s="107"/>
      <c r="D514" s="107"/>
      <c r="E514" s="107"/>
      <c r="F514" s="107"/>
      <c r="G514" s="107"/>
      <c r="H514" s="107"/>
      <c r="I514" s="107"/>
    </row>
    <row r="515" spans="1:9" ht="12.75" customHeight="1" x14ac:dyDescent="0.25">
      <c r="A515" s="1"/>
      <c r="B515" s="107"/>
      <c r="C515" s="107"/>
      <c r="D515" s="107"/>
      <c r="E515" s="107"/>
      <c r="F515" s="107"/>
      <c r="G515" s="107"/>
      <c r="H515" s="107"/>
      <c r="I515" s="107"/>
    </row>
    <row r="516" spans="1:9" ht="12.75" customHeight="1" x14ac:dyDescent="0.25">
      <c r="A516" s="1"/>
      <c r="B516" s="107"/>
      <c r="C516" s="107"/>
      <c r="D516" s="107"/>
      <c r="E516" s="107"/>
      <c r="F516" s="107"/>
      <c r="G516" s="107"/>
      <c r="H516" s="107"/>
      <c r="I516" s="107"/>
    </row>
    <row r="517" spans="1:9" ht="12.75" customHeight="1" x14ac:dyDescent="0.25">
      <c r="A517" s="1"/>
      <c r="B517" s="107"/>
      <c r="C517" s="107"/>
      <c r="D517" s="107"/>
      <c r="E517" s="107"/>
      <c r="F517" s="107"/>
      <c r="G517" s="107"/>
      <c r="H517" s="107"/>
      <c r="I517" s="107"/>
    </row>
    <row r="518" spans="1:9" ht="12.75" customHeight="1" x14ac:dyDescent="0.25">
      <c r="A518" s="1"/>
      <c r="B518" s="107"/>
      <c r="C518" s="107"/>
      <c r="D518" s="107"/>
      <c r="E518" s="107"/>
      <c r="F518" s="107"/>
      <c r="G518" s="107"/>
      <c r="H518" s="107"/>
      <c r="I518" s="107"/>
    </row>
    <row r="519" spans="1:9" ht="12.75" customHeight="1" x14ac:dyDescent="0.25">
      <c r="A519" s="1"/>
      <c r="B519" s="107"/>
      <c r="C519" s="107"/>
      <c r="D519" s="107"/>
      <c r="E519" s="107"/>
      <c r="F519" s="107"/>
      <c r="G519" s="107"/>
      <c r="H519" s="107"/>
      <c r="I519" s="107"/>
    </row>
    <row r="520" spans="1:9" ht="12.75" customHeight="1" x14ac:dyDescent="0.25">
      <c r="A520" s="1"/>
      <c r="B520" s="107"/>
      <c r="C520" s="107"/>
      <c r="D520" s="107"/>
      <c r="E520" s="107"/>
      <c r="F520" s="107"/>
      <c r="G520" s="107"/>
      <c r="H520" s="107"/>
      <c r="I520" s="107"/>
    </row>
    <row r="521" spans="1:9" ht="12.75" customHeight="1" x14ac:dyDescent="0.25">
      <c r="A521" s="1"/>
      <c r="B521" s="107"/>
      <c r="C521" s="107"/>
      <c r="D521" s="107"/>
      <c r="E521" s="107"/>
      <c r="F521" s="107"/>
      <c r="G521" s="107"/>
      <c r="H521" s="107"/>
      <c r="I521" s="107"/>
    </row>
    <row r="522" spans="1:9" ht="12.75" customHeight="1" x14ac:dyDescent="0.25">
      <c r="A522" s="1"/>
      <c r="B522" s="107"/>
      <c r="C522" s="107"/>
      <c r="D522" s="107"/>
      <c r="E522" s="107"/>
      <c r="F522" s="107"/>
      <c r="G522" s="107"/>
      <c r="H522" s="107"/>
      <c r="I522" s="107"/>
    </row>
    <row r="523" spans="1:9" ht="12.75" customHeight="1" x14ac:dyDescent="0.25">
      <c r="A523" s="1"/>
      <c r="B523" s="107"/>
      <c r="C523" s="107"/>
      <c r="D523" s="107"/>
      <c r="E523" s="107"/>
      <c r="F523" s="107"/>
      <c r="G523" s="107"/>
      <c r="H523" s="107"/>
      <c r="I523" s="107"/>
    </row>
    <row r="524" spans="1:9" ht="12.75" customHeight="1" x14ac:dyDescent="0.25">
      <c r="A524" s="1"/>
      <c r="B524" s="107"/>
      <c r="C524" s="107"/>
      <c r="D524" s="107"/>
      <c r="E524" s="107"/>
      <c r="F524" s="107"/>
      <c r="G524" s="107"/>
      <c r="H524" s="107"/>
      <c r="I524" s="107"/>
    </row>
    <row r="525" spans="1:9" ht="12.75" customHeight="1" x14ac:dyDescent="0.25">
      <c r="A525" s="1"/>
      <c r="B525" s="107"/>
      <c r="C525" s="107"/>
      <c r="D525" s="107"/>
      <c r="E525" s="107"/>
      <c r="F525" s="107"/>
      <c r="G525" s="107"/>
      <c r="H525" s="107"/>
      <c r="I525" s="107"/>
    </row>
    <row r="526" spans="1:9" ht="12.75" customHeight="1" x14ac:dyDescent="0.25">
      <c r="A526" s="1"/>
      <c r="B526" s="107"/>
      <c r="C526" s="107"/>
      <c r="D526" s="107"/>
      <c r="E526" s="107"/>
      <c r="F526" s="107"/>
      <c r="G526" s="107"/>
      <c r="H526" s="107"/>
      <c r="I526" s="107"/>
    </row>
    <row r="527" spans="1:9" ht="12.75" customHeight="1" x14ac:dyDescent="0.25">
      <c r="A527" s="1"/>
      <c r="B527" s="107"/>
      <c r="C527" s="107"/>
      <c r="D527" s="107"/>
      <c r="E527" s="107"/>
      <c r="F527" s="107"/>
      <c r="G527" s="107"/>
      <c r="H527" s="107"/>
      <c r="I527" s="107"/>
    </row>
    <row r="528" spans="1:9" ht="12.75" customHeight="1" x14ac:dyDescent="0.25">
      <c r="A528" s="1"/>
      <c r="B528" s="107"/>
      <c r="C528" s="107"/>
      <c r="D528" s="107"/>
      <c r="E528" s="107"/>
      <c r="F528" s="107"/>
      <c r="G528" s="107"/>
      <c r="H528" s="107"/>
      <c r="I528" s="107"/>
    </row>
    <row r="529" spans="1:9" ht="12.75" customHeight="1" x14ac:dyDescent="0.25">
      <c r="A529" s="1"/>
      <c r="B529" s="107"/>
      <c r="C529" s="107"/>
      <c r="D529" s="107"/>
      <c r="E529" s="107"/>
      <c r="F529" s="107"/>
      <c r="G529" s="107"/>
      <c r="H529" s="107"/>
      <c r="I529" s="107"/>
    </row>
    <row r="530" spans="1:9" ht="12.75" customHeight="1" x14ac:dyDescent="0.25">
      <c r="A530" s="1"/>
      <c r="B530" s="107"/>
      <c r="C530" s="107"/>
      <c r="D530" s="107"/>
      <c r="E530" s="107"/>
      <c r="F530" s="107"/>
      <c r="G530" s="107"/>
      <c r="H530" s="107"/>
      <c r="I530" s="107"/>
    </row>
    <row r="531" spans="1:9" ht="12.75" customHeight="1" x14ac:dyDescent="0.25">
      <c r="A531" s="1"/>
      <c r="B531" s="107"/>
      <c r="C531" s="107"/>
      <c r="D531" s="107"/>
      <c r="E531" s="107"/>
      <c r="F531" s="107"/>
      <c r="G531" s="107"/>
      <c r="H531" s="107"/>
      <c r="I531" s="107"/>
    </row>
    <row r="532" spans="1:9" ht="12.75" customHeight="1" x14ac:dyDescent="0.25">
      <c r="A532" s="1"/>
      <c r="B532" s="107"/>
      <c r="C532" s="107"/>
      <c r="D532" s="107"/>
      <c r="E532" s="107"/>
      <c r="F532" s="107"/>
      <c r="G532" s="107"/>
      <c r="H532" s="107"/>
      <c r="I532" s="107"/>
    </row>
    <row r="533" spans="1:9" ht="12.75" customHeight="1" x14ac:dyDescent="0.25">
      <c r="A533" s="1"/>
      <c r="B533" s="107"/>
      <c r="C533" s="107"/>
      <c r="D533" s="107"/>
      <c r="E533" s="107"/>
      <c r="F533" s="107"/>
      <c r="G533" s="107"/>
      <c r="H533" s="107"/>
      <c r="I533" s="107"/>
    </row>
    <row r="534" spans="1:9" ht="12.75" customHeight="1" x14ac:dyDescent="0.25">
      <c r="A534" s="1"/>
      <c r="B534" s="107"/>
      <c r="C534" s="107"/>
      <c r="D534" s="107"/>
      <c r="E534" s="107"/>
      <c r="F534" s="107"/>
      <c r="G534" s="107"/>
      <c r="H534" s="107"/>
      <c r="I534" s="107"/>
    </row>
    <row r="535" spans="1:9" ht="12.75" customHeight="1" x14ac:dyDescent="0.25">
      <c r="A535" s="1"/>
      <c r="B535" s="107"/>
      <c r="C535" s="107"/>
      <c r="D535" s="107"/>
      <c r="E535" s="107"/>
      <c r="F535" s="107"/>
      <c r="G535" s="107"/>
      <c r="H535" s="107"/>
      <c r="I535" s="107"/>
    </row>
    <row r="536" spans="1:9" ht="12.75" customHeight="1" x14ac:dyDescent="0.25">
      <c r="A536" s="1"/>
      <c r="B536" s="107"/>
      <c r="C536" s="107"/>
      <c r="D536" s="107"/>
      <c r="E536" s="107"/>
      <c r="F536" s="107"/>
      <c r="G536" s="107"/>
      <c r="H536" s="107"/>
      <c r="I536" s="107"/>
    </row>
    <row r="537" spans="1:9" ht="12.75" customHeight="1" x14ac:dyDescent="0.25">
      <c r="A537" s="1"/>
      <c r="B537" s="107"/>
      <c r="C537" s="107"/>
      <c r="D537" s="107"/>
      <c r="E537" s="107"/>
      <c r="F537" s="107"/>
      <c r="G537" s="107"/>
      <c r="H537" s="107"/>
      <c r="I537" s="107"/>
    </row>
    <row r="538" spans="1:9" ht="12.75" customHeight="1" x14ac:dyDescent="0.25">
      <c r="A538" s="1"/>
      <c r="B538" s="107"/>
      <c r="C538" s="107"/>
      <c r="D538" s="107"/>
      <c r="E538" s="107"/>
      <c r="F538" s="107"/>
      <c r="G538" s="107"/>
      <c r="H538" s="107"/>
      <c r="I538" s="107"/>
    </row>
    <row r="539" spans="1:9" ht="12.75" customHeight="1" x14ac:dyDescent="0.25">
      <c r="A539" s="1"/>
      <c r="B539" s="107"/>
      <c r="C539" s="107"/>
      <c r="D539" s="107"/>
      <c r="E539" s="107"/>
      <c r="F539" s="107"/>
      <c r="G539" s="107"/>
      <c r="H539" s="107"/>
      <c r="I539" s="107"/>
    </row>
    <row r="540" spans="1:9" ht="12.75" customHeight="1" x14ac:dyDescent="0.25">
      <c r="A540" s="1"/>
      <c r="B540" s="107"/>
      <c r="C540" s="107"/>
      <c r="D540" s="107"/>
      <c r="E540" s="107"/>
      <c r="F540" s="107"/>
      <c r="G540" s="107"/>
      <c r="H540" s="107"/>
      <c r="I540" s="107"/>
    </row>
    <row r="541" spans="1:9" ht="12.75" customHeight="1" x14ac:dyDescent="0.25">
      <c r="A541" s="1"/>
      <c r="B541" s="107"/>
      <c r="C541" s="107"/>
      <c r="D541" s="107"/>
      <c r="E541" s="107"/>
      <c r="F541" s="107"/>
      <c r="G541" s="107"/>
      <c r="H541" s="107"/>
      <c r="I541" s="107"/>
    </row>
    <row r="542" spans="1:9" ht="12.75" customHeight="1" x14ac:dyDescent="0.25">
      <c r="A542" s="1"/>
      <c r="B542" s="107"/>
      <c r="C542" s="107"/>
      <c r="D542" s="107"/>
      <c r="E542" s="107"/>
      <c r="F542" s="107"/>
      <c r="G542" s="107"/>
      <c r="H542" s="107"/>
      <c r="I542" s="107"/>
    </row>
    <row r="543" spans="1:9" ht="12.75" customHeight="1" x14ac:dyDescent="0.25">
      <c r="A543" s="1"/>
      <c r="B543" s="107"/>
      <c r="C543" s="107"/>
      <c r="D543" s="107"/>
      <c r="E543" s="107"/>
      <c r="F543" s="107"/>
      <c r="G543" s="107"/>
      <c r="H543" s="107"/>
      <c r="I543" s="107"/>
    </row>
    <row r="544" spans="1:9" ht="12.75" customHeight="1" x14ac:dyDescent="0.25">
      <c r="A544" s="1"/>
      <c r="B544" s="107"/>
      <c r="C544" s="107"/>
      <c r="D544" s="107"/>
      <c r="E544" s="107"/>
      <c r="F544" s="107"/>
      <c r="G544" s="107"/>
      <c r="H544" s="107"/>
      <c r="I544" s="107"/>
    </row>
    <row r="545" spans="1:9" ht="12.75" customHeight="1" x14ac:dyDescent="0.25">
      <c r="A545" s="1"/>
      <c r="B545" s="107"/>
      <c r="C545" s="107"/>
      <c r="D545" s="107"/>
      <c r="E545" s="107"/>
      <c r="F545" s="107"/>
      <c r="G545" s="107"/>
      <c r="H545" s="107"/>
      <c r="I545" s="107"/>
    </row>
    <row r="546" spans="1:9" ht="12.75" customHeight="1" x14ac:dyDescent="0.25">
      <c r="A546" s="1"/>
      <c r="B546" s="107"/>
      <c r="C546" s="107"/>
      <c r="D546" s="107"/>
      <c r="E546" s="107"/>
      <c r="F546" s="107"/>
      <c r="G546" s="107"/>
      <c r="H546" s="107"/>
      <c r="I546" s="107"/>
    </row>
    <row r="547" spans="1:9" ht="12.75" customHeight="1" x14ac:dyDescent="0.25">
      <c r="A547" s="1"/>
      <c r="B547" s="107"/>
      <c r="C547" s="107"/>
      <c r="D547" s="107"/>
      <c r="E547" s="107"/>
      <c r="F547" s="107"/>
      <c r="G547" s="107"/>
      <c r="H547" s="107"/>
      <c r="I547" s="107"/>
    </row>
    <row r="548" spans="1:9" ht="12.75" customHeight="1" x14ac:dyDescent="0.25">
      <c r="A548" s="1"/>
      <c r="B548" s="107"/>
      <c r="C548" s="107"/>
      <c r="D548" s="107"/>
      <c r="E548" s="107"/>
      <c r="F548" s="107"/>
      <c r="G548" s="107"/>
      <c r="H548" s="107"/>
      <c r="I548" s="107"/>
    </row>
    <row r="549" spans="1:9" ht="12.75" customHeight="1" x14ac:dyDescent="0.25">
      <c r="A549" s="1"/>
      <c r="B549" s="107"/>
      <c r="C549" s="107"/>
      <c r="D549" s="107"/>
      <c r="E549" s="107"/>
      <c r="F549" s="107"/>
      <c r="G549" s="107"/>
      <c r="H549" s="107"/>
      <c r="I549" s="107"/>
    </row>
    <row r="550" spans="1:9" ht="12.75" customHeight="1" x14ac:dyDescent="0.25">
      <c r="A550" s="1"/>
      <c r="B550" s="107"/>
      <c r="C550" s="107"/>
      <c r="D550" s="107"/>
      <c r="E550" s="107"/>
      <c r="F550" s="107"/>
      <c r="G550" s="107"/>
      <c r="H550" s="107"/>
      <c r="I550" s="107"/>
    </row>
    <row r="551" spans="1:9" ht="12.75" customHeight="1" x14ac:dyDescent="0.25">
      <c r="A551" s="1"/>
      <c r="B551" s="107"/>
      <c r="C551" s="107"/>
      <c r="D551" s="107"/>
      <c r="E551" s="107"/>
      <c r="F551" s="107"/>
      <c r="G551" s="107"/>
      <c r="H551" s="107"/>
      <c r="I551" s="107"/>
    </row>
    <row r="552" spans="1:9" ht="12.75" customHeight="1" x14ac:dyDescent="0.25">
      <c r="A552" s="1"/>
      <c r="B552" s="107"/>
      <c r="C552" s="107"/>
      <c r="D552" s="107"/>
      <c r="E552" s="107"/>
      <c r="F552" s="107"/>
      <c r="G552" s="107"/>
      <c r="H552" s="107"/>
      <c r="I552" s="107"/>
    </row>
    <row r="553" spans="1:9" ht="12.75" customHeight="1" x14ac:dyDescent="0.25">
      <c r="A553" s="1"/>
      <c r="B553" s="107"/>
      <c r="C553" s="107"/>
      <c r="D553" s="107"/>
      <c r="E553" s="107"/>
      <c r="F553" s="107"/>
      <c r="G553" s="107"/>
      <c r="H553" s="107"/>
      <c r="I553" s="107"/>
    </row>
    <row r="554" spans="1:9" ht="12.75" customHeight="1" x14ac:dyDescent="0.25">
      <c r="A554" s="1"/>
      <c r="B554" s="107"/>
      <c r="C554" s="107"/>
      <c r="D554" s="107"/>
      <c r="E554" s="107"/>
      <c r="F554" s="107"/>
      <c r="G554" s="107"/>
      <c r="H554" s="107"/>
      <c r="I554" s="107"/>
    </row>
    <row r="555" spans="1:9" ht="12.75" customHeight="1" x14ac:dyDescent="0.25">
      <c r="A555" s="1"/>
      <c r="B555" s="107"/>
      <c r="C555" s="107"/>
      <c r="D555" s="107"/>
      <c r="E555" s="107"/>
      <c r="F555" s="107"/>
      <c r="G555" s="107"/>
      <c r="H555" s="107"/>
      <c r="I555" s="107"/>
    </row>
    <row r="556" spans="1:9" ht="12.75" customHeight="1" x14ac:dyDescent="0.25">
      <c r="A556" s="1"/>
      <c r="B556" s="107"/>
      <c r="C556" s="107"/>
      <c r="D556" s="107"/>
      <c r="E556" s="107"/>
      <c r="F556" s="107"/>
      <c r="G556" s="107"/>
      <c r="H556" s="107"/>
      <c r="I556" s="107"/>
    </row>
    <row r="557" spans="1:9" ht="12.75" customHeight="1" x14ac:dyDescent="0.25">
      <c r="A557" s="1"/>
      <c r="B557" s="107"/>
      <c r="C557" s="107"/>
      <c r="D557" s="107"/>
      <c r="E557" s="107"/>
      <c r="F557" s="107"/>
      <c r="G557" s="107"/>
      <c r="H557" s="107"/>
      <c r="I557" s="107"/>
    </row>
    <row r="558" spans="1:9" ht="12.75" customHeight="1" x14ac:dyDescent="0.25">
      <c r="A558" s="1"/>
      <c r="B558" s="107"/>
      <c r="C558" s="107"/>
      <c r="D558" s="107"/>
      <c r="E558" s="107"/>
      <c r="F558" s="107"/>
      <c r="G558" s="107"/>
      <c r="H558" s="107"/>
      <c r="I558" s="107"/>
    </row>
    <row r="559" spans="1:9" ht="12.75" customHeight="1" x14ac:dyDescent="0.25">
      <c r="A559" s="1"/>
      <c r="B559" s="107"/>
      <c r="C559" s="107"/>
      <c r="D559" s="107"/>
      <c r="E559" s="107"/>
      <c r="F559" s="107"/>
      <c r="G559" s="107"/>
      <c r="H559" s="107"/>
      <c r="I559" s="107"/>
    </row>
    <row r="560" spans="1:9" ht="12.75" customHeight="1" x14ac:dyDescent="0.25">
      <c r="A560" s="1"/>
      <c r="B560" s="107"/>
      <c r="C560" s="107"/>
      <c r="D560" s="107"/>
      <c r="E560" s="107"/>
      <c r="F560" s="107"/>
      <c r="G560" s="107"/>
      <c r="H560" s="107"/>
      <c r="I560" s="107"/>
    </row>
    <row r="561" spans="1:9" ht="12.75" customHeight="1" x14ac:dyDescent="0.25">
      <c r="A561" s="1"/>
      <c r="B561" s="107"/>
      <c r="C561" s="107"/>
      <c r="D561" s="107"/>
      <c r="E561" s="107"/>
      <c r="F561" s="107"/>
      <c r="G561" s="107"/>
      <c r="H561" s="107"/>
      <c r="I561" s="107"/>
    </row>
    <row r="562" spans="1:9" ht="12.75" customHeight="1" x14ac:dyDescent="0.25">
      <c r="A562" s="1"/>
      <c r="B562" s="107"/>
      <c r="C562" s="107"/>
      <c r="D562" s="107"/>
      <c r="E562" s="107"/>
      <c r="F562" s="107"/>
      <c r="G562" s="107"/>
      <c r="H562" s="107"/>
      <c r="I562" s="107"/>
    </row>
    <row r="563" spans="1:9" ht="12.75" customHeight="1" x14ac:dyDescent="0.25">
      <c r="A563" s="1"/>
      <c r="B563" s="107"/>
      <c r="C563" s="107"/>
      <c r="D563" s="107"/>
      <c r="E563" s="107"/>
      <c r="F563" s="107"/>
      <c r="G563" s="107"/>
      <c r="H563" s="107"/>
      <c r="I563" s="107"/>
    </row>
    <row r="564" spans="1:9" ht="12.75" customHeight="1" x14ac:dyDescent="0.25">
      <c r="A564" s="1"/>
      <c r="B564" s="107"/>
      <c r="C564" s="107"/>
      <c r="D564" s="107"/>
      <c r="E564" s="107"/>
      <c r="F564" s="107"/>
      <c r="G564" s="107"/>
      <c r="H564" s="107"/>
      <c r="I564" s="107"/>
    </row>
    <row r="565" spans="1:9" ht="12.75" customHeight="1" x14ac:dyDescent="0.25">
      <c r="A565" s="1"/>
      <c r="B565" s="107"/>
      <c r="C565" s="107"/>
      <c r="D565" s="107"/>
      <c r="E565" s="107"/>
      <c r="F565" s="107"/>
      <c r="G565" s="107"/>
      <c r="H565" s="107"/>
      <c r="I565" s="107"/>
    </row>
    <row r="566" spans="1:9" ht="12.75" customHeight="1" x14ac:dyDescent="0.25">
      <c r="A566" s="1"/>
      <c r="B566" s="107"/>
      <c r="C566" s="107"/>
      <c r="D566" s="107"/>
      <c r="E566" s="107"/>
      <c r="F566" s="107"/>
      <c r="G566" s="107"/>
      <c r="H566" s="107"/>
      <c r="I566" s="107"/>
    </row>
    <row r="567" spans="1:9" ht="12.75" customHeight="1" x14ac:dyDescent="0.25">
      <c r="A567" s="1"/>
      <c r="B567" s="107"/>
      <c r="C567" s="107"/>
      <c r="D567" s="107"/>
      <c r="E567" s="107"/>
      <c r="F567" s="107"/>
      <c r="G567" s="107"/>
      <c r="H567" s="107"/>
      <c r="I567" s="107"/>
    </row>
    <row r="568" spans="1:9" ht="12.75" customHeight="1" x14ac:dyDescent="0.25">
      <c r="A568" s="1"/>
      <c r="B568" s="107"/>
      <c r="C568" s="107"/>
      <c r="D568" s="107"/>
      <c r="E568" s="107"/>
      <c r="F568" s="107"/>
      <c r="G568" s="107"/>
      <c r="H568" s="107"/>
      <c r="I568" s="107"/>
    </row>
    <row r="569" spans="1:9" ht="12.75" customHeight="1" x14ac:dyDescent="0.25">
      <c r="A569" s="1"/>
      <c r="B569" s="107"/>
      <c r="C569" s="107"/>
      <c r="D569" s="107"/>
      <c r="E569" s="107"/>
      <c r="F569" s="107"/>
      <c r="G569" s="107"/>
      <c r="H569" s="107"/>
      <c r="I569" s="107"/>
    </row>
    <row r="570" spans="1:9" ht="12.75" customHeight="1" x14ac:dyDescent="0.25">
      <c r="A570" s="1"/>
      <c r="B570" s="107"/>
      <c r="C570" s="107"/>
      <c r="D570" s="107"/>
      <c r="E570" s="107"/>
      <c r="F570" s="107"/>
      <c r="G570" s="107"/>
      <c r="H570" s="107"/>
      <c r="I570" s="107"/>
    </row>
    <row r="571" spans="1:9" ht="12.75" customHeight="1" x14ac:dyDescent="0.25">
      <c r="A571" s="1"/>
      <c r="B571" s="107"/>
      <c r="C571" s="107"/>
      <c r="D571" s="107"/>
      <c r="E571" s="107"/>
      <c r="F571" s="107"/>
      <c r="G571" s="107"/>
      <c r="H571" s="107"/>
      <c r="I571" s="107"/>
    </row>
    <row r="572" spans="1:9" ht="12.75" customHeight="1" x14ac:dyDescent="0.25">
      <c r="A572" s="1"/>
      <c r="B572" s="107"/>
      <c r="C572" s="107"/>
      <c r="D572" s="107"/>
      <c r="E572" s="107"/>
      <c r="F572" s="107"/>
      <c r="G572" s="107"/>
      <c r="H572" s="107"/>
      <c r="I572" s="107"/>
    </row>
    <row r="573" spans="1:9" ht="12.75" customHeight="1" x14ac:dyDescent="0.25">
      <c r="A573" s="1"/>
      <c r="B573" s="107"/>
      <c r="C573" s="107"/>
      <c r="D573" s="107"/>
      <c r="E573" s="107"/>
      <c r="F573" s="107"/>
      <c r="G573" s="107"/>
      <c r="H573" s="107"/>
      <c r="I573" s="107"/>
    </row>
    <row r="574" spans="1:9" ht="12.75" customHeight="1" x14ac:dyDescent="0.25">
      <c r="A574" s="1"/>
      <c r="B574" s="107"/>
      <c r="C574" s="107"/>
      <c r="D574" s="107"/>
      <c r="E574" s="107"/>
      <c r="F574" s="107"/>
      <c r="G574" s="107"/>
      <c r="H574" s="107"/>
      <c r="I574" s="107"/>
    </row>
    <row r="575" spans="1:9" ht="12.75" customHeight="1" x14ac:dyDescent="0.25">
      <c r="A575" s="1"/>
      <c r="B575" s="107"/>
      <c r="C575" s="107"/>
      <c r="D575" s="107"/>
      <c r="E575" s="107"/>
      <c r="F575" s="107"/>
      <c r="G575" s="107"/>
      <c r="H575" s="107"/>
      <c r="I575" s="107"/>
    </row>
    <row r="576" spans="1:9" ht="12.75" customHeight="1" x14ac:dyDescent="0.25">
      <c r="A576" s="1"/>
      <c r="B576" s="107"/>
      <c r="C576" s="107"/>
      <c r="D576" s="107"/>
      <c r="E576" s="107"/>
      <c r="F576" s="107"/>
      <c r="G576" s="107"/>
      <c r="H576" s="107"/>
      <c r="I576" s="107"/>
    </row>
    <row r="577" spans="1:9" ht="12.75" customHeight="1" x14ac:dyDescent="0.25">
      <c r="A577" s="1"/>
      <c r="B577" s="107"/>
      <c r="C577" s="107"/>
      <c r="D577" s="107"/>
      <c r="E577" s="107"/>
      <c r="F577" s="107"/>
      <c r="G577" s="107"/>
      <c r="H577" s="107"/>
      <c r="I577" s="107"/>
    </row>
    <row r="578" spans="1:9" ht="12.75" customHeight="1" x14ac:dyDescent="0.25">
      <c r="A578" s="1"/>
      <c r="B578" s="107"/>
      <c r="C578" s="107"/>
      <c r="D578" s="107"/>
      <c r="E578" s="107"/>
      <c r="F578" s="107"/>
      <c r="G578" s="107"/>
      <c r="H578" s="107"/>
      <c r="I578" s="107"/>
    </row>
    <row r="579" spans="1:9" ht="12.75" customHeight="1" x14ac:dyDescent="0.25">
      <c r="A579" s="1"/>
      <c r="B579" s="107"/>
      <c r="C579" s="107"/>
      <c r="D579" s="107"/>
      <c r="E579" s="107"/>
      <c r="F579" s="107"/>
      <c r="G579" s="107"/>
      <c r="H579" s="107"/>
      <c r="I579" s="107"/>
    </row>
    <row r="580" spans="1:9" ht="12.75" customHeight="1" x14ac:dyDescent="0.25">
      <c r="A580" s="1"/>
      <c r="B580" s="107"/>
      <c r="C580" s="107"/>
      <c r="D580" s="107"/>
      <c r="E580" s="107"/>
      <c r="F580" s="107"/>
      <c r="G580" s="107"/>
      <c r="H580" s="107"/>
      <c r="I580" s="107"/>
    </row>
    <row r="581" spans="1:9" ht="12.75" customHeight="1" x14ac:dyDescent="0.25">
      <c r="A581" s="1"/>
      <c r="B581" s="107"/>
      <c r="C581" s="107"/>
      <c r="D581" s="107"/>
      <c r="E581" s="107"/>
      <c r="F581" s="107"/>
      <c r="G581" s="107"/>
      <c r="H581" s="107"/>
      <c r="I581" s="107"/>
    </row>
    <row r="582" spans="1:9" ht="12.75" customHeight="1" x14ac:dyDescent="0.25">
      <c r="A582" s="1"/>
      <c r="B582" s="107"/>
      <c r="C582" s="107"/>
      <c r="D582" s="107"/>
      <c r="E582" s="107"/>
      <c r="F582" s="107"/>
      <c r="G582" s="107"/>
      <c r="H582" s="107"/>
      <c r="I582" s="107"/>
    </row>
    <row r="583" spans="1:9" ht="12.75" customHeight="1" x14ac:dyDescent="0.25">
      <c r="A583" s="1"/>
      <c r="B583" s="107"/>
      <c r="C583" s="107"/>
      <c r="D583" s="107"/>
      <c r="E583" s="107"/>
      <c r="F583" s="107"/>
      <c r="G583" s="107"/>
      <c r="H583" s="107"/>
      <c r="I583" s="107"/>
    </row>
    <row r="584" spans="1:9" ht="12.75" customHeight="1" x14ac:dyDescent="0.25">
      <c r="A584" s="1"/>
      <c r="B584" s="107"/>
      <c r="C584" s="107"/>
      <c r="D584" s="107"/>
      <c r="E584" s="107"/>
      <c r="F584" s="107"/>
      <c r="G584" s="107"/>
      <c r="H584" s="107"/>
      <c r="I584" s="107"/>
    </row>
    <row r="585" spans="1:9" ht="12.75" customHeight="1" x14ac:dyDescent="0.25">
      <c r="A585" s="1"/>
      <c r="B585" s="107"/>
      <c r="C585" s="107"/>
      <c r="D585" s="107"/>
      <c r="E585" s="107"/>
      <c r="F585" s="107"/>
      <c r="G585" s="107"/>
      <c r="H585" s="107"/>
      <c r="I585" s="107"/>
    </row>
    <row r="586" spans="1:9" ht="12.75" customHeight="1" x14ac:dyDescent="0.25">
      <c r="A586" s="1"/>
      <c r="B586" s="107"/>
      <c r="C586" s="107"/>
      <c r="D586" s="107"/>
      <c r="E586" s="107"/>
      <c r="F586" s="107"/>
      <c r="G586" s="107"/>
      <c r="H586" s="107"/>
      <c r="I586" s="107"/>
    </row>
    <row r="587" spans="1:9" ht="12.75" customHeight="1" x14ac:dyDescent="0.25">
      <c r="A587" s="1"/>
      <c r="B587" s="107"/>
      <c r="C587" s="107"/>
      <c r="D587" s="107"/>
      <c r="E587" s="107"/>
      <c r="F587" s="107"/>
      <c r="G587" s="107"/>
      <c r="H587" s="107"/>
      <c r="I587" s="107"/>
    </row>
    <row r="588" spans="1:9" ht="12.75" customHeight="1" x14ac:dyDescent="0.25">
      <c r="A588" s="1"/>
      <c r="B588" s="107"/>
      <c r="C588" s="107"/>
      <c r="D588" s="107"/>
      <c r="E588" s="107"/>
      <c r="F588" s="107"/>
      <c r="G588" s="107"/>
      <c r="H588" s="107"/>
      <c r="I588" s="107"/>
    </row>
    <row r="589" spans="1:9" ht="12.75" customHeight="1" x14ac:dyDescent="0.25">
      <c r="A589" s="1"/>
      <c r="B589" s="107"/>
      <c r="C589" s="107"/>
      <c r="D589" s="107"/>
      <c r="E589" s="107"/>
      <c r="F589" s="107"/>
      <c r="G589" s="107"/>
      <c r="H589" s="107"/>
      <c r="I589" s="107"/>
    </row>
    <row r="590" spans="1:9" ht="12.75" customHeight="1" x14ac:dyDescent="0.25">
      <c r="A590" s="1"/>
      <c r="B590" s="107"/>
      <c r="C590" s="107"/>
      <c r="D590" s="107"/>
      <c r="E590" s="107"/>
      <c r="F590" s="107"/>
      <c r="G590" s="107"/>
      <c r="H590" s="107"/>
      <c r="I590" s="107"/>
    </row>
    <row r="591" spans="1:9" ht="12.75" customHeight="1" x14ac:dyDescent="0.25">
      <c r="A591" s="1"/>
      <c r="B591" s="107"/>
      <c r="C591" s="107"/>
      <c r="D591" s="107"/>
      <c r="E591" s="107"/>
      <c r="F591" s="107"/>
      <c r="G591" s="107"/>
      <c r="H591" s="107"/>
      <c r="I591" s="107"/>
    </row>
    <row r="592" spans="1:9" ht="12.75" customHeight="1" x14ac:dyDescent="0.25">
      <c r="A592" s="1"/>
      <c r="B592" s="107"/>
      <c r="C592" s="107"/>
      <c r="D592" s="107"/>
      <c r="E592" s="107"/>
      <c r="F592" s="107"/>
      <c r="G592" s="107"/>
      <c r="H592" s="107"/>
      <c r="I592" s="107"/>
    </row>
    <row r="593" spans="1:9" ht="12.75" customHeight="1" x14ac:dyDescent="0.25">
      <c r="A593" s="1"/>
      <c r="B593" s="107"/>
      <c r="C593" s="107"/>
      <c r="D593" s="107"/>
      <c r="E593" s="107"/>
      <c r="F593" s="107"/>
      <c r="G593" s="107"/>
      <c r="H593" s="107"/>
      <c r="I593" s="107"/>
    </row>
    <row r="594" spans="1:9" ht="12.75" customHeight="1" x14ac:dyDescent="0.25">
      <c r="A594" s="1"/>
      <c r="B594" s="107"/>
      <c r="C594" s="107"/>
      <c r="D594" s="107"/>
      <c r="E594" s="107"/>
      <c r="F594" s="107"/>
      <c r="G594" s="107"/>
      <c r="H594" s="107"/>
      <c r="I594" s="107"/>
    </row>
    <row r="595" spans="1:9" ht="12.75" customHeight="1" x14ac:dyDescent="0.25">
      <c r="A595" s="1"/>
      <c r="B595" s="107"/>
      <c r="C595" s="107"/>
      <c r="D595" s="107"/>
      <c r="E595" s="107"/>
      <c r="F595" s="107"/>
      <c r="G595" s="107"/>
      <c r="H595" s="107"/>
      <c r="I595" s="107"/>
    </row>
    <row r="596" spans="1:9" ht="12.75" customHeight="1" x14ac:dyDescent="0.25">
      <c r="A596" s="1"/>
      <c r="B596" s="107"/>
      <c r="C596" s="107"/>
      <c r="D596" s="107"/>
      <c r="E596" s="107"/>
      <c r="F596" s="107"/>
      <c r="G596" s="107"/>
      <c r="H596" s="107"/>
      <c r="I596" s="107"/>
    </row>
    <row r="597" spans="1:9" ht="12.75" customHeight="1" x14ac:dyDescent="0.25">
      <c r="A597" s="1"/>
      <c r="B597" s="107"/>
      <c r="C597" s="107"/>
      <c r="D597" s="107"/>
      <c r="E597" s="107"/>
      <c r="F597" s="107"/>
      <c r="G597" s="107"/>
      <c r="H597" s="107"/>
      <c r="I597" s="107"/>
    </row>
    <row r="598" spans="1:9" ht="12.75" customHeight="1" x14ac:dyDescent="0.25">
      <c r="A598" s="1"/>
      <c r="B598" s="107"/>
      <c r="C598" s="107"/>
      <c r="D598" s="107"/>
      <c r="E598" s="107"/>
      <c r="F598" s="107"/>
      <c r="G598" s="107"/>
      <c r="H598" s="107"/>
      <c r="I598" s="107"/>
    </row>
    <row r="599" spans="1:9" ht="12.75" customHeight="1" x14ac:dyDescent="0.25">
      <c r="A599" s="1"/>
      <c r="B599" s="107"/>
      <c r="C599" s="107"/>
      <c r="D599" s="107"/>
      <c r="E599" s="107"/>
      <c r="F599" s="107"/>
      <c r="G599" s="107"/>
      <c r="H599" s="107"/>
      <c r="I599" s="107"/>
    </row>
    <row r="600" spans="1:9" ht="12.75" customHeight="1" x14ac:dyDescent="0.25">
      <c r="A600" s="1"/>
      <c r="B600" s="107"/>
      <c r="C600" s="107"/>
      <c r="D600" s="107"/>
      <c r="E600" s="107"/>
      <c r="F600" s="107"/>
      <c r="G600" s="107"/>
      <c r="H600" s="107"/>
      <c r="I600" s="107"/>
    </row>
    <row r="601" spans="1:9" ht="12.75" customHeight="1" x14ac:dyDescent="0.25">
      <c r="A601" s="1"/>
      <c r="B601" s="107"/>
      <c r="C601" s="107"/>
      <c r="D601" s="107"/>
      <c r="E601" s="107"/>
      <c r="F601" s="107"/>
      <c r="G601" s="107"/>
      <c r="H601" s="107"/>
      <c r="I601" s="107"/>
    </row>
    <row r="602" spans="1:9" ht="12.75" customHeight="1" x14ac:dyDescent="0.25">
      <c r="A602" s="1"/>
      <c r="B602" s="107"/>
      <c r="C602" s="107"/>
      <c r="D602" s="107"/>
      <c r="E602" s="107"/>
      <c r="F602" s="107"/>
      <c r="G602" s="107"/>
      <c r="H602" s="107"/>
      <c r="I602" s="107"/>
    </row>
    <row r="603" spans="1:9" ht="12.75" customHeight="1" x14ac:dyDescent="0.25">
      <c r="A603" s="1"/>
      <c r="B603" s="107"/>
      <c r="C603" s="107"/>
      <c r="D603" s="107"/>
      <c r="E603" s="107"/>
      <c r="F603" s="107"/>
      <c r="G603" s="107"/>
      <c r="H603" s="107"/>
      <c r="I603" s="107"/>
    </row>
    <row r="604" spans="1:9" ht="12.75" customHeight="1" x14ac:dyDescent="0.25">
      <c r="A604" s="1"/>
      <c r="B604" s="107"/>
      <c r="C604" s="107"/>
      <c r="D604" s="107"/>
      <c r="E604" s="107"/>
      <c r="F604" s="107"/>
      <c r="G604" s="107"/>
      <c r="H604" s="107"/>
      <c r="I604" s="107"/>
    </row>
    <row r="605" spans="1:9" ht="12.75" customHeight="1" x14ac:dyDescent="0.25">
      <c r="A605" s="1"/>
      <c r="B605" s="107"/>
      <c r="C605" s="107"/>
      <c r="D605" s="107"/>
      <c r="E605" s="107"/>
      <c r="F605" s="107"/>
      <c r="G605" s="107"/>
      <c r="H605" s="107"/>
      <c r="I605" s="107"/>
    </row>
    <row r="606" spans="1:9" ht="12.75" customHeight="1" x14ac:dyDescent="0.25">
      <c r="A606" s="1"/>
      <c r="B606" s="107"/>
      <c r="C606" s="107"/>
      <c r="D606" s="107"/>
      <c r="E606" s="107"/>
      <c r="F606" s="107"/>
      <c r="G606" s="107"/>
      <c r="H606" s="107"/>
      <c r="I606" s="107"/>
    </row>
    <row r="607" spans="1:9" ht="12.75" customHeight="1" x14ac:dyDescent="0.25">
      <c r="A607" s="1"/>
      <c r="B607" s="107"/>
      <c r="C607" s="107"/>
      <c r="D607" s="107"/>
      <c r="E607" s="107"/>
      <c r="F607" s="107"/>
      <c r="G607" s="107"/>
      <c r="H607" s="107"/>
      <c r="I607" s="107"/>
    </row>
    <row r="608" spans="1:9" ht="12.75" customHeight="1" x14ac:dyDescent="0.25">
      <c r="A608" s="1"/>
      <c r="B608" s="107"/>
      <c r="C608" s="107"/>
      <c r="D608" s="107"/>
      <c r="E608" s="107"/>
      <c r="F608" s="107"/>
      <c r="G608" s="107"/>
      <c r="H608" s="107"/>
      <c r="I608" s="107"/>
    </row>
    <row r="609" spans="1:9" ht="12.75" customHeight="1" x14ac:dyDescent="0.25">
      <c r="A609" s="1"/>
      <c r="B609" s="107"/>
      <c r="C609" s="107"/>
      <c r="D609" s="107"/>
      <c r="E609" s="107"/>
      <c r="F609" s="107"/>
      <c r="G609" s="107"/>
      <c r="H609" s="107"/>
      <c r="I609" s="107"/>
    </row>
    <row r="610" spans="1:9" ht="12.75" customHeight="1" x14ac:dyDescent="0.25">
      <c r="A610" s="1"/>
      <c r="B610" s="107"/>
      <c r="C610" s="107"/>
      <c r="D610" s="107"/>
      <c r="E610" s="107"/>
      <c r="F610" s="107"/>
      <c r="G610" s="107"/>
      <c r="H610" s="107"/>
      <c r="I610" s="107"/>
    </row>
    <row r="611" spans="1:9" ht="12.75" customHeight="1" x14ac:dyDescent="0.25">
      <c r="A611" s="1"/>
      <c r="B611" s="107"/>
      <c r="C611" s="107"/>
      <c r="D611" s="107"/>
      <c r="E611" s="107"/>
      <c r="F611" s="107"/>
      <c r="G611" s="107"/>
      <c r="H611" s="107"/>
      <c r="I611" s="107"/>
    </row>
    <row r="612" spans="1:9" ht="12.75" customHeight="1" x14ac:dyDescent="0.25">
      <c r="A612" s="1"/>
      <c r="B612" s="107"/>
      <c r="C612" s="107"/>
      <c r="D612" s="107"/>
      <c r="E612" s="107"/>
      <c r="F612" s="107"/>
      <c r="G612" s="107"/>
      <c r="H612" s="107"/>
      <c r="I612" s="107"/>
    </row>
    <row r="613" spans="1:9" ht="12.75" customHeight="1" x14ac:dyDescent="0.25">
      <c r="A613" s="1"/>
      <c r="B613" s="107"/>
      <c r="C613" s="107"/>
      <c r="D613" s="107"/>
      <c r="E613" s="107"/>
      <c r="F613" s="107"/>
      <c r="G613" s="107"/>
      <c r="H613" s="107"/>
      <c r="I613" s="107"/>
    </row>
    <row r="614" spans="1:9" ht="12.75" customHeight="1" x14ac:dyDescent="0.25">
      <c r="A614" s="1"/>
      <c r="B614" s="107"/>
      <c r="C614" s="107"/>
      <c r="D614" s="107"/>
      <c r="E614" s="107"/>
      <c r="F614" s="107"/>
      <c r="G614" s="107"/>
      <c r="H614" s="107"/>
      <c r="I614" s="107"/>
    </row>
    <row r="615" spans="1:9" ht="12.75" customHeight="1" x14ac:dyDescent="0.25">
      <c r="A615" s="1"/>
      <c r="B615" s="107"/>
      <c r="C615" s="107"/>
      <c r="D615" s="107"/>
      <c r="E615" s="107"/>
      <c r="F615" s="107"/>
      <c r="G615" s="107"/>
      <c r="H615" s="107"/>
      <c r="I615" s="107"/>
    </row>
    <row r="616" spans="1:9" ht="12.75" customHeight="1" x14ac:dyDescent="0.25">
      <c r="A616" s="1"/>
      <c r="B616" s="107"/>
      <c r="C616" s="107"/>
      <c r="D616" s="107"/>
      <c r="E616" s="107"/>
      <c r="F616" s="107"/>
      <c r="G616" s="107"/>
      <c r="H616" s="107"/>
      <c r="I616" s="107"/>
    </row>
    <row r="617" spans="1:9" ht="12.75" customHeight="1" x14ac:dyDescent="0.25">
      <c r="A617" s="1"/>
      <c r="B617" s="107"/>
      <c r="C617" s="107"/>
      <c r="D617" s="107"/>
      <c r="E617" s="107"/>
      <c r="F617" s="107"/>
      <c r="G617" s="107"/>
      <c r="H617" s="107"/>
      <c r="I617" s="107"/>
    </row>
    <row r="618" spans="1:9" ht="12.75" customHeight="1" x14ac:dyDescent="0.25">
      <c r="A618" s="1"/>
      <c r="B618" s="107"/>
      <c r="C618" s="107"/>
      <c r="D618" s="107"/>
      <c r="E618" s="107"/>
      <c r="F618" s="107"/>
      <c r="G618" s="107"/>
      <c r="H618" s="107"/>
      <c r="I618" s="107"/>
    </row>
    <row r="619" spans="1:9" ht="12.75" customHeight="1" x14ac:dyDescent="0.25">
      <c r="A619" s="1"/>
      <c r="B619" s="107"/>
      <c r="C619" s="107"/>
      <c r="D619" s="107"/>
      <c r="E619" s="107"/>
      <c r="F619" s="107"/>
      <c r="G619" s="107"/>
      <c r="H619" s="107"/>
      <c r="I619" s="107"/>
    </row>
    <row r="620" spans="1:9" ht="12.75" customHeight="1" x14ac:dyDescent="0.25">
      <c r="A620" s="1"/>
      <c r="B620" s="107"/>
      <c r="C620" s="107"/>
      <c r="D620" s="107"/>
      <c r="E620" s="107"/>
      <c r="F620" s="107"/>
      <c r="G620" s="107"/>
      <c r="H620" s="107"/>
      <c r="I620" s="107"/>
    </row>
    <row r="621" spans="1:9" ht="12.75" customHeight="1" x14ac:dyDescent="0.25">
      <c r="A621" s="1"/>
      <c r="B621" s="107"/>
      <c r="C621" s="107"/>
      <c r="D621" s="107"/>
      <c r="E621" s="107"/>
      <c r="F621" s="107"/>
      <c r="G621" s="107"/>
      <c r="H621" s="107"/>
      <c r="I621" s="107"/>
    </row>
    <row r="622" spans="1:9" ht="12.75" customHeight="1" x14ac:dyDescent="0.25">
      <c r="A622" s="1"/>
      <c r="B622" s="107"/>
      <c r="C622" s="107"/>
      <c r="D622" s="107"/>
      <c r="E622" s="107"/>
      <c r="F622" s="107"/>
      <c r="G622" s="107"/>
      <c r="H622" s="107"/>
      <c r="I622" s="107"/>
    </row>
    <row r="623" spans="1:9" ht="12.75" customHeight="1" x14ac:dyDescent="0.25">
      <c r="A623" s="1"/>
      <c r="B623" s="107"/>
      <c r="C623" s="107"/>
      <c r="D623" s="107"/>
      <c r="E623" s="107"/>
      <c r="F623" s="107"/>
      <c r="G623" s="107"/>
      <c r="H623" s="107"/>
      <c r="I623" s="107"/>
    </row>
    <row r="624" spans="1:9" ht="12.75" customHeight="1" x14ac:dyDescent="0.25">
      <c r="A624" s="1"/>
      <c r="B624" s="107"/>
      <c r="C624" s="107"/>
      <c r="D624" s="107"/>
      <c r="E624" s="107"/>
      <c r="F624" s="107"/>
      <c r="G624" s="107"/>
      <c r="H624" s="107"/>
      <c r="I624" s="107"/>
    </row>
    <row r="625" spans="1:9" ht="12.75" customHeight="1" x14ac:dyDescent="0.25">
      <c r="A625" s="1"/>
      <c r="B625" s="107"/>
      <c r="C625" s="107"/>
      <c r="D625" s="107"/>
      <c r="E625" s="107"/>
      <c r="F625" s="107"/>
      <c r="G625" s="107"/>
      <c r="H625" s="107"/>
      <c r="I625" s="107"/>
    </row>
    <row r="626" spans="1:9" ht="12.75" customHeight="1" x14ac:dyDescent="0.25">
      <c r="A626" s="1"/>
      <c r="B626" s="107"/>
      <c r="C626" s="107"/>
      <c r="D626" s="107"/>
      <c r="E626" s="107"/>
      <c r="F626" s="107"/>
      <c r="G626" s="107"/>
      <c r="H626" s="107"/>
      <c r="I626" s="107"/>
    </row>
    <row r="627" spans="1:9" ht="12.75" customHeight="1" x14ac:dyDescent="0.25">
      <c r="A627" s="1"/>
      <c r="B627" s="107"/>
      <c r="C627" s="107"/>
      <c r="D627" s="107"/>
      <c r="E627" s="107"/>
      <c r="F627" s="107"/>
      <c r="G627" s="107"/>
      <c r="H627" s="107"/>
      <c r="I627" s="107"/>
    </row>
    <row r="628" spans="1:9" ht="12.75" customHeight="1" x14ac:dyDescent="0.25">
      <c r="A628" s="1"/>
      <c r="B628" s="107"/>
      <c r="C628" s="107"/>
      <c r="D628" s="107"/>
      <c r="E628" s="107"/>
      <c r="F628" s="107"/>
      <c r="G628" s="107"/>
      <c r="H628" s="107"/>
      <c r="I628" s="107"/>
    </row>
    <row r="629" spans="1:9" ht="12.75" customHeight="1" x14ac:dyDescent="0.25">
      <c r="A629" s="1"/>
      <c r="B629" s="107"/>
      <c r="C629" s="107"/>
      <c r="D629" s="107"/>
      <c r="E629" s="107"/>
      <c r="F629" s="107"/>
      <c r="G629" s="107"/>
      <c r="H629" s="107"/>
      <c r="I629" s="107"/>
    </row>
    <row r="630" spans="1:9" ht="12.75" customHeight="1" x14ac:dyDescent="0.25">
      <c r="A630" s="1"/>
      <c r="B630" s="107"/>
      <c r="C630" s="107"/>
      <c r="D630" s="107"/>
      <c r="E630" s="107"/>
      <c r="F630" s="107"/>
      <c r="G630" s="107"/>
      <c r="H630" s="107"/>
      <c r="I630" s="107"/>
    </row>
    <row r="631" spans="1:9" ht="12.75" customHeight="1" x14ac:dyDescent="0.25">
      <c r="A631" s="1"/>
      <c r="B631" s="107"/>
      <c r="C631" s="107"/>
      <c r="D631" s="107"/>
      <c r="E631" s="107"/>
      <c r="F631" s="107"/>
      <c r="G631" s="107"/>
      <c r="H631" s="107"/>
      <c r="I631" s="107"/>
    </row>
    <row r="632" spans="1:9" ht="12.75" customHeight="1" x14ac:dyDescent="0.25">
      <c r="A632" s="1"/>
      <c r="B632" s="107"/>
      <c r="C632" s="107"/>
      <c r="D632" s="107"/>
      <c r="E632" s="107"/>
      <c r="F632" s="107"/>
      <c r="G632" s="107"/>
      <c r="H632" s="107"/>
      <c r="I632" s="107"/>
    </row>
    <row r="633" spans="1:9" ht="12.75" customHeight="1" x14ac:dyDescent="0.25">
      <c r="A633" s="1"/>
      <c r="B633" s="107"/>
      <c r="C633" s="107"/>
      <c r="D633" s="107"/>
      <c r="E633" s="107"/>
      <c r="F633" s="107"/>
      <c r="G633" s="107"/>
      <c r="H633" s="107"/>
      <c r="I633" s="107"/>
    </row>
    <row r="634" spans="1:9" ht="12.75" customHeight="1" x14ac:dyDescent="0.25">
      <c r="A634" s="1"/>
      <c r="B634" s="107"/>
      <c r="C634" s="107"/>
      <c r="D634" s="107"/>
      <c r="E634" s="107"/>
      <c r="F634" s="107"/>
      <c r="G634" s="107"/>
      <c r="H634" s="107"/>
      <c r="I634" s="107"/>
    </row>
    <row r="635" spans="1:9" ht="12.75" customHeight="1" x14ac:dyDescent="0.25">
      <c r="A635" s="1"/>
      <c r="B635" s="107"/>
      <c r="C635" s="107"/>
      <c r="D635" s="107"/>
      <c r="E635" s="107"/>
      <c r="F635" s="107"/>
      <c r="G635" s="107"/>
      <c r="H635" s="107"/>
      <c r="I635" s="107"/>
    </row>
    <row r="636" spans="1:9" ht="12.75" customHeight="1" x14ac:dyDescent="0.25">
      <c r="A636" s="1"/>
      <c r="B636" s="107"/>
      <c r="C636" s="107"/>
      <c r="D636" s="107"/>
      <c r="E636" s="107"/>
      <c r="F636" s="107"/>
      <c r="G636" s="107"/>
      <c r="H636" s="107"/>
      <c r="I636" s="107"/>
    </row>
    <row r="637" spans="1:9" ht="12.75" customHeight="1" x14ac:dyDescent="0.25">
      <c r="A637" s="1"/>
      <c r="B637" s="107"/>
      <c r="C637" s="107"/>
      <c r="D637" s="107"/>
      <c r="E637" s="107"/>
      <c r="F637" s="107"/>
      <c r="G637" s="107"/>
      <c r="H637" s="107"/>
      <c r="I637" s="107"/>
    </row>
    <row r="638" spans="1:9" ht="12.75" customHeight="1" x14ac:dyDescent="0.25">
      <c r="A638" s="1"/>
      <c r="B638" s="107"/>
      <c r="C638" s="107"/>
      <c r="D638" s="107"/>
      <c r="E638" s="107"/>
      <c r="F638" s="107"/>
      <c r="G638" s="107"/>
      <c r="H638" s="107"/>
      <c r="I638" s="107"/>
    </row>
    <row r="639" spans="1:9" ht="12.75" customHeight="1" x14ac:dyDescent="0.25">
      <c r="A639" s="1"/>
      <c r="B639" s="107"/>
      <c r="C639" s="107"/>
      <c r="D639" s="107"/>
      <c r="E639" s="107"/>
      <c r="F639" s="107"/>
      <c r="G639" s="107"/>
      <c r="H639" s="107"/>
      <c r="I639" s="107"/>
    </row>
    <row r="640" spans="1:9" ht="12.75" customHeight="1" x14ac:dyDescent="0.25">
      <c r="A640" s="1"/>
      <c r="B640" s="107"/>
      <c r="C640" s="107"/>
      <c r="D640" s="107"/>
      <c r="E640" s="107"/>
      <c r="F640" s="107"/>
      <c r="G640" s="107"/>
      <c r="H640" s="107"/>
      <c r="I640" s="107"/>
    </row>
    <row r="641" spans="1:9" ht="12.75" customHeight="1" x14ac:dyDescent="0.25">
      <c r="A641" s="1"/>
      <c r="B641" s="107"/>
      <c r="C641" s="107"/>
      <c r="D641" s="107"/>
      <c r="E641" s="107"/>
      <c r="F641" s="107"/>
      <c r="G641" s="107"/>
      <c r="H641" s="107"/>
      <c r="I641" s="107"/>
    </row>
    <row r="642" spans="1:9" ht="12.75" customHeight="1" x14ac:dyDescent="0.25">
      <c r="A642" s="1"/>
      <c r="B642" s="107"/>
      <c r="C642" s="107"/>
      <c r="D642" s="107"/>
      <c r="E642" s="107"/>
      <c r="F642" s="107"/>
      <c r="G642" s="107"/>
      <c r="H642" s="107"/>
      <c r="I642" s="107"/>
    </row>
    <row r="643" spans="1:9" ht="12.75" customHeight="1" x14ac:dyDescent="0.25">
      <c r="A643" s="1"/>
      <c r="B643" s="107"/>
      <c r="C643" s="107"/>
      <c r="D643" s="107"/>
      <c r="E643" s="107"/>
      <c r="F643" s="107"/>
      <c r="G643" s="107"/>
      <c r="H643" s="107"/>
      <c r="I643" s="107"/>
    </row>
    <row r="644" spans="1:9" ht="12.75" customHeight="1" x14ac:dyDescent="0.25">
      <c r="A644" s="1"/>
      <c r="B644" s="107"/>
      <c r="C644" s="107"/>
      <c r="D644" s="107"/>
      <c r="E644" s="107"/>
      <c r="F644" s="107"/>
      <c r="G644" s="107"/>
      <c r="H644" s="107"/>
      <c r="I644" s="107"/>
    </row>
    <row r="645" spans="1:9" ht="12.75" customHeight="1" x14ac:dyDescent="0.25">
      <c r="A645" s="1"/>
      <c r="B645" s="107"/>
      <c r="C645" s="107"/>
      <c r="D645" s="107"/>
      <c r="E645" s="107"/>
      <c r="F645" s="107"/>
      <c r="G645" s="107"/>
      <c r="H645" s="107"/>
      <c r="I645" s="107"/>
    </row>
    <row r="646" spans="1:9" ht="12.75" customHeight="1" x14ac:dyDescent="0.25">
      <c r="A646" s="1"/>
      <c r="B646" s="107"/>
      <c r="C646" s="107"/>
      <c r="D646" s="107"/>
      <c r="E646" s="107"/>
      <c r="F646" s="107"/>
      <c r="G646" s="107"/>
      <c r="H646" s="107"/>
      <c r="I646" s="107"/>
    </row>
    <row r="647" spans="1:9" ht="12.75" customHeight="1" x14ac:dyDescent="0.25">
      <c r="A647" s="1"/>
      <c r="B647" s="107"/>
      <c r="C647" s="107"/>
      <c r="D647" s="107"/>
      <c r="E647" s="107"/>
      <c r="F647" s="107"/>
      <c r="G647" s="107"/>
      <c r="H647" s="107"/>
      <c r="I647" s="107"/>
    </row>
    <row r="648" spans="1:9" ht="12.75" customHeight="1" x14ac:dyDescent="0.25">
      <c r="A648" s="1"/>
      <c r="B648" s="107"/>
      <c r="C648" s="107"/>
      <c r="D648" s="107"/>
      <c r="E648" s="107"/>
      <c r="F648" s="107"/>
      <c r="G648" s="107"/>
      <c r="H648" s="107"/>
      <c r="I648" s="107"/>
    </row>
    <row r="649" spans="1:9" ht="12.75" customHeight="1" x14ac:dyDescent="0.25">
      <c r="A649" s="1"/>
      <c r="B649" s="107"/>
      <c r="C649" s="107"/>
      <c r="D649" s="107"/>
      <c r="E649" s="107"/>
      <c r="F649" s="107"/>
      <c r="G649" s="107"/>
      <c r="H649" s="107"/>
      <c r="I649" s="107"/>
    </row>
    <row r="650" spans="1:9" ht="12.75" customHeight="1" x14ac:dyDescent="0.25">
      <c r="A650" s="1"/>
      <c r="B650" s="107"/>
      <c r="C650" s="107"/>
      <c r="D650" s="107"/>
      <c r="E650" s="107"/>
      <c r="F650" s="107"/>
      <c r="G650" s="107"/>
      <c r="H650" s="107"/>
      <c r="I650" s="107"/>
    </row>
    <row r="651" spans="1:9" ht="12.75" customHeight="1" x14ac:dyDescent="0.25">
      <c r="A651" s="1"/>
      <c r="B651" s="107"/>
      <c r="C651" s="107"/>
      <c r="D651" s="107"/>
      <c r="E651" s="107"/>
      <c r="F651" s="107"/>
      <c r="G651" s="107"/>
      <c r="H651" s="107"/>
      <c r="I651" s="107"/>
    </row>
    <row r="652" spans="1:9" ht="12.75" customHeight="1" x14ac:dyDescent="0.25">
      <c r="A652" s="1"/>
      <c r="B652" s="107"/>
      <c r="C652" s="107"/>
      <c r="D652" s="107"/>
      <c r="E652" s="107"/>
      <c r="F652" s="107"/>
      <c r="G652" s="107"/>
      <c r="H652" s="107"/>
      <c r="I652" s="107"/>
    </row>
    <row r="653" spans="1:9" ht="12.75" customHeight="1" x14ac:dyDescent="0.25">
      <c r="A653" s="1"/>
      <c r="B653" s="107"/>
      <c r="C653" s="107"/>
      <c r="D653" s="107"/>
      <c r="E653" s="107"/>
      <c r="F653" s="107"/>
      <c r="G653" s="107"/>
      <c r="H653" s="107"/>
      <c r="I653" s="107"/>
    </row>
    <row r="654" spans="1:9" ht="12.75" customHeight="1" x14ac:dyDescent="0.25">
      <c r="A654" s="1"/>
      <c r="B654" s="107"/>
      <c r="C654" s="107"/>
      <c r="D654" s="107"/>
      <c r="E654" s="107"/>
      <c r="F654" s="107"/>
      <c r="G654" s="107"/>
      <c r="H654" s="107"/>
      <c r="I654" s="107"/>
    </row>
    <row r="655" spans="1:9" ht="12.75" customHeight="1" x14ac:dyDescent="0.25">
      <c r="A655" s="1"/>
      <c r="B655" s="107"/>
      <c r="C655" s="107"/>
      <c r="D655" s="107"/>
      <c r="E655" s="107"/>
      <c r="F655" s="107"/>
      <c r="G655" s="107"/>
      <c r="H655" s="107"/>
      <c r="I655" s="107"/>
    </row>
    <row r="656" spans="1:9" ht="12.75" customHeight="1" x14ac:dyDescent="0.25">
      <c r="A656" s="1"/>
      <c r="B656" s="107"/>
      <c r="C656" s="107"/>
      <c r="D656" s="107"/>
      <c r="E656" s="107"/>
      <c r="F656" s="107"/>
      <c r="G656" s="107"/>
      <c r="H656" s="107"/>
      <c r="I656" s="107"/>
    </row>
    <row r="657" spans="1:9" ht="12.75" customHeight="1" x14ac:dyDescent="0.25">
      <c r="A657" s="1"/>
      <c r="B657" s="107"/>
      <c r="C657" s="107"/>
      <c r="D657" s="107"/>
      <c r="E657" s="107"/>
      <c r="F657" s="107"/>
      <c r="G657" s="107"/>
      <c r="H657" s="107"/>
      <c r="I657" s="107"/>
    </row>
    <row r="658" spans="1:9" ht="12.75" customHeight="1" x14ac:dyDescent="0.25">
      <c r="A658" s="1"/>
      <c r="B658" s="107"/>
      <c r="C658" s="107"/>
      <c r="D658" s="107"/>
      <c r="E658" s="107"/>
      <c r="F658" s="107"/>
      <c r="G658" s="107"/>
      <c r="H658" s="107"/>
      <c r="I658" s="107"/>
    </row>
    <row r="659" spans="1:9" ht="12.75" customHeight="1" x14ac:dyDescent="0.25">
      <c r="A659" s="1"/>
      <c r="B659" s="107"/>
      <c r="C659" s="107"/>
      <c r="D659" s="107"/>
      <c r="E659" s="107"/>
      <c r="F659" s="107"/>
      <c r="G659" s="107"/>
      <c r="H659" s="107"/>
      <c r="I659" s="107"/>
    </row>
    <row r="660" spans="1:9" ht="12.75" customHeight="1" x14ac:dyDescent="0.25">
      <c r="A660" s="1"/>
      <c r="B660" s="107"/>
      <c r="C660" s="107"/>
      <c r="D660" s="107"/>
      <c r="E660" s="107"/>
      <c r="F660" s="107"/>
      <c r="G660" s="107"/>
      <c r="H660" s="107"/>
      <c r="I660" s="107"/>
    </row>
    <row r="661" spans="1:9" ht="12.75" customHeight="1" x14ac:dyDescent="0.25">
      <c r="A661" s="1"/>
      <c r="B661" s="107"/>
      <c r="C661" s="107"/>
      <c r="D661" s="107"/>
      <c r="E661" s="107"/>
      <c r="F661" s="107"/>
      <c r="G661" s="107"/>
      <c r="H661" s="107"/>
      <c r="I661" s="107"/>
    </row>
    <row r="662" spans="1:9" ht="12.75" customHeight="1" x14ac:dyDescent="0.25">
      <c r="A662" s="1"/>
      <c r="B662" s="107"/>
      <c r="C662" s="107"/>
      <c r="D662" s="107"/>
      <c r="E662" s="107"/>
      <c r="F662" s="107"/>
      <c r="G662" s="107"/>
      <c r="H662" s="107"/>
      <c r="I662" s="107"/>
    </row>
    <row r="663" spans="1:9" ht="12.75" customHeight="1" x14ac:dyDescent="0.25">
      <c r="A663" s="1"/>
      <c r="B663" s="107"/>
      <c r="C663" s="107"/>
      <c r="D663" s="107"/>
      <c r="E663" s="107"/>
      <c r="F663" s="107"/>
      <c r="G663" s="107"/>
      <c r="H663" s="107"/>
      <c r="I663" s="107"/>
    </row>
    <row r="664" spans="1:9" ht="12.75" customHeight="1" x14ac:dyDescent="0.25">
      <c r="A664" s="1"/>
      <c r="B664" s="107"/>
      <c r="C664" s="107"/>
      <c r="D664" s="107"/>
      <c r="E664" s="107"/>
      <c r="F664" s="107"/>
      <c r="G664" s="107"/>
      <c r="H664" s="107"/>
      <c r="I664" s="107"/>
    </row>
    <row r="665" spans="1:9" ht="12.75" customHeight="1" x14ac:dyDescent="0.25">
      <c r="A665" s="1"/>
      <c r="B665" s="107"/>
      <c r="C665" s="107"/>
      <c r="D665" s="107"/>
      <c r="E665" s="107"/>
      <c r="F665" s="107"/>
      <c r="G665" s="107"/>
      <c r="H665" s="107"/>
      <c r="I665" s="107"/>
    </row>
    <row r="666" spans="1:9" ht="12.75" customHeight="1" x14ac:dyDescent="0.25">
      <c r="A666" s="1"/>
      <c r="B666" s="107"/>
      <c r="C666" s="107"/>
      <c r="D666" s="107"/>
      <c r="E666" s="107"/>
      <c r="F666" s="107"/>
      <c r="G666" s="107"/>
      <c r="H666" s="107"/>
      <c r="I666" s="107"/>
    </row>
    <row r="667" spans="1:9" ht="12.75" customHeight="1" x14ac:dyDescent="0.25">
      <c r="A667" s="1"/>
      <c r="B667" s="107"/>
      <c r="C667" s="107"/>
      <c r="D667" s="107"/>
      <c r="E667" s="107"/>
      <c r="F667" s="107"/>
      <c r="G667" s="107"/>
      <c r="H667" s="107"/>
      <c r="I667" s="107"/>
    </row>
    <row r="668" spans="1:9" ht="12.75" customHeight="1" x14ac:dyDescent="0.25">
      <c r="A668" s="1"/>
      <c r="B668" s="107"/>
      <c r="C668" s="107"/>
      <c r="D668" s="107"/>
      <c r="E668" s="107"/>
      <c r="F668" s="107"/>
      <c r="G668" s="107"/>
      <c r="H668" s="107"/>
      <c r="I668" s="107"/>
    </row>
    <row r="669" spans="1:9" ht="12.75" customHeight="1" x14ac:dyDescent="0.25">
      <c r="A669" s="1"/>
      <c r="B669" s="107"/>
      <c r="C669" s="107"/>
      <c r="D669" s="107"/>
      <c r="E669" s="107"/>
      <c r="F669" s="107"/>
      <c r="G669" s="107"/>
      <c r="H669" s="107"/>
      <c r="I669" s="107"/>
    </row>
    <row r="670" spans="1:9" ht="12.75" customHeight="1" x14ac:dyDescent="0.25">
      <c r="A670" s="1"/>
      <c r="B670" s="107"/>
      <c r="C670" s="107"/>
      <c r="D670" s="107"/>
      <c r="E670" s="107"/>
      <c r="F670" s="107"/>
      <c r="G670" s="107"/>
      <c r="H670" s="107"/>
      <c r="I670" s="107"/>
    </row>
    <row r="671" spans="1:9" ht="12.75" customHeight="1" x14ac:dyDescent="0.25">
      <c r="A671" s="1"/>
      <c r="B671" s="107"/>
      <c r="C671" s="107"/>
      <c r="D671" s="107"/>
      <c r="E671" s="107"/>
      <c r="F671" s="107"/>
      <c r="G671" s="107"/>
      <c r="H671" s="107"/>
      <c r="I671" s="107"/>
    </row>
    <row r="672" spans="1:9" ht="12.75" customHeight="1" x14ac:dyDescent="0.25">
      <c r="A672" s="1"/>
      <c r="B672" s="107"/>
      <c r="C672" s="107"/>
      <c r="D672" s="107"/>
      <c r="E672" s="107"/>
      <c r="F672" s="107"/>
      <c r="G672" s="107"/>
      <c r="H672" s="107"/>
      <c r="I672" s="107"/>
    </row>
    <row r="673" spans="1:9" ht="12.75" customHeight="1" x14ac:dyDescent="0.25">
      <c r="A673" s="1"/>
      <c r="B673" s="107"/>
      <c r="C673" s="107"/>
      <c r="D673" s="107"/>
      <c r="E673" s="107"/>
      <c r="F673" s="107"/>
      <c r="G673" s="107"/>
      <c r="H673" s="107"/>
      <c r="I673" s="107"/>
    </row>
    <row r="674" spans="1:9" ht="12.75" customHeight="1" x14ac:dyDescent="0.25">
      <c r="A674" s="1"/>
      <c r="B674" s="107"/>
      <c r="C674" s="107"/>
      <c r="D674" s="107"/>
      <c r="E674" s="107"/>
      <c r="F674" s="107"/>
      <c r="G674" s="107"/>
      <c r="H674" s="107"/>
      <c r="I674" s="107"/>
    </row>
    <row r="675" spans="1:9" ht="12.75" customHeight="1" x14ac:dyDescent="0.25">
      <c r="A675" s="1"/>
      <c r="B675" s="107"/>
      <c r="C675" s="107"/>
      <c r="D675" s="107"/>
      <c r="E675" s="107"/>
      <c r="F675" s="107"/>
      <c r="G675" s="107"/>
      <c r="H675" s="107"/>
      <c r="I675" s="107"/>
    </row>
    <row r="676" spans="1:9" ht="12.75" customHeight="1" x14ac:dyDescent="0.25">
      <c r="A676" s="1"/>
      <c r="B676" s="107"/>
      <c r="C676" s="107"/>
      <c r="D676" s="107"/>
      <c r="E676" s="107"/>
      <c r="F676" s="107"/>
      <c r="G676" s="107"/>
      <c r="H676" s="107"/>
      <c r="I676" s="107"/>
    </row>
    <row r="677" spans="1:9" ht="12.75" customHeight="1" x14ac:dyDescent="0.25">
      <c r="A677" s="1"/>
      <c r="B677" s="107"/>
      <c r="C677" s="107"/>
      <c r="D677" s="107"/>
      <c r="E677" s="107"/>
      <c r="F677" s="107"/>
      <c r="G677" s="107"/>
      <c r="H677" s="107"/>
      <c r="I677" s="107"/>
    </row>
    <row r="678" spans="1:9" ht="12.75" customHeight="1" x14ac:dyDescent="0.25">
      <c r="A678" s="1"/>
      <c r="B678" s="107"/>
      <c r="C678" s="107"/>
      <c r="D678" s="107"/>
      <c r="E678" s="107"/>
      <c r="F678" s="107"/>
      <c r="G678" s="107"/>
      <c r="H678" s="107"/>
      <c r="I678" s="107"/>
    </row>
    <row r="679" spans="1:9" ht="12.75" customHeight="1" x14ac:dyDescent="0.25">
      <c r="A679" s="1"/>
      <c r="B679" s="107"/>
      <c r="C679" s="107"/>
      <c r="D679" s="107"/>
      <c r="E679" s="107"/>
      <c r="F679" s="107"/>
      <c r="G679" s="107"/>
      <c r="H679" s="107"/>
      <c r="I679" s="107"/>
    </row>
    <row r="680" spans="1:9" ht="12.75" customHeight="1" x14ac:dyDescent="0.25">
      <c r="A680" s="1"/>
      <c r="B680" s="107"/>
      <c r="C680" s="107"/>
      <c r="D680" s="107"/>
      <c r="E680" s="107"/>
      <c r="F680" s="107"/>
      <c r="G680" s="107"/>
      <c r="H680" s="107"/>
      <c r="I680" s="107"/>
    </row>
    <row r="681" spans="1:9" ht="12.75" customHeight="1" x14ac:dyDescent="0.25">
      <c r="A681" s="1"/>
      <c r="B681" s="107"/>
      <c r="C681" s="107"/>
      <c r="D681" s="107"/>
      <c r="E681" s="107"/>
      <c r="F681" s="107"/>
      <c r="G681" s="107"/>
      <c r="H681" s="107"/>
      <c r="I681" s="107"/>
    </row>
    <row r="682" spans="1:9" ht="12.75" customHeight="1" x14ac:dyDescent="0.25">
      <c r="A682" s="1"/>
      <c r="B682" s="107"/>
      <c r="C682" s="107"/>
      <c r="D682" s="107"/>
      <c r="E682" s="107"/>
      <c r="F682" s="107"/>
      <c r="G682" s="107"/>
      <c r="H682" s="107"/>
      <c r="I682" s="107"/>
    </row>
    <row r="683" spans="1:9" ht="12.75" customHeight="1" x14ac:dyDescent="0.25">
      <c r="A683" s="1"/>
      <c r="B683" s="107"/>
      <c r="C683" s="107"/>
      <c r="D683" s="107"/>
      <c r="E683" s="107"/>
      <c r="F683" s="107"/>
      <c r="G683" s="107"/>
      <c r="H683" s="107"/>
      <c r="I683" s="107"/>
    </row>
    <row r="684" spans="1:9" ht="12.75" customHeight="1" x14ac:dyDescent="0.25">
      <c r="A684" s="1"/>
      <c r="B684" s="107"/>
      <c r="C684" s="107"/>
      <c r="D684" s="107"/>
      <c r="E684" s="107"/>
      <c r="F684" s="107"/>
      <c r="G684" s="107"/>
      <c r="H684" s="107"/>
      <c r="I684" s="107"/>
    </row>
    <row r="685" spans="1:9" ht="12.75" customHeight="1" x14ac:dyDescent="0.25">
      <c r="A685" s="1"/>
      <c r="B685" s="107"/>
      <c r="C685" s="107"/>
      <c r="D685" s="107"/>
      <c r="E685" s="107"/>
      <c r="F685" s="107"/>
      <c r="G685" s="107"/>
      <c r="H685" s="107"/>
      <c r="I685" s="107"/>
    </row>
    <row r="686" spans="1:9" ht="12.75" customHeight="1" x14ac:dyDescent="0.25">
      <c r="A686" s="1"/>
      <c r="B686" s="107"/>
      <c r="C686" s="107"/>
      <c r="D686" s="107"/>
      <c r="E686" s="107"/>
      <c r="F686" s="107"/>
      <c r="G686" s="107"/>
      <c r="H686" s="107"/>
      <c r="I686" s="107"/>
    </row>
    <row r="687" spans="1:9" ht="12.75" customHeight="1" x14ac:dyDescent="0.25">
      <c r="A687" s="1"/>
      <c r="B687" s="107"/>
      <c r="C687" s="107"/>
      <c r="D687" s="107"/>
      <c r="E687" s="107"/>
      <c r="F687" s="107"/>
      <c r="G687" s="107"/>
      <c r="H687" s="107"/>
      <c r="I687" s="107"/>
    </row>
    <row r="688" spans="1:9" ht="12.75" customHeight="1" x14ac:dyDescent="0.25">
      <c r="A688" s="1"/>
      <c r="B688" s="107"/>
      <c r="C688" s="107"/>
      <c r="D688" s="107"/>
      <c r="E688" s="107"/>
      <c r="F688" s="107"/>
      <c r="G688" s="107"/>
      <c r="H688" s="107"/>
      <c r="I688" s="107"/>
    </row>
    <row r="689" spans="1:9" ht="12.75" customHeight="1" x14ac:dyDescent="0.25">
      <c r="A689" s="1"/>
      <c r="B689" s="107"/>
      <c r="C689" s="107"/>
      <c r="D689" s="107"/>
      <c r="E689" s="107"/>
      <c r="F689" s="107"/>
      <c r="G689" s="107"/>
      <c r="H689" s="107"/>
      <c r="I689" s="107"/>
    </row>
    <row r="690" spans="1:9" ht="12.75" customHeight="1" x14ac:dyDescent="0.25">
      <c r="A690" s="1"/>
      <c r="B690" s="107"/>
      <c r="C690" s="107"/>
      <c r="D690" s="107"/>
      <c r="E690" s="107"/>
      <c r="F690" s="107"/>
      <c r="G690" s="107"/>
      <c r="H690" s="107"/>
      <c r="I690" s="107"/>
    </row>
    <row r="691" spans="1:9" ht="12.75" customHeight="1" x14ac:dyDescent="0.25">
      <c r="A691" s="1"/>
      <c r="B691" s="107"/>
      <c r="C691" s="107"/>
      <c r="D691" s="107"/>
      <c r="E691" s="107"/>
      <c r="F691" s="107"/>
      <c r="G691" s="107"/>
      <c r="H691" s="107"/>
      <c r="I691" s="107"/>
    </row>
    <row r="692" spans="1:9" ht="12.75" customHeight="1" x14ac:dyDescent="0.25">
      <c r="A692" s="1"/>
      <c r="B692" s="107"/>
      <c r="C692" s="107"/>
      <c r="D692" s="107"/>
      <c r="E692" s="107"/>
      <c r="F692" s="107"/>
      <c r="G692" s="107"/>
      <c r="H692" s="107"/>
      <c r="I692" s="107"/>
    </row>
    <row r="693" spans="1:9" ht="12.75" customHeight="1" x14ac:dyDescent="0.25">
      <c r="A693" s="1"/>
      <c r="B693" s="107"/>
      <c r="C693" s="107"/>
      <c r="D693" s="107"/>
      <c r="E693" s="107"/>
      <c r="F693" s="107"/>
      <c r="G693" s="107"/>
      <c r="H693" s="107"/>
      <c r="I693" s="107"/>
    </row>
    <row r="694" spans="1:9" ht="12.75" customHeight="1" x14ac:dyDescent="0.25">
      <c r="A694" s="1"/>
      <c r="B694" s="107"/>
      <c r="C694" s="107"/>
      <c r="D694" s="107"/>
      <c r="E694" s="107"/>
      <c r="F694" s="107"/>
      <c r="G694" s="107"/>
      <c r="H694" s="107"/>
      <c r="I694" s="107"/>
    </row>
    <row r="695" spans="1:9" ht="12.75" customHeight="1" x14ac:dyDescent="0.25">
      <c r="A695" s="1"/>
      <c r="B695" s="107"/>
      <c r="C695" s="107"/>
      <c r="D695" s="107"/>
      <c r="E695" s="107"/>
      <c r="F695" s="107"/>
      <c r="G695" s="107"/>
      <c r="H695" s="107"/>
      <c r="I695" s="107"/>
    </row>
    <row r="696" spans="1:9" ht="12.75" customHeight="1" x14ac:dyDescent="0.25">
      <c r="A696" s="1"/>
      <c r="B696" s="107"/>
      <c r="C696" s="107"/>
      <c r="D696" s="107"/>
      <c r="E696" s="107"/>
      <c r="F696" s="107"/>
      <c r="G696" s="107"/>
      <c r="H696" s="107"/>
      <c r="I696" s="107"/>
    </row>
    <row r="697" spans="1:9" ht="12.75" customHeight="1" x14ac:dyDescent="0.25">
      <c r="A697" s="1"/>
      <c r="B697" s="107"/>
      <c r="C697" s="107"/>
      <c r="D697" s="107"/>
      <c r="E697" s="107"/>
      <c r="F697" s="107"/>
      <c r="G697" s="107"/>
      <c r="H697" s="107"/>
      <c r="I697" s="107"/>
    </row>
    <row r="698" spans="1:9" ht="12.75" customHeight="1" x14ac:dyDescent="0.25">
      <c r="A698" s="1"/>
      <c r="B698" s="107"/>
      <c r="C698" s="107"/>
      <c r="D698" s="107"/>
      <c r="E698" s="107"/>
      <c r="F698" s="107"/>
      <c r="G698" s="107"/>
      <c r="H698" s="107"/>
      <c r="I698" s="107"/>
    </row>
    <row r="699" spans="1:9" ht="12.75" customHeight="1" x14ac:dyDescent="0.25">
      <c r="A699" s="1"/>
      <c r="B699" s="107"/>
      <c r="C699" s="107"/>
      <c r="D699" s="107"/>
      <c r="E699" s="107"/>
      <c r="F699" s="107"/>
      <c r="G699" s="107"/>
      <c r="H699" s="107"/>
      <c r="I699" s="107"/>
    </row>
    <row r="700" spans="1:9" ht="12.75" customHeight="1" x14ac:dyDescent="0.25">
      <c r="A700" s="1"/>
      <c r="B700" s="107"/>
      <c r="C700" s="107"/>
      <c r="D700" s="107"/>
      <c r="E700" s="107"/>
      <c r="F700" s="107"/>
      <c r="G700" s="107"/>
      <c r="H700" s="107"/>
      <c r="I700" s="107"/>
    </row>
    <row r="701" spans="1:9" ht="12.75" customHeight="1" x14ac:dyDescent="0.25">
      <c r="A701" s="1"/>
      <c r="B701" s="107"/>
      <c r="C701" s="107"/>
      <c r="D701" s="107"/>
      <c r="E701" s="107"/>
      <c r="F701" s="107"/>
      <c r="G701" s="107"/>
      <c r="H701" s="107"/>
      <c r="I701" s="107"/>
    </row>
    <row r="702" spans="1:9" ht="12.75" customHeight="1" x14ac:dyDescent="0.25">
      <c r="A702" s="1"/>
      <c r="B702" s="107"/>
      <c r="C702" s="107"/>
      <c r="D702" s="107"/>
      <c r="E702" s="107"/>
      <c r="F702" s="107"/>
      <c r="G702" s="107"/>
      <c r="H702" s="107"/>
      <c r="I702" s="107"/>
    </row>
    <row r="703" spans="1:9" ht="12.75" customHeight="1" x14ac:dyDescent="0.25">
      <c r="A703" s="1"/>
      <c r="B703" s="107"/>
      <c r="C703" s="107"/>
      <c r="D703" s="107"/>
      <c r="E703" s="107"/>
      <c r="F703" s="107"/>
      <c r="G703" s="107"/>
      <c r="H703" s="107"/>
      <c r="I703" s="107"/>
    </row>
    <row r="704" spans="1:9" ht="12.75" customHeight="1" x14ac:dyDescent="0.25">
      <c r="A704" s="1"/>
      <c r="B704" s="107"/>
      <c r="C704" s="107"/>
      <c r="D704" s="107"/>
      <c r="E704" s="107"/>
      <c r="F704" s="107"/>
      <c r="G704" s="107"/>
      <c r="H704" s="107"/>
      <c r="I704" s="107"/>
    </row>
    <row r="705" spans="1:9" ht="12.75" customHeight="1" x14ac:dyDescent="0.25">
      <c r="A705" s="1"/>
      <c r="B705" s="107"/>
      <c r="C705" s="107"/>
      <c r="D705" s="107"/>
      <c r="E705" s="107"/>
      <c r="F705" s="107"/>
      <c r="G705" s="107"/>
      <c r="H705" s="107"/>
      <c r="I705" s="107"/>
    </row>
    <row r="706" spans="1:9" ht="12.75" customHeight="1" x14ac:dyDescent="0.25">
      <c r="A706" s="1"/>
      <c r="B706" s="107"/>
      <c r="C706" s="107"/>
      <c r="D706" s="107"/>
      <c r="E706" s="107"/>
      <c r="F706" s="107"/>
      <c r="G706" s="107"/>
      <c r="H706" s="107"/>
      <c r="I706" s="107"/>
    </row>
    <row r="707" spans="1:9" ht="12.75" customHeight="1" x14ac:dyDescent="0.25">
      <c r="A707" s="1"/>
      <c r="B707" s="107"/>
      <c r="C707" s="107"/>
      <c r="D707" s="107"/>
      <c r="E707" s="107"/>
      <c r="F707" s="107"/>
      <c r="G707" s="107"/>
      <c r="H707" s="107"/>
      <c r="I707" s="107"/>
    </row>
    <row r="708" spans="1:9" ht="12.75" customHeight="1" x14ac:dyDescent="0.25">
      <c r="A708" s="1"/>
      <c r="B708" s="107"/>
      <c r="C708" s="107"/>
      <c r="D708" s="107"/>
      <c r="E708" s="107"/>
      <c r="F708" s="107"/>
      <c r="G708" s="107"/>
      <c r="H708" s="107"/>
      <c r="I708" s="107"/>
    </row>
    <row r="709" spans="1:9" ht="12.75" customHeight="1" x14ac:dyDescent="0.25">
      <c r="A709" s="1"/>
      <c r="B709" s="107"/>
      <c r="C709" s="107"/>
      <c r="D709" s="107"/>
      <c r="E709" s="107"/>
      <c r="F709" s="107"/>
      <c r="G709" s="107"/>
      <c r="H709" s="107"/>
      <c r="I709" s="107"/>
    </row>
    <row r="710" spans="1:9" ht="12.75" customHeight="1" x14ac:dyDescent="0.25">
      <c r="A710" s="1"/>
      <c r="B710" s="107"/>
      <c r="C710" s="107"/>
      <c r="D710" s="107"/>
      <c r="E710" s="107"/>
      <c r="F710" s="107"/>
      <c r="G710" s="107"/>
      <c r="H710" s="107"/>
      <c r="I710" s="107"/>
    </row>
    <row r="711" spans="1:9" ht="12.75" customHeight="1" x14ac:dyDescent="0.25">
      <c r="A711" s="1"/>
      <c r="B711" s="107"/>
      <c r="C711" s="107"/>
      <c r="D711" s="107"/>
      <c r="E711" s="107"/>
      <c r="F711" s="107"/>
      <c r="G711" s="107"/>
      <c r="H711" s="107"/>
      <c r="I711" s="107"/>
    </row>
    <row r="712" spans="1:9" ht="12.75" customHeight="1" x14ac:dyDescent="0.25">
      <c r="A712" s="1"/>
      <c r="B712" s="107"/>
      <c r="C712" s="107"/>
      <c r="D712" s="107"/>
      <c r="E712" s="107"/>
      <c r="F712" s="107"/>
      <c r="G712" s="107"/>
      <c r="H712" s="107"/>
      <c r="I712" s="107"/>
    </row>
    <row r="713" spans="1:9" ht="12.75" customHeight="1" x14ac:dyDescent="0.25">
      <c r="A713" s="1"/>
      <c r="B713" s="107"/>
      <c r="C713" s="107"/>
      <c r="D713" s="107"/>
      <c r="E713" s="107"/>
      <c r="F713" s="107"/>
      <c r="G713" s="107"/>
      <c r="H713" s="107"/>
      <c r="I713" s="107"/>
    </row>
    <row r="714" spans="1:9" ht="12.75" customHeight="1" x14ac:dyDescent="0.25">
      <c r="A714" s="1"/>
      <c r="B714" s="107"/>
      <c r="C714" s="107"/>
      <c r="D714" s="107"/>
      <c r="E714" s="107"/>
      <c r="F714" s="107"/>
      <c r="G714" s="107"/>
      <c r="H714" s="107"/>
      <c r="I714" s="107"/>
    </row>
    <row r="715" spans="1:9" ht="12.75" customHeight="1" x14ac:dyDescent="0.25">
      <c r="A715" s="1"/>
      <c r="B715" s="107"/>
      <c r="C715" s="107"/>
      <c r="D715" s="107"/>
      <c r="E715" s="107"/>
      <c r="F715" s="107"/>
      <c r="G715" s="107"/>
      <c r="H715" s="107"/>
      <c r="I715" s="107"/>
    </row>
    <row r="716" spans="1:9" ht="12.75" customHeight="1" x14ac:dyDescent="0.25">
      <c r="A716" s="1"/>
      <c r="B716" s="107"/>
      <c r="C716" s="107"/>
      <c r="D716" s="107"/>
      <c r="E716" s="107"/>
      <c r="F716" s="107"/>
      <c r="G716" s="107"/>
      <c r="H716" s="107"/>
      <c r="I716" s="107"/>
    </row>
    <row r="717" spans="1:9" ht="12.75" customHeight="1" x14ac:dyDescent="0.25">
      <c r="A717" s="1"/>
      <c r="B717" s="107"/>
      <c r="C717" s="107"/>
      <c r="D717" s="107"/>
      <c r="E717" s="107"/>
      <c r="F717" s="107"/>
      <c r="G717" s="107"/>
      <c r="H717" s="107"/>
      <c r="I717" s="107"/>
    </row>
    <row r="718" spans="1:9" ht="12.75" customHeight="1" x14ac:dyDescent="0.25">
      <c r="A718" s="1"/>
      <c r="B718" s="107"/>
      <c r="C718" s="107"/>
      <c r="D718" s="107"/>
      <c r="E718" s="107"/>
      <c r="F718" s="107"/>
      <c r="G718" s="107"/>
      <c r="H718" s="107"/>
      <c r="I718" s="107"/>
    </row>
    <row r="719" spans="1:9" ht="12.75" customHeight="1" x14ac:dyDescent="0.25">
      <c r="A719" s="1"/>
      <c r="B719" s="107"/>
      <c r="C719" s="107"/>
      <c r="D719" s="107"/>
      <c r="E719" s="107"/>
      <c r="F719" s="107"/>
      <c r="G719" s="107"/>
      <c r="H719" s="107"/>
      <c r="I719" s="107"/>
    </row>
    <row r="720" spans="1:9" ht="12.75" customHeight="1" x14ac:dyDescent="0.25">
      <c r="A720" s="1"/>
      <c r="B720" s="107"/>
      <c r="C720" s="107"/>
      <c r="D720" s="107"/>
      <c r="E720" s="107"/>
      <c r="F720" s="107"/>
      <c r="G720" s="107"/>
      <c r="H720" s="107"/>
      <c r="I720" s="107"/>
    </row>
    <row r="721" spans="1:9" ht="12.75" customHeight="1" x14ac:dyDescent="0.25">
      <c r="A721" s="1"/>
      <c r="B721" s="107"/>
      <c r="C721" s="107"/>
      <c r="D721" s="107"/>
      <c r="E721" s="107"/>
      <c r="F721" s="107"/>
      <c r="G721" s="107"/>
      <c r="H721" s="107"/>
      <c r="I721" s="107"/>
    </row>
    <row r="722" spans="1:9" ht="12.75" customHeight="1" x14ac:dyDescent="0.25">
      <c r="A722" s="1"/>
      <c r="B722" s="107"/>
      <c r="C722" s="107"/>
      <c r="D722" s="107"/>
      <c r="E722" s="107"/>
      <c r="F722" s="107"/>
      <c r="G722" s="107"/>
      <c r="H722" s="107"/>
      <c r="I722" s="107"/>
    </row>
    <row r="723" spans="1:9" ht="12.75" customHeight="1" x14ac:dyDescent="0.25">
      <c r="A723" s="1"/>
      <c r="B723" s="107"/>
      <c r="C723" s="107"/>
      <c r="D723" s="107"/>
      <c r="E723" s="107"/>
      <c r="F723" s="107"/>
      <c r="G723" s="107"/>
      <c r="H723" s="107"/>
      <c r="I723" s="107"/>
    </row>
    <row r="724" spans="1:9" ht="12.75" customHeight="1" x14ac:dyDescent="0.25">
      <c r="A724" s="1"/>
      <c r="B724" s="107"/>
      <c r="C724" s="107"/>
      <c r="D724" s="107"/>
      <c r="E724" s="107"/>
      <c r="F724" s="107"/>
      <c r="G724" s="107"/>
      <c r="H724" s="107"/>
      <c r="I724" s="107"/>
    </row>
    <row r="725" spans="1:9" ht="12.75" customHeight="1" x14ac:dyDescent="0.25">
      <c r="A725" s="1"/>
      <c r="B725" s="107"/>
      <c r="C725" s="107"/>
      <c r="D725" s="107"/>
      <c r="E725" s="107"/>
      <c r="F725" s="107"/>
      <c r="G725" s="107"/>
      <c r="H725" s="107"/>
      <c r="I725" s="107"/>
    </row>
    <row r="726" spans="1:9" ht="12.75" customHeight="1" x14ac:dyDescent="0.25">
      <c r="A726" s="1"/>
      <c r="B726" s="107"/>
      <c r="C726" s="107"/>
      <c r="D726" s="107"/>
      <c r="E726" s="107"/>
      <c r="F726" s="107"/>
      <c r="G726" s="107"/>
      <c r="H726" s="107"/>
      <c r="I726" s="107"/>
    </row>
    <row r="727" spans="1:9" ht="12.75" customHeight="1" x14ac:dyDescent="0.25">
      <c r="A727" s="1"/>
      <c r="B727" s="107"/>
      <c r="C727" s="107"/>
      <c r="D727" s="107"/>
      <c r="E727" s="107"/>
      <c r="F727" s="107"/>
      <c r="G727" s="107"/>
      <c r="H727" s="107"/>
      <c r="I727" s="107"/>
    </row>
    <row r="728" spans="1:9" ht="12.75" customHeight="1" x14ac:dyDescent="0.25">
      <c r="A728" s="1"/>
      <c r="B728" s="107"/>
      <c r="C728" s="107"/>
      <c r="D728" s="107"/>
      <c r="E728" s="107"/>
      <c r="F728" s="107"/>
      <c r="G728" s="107"/>
      <c r="H728" s="107"/>
      <c r="I728" s="107"/>
    </row>
    <row r="729" spans="1:9" ht="12.75" customHeight="1" x14ac:dyDescent="0.25">
      <c r="A729" s="1"/>
      <c r="B729" s="107"/>
      <c r="C729" s="107"/>
      <c r="D729" s="107"/>
      <c r="E729" s="107"/>
      <c r="F729" s="107"/>
      <c r="G729" s="107"/>
      <c r="H729" s="107"/>
      <c r="I729" s="107"/>
    </row>
    <row r="730" spans="1:9" ht="12.75" customHeight="1" x14ac:dyDescent="0.25">
      <c r="A730" s="1"/>
      <c r="B730" s="107"/>
      <c r="C730" s="107"/>
      <c r="D730" s="107"/>
      <c r="E730" s="107"/>
      <c r="F730" s="107"/>
      <c r="G730" s="107"/>
      <c r="H730" s="107"/>
      <c r="I730" s="107"/>
    </row>
    <row r="731" spans="1:9" ht="12.75" customHeight="1" x14ac:dyDescent="0.25">
      <c r="A731" s="1"/>
      <c r="B731" s="107"/>
      <c r="C731" s="107"/>
      <c r="D731" s="107"/>
      <c r="E731" s="107"/>
      <c r="F731" s="107"/>
      <c r="G731" s="107"/>
      <c r="H731" s="107"/>
      <c r="I731" s="107"/>
    </row>
    <row r="732" spans="1:9" ht="12.75" customHeight="1" x14ac:dyDescent="0.25">
      <c r="A732" s="1"/>
      <c r="B732" s="107"/>
      <c r="C732" s="107"/>
      <c r="D732" s="107"/>
      <c r="E732" s="107"/>
      <c r="F732" s="107"/>
      <c r="G732" s="107"/>
      <c r="H732" s="107"/>
      <c r="I732" s="107"/>
    </row>
    <row r="733" spans="1:9" ht="12.75" customHeight="1" x14ac:dyDescent="0.25">
      <c r="A733" s="1"/>
      <c r="B733" s="107"/>
      <c r="C733" s="107"/>
      <c r="D733" s="107"/>
      <c r="E733" s="107"/>
      <c r="F733" s="107"/>
      <c r="G733" s="107"/>
      <c r="H733" s="107"/>
      <c r="I733" s="107"/>
    </row>
    <row r="734" spans="1:9" ht="12.75" customHeight="1" x14ac:dyDescent="0.25">
      <c r="A734" s="1"/>
      <c r="B734" s="107"/>
      <c r="C734" s="107"/>
      <c r="D734" s="107"/>
      <c r="E734" s="107"/>
      <c r="F734" s="107"/>
      <c r="G734" s="107"/>
      <c r="H734" s="107"/>
      <c r="I734" s="107"/>
    </row>
    <row r="735" spans="1:9" ht="12.75" customHeight="1" x14ac:dyDescent="0.25">
      <c r="A735" s="1"/>
      <c r="B735" s="107"/>
      <c r="C735" s="107"/>
      <c r="D735" s="107"/>
      <c r="E735" s="107"/>
      <c r="F735" s="107"/>
      <c r="G735" s="107"/>
      <c r="H735" s="107"/>
      <c r="I735" s="107"/>
    </row>
    <row r="736" spans="1:9" ht="12.75" customHeight="1" x14ac:dyDescent="0.25">
      <c r="A736" s="1"/>
      <c r="B736" s="107"/>
      <c r="C736" s="107"/>
      <c r="D736" s="107"/>
      <c r="E736" s="107"/>
      <c r="F736" s="107"/>
      <c r="G736" s="107"/>
      <c r="H736" s="107"/>
      <c r="I736" s="107"/>
    </row>
    <row r="737" spans="1:9" ht="12.75" customHeight="1" x14ac:dyDescent="0.25">
      <c r="A737" s="1"/>
      <c r="B737" s="107"/>
      <c r="C737" s="107"/>
      <c r="D737" s="107"/>
      <c r="E737" s="107"/>
      <c r="F737" s="107"/>
      <c r="G737" s="107"/>
      <c r="H737" s="107"/>
      <c r="I737" s="107"/>
    </row>
    <row r="738" spans="1:9" ht="12.75" customHeight="1" x14ac:dyDescent="0.25">
      <c r="A738" s="1"/>
      <c r="B738" s="107"/>
      <c r="C738" s="107"/>
      <c r="D738" s="107"/>
      <c r="E738" s="107"/>
      <c r="F738" s="107"/>
      <c r="G738" s="107"/>
      <c r="H738" s="107"/>
      <c r="I738" s="107"/>
    </row>
    <row r="739" spans="1:9" ht="12.75" customHeight="1" x14ac:dyDescent="0.25">
      <c r="A739" s="1"/>
      <c r="B739" s="107"/>
      <c r="C739" s="107"/>
      <c r="D739" s="107"/>
      <c r="E739" s="107"/>
      <c r="F739" s="107"/>
      <c r="G739" s="107"/>
      <c r="H739" s="107"/>
      <c r="I739" s="107"/>
    </row>
    <row r="740" spans="1:9" ht="12.75" customHeight="1" x14ac:dyDescent="0.25">
      <c r="A740" s="1"/>
      <c r="B740" s="107"/>
      <c r="C740" s="107"/>
      <c r="D740" s="107"/>
      <c r="E740" s="107"/>
      <c r="F740" s="107"/>
      <c r="G740" s="107"/>
      <c r="H740" s="107"/>
      <c r="I740" s="107"/>
    </row>
    <row r="741" spans="1:9" ht="12.75" customHeight="1" x14ac:dyDescent="0.25">
      <c r="A741" s="1"/>
      <c r="B741" s="107"/>
      <c r="C741" s="107"/>
      <c r="D741" s="107"/>
      <c r="E741" s="107"/>
      <c r="F741" s="107"/>
      <c r="G741" s="107"/>
      <c r="H741" s="107"/>
      <c r="I741" s="107"/>
    </row>
    <row r="742" spans="1:9" ht="12.75" customHeight="1" x14ac:dyDescent="0.25">
      <c r="A742" s="1"/>
      <c r="B742" s="107"/>
      <c r="C742" s="107"/>
      <c r="D742" s="107"/>
      <c r="E742" s="107"/>
      <c r="F742" s="107"/>
      <c r="G742" s="107"/>
      <c r="H742" s="107"/>
      <c r="I742" s="107"/>
    </row>
    <row r="743" spans="1:9" ht="12.75" customHeight="1" x14ac:dyDescent="0.25">
      <c r="A743" s="1"/>
      <c r="B743" s="107"/>
      <c r="C743" s="107"/>
      <c r="D743" s="107"/>
      <c r="E743" s="107"/>
      <c r="F743" s="107"/>
      <c r="G743" s="107"/>
      <c r="H743" s="107"/>
      <c r="I743" s="107"/>
    </row>
    <row r="744" spans="1:9" ht="12.75" customHeight="1" x14ac:dyDescent="0.25">
      <c r="A744" s="1"/>
      <c r="B744" s="107"/>
      <c r="C744" s="107"/>
      <c r="D744" s="107"/>
      <c r="E744" s="107"/>
      <c r="F744" s="107"/>
      <c r="G744" s="107"/>
      <c r="H744" s="107"/>
      <c r="I744" s="107"/>
    </row>
    <row r="745" spans="1:9" ht="12.75" customHeight="1" x14ac:dyDescent="0.25">
      <c r="A745" s="1"/>
      <c r="B745" s="107"/>
      <c r="C745" s="107"/>
      <c r="D745" s="107"/>
      <c r="E745" s="107"/>
      <c r="F745" s="107"/>
      <c r="G745" s="107"/>
      <c r="H745" s="107"/>
      <c r="I745" s="107"/>
    </row>
    <row r="746" spans="1:9" ht="12.75" customHeight="1" x14ac:dyDescent="0.25">
      <c r="A746" s="1"/>
      <c r="B746" s="107"/>
      <c r="C746" s="107"/>
      <c r="D746" s="107"/>
      <c r="E746" s="107"/>
      <c r="F746" s="107"/>
      <c r="G746" s="107"/>
      <c r="H746" s="107"/>
      <c r="I746" s="107"/>
    </row>
    <row r="747" spans="1:9" ht="12.75" customHeight="1" x14ac:dyDescent="0.25">
      <c r="A747" s="1"/>
      <c r="B747" s="107"/>
      <c r="C747" s="107"/>
      <c r="D747" s="107"/>
      <c r="E747" s="107"/>
      <c r="F747" s="107"/>
      <c r="G747" s="107"/>
      <c r="H747" s="107"/>
      <c r="I747" s="107"/>
    </row>
    <row r="748" spans="1:9" ht="12.75" customHeight="1" x14ac:dyDescent="0.25">
      <c r="A748" s="1"/>
      <c r="B748" s="107"/>
      <c r="C748" s="107"/>
      <c r="D748" s="107"/>
      <c r="E748" s="107"/>
      <c r="F748" s="107"/>
      <c r="G748" s="107"/>
      <c r="H748" s="107"/>
      <c r="I748" s="107"/>
    </row>
    <row r="749" spans="1:9" ht="12.75" customHeight="1" x14ac:dyDescent="0.25">
      <c r="A749" s="1"/>
      <c r="B749" s="107"/>
      <c r="C749" s="107"/>
      <c r="D749" s="107"/>
      <c r="E749" s="107"/>
      <c r="F749" s="107"/>
      <c r="G749" s="107"/>
      <c r="H749" s="107"/>
      <c r="I749" s="107"/>
    </row>
    <row r="750" spans="1:9" ht="12.75" customHeight="1" x14ac:dyDescent="0.25">
      <c r="A750" s="1"/>
      <c r="B750" s="107"/>
      <c r="C750" s="107"/>
      <c r="D750" s="107"/>
      <c r="E750" s="107"/>
      <c r="F750" s="107"/>
      <c r="G750" s="107"/>
      <c r="H750" s="107"/>
      <c r="I750" s="107"/>
    </row>
    <row r="751" spans="1:9" ht="12.75" customHeight="1" x14ac:dyDescent="0.25">
      <c r="A751" s="1"/>
      <c r="B751" s="107"/>
      <c r="C751" s="107"/>
      <c r="D751" s="107"/>
      <c r="E751" s="107"/>
      <c r="F751" s="107"/>
      <c r="G751" s="107"/>
      <c r="H751" s="107"/>
      <c r="I751" s="107"/>
    </row>
    <row r="752" spans="1:9" ht="12.75" customHeight="1" x14ac:dyDescent="0.25">
      <c r="A752" s="1"/>
      <c r="B752" s="107"/>
      <c r="C752" s="107"/>
      <c r="D752" s="107"/>
      <c r="E752" s="107"/>
      <c r="F752" s="107"/>
      <c r="G752" s="107"/>
      <c r="H752" s="107"/>
      <c r="I752" s="107"/>
    </row>
    <row r="753" spans="1:9" ht="12.75" customHeight="1" x14ac:dyDescent="0.25">
      <c r="A753" s="1"/>
      <c r="B753" s="107"/>
      <c r="C753" s="107"/>
      <c r="D753" s="107"/>
      <c r="E753" s="107"/>
      <c r="F753" s="107"/>
      <c r="G753" s="107"/>
      <c r="H753" s="107"/>
      <c r="I753" s="107"/>
    </row>
    <row r="754" spans="1:9" ht="12.75" customHeight="1" x14ac:dyDescent="0.25">
      <c r="A754" s="1"/>
      <c r="B754" s="107"/>
      <c r="C754" s="107"/>
      <c r="D754" s="107"/>
      <c r="E754" s="107"/>
      <c r="F754" s="107"/>
      <c r="G754" s="107"/>
      <c r="H754" s="107"/>
      <c r="I754" s="107"/>
    </row>
    <row r="755" spans="1:9" ht="12.75" customHeight="1" x14ac:dyDescent="0.25">
      <c r="A755" s="1"/>
      <c r="B755" s="107"/>
      <c r="C755" s="107"/>
      <c r="D755" s="107"/>
      <c r="E755" s="107"/>
      <c r="F755" s="107"/>
      <c r="G755" s="107"/>
      <c r="H755" s="107"/>
      <c r="I755" s="107"/>
    </row>
    <row r="756" spans="1:9" ht="12.75" customHeight="1" x14ac:dyDescent="0.25">
      <c r="A756" s="1"/>
      <c r="B756" s="107"/>
      <c r="C756" s="107"/>
      <c r="D756" s="107"/>
      <c r="E756" s="107"/>
      <c r="F756" s="107"/>
      <c r="G756" s="107"/>
      <c r="H756" s="107"/>
      <c r="I756" s="107"/>
    </row>
    <row r="757" spans="1:9" ht="12.75" customHeight="1" x14ac:dyDescent="0.25">
      <c r="A757" s="1"/>
      <c r="B757" s="107"/>
      <c r="C757" s="107"/>
      <c r="D757" s="107"/>
      <c r="E757" s="107"/>
      <c r="F757" s="107"/>
      <c r="G757" s="107"/>
      <c r="H757" s="107"/>
      <c r="I757" s="107"/>
    </row>
    <row r="758" spans="1:9" ht="12.75" customHeight="1" x14ac:dyDescent="0.25">
      <c r="A758" s="1"/>
      <c r="B758" s="107"/>
      <c r="C758" s="107"/>
      <c r="D758" s="107"/>
      <c r="E758" s="107"/>
      <c r="F758" s="107"/>
      <c r="G758" s="107"/>
      <c r="H758" s="107"/>
      <c r="I758" s="107"/>
    </row>
    <row r="759" spans="1:9" ht="12.75" customHeight="1" x14ac:dyDescent="0.25">
      <c r="A759" s="1"/>
      <c r="B759" s="107"/>
      <c r="C759" s="107"/>
      <c r="D759" s="107"/>
      <c r="E759" s="107"/>
      <c r="F759" s="107"/>
      <c r="G759" s="107"/>
      <c r="H759" s="107"/>
      <c r="I759" s="107"/>
    </row>
    <row r="760" spans="1:9" ht="12.75" customHeight="1" x14ac:dyDescent="0.25">
      <c r="A760" s="1"/>
      <c r="B760" s="107"/>
      <c r="C760" s="107"/>
      <c r="D760" s="107"/>
      <c r="E760" s="107"/>
      <c r="F760" s="107"/>
      <c r="G760" s="107"/>
      <c r="H760" s="107"/>
      <c r="I760" s="107"/>
    </row>
    <row r="761" spans="1:9" ht="12.75" customHeight="1" x14ac:dyDescent="0.25">
      <c r="A761" s="1"/>
      <c r="B761" s="107"/>
      <c r="C761" s="107"/>
      <c r="D761" s="107"/>
      <c r="E761" s="107"/>
      <c r="F761" s="107"/>
      <c r="G761" s="107"/>
      <c r="H761" s="107"/>
      <c r="I761" s="107"/>
    </row>
    <row r="762" spans="1:9" ht="12.75" customHeight="1" x14ac:dyDescent="0.25">
      <c r="A762" s="1"/>
      <c r="B762" s="107"/>
      <c r="C762" s="107"/>
      <c r="D762" s="107"/>
      <c r="E762" s="107"/>
      <c r="F762" s="107"/>
      <c r="G762" s="107"/>
      <c r="H762" s="107"/>
      <c r="I762" s="107"/>
    </row>
    <row r="763" spans="1:9" ht="12.75" customHeight="1" x14ac:dyDescent="0.25">
      <c r="A763" s="1"/>
      <c r="B763" s="107"/>
      <c r="C763" s="107"/>
      <c r="D763" s="107"/>
      <c r="E763" s="107"/>
      <c r="F763" s="107"/>
      <c r="G763" s="107"/>
      <c r="H763" s="107"/>
      <c r="I763" s="107"/>
    </row>
    <row r="764" spans="1:9" ht="12.75" customHeight="1" x14ac:dyDescent="0.25">
      <c r="A764" s="1"/>
      <c r="B764" s="107"/>
      <c r="C764" s="107"/>
      <c r="D764" s="107"/>
      <c r="E764" s="107"/>
      <c r="F764" s="107"/>
      <c r="G764" s="107"/>
      <c r="H764" s="107"/>
      <c r="I764" s="107"/>
    </row>
    <row r="765" spans="1:9" ht="12.75" customHeight="1" x14ac:dyDescent="0.25">
      <c r="A765" s="1"/>
      <c r="B765" s="107"/>
      <c r="C765" s="107"/>
      <c r="D765" s="107"/>
      <c r="E765" s="107"/>
      <c r="F765" s="107"/>
      <c r="G765" s="107"/>
      <c r="H765" s="107"/>
      <c r="I765" s="107"/>
    </row>
    <row r="766" spans="1:9" ht="12.75" customHeight="1" x14ac:dyDescent="0.25">
      <c r="A766" s="1"/>
      <c r="B766" s="107"/>
      <c r="C766" s="107"/>
      <c r="D766" s="107"/>
      <c r="E766" s="107"/>
      <c r="F766" s="107"/>
      <c r="G766" s="107"/>
      <c r="H766" s="107"/>
      <c r="I766" s="107"/>
    </row>
    <row r="767" spans="1:9" ht="12.75" customHeight="1" x14ac:dyDescent="0.25">
      <c r="A767" s="1"/>
      <c r="B767" s="107"/>
      <c r="C767" s="107"/>
      <c r="D767" s="107"/>
      <c r="E767" s="107"/>
      <c r="F767" s="107"/>
      <c r="G767" s="107"/>
      <c r="H767" s="107"/>
      <c r="I767" s="107"/>
    </row>
    <row r="768" spans="1:9" ht="12.75" customHeight="1" x14ac:dyDescent="0.25">
      <c r="A768" s="1"/>
      <c r="B768" s="107"/>
      <c r="C768" s="107"/>
      <c r="D768" s="107"/>
      <c r="E768" s="107"/>
      <c r="F768" s="107"/>
      <c r="G768" s="107"/>
      <c r="H768" s="107"/>
      <c r="I768" s="107"/>
    </row>
    <row r="769" spans="1:9" ht="12.75" customHeight="1" x14ac:dyDescent="0.25">
      <c r="A769" s="1"/>
      <c r="B769" s="107"/>
      <c r="C769" s="107"/>
      <c r="D769" s="107"/>
      <c r="E769" s="107"/>
      <c r="F769" s="107"/>
      <c r="G769" s="107"/>
      <c r="H769" s="107"/>
      <c r="I769" s="107"/>
    </row>
    <row r="770" spans="1:9" ht="12.75" customHeight="1" x14ac:dyDescent="0.25">
      <c r="A770" s="1"/>
      <c r="B770" s="107"/>
      <c r="C770" s="107"/>
      <c r="D770" s="107"/>
      <c r="E770" s="107"/>
      <c r="F770" s="107"/>
      <c r="G770" s="107"/>
      <c r="H770" s="107"/>
      <c r="I770" s="107"/>
    </row>
    <row r="771" spans="1:9" ht="12.75" customHeight="1" x14ac:dyDescent="0.25">
      <c r="A771" s="1"/>
      <c r="B771" s="107"/>
      <c r="C771" s="107"/>
      <c r="D771" s="107"/>
      <c r="E771" s="107"/>
      <c r="F771" s="107"/>
      <c r="G771" s="107"/>
      <c r="H771" s="107"/>
      <c r="I771" s="107"/>
    </row>
    <row r="772" spans="1:9" ht="12.75" customHeight="1" x14ac:dyDescent="0.25">
      <c r="A772" s="1"/>
      <c r="B772" s="107"/>
      <c r="C772" s="107"/>
      <c r="D772" s="107"/>
      <c r="E772" s="107"/>
      <c r="F772" s="107"/>
      <c r="G772" s="107"/>
      <c r="H772" s="107"/>
      <c r="I772" s="107"/>
    </row>
    <row r="773" spans="1:9" ht="12.75" customHeight="1" x14ac:dyDescent="0.25">
      <c r="A773" s="1"/>
      <c r="B773" s="107"/>
      <c r="C773" s="107"/>
      <c r="D773" s="107"/>
      <c r="E773" s="107"/>
      <c r="F773" s="107"/>
      <c r="G773" s="107"/>
      <c r="H773" s="107"/>
      <c r="I773" s="107"/>
    </row>
    <row r="774" spans="1:9" ht="12.75" customHeight="1" x14ac:dyDescent="0.25">
      <c r="A774" s="1"/>
      <c r="B774" s="107"/>
      <c r="C774" s="107"/>
      <c r="D774" s="107"/>
      <c r="E774" s="107"/>
      <c r="F774" s="107"/>
      <c r="G774" s="107"/>
      <c r="H774" s="107"/>
      <c r="I774" s="107"/>
    </row>
    <row r="775" spans="1:9" ht="12.75" customHeight="1" x14ac:dyDescent="0.25">
      <c r="A775" s="1"/>
      <c r="B775" s="107"/>
      <c r="C775" s="107"/>
      <c r="D775" s="107"/>
      <c r="E775" s="107"/>
      <c r="F775" s="107"/>
      <c r="G775" s="107"/>
      <c r="H775" s="107"/>
      <c r="I775" s="107"/>
    </row>
    <row r="776" spans="1:9" ht="12.75" customHeight="1" x14ac:dyDescent="0.25">
      <c r="A776" s="1"/>
      <c r="B776" s="107"/>
      <c r="C776" s="107"/>
      <c r="D776" s="107"/>
      <c r="E776" s="107"/>
      <c r="F776" s="107"/>
      <c r="G776" s="107"/>
      <c r="H776" s="107"/>
      <c r="I776" s="107"/>
    </row>
    <row r="777" spans="1:9" ht="12.75" customHeight="1" x14ac:dyDescent="0.25">
      <c r="A777" s="1"/>
      <c r="B777" s="107"/>
      <c r="C777" s="107"/>
      <c r="D777" s="107"/>
      <c r="E777" s="107"/>
      <c r="F777" s="107"/>
      <c r="G777" s="107"/>
      <c r="H777" s="107"/>
      <c r="I777" s="107"/>
    </row>
    <row r="778" spans="1:9" ht="12.75" customHeight="1" x14ac:dyDescent="0.25">
      <c r="A778" s="1"/>
      <c r="B778" s="107"/>
      <c r="C778" s="107"/>
      <c r="D778" s="107"/>
      <c r="E778" s="107"/>
      <c r="F778" s="107"/>
      <c r="G778" s="107"/>
      <c r="H778" s="107"/>
      <c r="I778" s="107"/>
    </row>
    <row r="779" spans="1:9" ht="12.75" customHeight="1" x14ac:dyDescent="0.25">
      <c r="A779" s="1"/>
      <c r="B779" s="107"/>
      <c r="C779" s="107"/>
      <c r="D779" s="107"/>
      <c r="E779" s="107"/>
      <c r="F779" s="107"/>
      <c r="G779" s="107"/>
      <c r="H779" s="107"/>
      <c r="I779" s="107"/>
    </row>
    <row r="780" spans="1:9" ht="12.75" customHeight="1" x14ac:dyDescent="0.25">
      <c r="A780" s="1"/>
      <c r="B780" s="107"/>
      <c r="C780" s="107"/>
      <c r="D780" s="107"/>
      <c r="E780" s="107"/>
      <c r="F780" s="107"/>
      <c r="G780" s="107"/>
      <c r="H780" s="107"/>
      <c r="I780" s="107"/>
    </row>
    <row r="781" spans="1:9" ht="12.75" customHeight="1" x14ac:dyDescent="0.25">
      <c r="A781" s="1"/>
      <c r="B781" s="107"/>
      <c r="C781" s="107"/>
      <c r="D781" s="107"/>
      <c r="E781" s="107"/>
      <c r="F781" s="107"/>
      <c r="G781" s="107"/>
      <c r="H781" s="107"/>
      <c r="I781" s="107"/>
    </row>
    <row r="782" spans="1:9" ht="12.75" customHeight="1" x14ac:dyDescent="0.25">
      <c r="A782" s="1"/>
      <c r="B782" s="107"/>
      <c r="C782" s="107"/>
      <c r="D782" s="107"/>
      <c r="E782" s="107"/>
      <c r="F782" s="107"/>
      <c r="G782" s="107"/>
      <c r="H782" s="107"/>
      <c r="I782" s="107"/>
    </row>
    <row r="783" spans="1:9" ht="12.75" customHeight="1" x14ac:dyDescent="0.25">
      <c r="A783" s="1"/>
      <c r="B783" s="107"/>
      <c r="C783" s="107"/>
      <c r="D783" s="107"/>
      <c r="E783" s="107"/>
      <c r="F783" s="107"/>
      <c r="G783" s="107"/>
      <c r="H783" s="107"/>
      <c r="I783" s="107"/>
    </row>
    <row r="784" spans="1:9" ht="12.75" customHeight="1" x14ac:dyDescent="0.25">
      <c r="A784" s="1"/>
      <c r="B784" s="107"/>
      <c r="C784" s="107"/>
      <c r="D784" s="107"/>
      <c r="E784" s="107"/>
      <c r="F784" s="107"/>
      <c r="G784" s="107"/>
      <c r="H784" s="107"/>
      <c r="I784" s="107"/>
    </row>
    <row r="785" spans="1:9" ht="12.75" customHeight="1" x14ac:dyDescent="0.25">
      <c r="A785" s="1"/>
      <c r="B785" s="107"/>
      <c r="C785" s="107"/>
      <c r="D785" s="107"/>
      <c r="E785" s="107"/>
      <c r="F785" s="107"/>
      <c r="G785" s="107"/>
      <c r="H785" s="107"/>
      <c r="I785" s="107"/>
    </row>
    <row r="786" spans="1:9" ht="12.75" customHeight="1" x14ac:dyDescent="0.25">
      <c r="A786" s="1"/>
      <c r="B786" s="107"/>
      <c r="C786" s="107"/>
      <c r="D786" s="107"/>
      <c r="E786" s="107"/>
      <c r="F786" s="107"/>
      <c r="G786" s="107"/>
      <c r="H786" s="107"/>
      <c r="I786" s="107"/>
    </row>
    <row r="787" spans="1:9" ht="12.75" customHeight="1" x14ac:dyDescent="0.25">
      <c r="A787" s="1"/>
      <c r="B787" s="107"/>
      <c r="C787" s="107"/>
      <c r="D787" s="107"/>
      <c r="E787" s="107"/>
      <c r="F787" s="107"/>
      <c r="G787" s="107"/>
      <c r="H787" s="107"/>
      <c r="I787" s="107"/>
    </row>
    <row r="788" spans="1:9" ht="12.75" customHeight="1" x14ac:dyDescent="0.25">
      <c r="A788" s="1"/>
      <c r="B788" s="107"/>
      <c r="C788" s="107"/>
      <c r="D788" s="107"/>
      <c r="E788" s="107"/>
      <c r="F788" s="107"/>
      <c r="G788" s="107"/>
      <c r="H788" s="107"/>
      <c r="I788" s="107"/>
    </row>
    <row r="789" spans="1:9" ht="12.75" customHeight="1" x14ac:dyDescent="0.25">
      <c r="A789" s="1"/>
      <c r="B789" s="107"/>
      <c r="C789" s="107"/>
      <c r="D789" s="107"/>
      <c r="E789" s="107"/>
      <c r="F789" s="107"/>
      <c r="G789" s="107"/>
      <c r="H789" s="107"/>
      <c r="I789" s="107"/>
    </row>
    <row r="790" spans="1:9" ht="12.75" customHeight="1" x14ac:dyDescent="0.25">
      <c r="A790" s="1"/>
      <c r="B790" s="107"/>
      <c r="C790" s="107"/>
      <c r="D790" s="107"/>
      <c r="E790" s="107"/>
      <c r="F790" s="107"/>
      <c r="G790" s="107"/>
      <c r="H790" s="107"/>
      <c r="I790" s="107"/>
    </row>
    <row r="791" spans="1:9" ht="12.75" customHeight="1" x14ac:dyDescent="0.25">
      <c r="A791" s="1"/>
      <c r="B791" s="107"/>
      <c r="C791" s="107"/>
      <c r="D791" s="107"/>
      <c r="E791" s="107"/>
      <c r="F791" s="107"/>
      <c r="G791" s="107"/>
      <c r="H791" s="107"/>
      <c r="I791" s="107"/>
    </row>
    <row r="792" spans="1:9" ht="12.75" customHeight="1" x14ac:dyDescent="0.25">
      <c r="A792" s="1"/>
      <c r="B792" s="107"/>
      <c r="C792" s="107"/>
      <c r="D792" s="107"/>
      <c r="E792" s="107"/>
      <c r="F792" s="107"/>
      <c r="G792" s="107"/>
      <c r="H792" s="107"/>
      <c r="I792" s="107"/>
    </row>
    <row r="793" spans="1:9" ht="12.75" customHeight="1" x14ac:dyDescent="0.25">
      <c r="A793" s="1"/>
      <c r="B793" s="107"/>
      <c r="C793" s="107"/>
      <c r="D793" s="107"/>
      <c r="E793" s="107"/>
      <c r="F793" s="107"/>
      <c r="G793" s="107"/>
      <c r="H793" s="107"/>
      <c r="I793" s="107"/>
    </row>
    <row r="794" spans="1:9" ht="12.75" customHeight="1" x14ac:dyDescent="0.25">
      <c r="A794" s="1"/>
      <c r="B794" s="107"/>
      <c r="C794" s="107"/>
      <c r="D794" s="107"/>
      <c r="E794" s="107"/>
      <c r="F794" s="107"/>
      <c r="G794" s="107"/>
      <c r="H794" s="107"/>
      <c r="I794" s="107"/>
    </row>
    <row r="795" spans="1:9" ht="12.75" customHeight="1" x14ac:dyDescent="0.25">
      <c r="A795" s="1"/>
      <c r="B795" s="107"/>
      <c r="C795" s="107"/>
      <c r="D795" s="107"/>
      <c r="E795" s="107"/>
      <c r="F795" s="107"/>
      <c r="G795" s="107"/>
      <c r="H795" s="107"/>
      <c r="I795" s="107"/>
    </row>
    <row r="796" spans="1:9" ht="12.75" customHeight="1" x14ac:dyDescent="0.25">
      <c r="A796" s="1"/>
      <c r="B796" s="107"/>
      <c r="C796" s="107"/>
      <c r="D796" s="107"/>
      <c r="E796" s="107"/>
      <c r="F796" s="107"/>
      <c r="G796" s="107"/>
      <c r="H796" s="107"/>
      <c r="I796" s="107"/>
    </row>
    <row r="797" spans="1:9" ht="12.75" customHeight="1" x14ac:dyDescent="0.25">
      <c r="A797" s="1"/>
      <c r="B797" s="107"/>
      <c r="C797" s="107"/>
      <c r="D797" s="107"/>
      <c r="E797" s="107"/>
      <c r="F797" s="107"/>
      <c r="G797" s="107"/>
      <c r="H797" s="107"/>
      <c r="I797" s="107"/>
    </row>
    <row r="798" spans="1:9" ht="12.75" customHeight="1" x14ac:dyDescent="0.25">
      <c r="A798" s="1"/>
      <c r="B798" s="107"/>
      <c r="C798" s="107"/>
      <c r="D798" s="107"/>
      <c r="E798" s="107"/>
      <c r="F798" s="107"/>
      <c r="G798" s="107"/>
      <c r="H798" s="107"/>
      <c r="I798" s="107"/>
    </row>
    <row r="799" spans="1:9" ht="12.75" customHeight="1" x14ac:dyDescent="0.25">
      <c r="A799" s="1"/>
      <c r="B799" s="107"/>
      <c r="C799" s="107"/>
      <c r="D799" s="107"/>
      <c r="E799" s="107"/>
      <c r="F799" s="107"/>
      <c r="G799" s="107"/>
      <c r="H799" s="107"/>
      <c r="I799" s="107"/>
    </row>
    <row r="800" spans="1:9" ht="12.75" customHeight="1" x14ac:dyDescent="0.25">
      <c r="A800" s="1"/>
      <c r="B800" s="107"/>
      <c r="C800" s="107"/>
      <c r="D800" s="107"/>
      <c r="E800" s="107"/>
      <c r="F800" s="107"/>
      <c r="G800" s="107"/>
      <c r="H800" s="107"/>
      <c r="I800" s="107"/>
    </row>
    <row r="801" spans="1:9" ht="12.75" customHeight="1" x14ac:dyDescent="0.25">
      <c r="A801" s="1"/>
      <c r="B801" s="107"/>
      <c r="C801" s="107"/>
      <c r="D801" s="107"/>
      <c r="E801" s="107"/>
      <c r="F801" s="107"/>
      <c r="G801" s="107"/>
      <c r="H801" s="107"/>
      <c r="I801" s="107"/>
    </row>
    <row r="802" spans="1:9" ht="12.75" customHeight="1" x14ac:dyDescent="0.25">
      <c r="A802" s="1"/>
      <c r="B802" s="107"/>
      <c r="C802" s="107"/>
      <c r="D802" s="107"/>
      <c r="E802" s="107"/>
      <c r="F802" s="107"/>
      <c r="G802" s="107"/>
      <c r="H802" s="107"/>
      <c r="I802" s="107"/>
    </row>
    <row r="803" spans="1:9" ht="12.75" customHeight="1" x14ac:dyDescent="0.25">
      <c r="A803" s="1"/>
      <c r="B803" s="107"/>
      <c r="C803" s="107"/>
      <c r="D803" s="107"/>
      <c r="E803" s="107"/>
      <c r="F803" s="107"/>
      <c r="G803" s="107"/>
      <c r="H803" s="107"/>
      <c r="I803" s="107"/>
    </row>
    <row r="804" spans="1:9" ht="12.75" customHeight="1" x14ac:dyDescent="0.25">
      <c r="A804" s="1"/>
      <c r="B804" s="107"/>
      <c r="C804" s="107"/>
      <c r="D804" s="107"/>
      <c r="E804" s="107"/>
      <c r="F804" s="107"/>
      <c r="G804" s="107"/>
      <c r="H804" s="107"/>
      <c r="I804" s="107"/>
    </row>
    <row r="805" spans="1:9" ht="12.75" customHeight="1" x14ac:dyDescent="0.25">
      <c r="A805" s="1"/>
      <c r="B805" s="107"/>
      <c r="C805" s="107"/>
      <c r="D805" s="107"/>
      <c r="E805" s="107"/>
      <c r="F805" s="107"/>
      <c r="G805" s="107"/>
      <c r="H805" s="107"/>
      <c r="I805" s="107"/>
    </row>
    <row r="806" spans="1:9" ht="12.75" customHeight="1" x14ac:dyDescent="0.25">
      <c r="A806" s="1"/>
      <c r="B806" s="107"/>
      <c r="C806" s="107"/>
      <c r="D806" s="107"/>
      <c r="E806" s="107"/>
      <c r="F806" s="107"/>
      <c r="G806" s="107"/>
      <c r="H806" s="107"/>
      <c r="I806" s="107"/>
    </row>
    <row r="807" spans="1:9" ht="12.75" customHeight="1" x14ac:dyDescent="0.25">
      <c r="A807" s="1"/>
      <c r="B807" s="107"/>
      <c r="C807" s="107"/>
      <c r="D807" s="107"/>
      <c r="E807" s="107"/>
      <c r="F807" s="107"/>
      <c r="G807" s="107"/>
      <c r="H807" s="107"/>
      <c r="I807" s="107"/>
    </row>
    <row r="808" spans="1:9" ht="12.75" customHeight="1" x14ac:dyDescent="0.25">
      <c r="A808" s="1"/>
      <c r="B808" s="107"/>
      <c r="C808" s="107"/>
      <c r="D808" s="107"/>
      <c r="E808" s="107"/>
      <c r="F808" s="107"/>
      <c r="G808" s="107"/>
      <c r="H808" s="107"/>
      <c r="I808" s="107"/>
    </row>
    <row r="809" spans="1:9" ht="12.75" customHeight="1" x14ac:dyDescent="0.25">
      <c r="A809" s="1"/>
      <c r="B809" s="107"/>
      <c r="C809" s="107"/>
      <c r="D809" s="107"/>
      <c r="E809" s="107"/>
      <c r="F809" s="107"/>
      <c r="G809" s="107"/>
      <c r="H809" s="107"/>
      <c r="I809" s="107"/>
    </row>
    <row r="810" spans="1:9" ht="12.75" customHeight="1" x14ac:dyDescent="0.25">
      <c r="A810" s="1"/>
      <c r="B810" s="107"/>
      <c r="C810" s="107"/>
      <c r="D810" s="107"/>
      <c r="E810" s="107"/>
      <c r="F810" s="107"/>
      <c r="G810" s="107"/>
      <c r="H810" s="107"/>
      <c r="I810" s="107"/>
    </row>
    <row r="811" spans="1:9" ht="12.75" customHeight="1" x14ac:dyDescent="0.25">
      <c r="A811" s="1"/>
      <c r="B811" s="107"/>
      <c r="C811" s="107"/>
      <c r="D811" s="107"/>
      <c r="E811" s="107"/>
      <c r="F811" s="107"/>
      <c r="G811" s="107"/>
      <c r="H811" s="107"/>
      <c r="I811" s="107"/>
    </row>
    <row r="812" spans="1:9" ht="12.75" customHeight="1" x14ac:dyDescent="0.25">
      <c r="A812" s="1"/>
      <c r="B812" s="107"/>
      <c r="C812" s="107"/>
      <c r="D812" s="107"/>
      <c r="E812" s="107"/>
      <c r="F812" s="107"/>
      <c r="G812" s="107"/>
      <c r="H812" s="107"/>
      <c r="I812" s="107"/>
    </row>
    <row r="813" spans="1:9" ht="12.75" customHeight="1" x14ac:dyDescent="0.25">
      <c r="A813" s="1"/>
      <c r="B813" s="107"/>
      <c r="C813" s="107"/>
      <c r="D813" s="107"/>
      <c r="E813" s="107"/>
      <c r="F813" s="107"/>
      <c r="G813" s="107"/>
      <c r="H813" s="107"/>
      <c r="I813" s="107"/>
    </row>
    <row r="814" spans="1:9" ht="12.75" customHeight="1" x14ac:dyDescent="0.25">
      <c r="A814" s="1"/>
      <c r="B814" s="107"/>
      <c r="C814" s="107"/>
      <c r="D814" s="107"/>
      <c r="E814" s="107"/>
      <c r="F814" s="107"/>
      <c r="G814" s="107"/>
      <c r="H814" s="107"/>
      <c r="I814" s="107"/>
    </row>
    <row r="815" spans="1:9" ht="12.75" customHeight="1" x14ac:dyDescent="0.25">
      <c r="A815" s="1"/>
      <c r="B815" s="107"/>
      <c r="C815" s="107"/>
      <c r="D815" s="107"/>
      <c r="E815" s="107"/>
      <c r="F815" s="107"/>
      <c r="G815" s="107"/>
      <c r="H815" s="107"/>
      <c r="I815" s="107"/>
    </row>
    <row r="816" spans="1:9" ht="12.75" customHeight="1" x14ac:dyDescent="0.25">
      <c r="A816" s="1"/>
      <c r="B816" s="107"/>
      <c r="C816" s="107"/>
      <c r="D816" s="107"/>
      <c r="E816" s="107"/>
      <c r="F816" s="107"/>
      <c r="G816" s="107"/>
      <c r="H816" s="107"/>
      <c r="I816" s="107"/>
    </row>
    <row r="817" spans="1:9" ht="12.75" customHeight="1" x14ac:dyDescent="0.25">
      <c r="A817" s="1"/>
      <c r="B817" s="107"/>
      <c r="C817" s="107"/>
      <c r="D817" s="107"/>
      <c r="E817" s="107"/>
      <c r="F817" s="107"/>
      <c r="G817" s="107"/>
      <c r="H817" s="107"/>
      <c r="I817" s="107"/>
    </row>
    <row r="818" spans="1:9" ht="12.75" customHeight="1" x14ac:dyDescent="0.25">
      <c r="A818" s="1"/>
      <c r="B818" s="107"/>
      <c r="C818" s="107"/>
      <c r="D818" s="107"/>
      <c r="E818" s="107"/>
      <c r="F818" s="107"/>
      <c r="G818" s="107"/>
      <c r="H818" s="107"/>
      <c r="I818" s="107"/>
    </row>
    <row r="819" spans="1:9" ht="12.75" customHeight="1" x14ac:dyDescent="0.25">
      <c r="A819" s="1"/>
      <c r="B819" s="107"/>
      <c r="C819" s="107"/>
      <c r="D819" s="107"/>
      <c r="E819" s="107"/>
      <c r="F819" s="107"/>
      <c r="G819" s="107"/>
      <c r="H819" s="107"/>
      <c r="I819" s="107"/>
    </row>
    <row r="820" spans="1:9" ht="12.75" customHeight="1" x14ac:dyDescent="0.25">
      <c r="A820" s="1"/>
      <c r="B820" s="107"/>
      <c r="C820" s="107"/>
      <c r="D820" s="107"/>
      <c r="E820" s="107"/>
      <c r="F820" s="107"/>
      <c r="G820" s="107"/>
      <c r="H820" s="107"/>
      <c r="I820" s="107"/>
    </row>
    <row r="821" spans="1:9" ht="12.75" customHeight="1" x14ac:dyDescent="0.25">
      <c r="A821" s="1"/>
      <c r="B821" s="107"/>
      <c r="C821" s="107"/>
      <c r="D821" s="107"/>
      <c r="E821" s="107"/>
      <c r="F821" s="107"/>
      <c r="G821" s="107"/>
      <c r="H821" s="107"/>
      <c r="I821" s="107"/>
    </row>
    <row r="822" spans="1:9" ht="12.75" customHeight="1" x14ac:dyDescent="0.25">
      <c r="A822" s="1"/>
      <c r="B822" s="107"/>
      <c r="C822" s="107"/>
      <c r="D822" s="107"/>
      <c r="E822" s="107"/>
      <c r="F822" s="107"/>
      <c r="G822" s="107"/>
      <c r="H822" s="107"/>
      <c r="I822" s="107"/>
    </row>
    <row r="823" spans="1:9" ht="12.75" customHeight="1" x14ac:dyDescent="0.25">
      <c r="A823" s="1"/>
      <c r="B823" s="107"/>
      <c r="C823" s="107"/>
      <c r="D823" s="107"/>
      <c r="E823" s="107"/>
      <c r="F823" s="107"/>
      <c r="G823" s="107"/>
      <c r="H823" s="107"/>
      <c r="I823" s="107"/>
    </row>
    <row r="824" spans="1:9" ht="12.75" customHeight="1" x14ac:dyDescent="0.25">
      <c r="A824" s="1"/>
      <c r="B824" s="107"/>
      <c r="C824" s="107"/>
      <c r="D824" s="107"/>
      <c r="E824" s="107"/>
      <c r="F824" s="107"/>
      <c r="G824" s="107"/>
      <c r="H824" s="107"/>
      <c r="I824" s="107"/>
    </row>
    <row r="825" spans="1:9" ht="12.75" customHeight="1" x14ac:dyDescent="0.25">
      <c r="A825" s="1"/>
      <c r="B825" s="107"/>
      <c r="C825" s="107"/>
      <c r="D825" s="107"/>
      <c r="E825" s="107"/>
      <c r="F825" s="107"/>
      <c r="G825" s="107"/>
      <c r="H825" s="107"/>
      <c r="I825" s="107"/>
    </row>
    <row r="826" spans="1:9" ht="12.75" customHeight="1" x14ac:dyDescent="0.25">
      <c r="A826" s="1"/>
      <c r="B826" s="107"/>
      <c r="C826" s="107"/>
      <c r="D826" s="107"/>
      <c r="E826" s="107"/>
      <c r="F826" s="107"/>
      <c r="G826" s="107"/>
      <c r="H826" s="107"/>
      <c r="I826" s="107"/>
    </row>
    <row r="827" spans="1:9" ht="12.75" customHeight="1" x14ac:dyDescent="0.25">
      <c r="A827" s="1"/>
      <c r="B827" s="107"/>
      <c r="C827" s="107"/>
      <c r="D827" s="107"/>
      <c r="E827" s="107"/>
      <c r="F827" s="107"/>
      <c r="G827" s="107"/>
      <c r="H827" s="107"/>
      <c r="I827" s="107"/>
    </row>
    <row r="828" spans="1:9" ht="12.75" customHeight="1" x14ac:dyDescent="0.25">
      <c r="A828" s="1"/>
      <c r="B828" s="107"/>
      <c r="C828" s="107"/>
      <c r="D828" s="107"/>
      <c r="E828" s="107"/>
      <c r="F828" s="107"/>
      <c r="G828" s="107"/>
      <c r="H828" s="107"/>
      <c r="I828" s="107"/>
    </row>
    <row r="829" spans="1:9" ht="12.75" customHeight="1" x14ac:dyDescent="0.25">
      <c r="A829" s="1"/>
      <c r="B829" s="107"/>
      <c r="C829" s="107"/>
      <c r="D829" s="107"/>
      <c r="E829" s="107"/>
      <c r="F829" s="107"/>
      <c r="G829" s="107"/>
      <c r="H829" s="107"/>
      <c r="I829" s="107"/>
    </row>
    <row r="830" spans="1:9" ht="12.75" customHeight="1" x14ac:dyDescent="0.25">
      <c r="A830" s="1"/>
      <c r="B830" s="107"/>
      <c r="C830" s="107"/>
      <c r="D830" s="107"/>
      <c r="E830" s="107"/>
      <c r="F830" s="107"/>
      <c r="G830" s="107"/>
      <c r="H830" s="107"/>
      <c r="I830" s="107"/>
    </row>
    <row r="831" spans="1:9" ht="12.75" customHeight="1" x14ac:dyDescent="0.25">
      <c r="A831" s="1"/>
      <c r="B831" s="107"/>
      <c r="C831" s="107"/>
      <c r="D831" s="107"/>
      <c r="E831" s="107"/>
      <c r="F831" s="107"/>
      <c r="G831" s="107"/>
      <c r="H831" s="107"/>
      <c r="I831" s="107"/>
    </row>
    <row r="832" spans="1:9" ht="12.75" customHeight="1" x14ac:dyDescent="0.25">
      <c r="A832" s="1"/>
      <c r="B832" s="107"/>
      <c r="C832" s="107"/>
      <c r="D832" s="107"/>
      <c r="E832" s="107"/>
      <c r="F832" s="107"/>
      <c r="G832" s="107"/>
      <c r="H832" s="107"/>
      <c r="I832" s="107"/>
    </row>
    <row r="833" spans="1:9" ht="12.75" customHeight="1" x14ac:dyDescent="0.25">
      <c r="A833" s="1"/>
      <c r="B833" s="107"/>
      <c r="C833" s="107"/>
      <c r="D833" s="107"/>
      <c r="E833" s="107"/>
      <c r="F833" s="107"/>
      <c r="G833" s="107"/>
      <c r="H833" s="107"/>
      <c r="I833" s="107"/>
    </row>
    <row r="834" spans="1:9" ht="12.75" customHeight="1" x14ac:dyDescent="0.25">
      <c r="A834" s="1"/>
      <c r="B834" s="107"/>
      <c r="C834" s="107"/>
      <c r="D834" s="107"/>
      <c r="E834" s="107"/>
      <c r="F834" s="107"/>
      <c r="G834" s="107"/>
      <c r="H834" s="107"/>
      <c r="I834" s="107"/>
    </row>
    <row r="835" spans="1:9" ht="12.75" customHeight="1" x14ac:dyDescent="0.25">
      <c r="A835" s="1"/>
      <c r="B835" s="107"/>
      <c r="C835" s="107"/>
      <c r="D835" s="107"/>
      <c r="E835" s="107"/>
      <c r="F835" s="107"/>
      <c r="G835" s="107"/>
      <c r="H835" s="107"/>
      <c r="I835" s="107"/>
    </row>
    <row r="836" spans="1:9" ht="12.75" customHeight="1" x14ac:dyDescent="0.25">
      <c r="A836" s="1"/>
      <c r="B836" s="107"/>
      <c r="C836" s="107"/>
      <c r="D836" s="107"/>
      <c r="E836" s="107"/>
      <c r="F836" s="107"/>
      <c r="G836" s="107"/>
      <c r="H836" s="107"/>
      <c r="I836" s="107"/>
    </row>
    <row r="837" spans="1:9" ht="12.75" customHeight="1" x14ac:dyDescent="0.25">
      <c r="A837" s="1"/>
      <c r="B837" s="107"/>
      <c r="C837" s="107"/>
      <c r="D837" s="107"/>
      <c r="E837" s="107"/>
      <c r="F837" s="107"/>
      <c r="G837" s="107"/>
      <c r="H837" s="107"/>
      <c r="I837" s="107"/>
    </row>
    <row r="838" spans="1:9" ht="12.75" customHeight="1" x14ac:dyDescent="0.25">
      <c r="A838" s="1"/>
      <c r="B838" s="107"/>
      <c r="C838" s="107"/>
      <c r="D838" s="107"/>
      <c r="E838" s="107"/>
      <c r="F838" s="107"/>
      <c r="G838" s="107"/>
      <c r="H838" s="107"/>
      <c r="I838" s="107"/>
    </row>
    <row r="839" spans="1:9" ht="12.75" customHeight="1" x14ac:dyDescent="0.25">
      <c r="A839" s="1"/>
      <c r="B839" s="107"/>
      <c r="C839" s="107"/>
      <c r="D839" s="107"/>
      <c r="E839" s="107"/>
      <c r="F839" s="107"/>
      <c r="G839" s="107"/>
      <c r="H839" s="107"/>
      <c r="I839" s="107"/>
    </row>
    <row r="840" spans="1:9" ht="12.75" customHeight="1" x14ac:dyDescent="0.25">
      <c r="A840" s="1"/>
      <c r="B840" s="107"/>
      <c r="C840" s="107"/>
      <c r="D840" s="107"/>
      <c r="E840" s="107"/>
      <c r="F840" s="107"/>
      <c r="G840" s="107"/>
      <c r="H840" s="107"/>
      <c r="I840" s="107"/>
    </row>
    <row r="841" spans="1:9" ht="12.75" customHeight="1" x14ac:dyDescent="0.25">
      <c r="A841" s="1"/>
      <c r="B841" s="107"/>
      <c r="C841" s="107"/>
      <c r="D841" s="107"/>
      <c r="E841" s="107"/>
      <c r="F841" s="107"/>
      <c r="G841" s="107"/>
      <c r="H841" s="107"/>
      <c r="I841" s="107"/>
    </row>
    <row r="842" spans="1:9" ht="12.75" customHeight="1" x14ac:dyDescent="0.25">
      <c r="A842" s="1"/>
      <c r="B842" s="107"/>
      <c r="C842" s="107"/>
      <c r="D842" s="107"/>
      <c r="E842" s="107"/>
      <c r="F842" s="107"/>
      <c r="G842" s="107"/>
      <c r="H842" s="107"/>
      <c r="I842" s="107"/>
    </row>
    <row r="843" spans="1:9" ht="12.75" customHeight="1" x14ac:dyDescent="0.25">
      <c r="A843" s="1"/>
      <c r="B843" s="107"/>
      <c r="C843" s="107"/>
      <c r="D843" s="107"/>
      <c r="E843" s="107"/>
      <c r="F843" s="107"/>
      <c r="G843" s="107"/>
      <c r="H843" s="107"/>
      <c r="I843" s="107"/>
    </row>
    <row r="844" spans="1:9" ht="12.75" customHeight="1" x14ac:dyDescent="0.25">
      <c r="A844" s="1"/>
      <c r="B844" s="107"/>
      <c r="C844" s="107"/>
      <c r="D844" s="107"/>
      <c r="E844" s="107"/>
      <c r="F844" s="107"/>
      <c r="G844" s="107"/>
      <c r="H844" s="107"/>
      <c r="I844" s="107"/>
    </row>
    <row r="845" spans="1:9" ht="12.75" customHeight="1" x14ac:dyDescent="0.25">
      <c r="A845" s="1"/>
      <c r="B845" s="107"/>
      <c r="C845" s="107"/>
      <c r="D845" s="107"/>
      <c r="E845" s="107"/>
      <c r="F845" s="107"/>
      <c r="G845" s="107"/>
      <c r="H845" s="107"/>
      <c r="I845" s="107"/>
    </row>
    <row r="846" spans="1:9" ht="12.75" customHeight="1" x14ac:dyDescent="0.25">
      <c r="A846" s="1"/>
      <c r="B846" s="107"/>
      <c r="C846" s="107"/>
      <c r="D846" s="107"/>
      <c r="E846" s="107"/>
      <c r="F846" s="107"/>
      <c r="G846" s="107"/>
      <c r="H846" s="107"/>
      <c r="I846" s="107"/>
    </row>
    <row r="847" spans="1:9" ht="12.75" customHeight="1" x14ac:dyDescent="0.25">
      <c r="A847" s="1"/>
      <c r="B847" s="107"/>
      <c r="C847" s="107"/>
      <c r="D847" s="107"/>
      <c r="E847" s="107"/>
      <c r="F847" s="107"/>
      <c r="G847" s="107"/>
      <c r="H847" s="107"/>
      <c r="I847" s="107"/>
    </row>
    <row r="848" spans="1:9" ht="12.75" customHeight="1" x14ac:dyDescent="0.25">
      <c r="A848" s="1"/>
      <c r="B848" s="107"/>
      <c r="C848" s="107"/>
      <c r="D848" s="107"/>
      <c r="E848" s="107"/>
      <c r="F848" s="107"/>
      <c r="G848" s="107"/>
      <c r="H848" s="107"/>
      <c r="I848" s="107"/>
    </row>
    <row r="849" spans="1:9" ht="12.75" customHeight="1" x14ac:dyDescent="0.25">
      <c r="A849" s="1"/>
      <c r="B849" s="107"/>
      <c r="C849" s="107"/>
      <c r="D849" s="107"/>
      <c r="E849" s="107"/>
      <c r="F849" s="107"/>
      <c r="G849" s="107"/>
      <c r="H849" s="107"/>
      <c r="I849" s="107"/>
    </row>
    <row r="850" spans="1:9" ht="12.75" customHeight="1" x14ac:dyDescent="0.25">
      <c r="A850" s="1"/>
      <c r="B850" s="107"/>
      <c r="C850" s="107"/>
      <c r="D850" s="107"/>
      <c r="E850" s="107"/>
      <c r="F850" s="107"/>
      <c r="G850" s="107"/>
      <c r="H850" s="107"/>
      <c r="I850" s="107"/>
    </row>
    <row r="851" spans="1:9" ht="12.75" customHeight="1" x14ac:dyDescent="0.25">
      <c r="A851" s="1"/>
      <c r="B851" s="107"/>
      <c r="C851" s="107"/>
      <c r="D851" s="107"/>
      <c r="E851" s="107"/>
      <c r="F851" s="107"/>
      <c r="G851" s="107"/>
      <c r="H851" s="107"/>
      <c r="I851" s="107"/>
    </row>
    <row r="852" spans="1:9" ht="12.75" customHeight="1" x14ac:dyDescent="0.25">
      <c r="A852" s="1"/>
      <c r="B852" s="107"/>
      <c r="C852" s="107"/>
      <c r="D852" s="107"/>
      <c r="E852" s="107"/>
      <c r="F852" s="107"/>
      <c r="G852" s="107"/>
      <c r="H852" s="107"/>
      <c r="I852" s="107"/>
    </row>
    <row r="853" spans="1:9" ht="12.75" customHeight="1" x14ac:dyDescent="0.25">
      <c r="A853" s="1"/>
      <c r="B853" s="107"/>
      <c r="C853" s="107"/>
      <c r="D853" s="107"/>
      <c r="E853" s="107"/>
      <c r="F853" s="107"/>
      <c r="G853" s="107"/>
      <c r="H853" s="107"/>
      <c r="I853" s="107"/>
    </row>
    <row r="854" spans="1:9" ht="12.75" customHeight="1" x14ac:dyDescent="0.25">
      <c r="A854" s="1"/>
      <c r="B854" s="107"/>
      <c r="C854" s="107"/>
      <c r="D854" s="107"/>
      <c r="E854" s="107"/>
      <c r="F854" s="107"/>
      <c r="G854" s="107"/>
      <c r="H854" s="107"/>
      <c r="I854" s="107"/>
    </row>
    <row r="855" spans="1:9" ht="12.75" customHeight="1" x14ac:dyDescent="0.25">
      <c r="A855" s="1"/>
      <c r="B855" s="107"/>
      <c r="C855" s="107"/>
      <c r="D855" s="107"/>
      <c r="E855" s="107"/>
      <c r="F855" s="107"/>
      <c r="G855" s="107"/>
      <c r="H855" s="107"/>
      <c r="I855" s="107"/>
    </row>
    <row r="856" spans="1:9" ht="12.75" customHeight="1" x14ac:dyDescent="0.25">
      <c r="A856" s="1"/>
      <c r="B856" s="107"/>
      <c r="C856" s="107"/>
      <c r="D856" s="107"/>
      <c r="E856" s="107"/>
      <c r="F856" s="107"/>
      <c r="G856" s="107"/>
      <c r="H856" s="107"/>
      <c r="I856" s="107"/>
    </row>
    <row r="857" spans="1:9" ht="12.75" customHeight="1" x14ac:dyDescent="0.25">
      <c r="A857" s="1"/>
      <c r="B857" s="107"/>
      <c r="C857" s="107"/>
      <c r="D857" s="107"/>
      <c r="E857" s="107"/>
      <c r="F857" s="107"/>
      <c r="G857" s="107"/>
      <c r="H857" s="107"/>
      <c r="I857" s="107"/>
    </row>
    <row r="858" spans="1:9" ht="12.75" customHeight="1" x14ac:dyDescent="0.25">
      <c r="A858" s="1"/>
      <c r="B858" s="107"/>
      <c r="C858" s="107"/>
      <c r="D858" s="107"/>
      <c r="E858" s="107"/>
      <c r="F858" s="107"/>
      <c r="G858" s="107"/>
      <c r="H858" s="107"/>
      <c r="I858" s="107"/>
    </row>
    <row r="859" spans="1:9" ht="12.75" customHeight="1" x14ac:dyDescent="0.25">
      <c r="A859" s="1"/>
      <c r="B859" s="107"/>
      <c r="C859" s="107"/>
      <c r="D859" s="107"/>
      <c r="E859" s="107"/>
      <c r="F859" s="107"/>
      <c r="G859" s="107"/>
      <c r="H859" s="107"/>
      <c r="I859" s="107"/>
    </row>
    <row r="860" spans="1:9" ht="12.75" customHeight="1" x14ac:dyDescent="0.25">
      <c r="A860" s="1"/>
      <c r="B860" s="107"/>
      <c r="C860" s="107"/>
      <c r="D860" s="107"/>
      <c r="E860" s="107"/>
      <c r="F860" s="107"/>
      <c r="G860" s="107"/>
      <c r="H860" s="107"/>
      <c r="I860" s="107"/>
    </row>
    <row r="861" spans="1:9" ht="12.75" customHeight="1" x14ac:dyDescent="0.25">
      <c r="A861" s="1"/>
      <c r="B861" s="107"/>
      <c r="C861" s="107"/>
      <c r="D861" s="107"/>
      <c r="E861" s="107"/>
      <c r="F861" s="107"/>
      <c r="G861" s="107"/>
      <c r="H861" s="107"/>
      <c r="I861" s="107"/>
    </row>
    <row r="862" spans="1:9" ht="12.75" customHeight="1" x14ac:dyDescent="0.25">
      <c r="A862" s="1"/>
      <c r="B862" s="107"/>
      <c r="C862" s="107"/>
      <c r="D862" s="107"/>
      <c r="E862" s="107"/>
      <c r="F862" s="107"/>
      <c r="G862" s="107"/>
      <c r="H862" s="107"/>
      <c r="I862" s="107"/>
    </row>
    <row r="863" spans="1:9" ht="12.75" customHeight="1" x14ac:dyDescent="0.25">
      <c r="A863" s="1"/>
      <c r="B863" s="107"/>
      <c r="C863" s="107"/>
      <c r="D863" s="107"/>
      <c r="E863" s="107"/>
      <c r="F863" s="107"/>
      <c r="G863" s="107"/>
      <c r="H863" s="107"/>
      <c r="I863" s="107"/>
    </row>
    <row r="864" spans="1:9" ht="12.75" customHeight="1" x14ac:dyDescent="0.25">
      <c r="A864" s="1"/>
      <c r="B864" s="107"/>
      <c r="C864" s="107"/>
      <c r="D864" s="107"/>
      <c r="E864" s="107"/>
      <c r="F864" s="107"/>
      <c r="G864" s="107"/>
      <c r="H864" s="107"/>
      <c r="I864" s="107"/>
    </row>
    <row r="865" spans="1:9" ht="12.75" customHeight="1" x14ac:dyDescent="0.25">
      <c r="A865" s="1"/>
      <c r="B865" s="107"/>
      <c r="C865" s="107"/>
      <c r="D865" s="107"/>
      <c r="E865" s="107"/>
      <c r="F865" s="107"/>
      <c r="G865" s="107"/>
      <c r="H865" s="107"/>
      <c r="I865" s="107"/>
    </row>
    <row r="866" spans="1:9" ht="12.75" customHeight="1" x14ac:dyDescent="0.25">
      <c r="A866" s="1"/>
      <c r="B866" s="107"/>
      <c r="C866" s="107"/>
      <c r="D866" s="107"/>
      <c r="E866" s="107"/>
      <c r="F866" s="107"/>
      <c r="G866" s="107"/>
      <c r="H866" s="107"/>
      <c r="I866" s="107"/>
    </row>
    <row r="867" spans="1:9" ht="12.75" customHeight="1" x14ac:dyDescent="0.25">
      <c r="A867" s="1"/>
      <c r="B867" s="107"/>
      <c r="C867" s="107"/>
      <c r="D867" s="107"/>
      <c r="E867" s="107"/>
      <c r="F867" s="107"/>
      <c r="G867" s="107"/>
      <c r="H867" s="107"/>
      <c r="I867" s="107"/>
    </row>
    <row r="868" spans="1:9" ht="12.75" customHeight="1" x14ac:dyDescent="0.25">
      <c r="A868" s="1"/>
      <c r="B868" s="107"/>
      <c r="C868" s="107"/>
      <c r="D868" s="107"/>
      <c r="E868" s="107"/>
      <c r="F868" s="107"/>
      <c r="G868" s="107"/>
      <c r="H868" s="107"/>
      <c r="I868" s="107"/>
    </row>
    <row r="869" spans="1:9" ht="12.75" customHeight="1" x14ac:dyDescent="0.25">
      <c r="A869" s="1"/>
      <c r="B869" s="107"/>
      <c r="C869" s="107"/>
      <c r="D869" s="107"/>
      <c r="E869" s="107"/>
      <c r="F869" s="107"/>
      <c r="G869" s="107"/>
      <c r="H869" s="107"/>
      <c r="I869" s="107"/>
    </row>
    <row r="870" spans="1:9" ht="12.75" customHeight="1" x14ac:dyDescent="0.25">
      <c r="A870" s="1"/>
      <c r="B870" s="107"/>
      <c r="C870" s="107"/>
      <c r="D870" s="107"/>
      <c r="E870" s="107"/>
      <c r="F870" s="107"/>
      <c r="G870" s="107"/>
      <c r="H870" s="107"/>
      <c r="I870" s="107"/>
    </row>
    <row r="871" spans="1:9" ht="12.75" customHeight="1" x14ac:dyDescent="0.25">
      <c r="A871" s="1"/>
      <c r="B871" s="107"/>
      <c r="C871" s="107"/>
      <c r="D871" s="107"/>
      <c r="E871" s="107"/>
      <c r="F871" s="107"/>
      <c r="G871" s="107"/>
      <c r="H871" s="107"/>
      <c r="I871" s="107"/>
    </row>
    <row r="872" spans="1:9" ht="12.75" customHeight="1" x14ac:dyDescent="0.25">
      <c r="A872" s="1"/>
      <c r="B872" s="107"/>
      <c r="C872" s="107"/>
      <c r="D872" s="107"/>
      <c r="E872" s="107"/>
      <c r="F872" s="107"/>
      <c r="G872" s="107"/>
      <c r="H872" s="107"/>
      <c r="I872" s="107"/>
    </row>
    <row r="873" spans="1:9" ht="12.75" customHeight="1" x14ac:dyDescent="0.25">
      <c r="A873" s="1"/>
      <c r="B873" s="107"/>
      <c r="C873" s="107"/>
      <c r="D873" s="107"/>
      <c r="E873" s="107"/>
      <c r="F873" s="107"/>
      <c r="G873" s="107"/>
      <c r="H873" s="107"/>
      <c r="I873" s="107"/>
    </row>
    <row r="874" spans="1:9" ht="12.75" customHeight="1" x14ac:dyDescent="0.25">
      <c r="A874" s="1"/>
      <c r="B874" s="107"/>
      <c r="C874" s="107"/>
      <c r="D874" s="107"/>
      <c r="E874" s="107"/>
      <c r="F874" s="107"/>
      <c r="G874" s="107"/>
      <c r="H874" s="107"/>
      <c r="I874" s="107"/>
    </row>
    <row r="875" spans="1:9" ht="12.75" customHeight="1" x14ac:dyDescent="0.25">
      <c r="A875" s="1"/>
      <c r="B875" s="107"/>
      <c r="C875" s="107"/>
      <c r="D875" s="107"/>
      <c r="E875" s="107"/>
      <c r="F875" s="107"/>
      <c r="G875" s="107"/>
      <c r="H875" s="107"/>
      <c r="I875" s="107"/>
    </row>
    <row r="876" spans="1:9" ht="12.75" customHeight="1" x14ac:dyDescent="0.25">
      <c r="A876" s="1"/>
      <c r="B876" s="107"/>
      <c r="C876" s="107"/>
      <c r="D876" s="107"/>
      <c r="E876" s="107"/>
      <c r="F876" s="107"/>
      <c r="G876" s="107"/>
      <c r="H876" s="107"/>
      <c r="I876" s="107"/>
    </row>
    <row r="877" spans="1:9" ht="12.75" customHeight="1" x14ac:dyDescent="0.25">
      <c r="A877" s="1"/>
      <c r="B877" s="107"/>
      <c r="C877" s="107"/>
      <c r="D877" s="107"/>
      <c r="E877" s="107"/>
      <c r="F877" s="107"/>
      <c r="G877" s="107"/>
      <c r="H877" s="107"/>
      <c r="I877" s="107"/>
    </row>
    <row r="878" spans="1:9" ht="12.75" customHeight="1" x14ac:dyDescent="0.25">
      <c r="A878" s="1"/>
      <c r="B878" s="107"/>
      <c r="C878" s="107"/>
      <c r="D878" s="107"/>
      <c r="E878" s="107"/>
      <c r="F878" s="107"/>
      <c r="G878" s="107"/>
      <c r="H878" s="107"/>
      <c r="I878" s="107"/>
    </row>
    <row r="879" spans="1:9" ht="12.75" customHeight="1" x14ac:dyDescent="0.25">
      <c r="A879" s="1"/>
      <c r="B879" s="107"/>
      <c r="C879" s="107"/>
      <c r="D879" s="107"/>
      <c r="E879" s="107"/>
      <c r="F879" s="107"/>
      <c r="G879" s="107"/>
      <c r="H879" s="107"/>
      <c r="I879" s="107"/>
    </row>
    <row r="880" spans="1:9" ht="12.75" customHeight="1" x14ac:dyDescent="0.25">
      <c r="A880" s="1"/>
      <c r="B880" s="107"/>
      <c r="C880" s="107"/>
      <c r="D880" s="107"/>
      <c r="E880" s="107"/>
      <c r="F880" s="107"/>
      <c r="G880" s="107"/>
      <c r="H880" s="107"/>
      <c r="I880" s="107"/>
    </row>
    <row r="881" spans="1:9" ht="12.75" customHeight="1" x14ac:dyDescent="0.25">
      <c r="A881" s="1"/>
      <c r="B881" s="107"/>
      <c r="C881" s="107"/>
      <c r="D881" s="107"/>
      <c r="E881" s="107"/>
      <c r="F881" s="107"/>
      <c r="G881" s="107"/>
      <c r="H881" s="107"/>
      <c r="I881" s="107"/>
    </row>
    <row r="882" spans="1:9" ht="12.75" customHeight="1" x14ac:dyDescent="0.25">
      <c r="A882" s="1"/>
      <c r="B882" s="107"/>
      <c r="C882" s="107"/>
      <c r="D882" s="107"/>
      <c r="E882" s="107"/>
      <c r="F882" s="107"/>
      <c r="G882" s="107"/>
      <c r="H882" s="107"/>
      <c r="I882" s="107"/>
    </row>
    <row r="883" spans="1:9" ht="12.75" customHeight="1" x14ac:dyDescent="0.25">
      <c r="A883" s="1"/>
      <c r="B883" s="107"/>
      <c r="C883" s="107"/>
      <c r="D883" s="107"/>
      <c r="E883" s="107"/>
      <c r="F883" s="107"/>
      <c r="G883" s="107"/>
      <c r="H883" s="107"/>
      <c r="I883" s="107"/>
    </row>
    <row r="884" spans="1:9" ht="12.75" customHeight="1" x14ac:dyDescent="0.25">
      <c r="A884" s="1"/>
      <c r="B884" s="107"/>
      <c r="C884" s="107"/>
      <c r="D884" s="107"/>
      <c r="E884" s="107"/>
      <c r="F884" s="107"/>
      <c r="G884" s="107"/>
      <c r="H884" s="107"/>
      <c r="I884" s="107"/>
    </row>
    <row r="885" spans="1:9" ht="12.75" customHeight="1" x14ac:dyDescent="0.25">
      <c r="A885" s="1"/>
      <c r="B885" s="107"/>
      <c r="C885" s="107"/>
      <c r="D885" s="107"/>
      <c r="E885" s="107"/>
      <c r="F885" s="107"/>
      <c r="G885" s="107"/>
      <c r="H885" s="107"/>
      <c r="I885" s="107"/>
    </row>
    <row r="886" spans="1:9" ht="12.75" customHeight="1" x14ac:dyDescent="0.25">
      <c r="A886" s="1"/>
      <c r="B886" s="107"/>
      <c r="C886" s="107"/>
      <c r="D886" s="107"/>
      <c r="E886" s="107"/>
      <c r="F886" s="107"/>
      <c r="G886" s="107"/>
      <c r="H886" s="107"/>
      <c r="I886" s="107"/>
    </row>
    <row r="887" spans="1:9" ht="12.75" customHeight="1" x14ac:dyDescent="0.25">
      <c r="A887" s="1"/>
      <c r="B887" s="107"/>
      <c r="C887" s="107"/>
      <c r="D887" s="107"/>
      <c r="E887" s="107"/>
      <c r="F887" s="107"/>
      <c r="G887" s="107"/>
      <c r="H887" s="107"/>
      <c r="I887" s="107"/>
    </row>
    <row r="888" spans="1:9" ht="12.75" customHeight="1" x14ac:dyDescent="0.25">
      <c r="A888" s="1"/>
      <c r="B888" s="107"/>
      <c r="C888" s="107"/>
      <c r="D888" s="107"/>
      <c r="E888" s="107"/>
      <c r="F888" s="107"/>
      <c r="G888" s="107"/>
      <c r="H888" s="107"/>
      <c r="I888" s="107"/>
    </row>
    <row r="889" spans="1:9" ht="12.75" customHeight="1" x14ac:dyDescent="0.25">
      <c r="A889" s="1"/>
      <c r="B889" s="107"/>
      <c r="C889" s="107"/>
      <c r="D889" s="107"/>
      <c r="E889" s="107"/>
      <c r="F889" s="107"/>
      <c r="G889" s="107"/>
      <c r="H889" s="107"/>
      <c r="I889" s="107"/>
    </row>
    <row r="890" spans="1:9" ht="12.75" customHeight="1" x14ac:dyDescent="0.25">
      <c r="A890" s="1"/>
      <c r="B890" s="107"/>
      <c r="C890" s="107"/>
      <c r="D890" s="107"/>
      <c r="E890" s="107"/>
      <c r="F890" s="107"/>
      <c r="G890" s="107"/>
      <c r="H890" s="107"/>
      <c r="I890" s="107"/>
    </row>
    <row r="891" spans="1:9" ht="12.75" customHeight="1" x14ac:dyDescent="0.25">
      <c r="A891" s="1"/>
      <c r="B891" s="107"/>
      <c r="C891" s="107"/>
      <c r="D891" s="107"/>
      <c r="E891" s="107"/>
      <c r="F891" s="107"/>
      <c r="G891" s="107"/>
      <c r="H891" s="107"/>
      <c r="I891" s="107"/>
    </row>
    <row r="892" spans="1:9" ht="12.75" customHeight="1" x14ac:dyDescent="0.25">
      <c r="A892" s="1"/>
      <c r="B892" s="107"/>
      <c r="C892" s="107"/>
      <c r="D892" s="107"/>
      <c r="E892" s="107"/>
      <c r="F892" s="107"/>
      <c r="G892" s="107"/>
      <c r="H892" s="107"/>
      <c r="I892" s="107"/>
    </row>
    <row r="893" spans="1:9" ht="12.75" customHeight="1" x14ac:dyDescent="0.25">
      <c r="A893" s="1"/>
      <c r="B893" s="107"/>
      <c r="C893" s="107"/>
      <c r="D893" s="107"/>
      <c r="E893" s="107"/>
      <c r="F893" s="107"/>
      <c r="G893" s="107"/>
      <c r="H893" s="107"/>
      <c r="I893" s="107"/>
    </row>
    <row r="894" spans="1:9" ht="12.75" customHeight="1" x14ac:dyDescent="0.25">
      <c r="A894" s="1"/>
      <c r="B894" s="107"/>
      <c r="C894" s="107"/>
      <c r="D894" s="107"/>
      <c r="E894" s="107"/>
      <c r="F894" s="107"/>
      <c r="G894" s="107"/>
      <c r="H894" s="107"/>
      <c r="I894" s="107"/>
    </row>
    <row r="895" spans="1:9" ht="12.75" customHeight="1" x14ac:dyDescent="0.25">
      <c r="A895" s="1"/>
      <c r="B895" s="107"/>
      <c r="C895" s="107"/>
      <c r="D895" s="107"/>
      <c r="E895" s="107"/>
      <c r="F895" s="107"/>
      <c r="G895" s="107"/>
      <c r="H895" s="107"/>
      <c r="I895" s="107"/>
    </row>
    <row r="896" spans="1:9" ht="12.75" customHeight="1" x14ac:dyDescent="0.25">
      <c r="A896" s="1"/>
      <c r="B896" s="107"/>
      <c r="C896" s="107"/>
      <c r="D896" s="107"/>
      <c r="E896" s="107"/>
      <c r="F896" s="107"/>
      <c r="G896" s="107"/>
      <c r="H896" s="107"/>
      <c r="I896" s="107"/>
    </row>
    <row r="897" spans="1:9" ht="12.75" customHeight="1" x14ac:dyDescent="0.25">
      <c r="A897" s="1"/>
      <c r="B897" s="107"/>
      <c r="C897" s="107"/>
      <c r="D897" s="107"/>
      <c r="E897" s="107"/>
      <c r="F897" s="107"/>
      <c r="G897" s="107"/>
      <c r="H897" s="107"/>
      <c r="I897" s="107"/>
    </row>
    <row r="898" spans="1:9" ht="12.75" customHeight="1" x14ac:dyDescent="0.25">
      <c r="A898" s="1"/>
      <c r="B898" s="107"/>
      <c r="C898" s="107"/>
      <c r="D898" s="107"/>
      <c r="E898" s="107"/>
      <c r="F898" s="107"/>
      <c r="G898" s="107"/>
      <c r="H898" s="107"/>
      <c r="I898" s="107"/>
    </row>
    <row r="899" spans="1:9" ht="12.75" customHeight="1" x14ac:dyDescent="0.25">
      <c r="A899" s="1"/>
      <c r="B899" s="107"/>
      <c r="C899" s="107"/>
      <c r="D899" s="107"/>
      <c r="E899" s="107"/>
      <c r="F899" s="107"/>
      <c r="G899" s="107"/>
      <c r="H899" s="107"/>
      <c r="I899" s="107"/>
    </row>
    <row r="900" spans="1:9" ht="12.75" customHeight="1" x14ac:dyDescent="0.25">
      <c r="A900" s="1"/>
      <c r="B900" s="107"/>
      <c r="C900" s="107"/>
      <c r="D900" s="107"/>
      <c r="E900" s="107"/>
      <c r="F900" s="107"/>
      <c r="G900" s="107"/>
      <c r="H900" s="107"/>
      <c r="I900" s="107"/>
    </row>
    <row r="901" spans="1:9" ht="12.75" customHeight="1" x14ac:dyDescent="0.25">
      <c r="A901" s="1"/>
      <c r="B901" s="107"/>
      <c r="C901" s="107"/>
      <c r="D901" s="107"/>
      <c r="E901" s="107"/>
      <c r="F901" s="107"/>
      <c r="G901" s="107"/>
      <c r="H901" s="107"/>
      <c r="I901" s="107"/>
    </row>
    <row r="902" spans="1:9" ht="12.75" customHeight="1" x14ac:dyDescent="0.25">
      <c r="A902" s="1"/>
      <c r="B902" s="107"/>
      <c r="C902" s="107"/>
      <c r="D902" s="107"/>
      <c r="E902" s="107"/>
      <c r="F902" s="107"/>
      <c r="G902" s="107"/>
      <c r="H902" s="107"/>
      <c r="I902" s="107"/>
    </row>
    <row r="903" spans="1:9" ht="12.75" customHeight="1" x14ac:dyDescent="0.25">
      <c r="A903" s="1"/>
      <c r="B903" s="107"/>
      <c r="C903" s="107"/>
      <c r="D903" s="107"/>
      <c r="E903" s="107"/>
      <c r="F903" s="107"/>
      <c r="G903" s="107"/>
      <c r="H903" s="107"/>
      <c r="I903" s="107"/>
    </row>
    <row r="904" spans="1:9" ht="12.75" customHeight="1" x14ac:dyDescent="0.25">
      <c r="A904" s="1"/>
      <c r="B904" s="107"/>
      <c r="C904" s="107"/>
      <c r="D904" s="107"/>
      <c r="E904" s="107"/>
      <c r="F904" s="107"/>
      <c r="G904" s="107"/>
      <c r="H904" s="107"/>
      <c r="I904" s="107"/>
    </row>
    <row r="905" spans="1:9" ht="12.75" customHeight="1" x14ac:dyDescent="0.25">
      <c r="A905" s="1"/>
      <c r="B905" s="107"/>
      <c r="C905" s="107"/>
      <c r="D905" s="107"/>
      <c r="E905" s="107"/>
      <c r="F905" s="107"/>
      <c r="G905" s="107"/>
      <c r="H905" s="107"/>
      <c r="I905" s="107"/>
    </row>
    <row r="906" spans="1:9" ht="12.75" customHeight="1" x14ac:dyDescent="0.25">
      <c r="A906" s="1"/>
      <c r="B906" s="107"/>
      <c r="C906" s="107"/>
      <c r="D906" s="107"/>
      <c r="E906" s="107"/>
      <c r="F906" s="107"/>
      <c r="G906" s="107"/>
      <c r="H906" s="107"/>
      <c r="I906" s="107"/>
    </row>
    <row r="907" spans="1:9" ht="12.75" customHeight="1" x14ac:dyDescent="0.25">
      <c r="A907" s="1"/>
      <c r="B907" s="107"/>
      <c r="C907" s="107"/>
      <c r="D907" s="107"/>
      <c r="E907" s="107"/>
      <c r="F907" s="107"/>
      <c r="G907" s="107"/>
      <c r="H907" s="107"/>
      <c r="I907" s="107"/>
    </row>
    <row r="908" spans="1:9" ht="12.75" customHeight="1" x14ac:dyDescent="0.25">
      <c r="A908" s="1"/>
      <c r="B908" s="107"/>
      <c r="C908" s="107"/>
      <c r="D908" s="107"/>
      <c r="E908" s="107"/>
      <c r="F908" s="107"/>
      <c r="G908" s="107"/>
      <c r="H908" s="107"/>
      <c r="I908" s="107"/>
    </row>
    <row r="909" spans="1:9" ht="12.75" customHeight="1" x14ac:dyDescent="0.25">
      <c r="A909" s="1"/>
      <c r="B909" s="107"/>
      <c r="C909" s="107"/>
      <c r="D909" s="107"/>
      <c r="E909" s="107"/>
      <c r="F909" s="107"/>
      <c r="G909" s="107"/>
      <c r="H909" s="107"/>
      <c r="I909" s="107"/>
    </row>
    <row r="910" spans="1:9" ht="12.75" customHeight="1" x14ac:dyDescent="0.25">
      <c r="A910" s="1"/>
      <c r="B910" s="107"/>
      <c r="C910" s="107"/>
      <c r="D910" s="107"/>
      <c r="E910" s="107"/>
      <c r="F910" s="107"/>
      <c r="G910" s="107"/>
      <c r="H910" s="107"/>
      <c r="I910" s="107"/>
    </row>
    <row r="911" spans="1:9" ht="12.75" customHeight="1" x14ac:dyDescent="0.25">
      <c r="A911" s="1"/>
      <c r="B911" s="107"/>
      <c r="C911" s="107"/>
      <c r="D911" s="107"/>
      <c r="E911" s="107"/>
      <c r="F911" s="107"/>
      <c r="G911" s="107"/>
      <c r="H911" s="107"/>
      <c r="I911" s="107"/>
    </row>
    <row r="912" spans="1:9" ht="12.75" customHeight="1" x14ac:dyDescent="0.25">
      <c r="A912" s="1"/>
      <c r="B912" s="107"/>
      <c r="C912" s="107"/>
      <c r="D912" s="107"/>
      <c r="E912" s="107"/>
      <c r="F912" s="107"/>
      <c r="G912" s="107"/>
      <c r="H912" s="107"/>
      <c r="I912" s="107"/>
    </row>
    <row r="913" spans="1:9" ht="12.75" customHeight="1" x14ac:dyDescent="0.25">
      <c r="A913" s="1"/>
      <c r="B913" s="107"/>
      <c r="C913" s="107"/>
      <c r="D913" s="107"/>
      <c r="E913" s="107"/>
      <c r="F913" s="107"/>
      <c r="G913" s="107"/>
      <c r="H913" s="107"/>
      <c r="I913" s="107"/>
    </row>
    <row r="914" spans="1:9" ht="12.75" customHeight="1" x14ac:dyDescent="0.25">
      <c r="A914" s="1"/>
      <c r="B914" s="107"/>
      <c r="C914" s="107"/>
      <c r="D914" s="107"/>
      <c r="E914" s="107"/>
      <c r="F914" s="107"/>
      <c r="G914" s="107"/>
      <c r="H914" s="107"/>
      <c r="I914" s="107"/>
    </row>
    <row r="915" spans="1:9" ht="12.75" customHeight="1" x14ac:dyDescent="0.25">
      <c r="A915" s="1"/>
      <c r="B915" s="107"/>
      <c r="C915" s="107"/>
      <c r="D915" s="107"/>
      <c r="E915" s="107"/>
      <c r="F915" s="107"/>
      <c r="G915" s="107"/>
      <c r="H915" s="107"/>
      <c r="I915" s="107"/>
    </row>
    <row r="916" spans="1:9" ht="12.75" customHeight="1" x14ac:dyDescent="0.25">
      <c r="A916" s="1"/>
      <c r="B916" s="107"/>
      <c r="C916" s="107"/>
      <c r="D916" s="107"/>
      <c r="E916" s="107"/>
      <c r="F916" s="107"/>
      <c r="G916" s="107"/>
      <c r="H916" s="107"/>
      <c r="I916" s="107"/>
    </row>
    <row r="917" spans="1:9" ht="12.75" customHeight="1" x14ac:dyDescent="0.25">
      <c r="A917" s="1"/>
      <c r="B917" s="107"/>
      <c r="C917" s="107"/>
      <c r="D917" s="107"/>
      <c r="E917" s="107"/>
      <c r="F917" s="107"/>
      <c r="G917" s="107"/>
      <c r="H917" s="107"/>
      <c r="I917" s="107"/>
    </row>
    <row r="918" spans="1:9" ht="12.75" customHeight="1" x14ac:dyDescent="0.25">
      <c r="A918" s="1"/>
      <c r="B918" s="107"/>
      <c r="C918" s="107"/>
      <c r="D918" s="107"/>
      <c r="E918" s="107"/>
      <c r="F918" s="107"/>
      <c r="G918" s="107"/>
      <c r="H918" s="107"/>
      <c r="I918" s="107"/>
    </row>
    <row r="919" spans="1:9" ht="12.75" customHeight="1" x14ac:dyDescent="0.25">
      <c r="A919" s="1"/>
      <c r="B919" s="107"/>
      <c r="C919" s="107"/>
      <c r="D919" s="107"/>
      <c r="E919" s="107"/>
      <c r="F919" s="107"/>
      <c r="G919" s="107"/>
      <c r="H919" s="107"/>
      <c r="I919" s="107"/>
    </row>
    <row r="920" spans="1:9" ht="12.75" customHeight="1" x14ac:dyDescent="0.25">
      <c r="A920" s="1"/>
      <c r="B920" s="107"/>
      <c r="C920" s="107"/>
      <c r="D920" s="107"/>
      <c r="E920" s="107"/>
      <c r="F920" s="107"/>
      <c r="G920" s="107"/>
      <c r="H920" s="107"/>
      <c r="I920" s="107"/>
    </row>
    <row r="921" spans="1:9" ht="12.75" customHeight="1" x14ac:dyDescent="0.25">
      <c r="A921" s="1"/>
      <c r="B921" s="107"/>
      <c r="C921" s="107"/>
      <c r="D921" s="107"/>
      <c r="E921" s="107"/>
      <c r="F921" s="107"/>
      <c r="G921" s="107"/>
      <c r="H921" s="107"/>
      <c r="I921" s="107"/>
    </row>
    <row r="922" spans="1:9" ht="12.75" customHeight="1" x14ac:dyDescent="0.25">
      <c r="A922" s="1"/>
      <c r="B922" s="107"/>
      <c r="C922" s="107"/>
      <c r="D922" s="107"/>
      <c r="E922" s="107"/>
      <c r="F922" s="107"/>
      <c r="G922" s="107"/>
      <c r="H922" s="107"/>
      <c r="I922" s="107"/>
    </row>
    <row r="923" spans="1:9" ht="12.75" customHeight="1" x14ac:dyDescent="0.25">
      <c r="A923" s="1"/>
      <c r="B923" s="107"/>
      <c r="C923" s="107"/>
      <c r="D923" s="107"/>
      <c r="E923" s="107"/>
      <c r="F923" s="107"/>
      <c r="G923" s="107"/>
      <c r="H923" s="107"/>
      <c r="I923" s="107"/>
    </row>
    <row r="924" spans="1:9" ht="12.75" customHeight="1" x14ac:dyDescent="0.25">
      <c r="A924" s="1"/>
      <c r="B924" s="107"/>
      <c r="C924" s="107"/>
      <c r="D924" s="107"/>
      <c r="E924" s="107"/>
      <c r="F924" s="107"/>
      <c r="G924" s="107"/>
      <c r="H924" s="107"/>
      <c r="I924" s="107"/>
    </row>
    <row r="925" spans="1:9" ht="12.75" customHeight="1" x14ac:dyDescent="0.25">
      <c r="A925" s="1"/>
      <c r="B925" s="107"/>
      <c r="C925" s="107"/>
      <c r="D925" s="107"/>
      <c r="E925" s="107"/>
      <c r="F925" s="107"/>
      <c r="G925" s="107"/>
      <c r="H925" s="107"/>
      <c r="I925" s="107"/>
    </row>
    <row r="926" spans="1:9" ht="12.75" customHeight="1" x14ac:dyDescent="0.25">
      <c r="A926" s="1"/>
      <c r="B926" s="107"/>
      <c r="C926" s="107"/>
      <c r="D926" s="107"/>
      <c r="E926" s="107"/>
      <c r="F926" s="107"/>
      <c r="G926" s="107"/>
      <c r="H926" s="107"/>
      <c r="I926" s="107"/>
    </row>
    <row r="927" spans="1:9" ht="12.75" customHeight="1" x14ac:dyDescent="0.25">
      <c r="A927" s="1"/>
      <c r="B927" s="107"/>
      <c r="C927" s="107"/>
      <c r="D927" s="107"/>
      <c r="E927" s="107"/>
      <c r="F927" s="107"/>
      <c r="G927" s="107"/>
      <c r="H927" s="107"/>
      <c r="I927" s="107"/>
    </row>
    <row r="928" spans="1:9" ht="12.75" customHeight="1" x14ac:dyDescent="0.25">
      <c r="A928" s="1"/>
      <c r="B928" s="107"/>
      <c r="C928" s="107"/>
      <c r="D928" s="107"/>
      <c r="E928" s="107"/>
      <c r="F928" s="107"/>
      <c r="G928" s="107"/>
      <c r="H928" s="107"/>
      <c r="I928" s="107"/>
    </row>
    <row r="929" spans="1:9" ht="12.75" customHeight="1" x14ac:dyDescent="0.25">
      <c r="A929" s="1"/>
      <c r="B929" s="107"/>
      <c r="C929" s="107"/>
      <c r="D929" s="107"/>
      <c r="E929" s="107"/>
      <c r="F929" s="107"/>
      <c r="G929" s="107"/>
      <c r="H929" s="107"/>
      <c r="I929" s="107"/>
    </row>
    <row r="930" spans="1:9" ht="12.75" customHeight="1" x14ac:dyDescent="0.25">
      <c r="A930" s="1"/>
      <c r="B930" s="107"/>
      <c r="C930" s="107"/>
      <c r="D930" s="107"/>
      <c r="E930" s="107"/>
      <c r="F930" s="107"/>
      <c r="G930" s="107"/>
      <c r="H930" s="107"/>
      <c r="I930" s="107"/>
    </row>
    <row r="931" spans="1:9" ht="12.75" customHeight="1" x14ac:dyDescent="0.25">
      <c r="A931" s="1"/>
      <c r="B931" s="107"/>
      <c r="C931" s="107"/>
      <c r="D931" s="107"/>
      <c r="E931" s="107"/>
      <c r="F931" s="107"/>
      <c r="G931" s="107"/>
      <c r="H931" s="107"/>
      <c r="I931" s="107"/>
    </row>
    <row r="932" spans="1:9" ht="12.75" customHeight="1" x14ac:dyDescent="0.25">
      <c r="A932" s="1"/>
      <c r="B932" s="107"/>
      <c r="C932" s="107"/>
      <c r="D932" s="107"/>
      <c r="E932" s="107"/>
      <c r="F932" s="107"/>
      <c r="G932" s="107"/>
      <c r="H932" s="107"/>
      <c r="I932" s="107"/>
    </row>
    <row r="933" spans="1:9" ht="12.75" customHeight="1" x14ac:dyDescent="0.25">
      <c r="A933" s="1"/>
      <c r="B933" s="107"/>
      <c r="C933" s="107"/>
      <c r="D933" s="107"/>
      <c r="E933" s="107"/>
      <c r="F933" s="107"/>
      <c r="G933" s="107"/>
      <c r="H933" s="107"/>
      <c r="I933" s="107"/>
    </row>
    <row r="934" spans="1:9" ht="12.75" customHeight="1" x14ac:dyDescent="0.25">
      <c r="A934" s="1"/>
      <c r="B934" s="107"/>
      <c r="C934" s="107"/>
      <c r="D934" s="107"/>
      <c r="E934" s="107"/>
      <c r="F934" s="107"/>
      <c r="G934" s="107"/>
      <c r="H934" s="107"/>
      <c r="I934" s="107"/>
    </row>
    <row r="935" spans="1:9" ht="12.75" customHeight="1" x14ac:dyDescent="0.25">
      <c r="A935" s="1"/>
      <c r="B935" s="107"/>
      <c r="C935" s="107"/>
      <c r="D935" s="107"/>
      <c r="E935" s="107"/>
      <c r="F935" s="107"/>
      <c r="G935" s="107"/>
      <c r="H935" s="107"/>
      <c r="I935" s="107"/>
    </row>
    <row r="936" spans="1:9" ht="12.75" customHeight="1" x14ac:dyDescent="0.25">
      <c r="A936" s="1"/>
      <c r="B936" s="107"/>
      <c r="C936" s="107"/>
      <c r="D936" s="107"/>
      <c r="E936" s="107"/>
      <c r="F936" s="107"/>
      <c r="G936" s="107"/>
      <c r="H936" s="107"/>
      <c r="I936" s="107"/>
    </row>
    <row r="937" spans="1:9" ht="12.75" customHeight="1" x14ac:dyDescent="0.25">
      <c r="A937" s="1"/>
      <c r="B937" s="107"/>
      <c r="C937" s="107"/>
      <c r="D937" s="107"/>
      <c r="E937" s="107"/>
      <c r="F937" s="107"/>
      <c r="G937" s="107"/>
      <c r="H937" s="107"/>
      <c r="I937" s="107"/>
    </row>
    <row r="938" spans="1:9" ht="12.75" customHeight="1" x14ac:dyDescent="0.25">
      <c r="A938" s="1"/>
      <c r="B938" s="107"/>
      <c r="C938" s="107"/>
      <c r="D938" s="107"/>
      <c r="E938" s="107"/>
      <c r="F938" s="107"/>
      <c r="G938" s="107"/>
      <c r="H938" s="107"/>
      <c r="I938" s="107"/>
    </row>
    <row r="939" spans="1:9" ht="12.75" customHeight="1" x14ac:dyDescent="0.25">
      <c r="A939" s="1"/>
      <c r="B939" s="107"/>
      <c r="C939" s="107"/>
      <c r="D939" s="107"/>
      <c r="E939" s="107"/>
      <c r="F939" s="107"/>
      <c r="G939" s="107"/>
      <c r="H939" s="107"/>
      <c r="I939" s="107"/>
    </row>
    <row r="940" spans="1:9" ht="12.75" customHeight="1" x14ac:dyDescent="0.25">
      <c r="A940" s="1"/>
      <c r="B940" s="107"/>
      <c r="C940" s="107"/>
      <c r="D940" s="107"/>
      <c r="E940" s="107"/>
      <c r="F940" s="107"/>
      <c r="G940" s="107"/>
      <c r="H940" s="107"/>
      <c r="I940" s="107"/>
    </row>
    <row r="941" spans="1:9" ht="12.75" customHeight="1" x14ac:dyDescent="0.25">
      <c r="A941" s="1"/>
      <c r="B941" s="107"/>
      <c r="C941" s="107"/>
      <c r="D941" s="107"/>
      <c r="E941" s="107"/>
      <c r="F941" s="107"/>
      <c r="G941" s="107"/>
      <c r="H941" s="107"/>
      <c r="I941" s="107"/>
    </row>
    <row r="942" spans="1:9" ht="12.75" customHeight="1" x14ac:dyDescent="0.25">
      <c r="A942" s="1"/>
      <c r="B942" s="107"/>
      <c r="C942" s="107"/>
      <c r="D942" s="107"/>
      <c r="E942" s="107"/>
      <c r="F942" s="107"/>
      <c r="G942" s="107"/>
      <c r="H942" s="107"/>
      <c r="I942" s="107"/>
    </row>
    <row r="943" spans="1:9" ht="12.75" customHeight="1" x14ac:dyDescent="0.25">
      <c r="A943" s="1"/>
      <c r="B943" s="107"/>
      <c r="C943" s="107"/>
      <c r="D943" s="107"/>
      <c r="E943" s="107"/>
      <c r="F943" s="107"/>
      <c r="G943" s="107"/>
      <c r="H943" s="107"/>
      <c r="I943" s="107"/>
    </row>
    <row r="944" spans="1:9" ht="12.75" customHeight="1" x14ac:dyDescent="0.25">
      <c r="A944" s="1"/>
      <c r="B944" s="107"/>
      <c r="C944" s="107"/>
      <c r="D944" s="107"/>
      <c r="E944" s="107"/>
      <c r="F944" s="107"/>
      <c r="G944" s="107"/>
      <c r="H944" s="107"/>
      <c r="I944" s="107"/>
    </row>
    <row r="945" spans="1:9" ht="12.75" customHeight="1" x14ac:dyDescent="0.25">
      <c r="A945" s="1"/>
      <c r="B945" s="107"/>
      <c r="C945" s="107"/>
      <c r="D945" s="107"/>
      <c r="E945" s="107"/>
      <c r="F945" s="107"/>
      <c r="G945" s="107"/>
      <c r="H945" s="107"/>
      <c r="I945" s="107"/>
    </row>
    <row r="946" spans="1:9" ht="12.75" customHeight="1" x14ac:dyDescent="0.25">
      <c r="A946" s="1"/>
      <c r="B946" s="107"/>
      <c r="C946" s="107"/>
      <c r="D946" s="107"/>
      <c r="E946" s="107"/>
      <c r="F946" s="107"/>
      <c r="G946" s="107"/>
      <c r="H946" s="107"/>
      <c r="I946" s="107"/>
    </row>
    <row r="947" spans="1:9" ht="12.75" customHeight="1" x14ac:dyDescent="0.25">
      <c r="A947" s="1"/>
      <c r="B947" s="107"/>
      <c r="C947" s="107"/>
      <c r="D947" s="107"/>
      <c r="E947" s="107"/>
      <c r="F947" s="107"/>
      <c r="G947" s="107"/>
      <c r="H947" s="107"/>
      <c r="I947" s="107"/>
    </row>
    <row r="948" spans="1:9" ht="12.75" customHeight="1" x14ac:dyDescent="0.25">
      <c r="A948" s="1"/>
      <c r="B948" s="107"/>
      <c r="C948" s="107"/>
      <c r="D948" s="107"/>
      <c r="E948" s="107"/>
      <c r="F948" s="107"/>
      <c r="G948" s="107"/>
      <c r="H948" s="107"/>
      <c r="I948" s="107"/>
    </row>
    <row r="949" spans="1:9" ht="12.75" customHeight="1" x14ac:dyDescent="0.25">
      <c r="A949" s="1"/>
      <c r="B949" s="107"/>
      <c r="C949" s="107"/>
      <c r="D949" s="107"/>
      <c r="E949" s="107"/>
      <c r="F949" s="107"/>
      <c r="G949" s="107"/>
      <c r="H949" s="107"/>
      <c r="I949" s="107"/>
    </row>
    <row r="950" spans="1:9" ht="12.75" customHeight="1" x14ac:dyDescent="0.25">
      <c r="A950" s="1"/>
      <c r="B950" s="107"/>
      <c r="C950" s="107"/>
      <c r="D950" s="107"/>
      <c r="E950" s="107"/>
      <c r="F950" s="107"/>
      <c r="G950" s="107"/>
      <c r="H950" s="107"/>
      <c r="I950" s="107"/>
    </row>
    <row r="951" spans="1:9" ht="12.75" customHeight="1" x14ac:dyDescent="0.25">
      <c r="A951" s="1"/>
      <c r="B951" s="107"/>
      <c r="C951" s="107"/>
      <c r="D951" s="107"/>
      <c r="E951" s="107"/>
      <c r="F951" s="107"/>
      <c r="G951" s="107"/>
      <c r="H951" s="107"/>
      <c r="I951" s="107"/>
    </row>
    <row r="952" spans="1:9" ht="12.75" customHeight="1" x14ac:dyDescent="0.25">
      <c r="A952" s="1"/>
      <c r="B952" s="107"/>
      <c r="C952" s="107"/>
      <c r="D952" s="107"/>
      <c r="E952" s="107"/>
      <c r="F952" s="107"/>
      <c r="G952" s="107"/>
      <c r="H952" s="107"/>
      <c r="I952" s="107"/>
    </row>
    <row r="953" spans="1:9" ht="12.75" customHeight="1" x14ac:dyDescent="0.25">
      <c r="A953" s="1"/>
      <c r="B953" s="107"/>
      <c r="C953" s="107"/>
      <c r="D953" s="107"/>
      <c r="E953" s="107"/>
      <c r="F953" s="107"/>
      <c r="G953" s="107"/>
      <c r="H953" s="107"/>
      <c r="I953" s="107"/>
    </row>
    <row r="954" spans="1:9" ht="12.75" customHeight="1" x14ac:dyDescent="0.25">
      <c r="A954" s="1"/>
      <c r="B954" s="107"/>
      <c r="C954" s="107"/>
      <c r="D954" s="107"/>
      <c r="E954" s="107"/>
      <c r="F954" s="107"/>
      <c r="G954" s="107"/>
      <c r="H954" s="107"/>
      <c r="I954" s="107"/>
    </row>
    <row r="955" spans="1:9" ht="12.75" customHeight="1" x14ac:dyDescent="0.25">
      <c r="A955" s="1"/>
      <c r="B955" s="107"/>
      <c r="C955" s="107"/>
      <c r="D955" s="107"/>
      <c r="E955" s="107"/>
      <c r="F955" s="107"/>
      <c r="G955" s="107"/>
      <c r="H955" s="107"/>
      <c r="I955" s="107"/>
    </row>
    <row r="956" spans="1:9" ht="12.75" customHeight="1" x14ac:dyDescent="0.25">
      <c r="A956" s="1"/>
      <c r="B956" s="107"/>
      <c r="C956" s="107"/>
      <c r="D956" s="107"/>
      <c r="E956" s="107"/>
      <c r="F956" s="107"/>
      <c r="G956" s="107"/>
      <c r="H956" s="107"/>
      <c r="I956" s="107"/>
    </row>
    <row r="957" spans="1:9" ht="12.75" customHeight="1" x14ac:dyDescent="0.25">
      <c r="A957" s="1"/>
      <c r="B957" s="107"/>
      <c r="C957" s="107"/>
      <c r="D957" s="107"/>
      <c r="E957" s="107"/>
      <c r="F957" s="107"/>
      <c r="G957" s="107"/>
      <c r="H957" s="107"/>
      <c r="I957" s="107"/>
    </row>
    <row r="958" spans="1:9" ht="12.75" customHeight="1" x14ac:dyDescent="0.25">
      <c r="A958" s="1"/>
      <c r="B958" s="107"/>
      <c r="C958" s="107"/>
      <c r="D958" s="107"/>
      <c r="E958" s="107"/>
      <c r="F958" s="107"/>
      <c r="G958" s="107"/>
      <c r="H958" s="107"/>
      <c r="I958" s="107"/>
    </row>
    <row r="959" spans="1:9" ht="12.75" customHeight="1" x14ac:dyDescent="0.25">
      <c r="A959" s="1"/>
      <c r="B959" s="107"/>
      <c r="C959" s="107"/>
      <c r="D959" s="107"/>
      <c r="E959" s="107"/>
      <c r="F959" s="107"/>
      <c r="G959" s="107"/>
      <c r="H959" s="107"/>
      <c r="I959" s="107"/>
    </row>
    <row r="960" spans="1:9" ht="12.75" customHeight="1" x14ac:dyDescent="0.25">
      <c r="A960" s="1"/>
      <c r="B960" s="107"/>
      <c r="C960" s="107"/>
      <c r="D960" s="107"/>
      <c r="E960" s="107"/>
      <c r="F960" s="107"/>
      <c r="G960" s="107"/>
      <c r="H960" s="107"/>
      <c r="I960" s="107"/>
    </row>
    <row r="961" spans="1:9" ht="12.75" customHeight="1" x14ac:dyDescent="0.25">
      <c r="A961" s="1"/>
      <c r="B961" s="107"/>
      <c r="C961" s="107"/>
      <c r="D961" s="107"/>
      <c r="E961" s="107"/>
      <c r="F961" s="107"/>
      <c r="G961" s="107"/>
      <c r="H961" s="107"/>
      <c r="I961" s="107"/>
    </row>
    <row r="962" spans="1:9" ht="12.75" customHeight="1" x14ac:dyDescent="0.25">
      <c r="A962" s="1"/>
      <c r="B962" s="107"/>
      <c r="C962" s="107"/>
      <c r="D962" s="107"/>
      <c r="E962" s="107"/>
      <c r="F962" s="107"/>
      <c r="G962" s="107"/>
      <c r="H962" s="107"/>
      <c r="I962" s="107"/>
    </row>
    <row r="963" spans="1:9" ht="12.75" customHeight="1" x14ac:dyDescent="0.25">
      <c r="A963" s="1"/>
      <c r="B963" s="107"/>
      <c r="C963" s="107"/>
      <c r="D963" s="107"/>
      <c r="E963" s="107"/>
      <c r="F963" s="107"/>
      <c r="G963" s="107"/>
      <c r="H963" s="107"/>
      <c r="I963" s="107"/>
    </row>
    <row r="964" spans="1:9" ht="12.75" customHeight="1" x14ac:dyDescent="0.25">
      <c r="A964" s="1"/>
      <c r="B964" s="107"/>
      <c r="C964" s="107"/>
      <c r="D964" s="107"/>
      <c r="E964" s="107"/>
      <c r="F964" s="107"/>
      <c r="G964" s="107"/>
      <c r="H964" s="107"/>
      <c r="I964" s="107"/>
    </row>
    <row r="965" spans="1:9" ht="12.75" customHeight="1" x14ac:dyDescent="0.25">
      <c r="A965" s="1"/>
      <c r="B965" s="107"/>
      <c r="C965" s="107"/>
      <c r="D965" s="107"/>
      <c r="E965" s="107"/>
      <c r="F965" s="107"/>
      <c r="G965" s="107"/>
      <c r="H965" s="107"/>
      <c r="I965" s="107"/>
    </row>
    <row r="966" spans="1:9" ht="12.75" customHeight="1" x14ac:dyDescent="0.25">
      <c r="A966" s="1"/>
      <c r="B966" s="107"/>
      <c r="C966" s="107"/>
      <c r="D966" s="107"/>
      <c r="E966" s="107"/>
      <c r="F966" s="107"/>
      <c r="G966" s="107"/>
      <c r="H966" s="107"/>
      <c r="I966" s="107"/>
    </row>
    <row r="967" spans="1:9" ht="12.75" customHeight="1" x14ac:dyDescent="0.25">
      <c r="A967" s="1"/>
      <c r="B967" s="107"/>
      <c r="C967" s="107"/>
      <c r="D967" s="107"/>
      <c r="E967" s="107"/>
      <c r="F967" s="107"/>
      <c r="G967" s="107"/>
      <c r="H967" s="107"/>
      <c r="I967" s="107"/>
    </row>
    <row r="968" spans="1:9" ht="12.75" customHeight="1" x14ac:dyDescent="0.25">
      <c r="A968" s="1"/>
      <c r="B968" s="107"/>
      <c r="C968" s="107"/>
      <c r="D968" s="107"/>
      <c r="E968" s="107"/>
      <c r="F968" s="107"/>
      <c r="G968" s="107"/>
      <c r="H968" s="107"/>
      <c r="I968" s="107"/>
    </row>
    <row r="969" spans="1:9" ht="12.75" customHeight="1" x14ac:dyDescent="0.25">
      <c r="A969" s="1"/>
      <c r="B969" s="107"/>
      <c r="C969" s="107"/>
      <c r="D969" s="107"/>
      <c r="E969" s="107"/>
      <c r="F969" s="107"/>
      <c r="G969" s="107"/>
      <c r="H969" s="107"/>
      <c r="I969" s="107"/>
    </row>
    <row r="970" spans="1:9" ht="12.75" customHeight="1" x14ac:dyDescent="0.25">
      <c r="A970" s="1"/>
      <c r="B970" s="107"/>
      <c r="C970" s="107"/>
      <c r="D970" s="107"/>
      <c r="E970" s="107"/>
      <c r="F970" s="107"/>
      <c r="G970" s="107"/>
      <c r="H970" s="107"/>
      <c r="I970" s="107"/>
    </row>
    <row r="971" spans="1:9" ht="12.75" customHeight="1" x14ac:dyDescent="0.25">
      <c r="A971" s="1"/>
      <c r="B971" s="107"/>
      <c r="C971" s="107"/>
      <c r="D971" s="107"/>
      <c r="E971" s="107"/>
      <c r="F971" s="107"/>
      <c r="G971" s="107"/>
      <c r="H971" s="107"/>
      <c r="I971" s="107"/>
    </row>
    <row r="972" spans="1:9" ht="12.75" customHeight="1" x14ac:dyDescent="0.25">
      <c r="A972" s="1"/>
      <c r="B972" s="107"/>
      <c r="C972" s="107"/>
      <c r="D972" s="107"/>
      <c r="E972" s="107"/>
      <c r="F972" s="107"/>
      <c r="G972" s="107"/>
      <c r="H972" s="107"/>
      <c r="I972" s="107"/>
    </row>
    <row r="973" spans="1:9" ht="12.75" customHeight="1" x14ac:dyDescent="0.25">
      <c r="A973" s="1"/>
      <c r="B973" s="107"/>
      <c r="C973" s="107"/>
      <c r="D973" s="107"/>
      <c r="E973" s="107"/>
      <c r="F973" s="107"/>
      <c r="G973" s="107"/>
      <c r="H973" s="107"/>
      <c r="I973" s="107"/>
    </row>
    <row r="974" spans="1:9" ht="12.75" customHeight="1" x14ac:dyDescent="0.25">
      <c r="A974" s="1"/>
      <c r="B974" s="107"/>
      <c r="C974" s="107"/>
      <c r="D974" s="107"/>
      <c r="E974" s="107"/>
      <c r="F974" s="107"/>
      <c r="G974" s="107"/>
      <c r="H974" s="107"/>
      <c r="I974" s="107"/>
    </row>
    <row r="975" spans="1:9" ht="12.75" customHeight="1" x14ac:dyDescent="0.25">
      <c r="A975" s="1"/>
      <c r="B975" s="107"/>
      <c r="C975" s="107"/>
      <c r="D975" s="107"/>
      <c r="E975" s="107"/>
      <c r="F975" s="107"/>
      <c r="G975" s="107"/>
      <c r="H975" s="107"/>
      <c r="I975" s="107"/>
    </row>
    <row r="976" spans="1:9" ht="12.75" customHeight="1" x14ac:dyDescent="0.25">
      <c r="A976" s="1"/>
      <c r="B976" s="107"/>
      <c r="C976" s="107"/>
      <c r="D976" s="107"/>
      <c r="E976" s="107"/>
      <c r="F976" s="107"/>
      <c r="G976" s="107"/>
      <c r="H976" s="107"/>
      <c r="I976" s="107"/>
    </row>
    <row r="977" spans="1:9" ht="12.75" customHeight="1" x14ac:dyDescent="0.25">
      <c r="A977" s="1"/>
      <c r="B977" s="107"/>
      <c r="C977" s="107"/>
      <c r="D977" s="107"/>
      <c r="E977" s="107"/>
      <c r="F977" s="107"/>
      <c r="G977" s="107"/>
      <c r="H977" s="107"/>
      <c r="I977" s="107"/>
    </row>
    <row r="978" spans="1:9" ht="12.75" customHeight="1" x14ac:dyDescent="0.25">
      <c r="A978" s="1"/>
      <c r="B978" s="107"/>
      <c r="C978" s="107"/>
      <c r="D978" s="107"/>
      <c r="E978" s="107"/>
      <c r="F978" s="107"/>
      <c r="G978" s="107"/>
      <c r="H978" s="107"/>
      <c r="I978" s="107"/>
    </row>
    <row r="979" spans="1:9" ht="12.75" customHeight="1" x14ac:dyDescent="0.25">
      <c r="A979" s="1"/>
      <c r="B979" s="107"/>
      <c r="C979" s="107"/>
      <c r="D979" s="107"/>
      <c r="E979" s="107"/>
      <c r="F979" s="107"/>
      <c r="G979" s="107"/>
      <c r="H979" s="107"/>
      <c r="I979" s="107"/>
    </row>
    <row r="980" spans="1:9" ht="12.75" customHeight="1" x14ac:dyDescent="0.25">
      <c r="A980" s="1"/>
      <c r="B980" s="107"/>
      <c r="C980" s="107"/>
      <c r="D980" s="107"/>
      <c r="E980" s="107"/>
      <c r="F980" s="107"/>
      <c r="G980" s="107"/>
      <c r="H980" s="107"/>
      <c r="I980" s="107"/>
    </row>
    <row r="981" spans="1:9" ht="12.75" customHeight="1" x14ac:dyDescent="0.25">
      <c r="A981" s="1"/>
      <c r="B981" s="107"/>
      <c r="C981" s="107"/>
      <c r="D981" s="107"/>
      <c r="E981" s="107"/>
      <c r="F981" s="107"/>
      <c r="G981" s="107"/>
      <c r="H981" s="107"/>
      <c r="I981" s="107"/>
    </row>
    <row r="982" spans="1:9" ht="12.75" customHeight="1" x14ac:dyDescent="0.25">
      <c r="A982" s="1"/>
      <c r="B982" s="107"/>
      <c r="C982" s="107"/>
      <c r="D982" s="107"/>
      <c r="E982" s="107"/>
      <c r="F982" s="107"/>
      <c r="G982" s="107"/>
      <c r="H982" s="107"/>
      <c r="I982" s="107"/>
    </row>
    <row r="983" spans="1:9" ht="12.75" customHeight="1" x14ac:dyDescent="0.25">
      <c r="A983" s="1"/>
      <c r="B983" s="107"/>
      <c r="C983" s="107"/>
      <c r="D983" s="107"/>
      <c r="E983" s="107"/>
      <c r="F983" s="107"/>
      <c r="G983" s="107"/>
      <c r="H983" s="107"/>
      <c r="I983" s="107"/>
    </row>
    <row r="984" spans="1:9" ht="12.75" customHeight="1" x14ac:dyDescent="0.25">
      <c r="A984" s="1"/>
      <c r="B984" s="107"/>
      <c r="C984" s="107"/>
      <c r="D984" s="107"/>
      <c r="E984" s="107"/>
      <c r="F984" s="107"/>
      <c r="G984" s="107"/>
      <c r="H984" s="107"/>
      <c r="I984" s="107"/>
    </row>
    <row r="985" spans="1:9" ht="12.75" customHeight="1" x14ac:dyDescent="0.25">
      <c r="A985" s="1"/>
      <c r="B985" s="107"/>
      <c r="C985" s="107"/>
      <c r="D985" s="107"/>
      <c r="E985" s="107"/>
      <c r="F985" s="107"/>
      <c r="G985" s="107"/>
      <c r="H985" s="107"/>
      <c r="I985" s="107"/>
    </row>
    <row r="986" spans="1:9" ht="12.75" customHeight="1" x14ac:dyDescent="0.25">
      <c r="A986" s="1"/>
      <c r="B986" s="107"/>
      <c r="C986" s="107"/>
      <c r="D986" s="107"/>
      <c r="E986" s="107"/>
      <c r="F986" s="107"/>
      <c r="G986" s="107"/>
      <c r="H986" s="107"/>
      <c r="I986" s="107"/>
    </row>
    <row r="987" spans="1:9" ht="12.75" customHeight="1" x14ac:dyDescent="0.25">
      <c r="A987" s="1"/>
      <c r="B987" s="107"/>
      <c r="C987" s="107"/>
      <c r="D987" s="107"/>
      <c r="E987" s="107"/>
      <c r="F987" s="107"/>
      <c r="G987" s="107"/>
      <c r="H987" s="107"/>
      <c r="I987" s="107"/>
    </row>
    <row r="988" spans="1:9" ht="12.75" customHeight="1" x14ac:dyDescent="0.25">
      <c r="A988" s="1"/>
      <c r="B988" s="107"/>
      <c r="C988" s="107"/>
      <c r="D988" s="107"/>
      <c r="E988" s="107"/>
      <c r="F988" s="107"/>
      <c r="G988" s="107"/>
      <c r="H988" s="107"/>
      <c r="I988" s="107"/>
    </row>
    <row r="989" spans="1:9" ht="12.75" customHeight="1" x14ac:dyDescent="0.25">
      <c r="A989" s="1"/>
      <c r="B989" s="107"/>
      <c r="C989" s="107"/>
      <c r="D989" s="107"/>
      <c r="E989" s="107"/>
      <c r="F989" s="107"/>
      <c r="G989" s="107"/>
      <c r="H989" s="107"/>
      <c r="I989" s="107"/>
    </row>
    <row r="990" spans="1:9" ht="12.75" customHeight="1" x14ac:dyDescent="0.25">
      <c r="A990" s="1"/>
      <c r="B990" s="107"/>
      <c r="C990" s="107"/>
      <c r="D990" s="107"/>
      <c r="E990" s="107"/>
      <c r="F990" s="107"/>
      <c r="G990" s="107"/>
      <c r="H990" s="107"/>
      <c r="I990" s="107"/>
    </row>
    <row r="991" spans="1:9" ht="12.75" customHeight="1" x14ac:dyDescent="0.25">
      <c r="A991" s="1"/>
      <c r="B991" s="107"/>
      <c r="C991" s="107"/>
      <c r="D991" s="107"/>
      <c r="E991" s="107"/>
      <c r="F991" s="107"/>
      <c r="G991" s="107"/>
      <c r="H991" s="107"/>
      <c r="I991" s="107"/>
    </row>
    <row r="992" spans="1:9" ht="12.75" customHeight="1" x14ac:dyDescent="0.25">
      <c r="A992" s="1"/>
      <c r="B992" s="107"/>
      <c r="C992" s="107"/>
      <c r="D992" s="107"/>
      <c r="E992" s="107"/>
      <c r="F992" s="107"/>
      <c r="G992" s="107"/>
      <c r="H992" s="107"/>
      <c r="I992" s="107"/>
    </row>
  </sheetData>
  <mergeCells count="2">
    <mergeCell ref="B7:H7"/>
    <mergeCell ref="K8:A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OP</vt:lpstr>
      <vt:lpstr>EST</vt:lpstr>
      <vt:lpstr>ARQ</vt:lpstr>
      <vt:lpstr>IIEE</vt:lpstr>
      <vt:lpstr>IISS</vt:lpstr>
      <vt:lpstr>CCDÉBILES</vt:lpstr>
      <vt:lpstr>ACI</vt:lpstr>
      <vt:lpstr>IIMM</vt:lpstr>
      <vt:lpstr>GAS</vt:lpstr>
      <vt:lpstr>ASCENSOR</vt:lpstr>
      <vt:lpstr>AUTOMATIZACIÓN</vt:lpstr>
      <vt:lpstr>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Edwid Pinto</cp:lastModifiedBy>
  <dcterms:created xsi:type="dcterms:W3CDTF">2022-02-28T21:06:02Z</dcterms:created>
  <dcterms:modified xsi:type="dcterms:W3CDTF">2026-10-04T22:42:20Z</dcterms:modified>
</cp:coreProperties>
</file>